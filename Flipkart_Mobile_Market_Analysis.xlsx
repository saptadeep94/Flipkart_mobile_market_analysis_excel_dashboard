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Administrator\Desktop\Flipkart Project\"/>
    </mc:Choice>
  </mc:AlternateContent>
  <xr:revisionPtr revIDLastSave="0" documentId="13_ncr:1_{9C103A48-AC64-4CCD-8EE0-762F0D64D9CB}" xr6:coauthVersionLast="47" xr6:coauthVersionMax="47" xr10:uidLastSave="{00000000-0000-0000-0000-000000000000}"/>
  <bookViews>
    <workbookView xWindow="-110" yWindow="-110" windowWidth="19420" windowHeight="10300" firstSheet="5" activeTab="7" xr2:uid="{A7A56B13-3190-47E3-B329-87053A14D144}"/>
  </bookViews>
  <sheets>
    <sheet name="Flipkart_Mobiles-Raw Data" sheetId="1" r:id="rId1"/>
    <sheet name="Calculations- Brand Performance" sheetId="10" r:id="rId2"/>
    <sheet name="Brand Performance by Ratings" sheetId="5" r:id="rId3"/>
    <sheet name="Value For Money Brands" sheetId="11" r:id="rId4"/>
    <sheet name="Margin Analysis" sheetId="21" r:id="rId5"/>
    <sheet name="KPI Sheet" sheetId="17" r:id="rId6"/>
    <sheet name="Dashboard" sheetId="24" r:id="rId7"/>
    <sheet name="Business Reports" sheetId="25" r:id="rId8"/>
  </sheets>
  <definedNames>
    <definedName name="_xlnm._FilterDatabase" localSheetId="0" hidden="1">'Flipkart_Mobiles-Raw Data'!$A$1:$H$2898</definedName>
    <definedName name="Slicer_Brand">#N/A</definedName>
    <definedName name="Slicer_Memory">#N/A</definedName>
    <definedName name="Slicer_Model">#N/A</definedName>
    <definedName name="Slicer_Storag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L2" i="1"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alcChain>
</file>

<file path=xl/sharedStrings.xml><?xml version="1.0" encoding="utf-8"?>
<sst xmlns="http://schemas.openxmlformats.org/spreadsheetml/2006/main" count="14523" uniqueCount="1543">
  <si>
    <t>Brand</t>
  </si>
  <si>
    <t>Model</t>
  </si>
  <si>
    <t>Color</t>
  </si>
  <si>
    <t>Memory</t>
  </si>
  <si>
    <t>Storage</t>
  </si>
  <si>
    <t>Rating</t>
  </si>
  <si>
    <t>Selling Price</t>
  </si>
  <si>
    <t>Original Price</t>
  </si>
  <si>
    <t>OPPO</t>
  </si>
  <si>
    <t>A53</t>
  </si>
  <si>
    <t>Moonlight Black</t>
  </si>
  <si>
    <t>4 GB</t>
  </si>
  <si>
    <t>64 GB</t>
  </si>
  <si>
    <t>Mint Cream</t>
  </si>
  <si>
    <t>6 GB</t>
  </si>
  <si>
    <t>128 GB</t>
  </si>
  <si>
    <t>Electric Black</t>
  </si>
  <si>
    <t>A12</t>
  </si>
  <si>
    <t>Deep Blue</t>
  </si>
  <si>
    <t>Black</t>
  </si>
  <si>
    <t>3 GB</t>
  </si>
  <si>
    <t>32 GB</t>
  </si>
  <si>
    <t>Blue</t>
  </si>
  <si>
    <t>Flowing Silver</t>
  </si>
  <si>
    <t>A53s 5G</t>
  </si>
  <si>
    <t>Crystal Blue</t>
  </si>
  <si>
    <t>Ink Black</t>
  </si>
  <si>
    <t>8 GB</t>
  </si>
  <si>
    <t>A33</t>
  </si>
  <si>
    <t>A31</t>
  </si>
  <si>
    <t>Lake Green</t>
  </si>
  <si>
    <t>Mystery Black</t>
  </si>
  <si>
    <t>A74 5G</t>
  </si>
  <si>
    <t>Fantastic Purple</t>
  </si>
  <si>
    <t>A11K</t>
  </si>
  <si>
    <t>2 GB</t>
  </si>
  <si>
    <t>F17 Pro</t>
  </si>
  <si>
    <t>Matte Black</t>
  </si>
  <si>
    <t>A54</t>
  </si>
  <si>
    <t>Moonlight Gold</t>
  </si>
  <si>
    <t>Reno6 5G</t>
  </si>
  <si>
    <t>Aurora</t>
  </si>
  <si>
    <t>Stellar Black</t>
  </si>
  <si>
    <t>Magic Blue</t>
  </si>
  <si>
    <t>Starry Blue</t>
  </si>
  <si>
    <t>Crystal Black</t>
  </si>
  <si>
    <t>Metallic White</t>
  </si>
  <si>
    <t>Fantasy White</t>
  </si>
  <si>
    <t>F17</t>
  </si>
  <si>
    <t>Navy Blue</t>
  </si>
  <si>
    <t>Fancy Blue</t>
  </si>
  <si>
    <t>A16</t>
  </si>
  <si>
    <t>Pearl Blue</t>
  </si>
  <si>
    <t>Reno5 Pro 5G</t>
  </si>
  <si>
    <t>Astral Blue</t>
  </si>
  <si>
    <t>A15</t>
  </si>
  <si>
    <t>Dynamic Black</t>
  </si>
  <si>
    <t>Dynamic Orange</t>
  </si>
  <si>
    <t>Mystery Blue</t>
  </si>
  <si>
    <t>Fairy White</t>
  </si>
  <si>
    <t>A74 5G BLACK</t>
  </si>
  <si>
    <t>Fluid Black</t>
  </si>
  <si>
    <t>Reno6 Pro 5G</t>
  </si>
  <si>
    <t>12 GB</t>
  </si>
  <si>
    <t>256 GB</t>
  </si>
  <si>
    <t>Reno2 F</t>
  </si>
  <si>
    <t>Sky White</t>
  </si>
  <si>
    <t>Reno3 Pro</t>
  </si>
  <si>
    <t>Midnight Black</t>
  </si>
  <si>
    <t>A15s</t>
  </si>
  <si>
    <t>A15S</t>
  </si>
  <si>
    <t>Rainbow Silver</t>
  </si>
  <si>
    <t>Auroral Blue</t>
  </si>
  <si>
    <t>F19 Pro</t>
  </si>
  <si>
    <t>Crystal Silver</t>
  </si>
  <si>
    <t>F19 Pro+ 5G</t>
  </si>
  <si>
    <t>Space Silver</t>
  </si>
  <si>
    <t>Fancy White</t>
  </si>
  <si>
    <t>F19</t>
  </si>
  <si>
    <t>Midnight Blue</t>
  </si>
  <si>
    <t>A7</t>
  </si>
  <si>
    <t>Glaring Gold</t>
  </si>
  <si>
    <t>Starry Black</t>
  </si>
  <si>
    <t>F5</t>
  </si>
  <si>
    <t>Red</t>
  </si>
  <si>
    <t>A5s</t>
  </si>
  <si>
    <t>Reno</t>
  </si>
  <si>
    <t>JET BLACK</t>
  </si>
  <si>
    <t>Reno2 Z</t>
  </si>
  <si>
    <t>Luminous Black</t>
  </si>
  <si>
    <t>F15</t>
  </si>
  <si>
    <t>Unicorn White</t>
  </si>
  <si>
    <t>Prism Black</t>
  </si>
  <si>
    <t>K1</t>
  </si>
  <si>
    <t>Piano Black</t>
  </si>
  <si>
    <t>Classic Silver</t>
  </si>
  <si>
    <t>Lightening Black</t>
  </si>
  <si>
    <t>A9 2020</t>
  </si>
  <si>
    <t>Marine Green</t>
  </si>
  <si>
    <t>Find X</t>
  </si>
  <si>
    <t>Bordeaux Red</t>
  </si>
  <si>
    <t>Reno4 Pro Special Edition</t>
  </si>
  <si>
    <t>Galactic Blue</t>
  </si>
  <si>
    <t>F11</t>
  </si>
  <si>
    <t>Marble Green</t>
  </si>
  <si>
    <t>A5</t>
  </si>
  <si>
    <t>Diamond Blue</t>
  </si>
  <si>
    <t>Reno4 Pro</t>
  </si>
  <si>
    <t>Silky White</t>
  </si>
  <si>
    <t>Starry Night</t>
  </si>
  <si>
    <t>Space Purple</t>
  </si>
  <si>
    <t>A5 2020</t>
  </si>
  <si>
    <t>Dazzling White</t>
  </si>
  <si>
    <t>F3 Deepika Padukone Limited Edition</t>
  </si>
  <si>
    <t>Rose Gold</t>
  </si>
  <si>
    <t>F1 Plus</t>
  </si>
  <si>
    <t>Gold</t>
  </si>
  <si>
    <t>A83 2018 Edition</t>
  </si>
  <si>
    <t>F3</t>
  </si>
  <si>
    <t>Blazing Blue</t>
  </si>
  <si>
    <t>A3s</t>
  </si>
  <si>
    <t>Purple</t>
  </si>
  <si>
    <t>A83</t>
  </si>
  <si>
    <t>Champagne</t>
  </si>
  <si>
    <t>16 GB</t>
  </si>
  <si>
    <t>K3</t>
  </si>
  <si>
    <t>Aurora Blue</t>
  </si>
  <si>
    <t>F9</t>
  </si>
  <si>
    <t>Mist Black</t>
  </si>
  <si>
    <t>A52</t>
  </si>
  <si>
    <t>Twilight Black</t>
  </si>
  <si>
    <t>Stream White</t>
  </si>
  <si>
    <t>A71 New Edition</t>
  </si>
  <si>
    <t>Neo 7 4G</t>
  </si>
  <si>
    <t>1 GB</t>
  </si>
  <si>
    <t>A71</t>
  </si>
  <si>
    <t>A57</t>
  </si>
  <si>
    <t>Vanilla Mint</t>
  </si>
  <si>
    <t>A1K</t>
  </si>
  <si>
    <t>Green</t>
  </si>
  <si>
    <t>A37f</t>
  </si>
  <si>
    <t>Grey</t>
  </si>
  <si>
    <t>F9 Pro</t>
  </si>
  <si>
    <t>Sunrise Red</t>
  </si>
  <si>
    <t>Twilight Blue</t>
  </si>
  <si>
    <t>Starry Purple</t>
  </si>
  <si>
    <t>Glowing Black</t>
  </si>
  <si>
    <t>Diamond Red</t>
  </si>
  <si>
    <t>Glaze Blue</t>
  </si>
  <si>
    <t>Mirror Black</t>
  </si>
  <si>
    <t>Jade Black</t>
  </si>
  <si>
    <t>A71k</t>
  </si>
  <si>
    <t>White</t>
  </si>
  <si>
    <t>Stellar Purple</t>
  </si>
  <si>
    <t>A9</t>
  </si>
  <si>
    <t>Fluorite Purple</t>
  </si>
  <si>
    <t>F3 Plus</t>
  </si>
  <si>
    <t>Rohit Sharma Limited Edition</t>
  </si>
  <si>
    <t>F17 PRO</t>
  </si>
  <si>
    <t>Hardik Pandya Limited Editon</t>
  </si>
  <si>
    <t>Ravichandran Ashwin Limited Edition</t>
  </si>
  <si>
    <t>F11 Pro</t>
  </si>
  <si>
    <t>Waterfall Grey</t>
  </si>
  <si>
    <t>Aurora Green</t>
  </si>
  <si>
    <t>R1 R829</t>
  </si>
  <si>
    <t>Thunder Black</t>
  </si>
  <si>
    <t>Fancy white</t>
  </si>
  <si>
    <t>F5 Youth</t>
  </si>
  <si>
    <t>Jewelry White</t>
  </si>
  <si>
    <t>F7</t>
  </si>
  <si>
    <t>Silver</t>
  </si>
  <si>
    <t>Glacier Blue</t>
  </si>
  <si>
    <t>Neo 5</t>
  </si>
  <si>
    <t>F1</t>
  </si>
  <si>
    <t>Reno2</t>
  </si>
  <si>
    <t>R17</t>
  </si>
  <si>
    <t>Neon Purple</t>
  </si>
  <si>
    <t>Space Blue</t>
  </si>
  <si>
    <t>Reno 10x Zoom</t>
  </si>
  <si>
    <t>Jet Black</t>
  </si>
  <si>
    <t>Majestic Gold</t>
  </si>
  <si>
    <t>F1S</t>
  </si>
  <si>
    <t>Ocean Green</t>
  </si>
  <si>
    <t>Ocean Blue</t>
  </si>
  <si>
    <t>N5111</t>
  </si>
  <si>
    <t>Starry purple</t>
  </si>
  <si>
    <t>HTC</t>
  </si>
  <si>
    <t xml:space="preserve">U11+ </t>
  </si>
  <si>
    <t>Amazing Silver</t>
  </si>
  <si>
    <t xml:space="preserve">Wildfire X </t>
  </si>
  <si>
    <t>Blue MB</t>
  </si>
  <si>
    <t>IQOO</t>
  </si>
  <si>
    <t>Quantum Silver</t>
  </si>
  <si>
    <t>Tornado Black</t>
  </si>
  <si>
    <t xml:space="preserve"> Tornado Black</t>
  </si>
  <si>
    <t>Google Pixel</t>
  </si>
  <si>
    <t xml:space="preserve">4a </t>
  </si>
  <si>
    <t>Just Black</t>
  </si>
  <si>
    <t xml:space="preserve">3a XL </t>
  </si>
  <si>
    <t>Clearly White</t>
  </si>
  <si>
    <t>Not Pink</t>
  </si>
  <si>
    <t xml:space="preserve">3 XL </t>
  </si>
  <si>
    <t xml:space="preserve">3a </t>
  </si>
  <si>
    <t xml:space="preserve">XL </t>
  </si>
  <si>
    <t>Very Silver</t>
  </si>
  <si>
    <t xml:space="preserve">2 XL </t>
  </si>
  <si>
    <t>Quite Black</t>
  </si>
  <si>
    <t>LG</t>
  </si>
  <si>
    <t xml:space="preserve">W11 </t>
  </si>
  <si>
    <t xml:space="preserve">Velvet Dual Screen </t>
  </si>
  <si>
    <t>Aurora Silver</t>
  </si>
  <si>
    <t xml:space="preserve">Q60 </t>
  </si>
  <si>
    <t xml:space="preserve">L90 Dual </t>
  </si>
  <si>
    <t xml:space="preserve">W31 </t>
  </si>
  <si>
    <t xml:space="preserve">W31 Plus </t>
  </si>
  <si>
    <t xml:space="preserve">K42 </t>
  </si>
  <si>
    <t>midnight blue</t>
  </si>
  <si>
    <t xml:space="preserve">W30 Pro </t>
  </si>
  <si>
    <t>Midnight Purple</t>
  </si>
  <si>
    <t xml:space="preserve">Candy K9 </t>
  </si>
  <si>
    <t>Moroccan Blue</t>
  </si>
  <si>
    <t xml:space="preserve">K9 4G LTE </t>
  </si>
  <si>
    <t xml:space="preserve">W10 </t>
  </si>
  <si>
    <t>Smokey Gray</t>
  </si>
  <si>
    <t xml:space="preserve">K-10 </t>
  </si>
  <si>
    <t>Black Blue</t>
  </si>
  <si>
    <t xml:space="preserve">W41 </t>
  </si>
  <si>
    <t>MAGIC BLUE</t>
  </si>
  <si>
    <t xml:space="preserve">Q Stylus+ </t>
  </si>
  <si>
    <t xml:space="preserve">W10 Alpha </t>
  </si>
  <si>
    <t xml:space="preserve">W30 </t>
  </si>
  <si>
    <t>Thunder Blue</t>
  </si>
  <si>
    <t xml:space="preserve">W30 Plus </t>
  </si>
  <si>
    <t>Thunder blue</t>
  </si>
  <si>
    <t xml:space="preserve">G7+ ThinQ </t>
  </si>
  <si>
    <t>Platinum</t>
  </si>
  <si>
    <t xml:space="preserve">Stylus 2 </t>
  </si>
  <si>
    <t>Titan</t>
  </si>
  <si>
    <t xml:space="preserve">Max X160 </t>
  </si>
  <si>
    <t>Silver Titan</t>
  </si>
  <si>
    <t xml:space="preserve">V20 </t>
  </si>
  <si>
    <t xml:space="preserve">G8X </t>
  </si>
  <si>
    <t xml:space="preserve">V40 ThinQ </t>
  </si>
  <si>
    <t>Platinum Grey</t>
  </si>
  <si>
    <t xml:space="preserve">K7i </t>
  </si>
  <si>
    <t>Brown</t>
  </si>
  <si>
    <t>Nexus4 E960</t>
  </si>
  <si>
    <t xml:space="preserve">G7 ThinQ </t>
  </si>
  <si>
    <t xml:space="preserve">Nexus 5X </t>
  </si>
  <si>
    <t>Ice</t>
  </si>
  <si>
    <t xml:space="preserve">G5 </t>
  </si>
  <si>
    <t xml:space="preserve">Q6+ </t>
  </si>
  <si>
    <t xml:space="preserve">Spirit 4G LTE </t>
  </si>
  <si>
    <t>Black Titan</t>
  </si>
  <si>
    <t xml:space="preserve">Velvet </t>
  </si>
  <si>
    <t>AURORA SILVER</t>
  </si>
  <si>
    <t xml:space="preserve">W41 Plus </t>
  </si>
  <si>
    <t xml:space="preserve">Wing </t>
  </si>
  <si>
    <t>Aurora Gray</t>
  </si>
  <si>
    <t xml:space="preserve">W41 Pro </t>
  </si>
  <si>
    <t>Laser Blue</t>
  </si>
  <si>
    <t xml:space="preserve">Optimus L70 </t>
  </si>
  <si>
    <t xml:space="preserve">L60 Dual </t>
  </si>
  <si>
    <t>512 MB</t>
  </si>
  <si>
    <t xml:space="preserve">K8 </t>
  </si>
  <si>
    <t>Black &amp; Blue</t>
  </si>
  <si>
    <t xml:space="preserve">G Pro 2 </t>
  </si>
  <si>
    <t xml:space="preserve">Optimus L5 II </t>
  </si>
  <si>
    <t xml:space="preserve">V30+ </t>
  </si>
  <si>
    <t xml:space="preserve">G2 D802 </t>
  </si>
  <si>
    <t>Black Gold</t>
  </si>
  <si>
    <t xml:space="preserve">Q Stylus </t>
  </si>
  <si>
    <t xml:space="preserve">Q6 </t>
  </si>
  <si>
    <t xml:space="preserve">G6 </t>
  </si>
  <si>
    <t xml:space="preserve">K10 2017 </t>
  </si>
  <si>
    <t>Gold &amp; Black</t>
  </si>
  <si>
    <t>Illusion Sky</t>
  </si>
  <si>
    <t xml:space="preserve">V20a </t>
  </si>
  <si>
    <t xml:space="preserve">K10 K420DS </t>
  </si>
  <si>
    <t xml:space="preserve">Q7 </t>
  </si>
  <si>
    <t xml:space="preserve">X Power </t>
  </si>
  <si>
    <t xml:space="preserve">Stylus 2 Plus </t>
  </si>
  <si>
    <t>Carbon</t>
  </si>
  <si>
    <t xml:space="preserve">K-7 </t>
  </si>
  <si>
    <t>1.5 GB</t>
  </si>
  <si>
    <t xml:space="preserve">G3 Beat </t>
  </si>
  <si>
    <t xml:space="preserve">G4 </t>
  </si>
  <si>
    <t>Genuine Leather Black</t>
  </si>
  <si>
    <t xml:space="preserve">Stylus 3 </t>
  </si>
  <si>
    <t xml:space="preserve">L Bello </t>
  </si>
  <si>
    <t xml:space="preserve">G4 Stylus 4G LTE </t>
  </si>
  <si>
    <t xml:space="preserve">X Cam </t>
  </si>
  <si>
    <t>Titan Silver</t>
  </si>
  <si>
    <t xml:space="preserve">Optimus L3 II E425 </t>
  </si>
  <si>
    <t xml:space="preserve">Optimus L7 II Dual </t>
  </si>
  <si>
    <t>768 MB</t>
  </si>
  <si>
    <t>Pink</t>
  </si>
  <si>
    <t>Metallic Gray</t>
  </si>
  <si>
    <t xml:space="preserve">L 80 Dual </t>
  </si>
  <si>
    <t xml:space="preserve">G3 Stylus </t>
  </si>
  <si>
    <t>Lavender Violet</t>
  </si>
  <si>
    <t xml:space="preserve">Q7+ </t>
  </si>
  <si>
    <t xml:space="preserve">X Screen K500I </t>
  </si>
  <si>
    <t xml:space="preserve">Spirit </t>
  </si>
  <si>
    <t>Genuine Leather Brown</t>
  </si>
  <si>
    <t>ASUS</t>
  </si>
  <si>
    <t xml:space="preserve">ROG Phone 5 </t>
  </si>
  <si>
    <t xml:space="preserve">ROG Phone 3 </t>
  </si>
  <si>
    <t xml:space="preserve">Zenfone Max Pro M1 </t>
  </si>
  <si>
    <t xml:space="preserve">Zenfone 2 Laser ZE500KL </t>
  </si>
  <si>
    <t xml:space="preserve">ZenFone Max M2 </t>
  </si>
  <si>
    <t xml:space="preserve">ZenFone 5Z </t>
  </si>
  <si>
    <t xml:space="preserve">6Z </t>
  </si>
  <si>
    <t xml:space="preserve">Zenfone Go 4.5 </t>
  </si>
  <si>
    <t>Meteor Silver</t>
  </si>
  <si>
    <t xml:space="preserve">Zenfone Go 5.5 </t>
  </si>
  <si>
    <t>Zenfone Go 3rd Gen</t>
  </si>
  <si>
    <t>Zenfone Go 2nd Gen</t>
  </si>
  <si>
    <t xml:space="preserve">Zenfone Go </t>
  </si>
  <si>
    <t xml:space="preserve">ZenFone Lite L1 </t>
  </si>
  <si>
    <t xml:space="preserve">Zenfone 4 Selfie </t>
  </si>
  <si>
    <t xml:space="preserve">ROG Phone II </t>
  </si>
  <si>
    <t xml:space="preserve">Zenfone GO </t>
  </si>
  <si>
    <t xml:space="preserve">Zenfone Go 5.0 </t>
  </si>
  <si>
    <t xml:space="preserve">ZenFone Max Pro M2 </t>
  </si>
  <si>
    <t xml:space="preserve">Zenfone Go 5.0 LTE 2nd Gen </t>
  </si>
  <si>
    <t xml:space="preserve">Zenfone C </t>
  </si>
  <si>
    <t>Silver Blue</t>
  </si>
  <si>
    <t xml:space="preserve">Zenfone Go 5.0 LTE </t>
  </si>
  <si>
    <t>Yellow</t>
  </si>
  <si>
    <t xml:space="preserve">Zenfone Max ZC550KL </t>
  </si>
  <si>
    <t xml:space="preserve">Zenfone Max </t>
  </si>
  <si>
    <t xml:space="preserve">Zenfone Go 4.5 LTE </t>
  </si>
  <si>
    <t xml:space="preserve">ZenFone Max M1 </t>
  </si>
  <si>
    <t xml:space="preserve">ROG </t>
  </si>
  <si>
    <t xml:space="preserve">Zenfone Selfie </t>
  </si>
  <si>
    <t>Rose Pink</t>
  </si>
  <si>
    <t>Titanium</t>
  </si>
  <si>
    <t>512 GB</t>
  </si>
  <si>
    <t xml:space="preserve">Zenfone Live </t>
  </si>
  <si>
    <t>Aqua Blue</t>
  </si>
  <si>
    <t xml:space="preserve">Zenfone Zoom </t>
  </si>
  <si>
    <t>Orange</t>
  </si>
  <si>
    <t>realme</t>
  </si>
  <si>
    <t xml:space="preserve">C11 2021 </t>
  </si>
  <si>
    <t>Cool Blue</t>
  </si>
  <si>
    <t>Cool Grey</t>
  </si>
  <si>
    <t xml:space="preserve">Narzo 30 5G </t>
  </si>
  <si>
    <t>Racing Blue</t>
  </si>
  <si>
    <t>Racing Silver</t>
  </si>
  <si>
    <t xml:space="preserve">C20 </t>
  </si>
  <si>
    <t xml:space="preserve">C21Y </t>
  </si>
  <si>
    <t>Cross Black</t>
  </si>
  <si>
    <t>Cross Blue</t>
  </si>
  <si>
    <t>Space Black</t>
  </si>
  <si>
    <t xml:space="preserve">C25s </t>
  </si>
  <si>
    <t>Watery Grey</t>
  </si>
  <si>
    <t>Watery Blue</t>
  </si>
  <si>
    <t xml:space="preserve">8s 5G </t>
  </si>
  <si>
    <t>Universe Blue</t>
  </si>
  <si>
    <t xml:space="preserve">C25Y </t>
  </si>
  <si>
    <t>Metal Grey</t>
  </si>
  <si>
    <t>Universe Purple</t>
  </si>
  <si>
    <t xml:space="preserve">C21 </t>
  </si>
  <si>
    <t xml:space="preserve">Narzo 30 </t>
  </si>
  <si>
    <t xml:space="preserve">Narzo 30A </t>
  </si>
  <si>
    <t>Laser Black</t>
  </si>
  <si>
    <t xml:space="preserve">8 5G </t>
  </si>
  <si>
    <t>Supersonic Black</t>
  </si>
  <si>
    <t>Supersonic Blue</t>
  </si>
  <si>
    <t xml:space="preserve">8 Pro </t>
  </si>
  <si>
    <t>Infinite Black</t>
  </si>
  <si>
    <t xml:space="preserve">C15 </t>
  </si>
  <si>
    <t>Power Blue</t>
  </si>
  <si>
    <t>Infinite Blue</t>
  </si>
  <si>
    <t>Cyber Silver</t>
  </si>
  <si>
    <t>Cyber Black</t>
  </si>
  <si>
    <t xml:space="preserve">C12 </t>
  </si>
  <si>
    <t>Power Silver</t>
  </si>
  <si>
    <t xml:space="preserve">C11 </t>
  </si>
  <si>
    <t>Rich Grey</t>
  </si>
  <si>
    <t>Rich Green</t>
  </si>
  <si>
    <t>Mist Blue</t>
  </si>
  <si>
    <t xml:space="preserve">X7 5G </t>
  </si>
  <si>
    <t>Nebula</t>
  </si>
  <si>
    <t xml:space="preserve">Narzo 30 Pro 5G </t>
  </si>
  <si>
    <t>Sword Black</t>
  </si>
  <si>
    <t>Blade Silver</t>
  </si>
  <si>
    <t xml:space="preserve">C3 </t>
  </si>
  <si>
    <t>Frozen Blue</t>
  </si>
  <si>
    <t xml:space="preserve">C15 Qualcomm Edition </t>
  </si>
  <si>
    <t xml:space="preserve">3i </t>
  </si>
  <si>
    <t xml:space="preserve">5 Pro </t>
  </si>
  <si>
    <t>Chroma White</t>
  </si>
  <si>
    <t xml:space="preserve">7i </t>
  </si>
  <si>
    <t>Fusion Green</t>
  </si>
  <si>
    <t xml:space="preserve">C2 </t>
  </si>
  <si>
    <t>Diamond Black</t>
  </si>
  <si>
    <t xml:space="preserve">X3 SuperZoom </t>
  </si>
  <si>
    <t>Arctic White</t>
  </si>
  <si>
    <t xml:space="preserve">6i </t>
  </si>
  <si>
    <t>Eclipse Black</t>
  </si>
  <si>
    <t>Comet White</t>
  </si>
  <si>
    <t>Lunar White</t>
  </si>
  <si>
    <t xml:space="preserve">X2 </t>
  </si>
  <si>
    <t>Pearl White</t>
  </si>
  <si>
    <t>Moonlight Silver</t>
  </si>
  <si>
    <t xml:space="preserve">5i </t>
  </si>
  <si>
    <t xml:space="preserve">X </t>
  </si>
  <si>
    <t xml:space="preserve">Narzo 50i </t>
  </si>
  <si>
    <t>Mint Green</t>
  </si>
  <si>
    <t>Carbon Black</t>
  </si>
  <si>
    <t xml:space="preserve">Narzo 50A </t>
  </si>
  <si>
    <t>Oxygen Blue</t>
  </si>
  <si>
    <t>Oxygen Green</t>
  </si>
  <si>
    <t>Pearl Green</t>
  </si>
  <si>
    <t>Illuminating Yellow</t>
  </si>
  <si>
    <t>Sparkling Blue</t>
  </si>
  <si>
    <t xml:space="preserve">X50 Pro 5G </t>
  </si>
  <si>
    <t>Rust Red</t>
  </si>
  <si>
    <t xml:space="preserve">X3 </t>
  </si>
  <si>
    <t xml:space="preserve">GT 5G </t>
  </si>
  <si>
    <t>Dashing Blue</t>
  </si>
  <si>
    <t xml:space="preserve">X50 Pro </t>
  </si>
  <si>
    <t>Moss Green</t>
  </si>
  <si>
    <t>Crystal Green</t>
  </si>
  <si>
    <t>Racing Yellow</t>
  </si>
  <si>
    <t>Comet Blue</t>
  </si>
  <si>
    <t xml:space="preserve">X7 Pro 5G </t>
  </si>
  <si>
    <t>Mystic Black</t>
  </si>
  <si>
    <t xml:space="preserve">GT Master Edition </t>
  </si>
  <si>
    <t>Cosmos Black</t>
  </si>
  <si>
    <t xml:space="preserve">C25 </t>
  </si>
  <si>
    <t>Volcano Grey</t>
  </si>
  <si>
    <t>Blazing Red</t>
  </si>
  <si>
    <t>Fusion Blue</t>
  </si>
  <si>
    <t>Mist White</t>
  </si>
  <si>
    <t xml:space="preserve">7 Pro </t>
  </si>
  <si>
    <t>Sun Kissed Leather</t>
  </si>
  <si>
    <t xml:space="preserve">Narzo 20 Pro </t>
  </si>
  <si>
    <t>Black Ninja</t>
  </si>
  <si>
    <t>White Knight</t>
  </si>
  <si>
    <t xml:space="preserve">Narzo 20A </t>
  </si>
  <si>
    <t>Glory Silver</t>
  </si>
  <si>
    <t xml:space="preserve">Narzo 20 </t>
  </si>
  <si>
    <t>Victory Blue</t>
  </si>
  <si>
    <t xml:space="preserve">Narzo 10A </t>
  </si>
  <si>
    <t>So White</t>
  </si>
  <si>
    <t xml:space="preserve">Narzo 10 </t>
  </si>
  <si>
    <t>That Green</t>
  </si>
  <si>
    <t>That White</t>
  </si>
  <si>
    <t xml:space="preserve">6 Pro </t>
  </si>
  <si>
    <t>Lightning Red</t>
  </si>
  <si>
    <t>So Blue</t>
  </si>
  <si>
    <t>That Blue</t>
  </si>
  <si>
    <t xml:space="preserve">U1 </t>
  </si>
  <si>
    <t>Ambitious Black</t>
  </si>
  <si>
    <t>Fiery Gold</t>
  </si>
  <si>
    <t xml:space="preserve">X2 Pro </t>
  </si>
  <si>
    <t>Brave Blue</t>
  </si>
  <si>
    <t>Lightning Blue</t>
  </si>
  <si>
    <t>Solar Red</t>
  </si>
  <si>
    <t xml:space="preserve">5s </t>
  </si>
  <si>
    <t>Diamond Sapphire</t>
  </si>
  <si>
    <t>Diamond Ruby</t>
  </si>
  <si>
    <t>Forest Green</t>
  </si>
  <si>
    <t>Lightning Orange</t>
  </si>
  <si>
    <t>Radiant Blue</t>
  </si>
  <si>
    <t>Red Brick</t>
  </si>
  <si>
    <t>Concrete</t>
  </si>
  <si>
    <t>Garlic</t>
  </si>
  <si>
    <t>Onion</t>
  </si>
  <si>
    <t>Polar White</t>
  </si>
  <si>
    <t>Neptune Blue</t>
  </si>
  <si>
    <t>Super Polar White</t>
  </si>
  <si>
    <t>GIONEE</t>
  </si>
  <si>
    <t xml:space="preserve">Max </t>
  </si>
  <si>
    <t>Royal Blue</t>
  </si>
  <si>
    <t xml:space="preserve">Max Pro </t>
  </si>
  <si>
    <t xml:space="preserve">F8 Neo </t>
  </si>
  <si>
    <t xml:space="preserve">F103 Pro </t>
  </si>
  <si>
    <t xml:space="preserve">F205 Pro </t>
  </si>
  <si>
    <t xml:space="preserve">A1 </t>
  </si>
  <si>
    <t xml:space="preserve">S11 Lite </t>
  </si>
  <si>
    <t>Dark Blue</t>
  </si>
  <si>
    <t xml:space="preserve">F11 </t>
  </si>
  <si>
    <t>Oxford Blue</t>
  </si>
  <si>
    <t>L800</t>
  </si>
  <si>
    <t>8 MB</t>
  </si>
  <si>
    <t>16 MB</t>
  </si>
  <si>
    <t xml:space="preserve">Pioneer P5W </t>
  </si>
  <si>
    <t>S96</t>
  </si>
  <si>
    <t>64 MB</t>
  </si>
  <si>
    <t>128 MB</t>
  </si>
  <si>
    <t>L700</t>
  </si>
  <si>
    <t xml:space="preserve">P5L </t>
  </si>
  <si>
    <t xml:space="preserve">Pioneer P3 </t>
  </si>
  <si>
    <t xml:space="preserve">P2S </t>
  </si>
  <si>
    <t xml:space="preserve">P5 Mini </t>
  </si>
  <si>
    <t xml:space="preserve">P5_W </t>
  </si>
  <si>
    <t xml:space="preserve">F9 </t>
  </si>
  <si>
    <t xml:space="preserve">X-1 </t>
  </si>
  <si>
    <t xml:space="preserve">M5 Lite 4G </t>
  </si>
  <si>
    <t xml:space="preserve">P7 </t>
  </si>
  <si>
    <t xml:space="preserve">A1 Plus </t>
  </si>
  <si>
    <t>Mocha Gold</t>
  </si>
  <si>
    <t xml:space="preserve">Pioneer P4 </t>
  </si>
  <si>
    <t xml:space="preserve">Pioneer P3S </t>
  </si>
  <si>
    <t xml:space="preserve">X1s </t>
  </si>
  <si>
    <t xml:space="preserve">F10 </t>
  </si>
  <si>
    <t xml:space="preserve">F205 </t>
  </si>
  <si>
    <t>Black and Gold</t>
  </si>
  <si>
    <t xml:space="preserve">A1 Lite </t>
  </si>
  <si>
    <t xml:space="preserve">Elife S7 </t>
  </si>
  <si>
    <t xml:space="preserve">Marathon M5 lite CDMA </t>
  </si>
  <si>
    <t xml:space="preserve">Marathon </t>
  </si>
  <si>
    <t xml:space="preserve">Marathon M3 </t>
  </si>
  <si>
    <t xml:space="preserve">M7 Power </t>
  </si>
  <si>
    <t xml:space="preserve">S10 Lite </t>
  </si>
  <si>
    <t xml:space="preserve">S6S </t>
  </si>
  <si>
    <t xml:space="preserve">M3 </t>
  </si>
  <si>
    <t>Latte Gold</t>
  </si>
  <si>
    <t xml:space="preserve">S Plus </t>
  </si>
  <si>
    <t xml:space="preserve">Elife E8 </t>
  </si>
  <si>
    <t xml:space="preserve">F9 Plus </t>
  </si>
  <si>
    <t xml:space="preserve">Pioneer P4S </t>
  </si>
  <si>
    <t xml:space="preserve">Marathon M5 Lite </t>
  </si>
  <si>
    <t xml:space="preserve">P7 Max </t>
  </si>
  <si>
    <t xml:space="preserve">M7 </t>
  </si>
  <si>
    <t xml:space="preserve">F103 3GB Version </t>
  </si>
  <si>
    <t xml:space="preserve">S6 </t>
  </si>
  <si>
    <t xml:space="preserve">S6 Pro </t>
  </si>
  <si>
    <t xml:space="preserve">F103 </t>
  </si>
  <si>
    <t xml:space="preserve">S11 </t>
  </si>
  <si>
    <t xml:space="preserve">V4S </t>
  </si>
  <si>
    <t xml:space="preserve">Marathon M5 Plus </t>
  </si>
  <si>
    <t>Champagne Gold</t>
  </si>
  <si>
    <t>Polar Gold</t>
  </si>
  <si>
    <t xml:space="preserve">Ctrl V5 </t>
  </si>
  <si>
    <t>2 MB</t>
  </si>
  <si>
    <t>CHAMPAGNE GOLD</t>
  </si>
  <si>
    <t xml:space="preserve">G3 </t>
  </si>
  <si>
    <t xml:space="preserve">F103 3Gb Version </t>
  </si>
  <si>
    <t xml:space="preserve">Elife E7 Mini </t>
  </si>
  <si>
    <t xml:space="preserve">Ctrl V4S </t>
  </si>
  <si>
    <t xml:space="preserve">M2 </t>
  </si>
  <si>
    <t xml:space="preserve">Elife S5.1 </t>
  </si>
  <si>
    <t xml:space="preserve">Elife E3 </t>
  </si>
  <si>
    <t xml:space="preserve">Pioneer P2 </t>
  </si>
  <si>
    <t xml:space="preserve">Pioneer P6 </t>
  </si>
  <si>
    <t>Nokia</t>
  </si>
  <si>
    <t>105 DS 2020</t>
  </si>
  <si>
    <t>4 MB</t>
  </si>
  <si>
    <t>TA-1010/105</t>
  </si>
  <si>
    <t>32 MB</t>
  </si>
  <si>
    <t>110 TA-1302 DS</t>
  </si>
  <si>
    <t>216 DS</t>
  </si>
  <si>
    <t>150 DS 2020</t>
  </si>
  <si>
    <t>150 TA-1235 DS</t>
  </si>
  <si>
    <t>105 SS 2021</t>
  </si>
  <si>
    <t>125 DS</t>
  </si>
  <si>
    <t>5310ds</t>
  </si>
  <si>
    <t>3310 DS 2020</t>
  </si>
  <si>
    <t>Expandable Upto 32 GB</t>
  </si>
  <si>
    <t>Fjord</t>
  </si>
  <si>
    <t>125 TA-1253 DS</t>
  </si>
  <si>
    <t xml:space="preserve">C20 Plus </t>
  </si>
  <si>
    <t>Polar Night</t>
  </si>
  <si>
    <t>TA-1174 / TA-1299</t>
  </si>
  <si>
    <t>Charcoal Grey</t>
  </si>
  <si>
    <t>Nordic Blue</t>
  </si>
  <si>
    <t>125 DS 2020</t>
  </si>
  <si>
    <t>5310 TA-1212 DS</t>
  </si>
  <si>
    <t>Sand</t>
  </si>
  <si>
    <t>Dusk</t>
  </si>
  <si>
    <t>Charcoal</t>
  </si>
  <si>
    <t>216 DS 2020</t>
  </si>
  <si>
    <t>215 4G DS 2020</t>
  </si>
  <si>
    <t>225 4g ds</t>
  </si>
  <si>
    <t>225 4G DS 2020</t>
  </si>
  <si>
    <t>215 4G DS</t>
  </si>
  <si>
    <t>Fjord Blue</t>
  </si>
  <si>
    <t>Dusk Purple</t>
  </si>
  <si>
    <t>105 DS</t>
  </si>
  <si>
    <t>108 Dual SIM</t>
  </si>
  <si>
    <t>107 Dual SIM</t>
  </si>
  <si>
    <t>Expandable Upto 16 GB</t>
  </si>
  <si>
    <t>150/150 DS</t>
  </si>
  <si>
    <t xml:space="preserve">5.1 Plus </t>
  </si>
  <si>
    <t>Ta -1010/105</t>
  </si>
  <si>
    <t>Copper</t>
  </si>
  <si>
    <t>Grey / Silver</t>
  </si>
  <si>
    <t>Warm Red</t>
  </si>
  <si>
    <t>Copper/Black</t>
  </si>
  <si>
    <t>Blue &amp; Silver</t>
  </si>
  <si>
    <t>Silver White</t>
  </si>
  <si>
    <t>Black&amp;Blue</t>
  </si>
  <si>
    <t>Cyan Green</t>
  </si>
  <si>
    <t xml:space="preserve">Lumia 920 </t>
  </si>
  <si>
    <t xml:space="preserve">3.1 Plus </t>
  </si>
  <si>
    <t>Baltic</t>
  </si>
  <si>
    <t xml:space="preserve">Asha 503 </t>
  </si>
  <si>
    <t>10 MB</t>
  </si>
  <si>
    <t>Iron</t>
  </si>
  <si>
    <t>Steel</t>
  </si>
  <si>
    <t>Pewter / White</t>
  </si>
  <si>
    <t>Tempered Blue</t>
  </si>
  <si>
    <t xml:space="preserve">8 Sirocco </t>
  </si>
  <si>
    <t>RM-1172 / Nokia 230 DS</t>
  </si>
  <si>
    <t>256 MB</t>
  </si>
  <si>
    <t>SAND</t>
  </si>
  <si>
    <t>CYAN</t>
  </si>
  <si>
    <t xml:space="preserve">Lumia 625 </t>
  </si>
  <si>
    <t xml:space="preserve">6.1 Plus </t>
  </si>
  <si>
    <t xml:space="preserve">Asha 311 </t>
  </si>
  <si>
    <t>Dark Grey</t>
  </si>
  <si>
    <t>140 MB</t>
  </si>
  <si>
    <t>CHARCOAL</t>
  </si>
  <si>
    <t>8110 4G</t>
  </si>
  <si>
    <t xml:space="preserve">X2 Dual SIM </t>
  </si>
  <si>
    <t>Bright Green</t>
  </si>
  <si>
    <t xml:space="preserve">Lumia 510 </t>
  </si>
  <si>
    <t xml:space="preserve">7 Plus </t>
  </si>
  <si>
    <t>White &amp; Copper</t>
  </si>
  <si>
    <t>Asha 206</t>
  </si>
  <si>
    <t>Pink Sand</t>
  </si>
  <si>
    <t>Polished Copper</t>
  </si>
  <si>
    <t>Copper White</t>
  </si>
  <si>
    <t xml:space="preserve">Asha 502 </t>
  </si>
  <si>
    <t>Polished Blue</t>
  </si>
  <si>
    <t>Bright Red</t>
  </si>
  <si>
    <t xml:space="preserve">XPlus </t>
  </si>
  <si>
    <t>Black &amp; Copper</t>
  </si>
  <si>
    <t>Apple</t>
  </si>
  <si>
    <t xml:space="preserve">iPhone SE </t>
  </si>
  <si>
    <t xml:space="preserve">iPhone XR </t>
  </si>
  <si>
    <t xml:space="preserve">iPhone 12 Mini </t>
  </si>
  <si>
    <t>4GB</t>
  </si>
  <si>
    <t>Sierra Blue</t>
  </si>
  <si>
    <t xml:space="preserve">iPhone 11 </t>
  </si>
  <si>
    <t xml:space="preserve">iPhone 12 </t>
  </si>
  <si>
    <t xml:space="preserve">iPhone 13 </t>
  </si>
  <si>
    <t>Coral</t>
  </si>
  <si>
    <t xml:space="preserve">iPhone 12 Pro </t>
  </si>
  <si>
    <t>Pacific Blue</t>
  </si>
  <si>
    <t xml:space="preserve">iPhone 11 Pro Max </t>
  </si>
  <si>
    <t>Midnight Green</t>
  </si>
  <si>
    <t>Graphite</t>
  </si>
  <si>
    <t xml:space="preserve">iPhone 8 Plus </t>
  </si>
  <si>
    <t>Space Grey</t>
  </si>
  <si>
    <t xml:space="preserve">iPhone 11 Pro </t>
  </si>
  <si>
    <t xml:space="preserve">iPhone XS </t>
  </si>
  <si>
    <t xml:space="preserve">iPhone 8 </t>
  </si>
  <si>
    <t>1 TB</t>
  </si>
  <si>
    <t xml:space="preserve">iPhone 6s Plus </t>
  </si>
  <si>
    <t xml:space="preserve">iPhone 6 Plus </t>
  </si>
  <si>
    <t xml:space="preserve">iPhone XS Max </t>
  </si>
  <si>
    <t xml:space="preserve">iPhone 7 Plus </t>
  </si>
  <si>
    <t xml:space="preserve">iPhone 6s </t>
  </si>
  <si>
    <t xml:space="preserve">iPhone 7 </t>
  </si>
  <si>
    <t xml:space="preserve">iPhone 6 </t>
  </si>
  <si>
    <t xml:space="preserve">iPhone X </t>
  </si>
  <si>
    <t>Space Gray</t>
  </si>
  <si>
    <t>SAMSUNG</t>
  </si>
  <si>
    <t xml:space="preserve">Galaxy F22 </t>
  </si>
  <si>
    <t>Denim Blue</t>
  </si>
  <si>
    <t>Denim Black</t>
  </si>
  <si>
    <t xml:space="preserve">Galaxy F12 </t>
  </si>
  <si>
    <t>Sky Blue</t>
  </si>
  <si>
    <t>Sea Green</t>
  </si>
  <si>
    <t xml:space="preserve">M31s </t>
  </si>
  <si>
    <t>Mirage Blue</t>
  </si>
  <si>
    <t xml:space="preserve">M02s </t>
  </si>
  <si>
    <t>Celestial Black</t>
  </si>
  <si>
    <t xml:space="preserve">Galaxy M02 </t>
  </si>
  <si>
    <t xml:space="preserve">Galaxy A12 </t>
  </si>
  <si>
    <t xml:space="preserve">Galaxy A22 </t>
  </si>
  <si>
    <t xml:space="preserve">Galaxy A22 5G </t>
  </si>
  <si>
    <t>Mint</t>
  </si>
  <si>
    <t xml:space="preserve">Galaxy M12 </t>
  </si>
  <si>
    <t xml:space="preserve">M31 </t>
  </si>
  <si>
    <t xml:space="preserve">M21 2021 Edition </t>
  </si>
  <si>
    <t>Arctic blue</t>
  </si>
  <si>
    <t xml:space="preserve">Galaxy A21s </t>
  </si>
  <si>
    <t xml:space="preserve">GALAXY M31S </t>
  </si>
  <si>
    <t>Mirage Black</t>
  </si>
  <si>
    <t>Metro 313 Dual Sim</t>
  </si>
  <si>
    <t xml:space="preserve">Galaxy M31 </t>
  </si>
  <si>
    <t xml:space="preserve">Galaxy Z Flip3 5G </t>
  </si>
  <si>
    <t>Cream</t>
  </si>
  <si>
    <t xml:space="preserve">Galaxy M01 </t>
  </si>
  <si>
    <t xml:space="preserve">Galaxy A03s </t>
  </si>
  <si>
    <t xml:space="preserve">Galaxy F02s </t>
  </si>
  <si>
    <t xml:space="preserve">Galaxy A72 </t>
  </si>
  <si>
    <t>Awesome Black</t>
  </si>
  <si>
    <t xml:space="preserve">Galaxy M31s </t>
  </si>
  <si>
    <t xml:space="preserve">Galaxy M32 </t>
  </si>
  <si>
    <t>Light Blue</t>
  </si>
  <si>
    <t xml:space="preserve">Galaxy A51 </t>
  </si>
  <si>
    <t>Prism Crush Blue</t>
  </si>
  <si>
    <t>Phantom Black</t>
  </si>
  <si>
    <t xml:space="preserve">Galaxy F62 </t>
  </si>
  <si>
    <t>Laser Grey</t>
  </si>
  <si>
    <t xml:space="preserve">Galaxy A52s 5G </t>
  </si>
  <si>
    <t>Awesome White</t>
  </si>
  <si>
    <t>Arctic Blue</t>
  </si>
  <si>
    <t xml:space="preserve">Galaxy M11 </t>
  </si>
  <si>
    <t>Slate Black</t>
  </si>
  <si>
    <t xml:space="preserve">Galaxy S10 Lite </t>
  </si>
  <si>
    <t xml:space="preserve">Galaxy F41 </t>
  </si>
  <si>
    <t>Laser Green</t>
  </si>
  <si>
    <t xml:space="preserve">Galaxy A52 </t>
  </si>
  <si>
    <t xml:space="preserve">Galaxy A32 </t>
  </si>
  <si>
    <t>Awesome Blue</t>
  </si>
  <si>
    <t>Cloud Navy</t>
  </si>
  <si>
    <t xml:space="preserve">Galaxy S10 </t>
  </si>
  <si>
    <t>Prism White</t>
  </si>
  <si>
    <t>Violet</t>
  </si>
  <si>
    <t xml:space="preserve">M01 core </t>
  </si>
  <si>
    <t>Awesome Violet</t>
  </si>
  <si>
    <t xml:space="preserve">GALAXY M51 </t>
  </si>
  <si>
    <t xml:space="preserve">Galaxy Note 20 </t>
  </si>
  <si>
    <t>Mystic Bronze</t>
  </si>
  <si>
    <t xml:space="preserve">Galaxy Note10 Lite </t>
  </si>
  <si>
    <t>Aura Black</t>
  </si>
  <si>
    <t xml:space="preserve">Galaxy A71 </t>
  </si>
  <si>
    <t>Haze Crush Silver</t>
  </si>
  <si>
    <t xml:space="preserve">Galaxy A70s </t>
  </si>
  <si>
    <t>Prism Crush Red</t>
  </si>
  <si>
    <t>Guru FM Plus</t>
  </si>
  <si>
    <t xml:space="preserve">Galaxy Z Fold3 5G </t>
  </si>
  <si>
    <t>Iceberg blue</t>
  </si>
  <si>
    <t>Guru GT</t>
  </si>
  <si>
    <t>153 MB</t>
  </si>
  <si>
    <t>Metallic Blue</t>
  </si>
  <si>
    <t xml:space="preserve">Galaxy A50s </t>
  </si>
  <si>
    <t>Prism Crush Violet</t>
  </si>
  <si>
    <t>Guru Plus B110</t>
  </si>
  <si>
    <t xml:space="preserve">Galaxy S9 Plus </t>
  </si>
  <si>
    <t>Metro 313</t>
  </si>
  <si>
    <t xml:space="preserve">Galaxy A6 </t>
  </si>
  <si>
    <t xml:space="preserve">Galaxy A6+ </t>
  </si>
  <si>
    <t xml:space="preserve">Galaxy On7 </t>
  </si>
  <si>
    <t>Diamond White</t>
  </si>
  <si>
    <t xml:space="preserve">Galaxy A70 </t>
  </si>
  <si>
    <t>Mystic Blue</t>
  </si>
  <si>
    <t>Prism Crush Black</t>
  </si>
  <si>
    <t xml:space="preserve">Galaxy A31 </t>
  </si>
  <si>
    <t>M21 2021 Edition</t>
  </si>
  <si>
    <t xml:space="preserve">Galaxy Note 20 Ultra 5G </t>
  </si>
  <si>
    <t xml:space="preserve">Galaxy M01s </t>
  </si>
  <si>
    <t>Metro 350</t>
  </si>
  <si>
    <t xml:space="preserve">Galaxy A20s </t>
  </si>
  <si>
    <t xml:space="preserve">Galaxy J7 Prime </t>
  </si>
  <si>
    <t>Mystic Green</t>
  </si>
  <si>
    <t xml:space="preserve">Galaxy S20 FE </t>
  </si>
  <si>
    <t xml:space="preserve">Galaxy A30s </t>
  </si>
  <si>
    <t>Cloud White</t>
  </si>
  <si>
    <t xml:space="preserve">Galaxy A7 </t>
  </si>
  <si>
    <t xml:space="preserve">Galaxy J2 Core </t>
  </si>
  <si>
    <t xml:space="preserve">Galaxy J6 </t>
  </si>
  <si>
    <t>Prism Crush White</t>
  </si>
  <si>
    <t xml:space="preserve">Galaxy A20 </t>
  </si>
  <si>
    <t xml:space="preserve">Galaxy A10s </t>
  </si>
  <si>
    <t xml:space="preserve">Galaxy M21 </t>
  </si>
  <si>
    <t xml:space="preserve">Galaxy J2 2018 </t>
  </si>
  <si>
    <t xml:space="preserve">Galaxy J7 Nxt </t>
  </si>
  <si>
    <t xml:space="preserve">Galaxy M30 </t>
  </si>
  <si>
    <t>Gradation Blue</t>
  </si>
  <si>
    <t xml:space="preserve">Galaxy M42 </t>
  </si>
  <si>
    <t>Prism Dot Black</t>
  </si>
  <si>
    <t xml:space="preserve">Galaxy J7 Duo </t>
  </si>
  <si>
    <t xml:space="preserve">Galaxy A9 </t>
  </si>
  <si>
    <t>Caviar Black</t>
  </si>
  <si>
    <t xml:space="preserve">Galaxy J6 Plus </t>
  </si>
  <si>
    <t xml:space="preserve">Galaxy Fold 2 </t>
  </si>
  <si>
    <t xml:space="preserve">Galaxy J7 - 6 New 2016 Edition) </t>
  </si>
  <si>
    <t xml:space="preserve">Galaxy S20 Ultra </t>
  </si>
  <si>
    <t>Cosmic Gray</t>
  </si>
  <si>
    <t xml:space="preserve">Galaxy Note 9 </t>
  </si>
  <si>
    <t xml:space="preserve">Galaxy A10 </t>
  </si>
  <si>
    <t>Metro B313E Dual Sim - White</t>
  </si>
  <si>
    <t xml:space="preserve">Galaxy M40 </t>
  </si>
  <si>
    <t>Seawater Blue</t>
  </si>
  <si>
    <t xml:space="preserve">Galaxy J2 </t>
  </si>
  <si>
    <t xml:space="preserve">Galaxy A50 </t>
  </si>
  <si>
    <t>B350</t>
  </si>
  <si>
    <t xml:space="preserve">Galaxy J2-2017 </t>
  </si>
  <si>
    <t>Absolute black</t>
  </si>
  <si>
    <t xml:space="preserve">Galaxy Grand 2 </t>
  </si>
  <si>
    <t xml:space="preserve">Galaxy S10 Plus </t>
  </si>
  <si>
    <t>Ceramic Black</t>
  </si>
  <si>
    <t xml:space="preserve">Galaxy J4 </t>
  </si>
  <si>
    <t xml:space="preserve">Galaxy A30 </t>
  </si>
  <si>
    <t xml:space="preserve">Galaxy M51 </t>
  </si>
  <si>
    <t>Ceramic White</t>
  </si>
  <si>
    <t xml:space="preserve">Galaxy J5 Prime </t>
  </si>
  <si>
    <t xml:space="preserve">Galaxy S6 Edge </t>
  </si>
  <si>
    <t>White Pearl</t>
  </si>
  <si>
    <t xml:space="preserve">Galaxy S21 Ultra </t>
  </si>
  <si>
    <t>Black Sapphire</t>
  </si>
  <si>
    <t xml:space="preserve">Galaxy J8 </t>
  </si>
  <si>
    <t xml:space="preserve">Galaxy A7-2017 </t>
  </si>
  <si>
    <t>Gold Sand</t>
  </si>
  <si>
    <t xml:space="preserve">Galaxy J4 Plus </t>
  </si>
  <si>
    <t xml:space="preserve">Galaxy A8 Plus </t>
  </si>
  <si>
    <t>46 MB</t>
  </si>
  <si>
    <t>Electric Blue</t>
  </si>
  <si>
    <t xml:space="preserve">Galaxy A80 </t>
  </si>
  <si>
    <t>Angel Gold</t>
  </si>
  <si>
    <t>Fusion Black</t>
  </si>
  <si>
    <t xml:space="preserve">Galaxy M30s </t>
  </si>
  <si>
    <t xml:space="preserve">Galaxy S5 </t>
  </si>
  <si>
    <t>Shimmery White</t>
  </si>
  <si>
    <t xml:space="preserve">Galaxy J7 Prime 2 </t>
  </si>
  <si>
    <t xml:space="preserve">Galaxy S21 Plus </t>
  </si>
  <si>
    <t>SAMSUNG Metro 350 Dual Sim</t>
  </si>
  <si>
    <t xml:space="preserve">Galaxy S21 </t>
  </si>
  <si>
    <t>Phantom Gray</t>
  </si>
  <si>
    <t>Aura Glow</t>
  </si>
  <si>
    <t xml:space="preserve">Galaxy M42 5G </t>
  </si>
  <si>
    <t xml:space="preserve">Galaxy On8 </t>
  </si>
  <si>
    <t>Prism Dot Gray</t>
  </si>
  <si>
    <t xml:space="preserve">Galaxy S20+ </t>
  </si>
  <si>
    <t>Cloud Blue</t>
  </si>
  <si>
    <t xml:space="preserve">Galaxy A2 Core </t>
  </si>
  <si>
    <t>Dark Gray</t>
  </si>
  <si>
    <t xml:space="preserve">Galaxy M10 </t>
  </si>
  <si>
    <t xml:space="preserve">M31 Prime </t>
  </si>
  <si>
    <t xml:space="preserve">Galaxy Star 2 </t>
  </si>
  <si>
    <t>Iris Charcoal</t>
  </si>
  <si>
    <t>B351E/Metro 350</t>
  </si>
  <si>
    <t>Phantom Violet</t>
  </si>
  <si>
    <t xml:space="preserve">Galaxy S9 </t>
  </si>
  <si>
    <t xml:space="preserve">Galaxy A7 2016 Edition </t>
  </si>
  <si>
    <t>Metro XL</t>
  </si>
  <si>
    <t>Iceberg Blue</t>
  </si>
  <si>
    <t xml:space="preserve">Z2 </t>
  </si>
  <si>
    <t xml:space="preserve">Galaxy M10S </t>
  </si>
  <si>
    <t>Stainless Black</t>
  </si>
  <si>
    <t>Lemonade Blue</t>
  </si>
  <si>
    <t xml:space="preserve">Galaxy J1 Ace </t>
  </si>
  <si>
    <t xml:space="preserve">Z1 </t>
  </si>
  <si>
    <t xml:space="preserve">Galaxy M20 </t>
  </si>
  <si>
    <t xml:space="preserve">Galaxy J5 </t>
  </si>
  <si>
    <t xml:space="preserve">Galaxy On6 </t>
  </si>
  <si>
    <t xml:space="preserve">Galaxy Note 5 </t>
  </si>
  <si>
    <t>black sapphire</t>
  </si>
  <si>
    <t>Metallic Copper</t>
  </si>
  <si>
    <t xml:space="preserve">Galaxy S4 Mini </t>
  </si>
  <si>
    <t>White Frost</t>
  </si>
  <si>
    <t>IceBerg Blue</t>
  </si>
  <si>
    <t xml:space="preserve">Galaxy A9 Pro </t>
  </si>
  <si>
    <t>Charcoal Black</t>
  </si>
  <si>
    <t xml:space="preserve">Galaxy J2 - 2016 </t>
  </si>
  <si>
    <t>Lavender Purple</t>
  </si>
  <si>
    <t>Prism Crush Silver</t>
  </si>
  <si>
    <t xml:space="preserve">Galaxy J2 Pro </t>
  </si>
  <si>
    <t xml:space="preserve">Galaxy Note 10 Plus </t>
  </si>
  <si>
    <t>Prism Blue</t>
  </si>
  <si>
    <t xml:space="preserve">Galaxy S8 </t>
  </si>
  <si>
    <t>Burgundy Red</t>
  </si>
  <si>
    <t xml:space="preserve">Z4 </t>
  </si>
  <si>
    <t xml:space="preserve">Galaxy Star Advance </t>
  </si>
  <si>
    <t>Ghost White</t>
  </si>
  <si>
    <t xml:space="preserve">Galaxy J1 </t>
  </si>
  <si>
    <t xml:space="preserve">Galaxy S20 </t>
  </si>
  <si>
    <t>Cloud Pink</t>
  </si>
  <si>
    <t>Coral Blue</t>
  </si>
  <si>
    <t xml:space="preserve">Galaxy Alpha </t>
  </si>
  <si>
    <t>Frosted Gold</t>
  </si>
  <si>
    <t>Aura Red</t>
  </si>
  <si>
    <t xml:space="preserve">Galaxy Core Prime G361 Dual Sim - White </t>
  </si>
  <si>
    <t>Phantom White</t>
  </si>
  <si>
    <t>Metro</t>
  </si>
  <si>
    <t xml:space="preserve">Galaxy E7 </t>
  </si>
  <si>
    <t xml:space="preserve">Galaxy Note 8 </t>
  </si>
  <si>
    <t>Orchid Grey</t>
  </si>
  <si>
    <t xml:space="preserve">Galaxy A5-2017 </t>
  </si>
  <si>
    <t>Black Sky</t>
  </si>
  <si>
    <t xml:space="preserve">Tizen Z3 </t>
  </si>
  <si>
    <t xml:space="preserve">Galaxy On Nxt </t>
  </si>
  <si>
    <t xml:space="preserve">Galaxy M30S </t>
  </si>
  <si>
    <t>Pearl white</t>
  </si>
  <si>
    <t>Lilac Purple</t>
  </si>
  <si>
    <t>Silver Titanium</t>
  </si>
  <si>
    <t xml:space="preserve">Galaxy J2 Ace </t>
  </si>
  <si>
    <t xml:space="preserve">Galaxy S4 </t>
  </si>
  <si>
    <t>Deep Black</t>
  </si>
  <si>
    <t xml:space="preserve">Galaxy Note 3 </t>
  </si>
  <si>
    <t>Classic White</t>
  </si>
  <si>
    <t xml:space="preserve">Galaxy S Duos 3 </t>
  </si>
  <si>
    <t>Gold Platinum</t>
  </si>
  <si>
    <t xml:space="preserve">Galaxy A3 </t>
  </si>
  <si>
    <t xml:space="preserve">Galaxy Note 3 Neo </t>
  </si>
  <si>
    <t xml:space="preserve">Galaxy A8 </t>
  </si>
  <si>
    <t>Metro B312E Dual Sim - White</t>
  </si>
  <si>
    <t xml:space="preserve">Galaxy A5 2016 Edition </t>
  </si>
  <si>
    <t>Polaris Blue</t>
  </si>
  <si>
    <t>Copper Gold</t>
  </si>
  <si>
    <t>Sunrise Gold</t>
  </si>
  <si>
    <t>Alpine White</t>
  </si>
  <si>
    <t xml:space="preserve">Galaxy J7 </t>
  </si>
  <si>
    <t xml:space="preserve">Galaxy Core </t>
  </si>
  <si>
    <t>Chic White</t>
  </si>
  <si>
    <t xml:space="preserve">Galaxy Note 10 </t>
  </si>
  <si>
    <t xml:space="preserve">Galaxy Grand Neo </t>
  </si>
  <si>
    <t xml:space="preserve">Galaxy Note 4 </t>
  </si>
  <si>
    <t xml:space="preserve">On7 Pro </t>
  </si>
  <si>
    <t xml:space="preserve">Galaxy S10e </t>
  </si>
  <si>
    <t xml:space="preserve">Galaxy S7 Edge </t>
  </si>
  <si>
    <t>Blue Coral</t>
  </si>
  <si>
    <t>Aura White</t>
  </si>
  <si>
    <t>Quartz Green</t>
  </si>
  <si>
    <t xml:space="preserve">Galaxy A8 Star </t>
  </si>
  <si>
    <t>Phantom Silver</t>
  </si>
  <si>
    <t xml:space="preserve">Galaxy S3 Neo </t>
  </si>
  <si>
    <t>Pebble Blue</t>
  </si>
  <si>
    <t xml:space="preserve">Galaxy C7 Pro </t>
  </si>
  <si>
    <t>Black Onyx</t>
  </si>
  <si>
    <t>Cloud Mint</t>
  </si>
  <si>
    <t xml:space="preserve">Galaxy Folder 2 </t>
  </si>
  <si>
    <t>Wine Red</t>
  </si>
  <si>
    <t>SM-B310EZDDINS</t>
  </si>
  <si>
    <t>100 MB</t>
  </si>
  <si>
    <t>Cloud Lavender</t>
  </si>
  <si>
    <t xml:space="preserve">Galaxy J5 - 6 New 2016 Edition) </t>
  </si>
  <si>
    <t>Cloud Red</t>
  </si>
  <si>
    <t>Raven Black</t>
  </si>
  <si>
    <t>Metro 360</t>
  </si>
  <si>
    <t xml:space="preserve">Z3 </t>
  </si>
  <si>
    <t xml:space="preserve">Grand Prime 4G </t>
  </si>
  <si>
    <t>Gradation Black</t>
  </si>
  <si>
    <t xml:space="preserve">Galaxy Ace NXT </t>
  </si>
  <si>
    <t xml:space="preserve">Galaxy Core Prime </t>
  </si>
  <si>
    <t xml:space="preserve">On5 Pro </t>
  </si>
  <si>
    <t xml:space="preserve">Galaxy A5 </t>
  </si>
  <si>
    <t>Cosmic Black</t>
  </si>
  <si>
    <t xml:space="preserve">Galaxy Star </t>
  </si>
  <si>
    <t>Noble Black</t>
  </si>
  <si>
    <t xml:space="preserve">Galaxy Grand Neo Plus </t>
  </si>
  <si>
    <t xml:space="preserve">Galaxy Note Edge </t>
  </si>
  <si>
    <t>Frost White</t>
  </si>
  <si>
    <t xml:space="preserve">Galaxy S6 </t>
  </si>
  <si>
    <t xml:space="preserve">Grand Prime </t>
  </si>
  <si>
    <t xml:space="preserve">Galaxy S8 Plus </t>
  </si>
  <si>
    <t>Rex 60</t>
  </si>
  <si>
    <t>30 MB</t>
  </si>
  <si>
    <t>Maple Gold</t>
  </si>
  <si>
    <t xml:space="preserve">Galaxy S7 </t>
  </si>
  <si>
    <t>Marble White</t>
  </si>
  <si>
    <t xml:space="preserve">Galaxy E5 </t>
  </si>
  <si>
    <t>Bronze Gold</t>
  </si>
  <si>
    <t xml:space="preserve">Galaxy Star Pro </t>
  </si>
  <si>
    <t xml:space="preserve">Galaxy Trend </t>
  </si>
  <si>
    <t xml:space="preserve">Sm-G361Hhadins </t>
  </si>
  <si>
    <t>Charcoal Gray</t>
  </si>
  <si>
    <t xml:space="preserve">Galaxy Grand Quattro </t>
  </si>
  <si>
    <t xml:space="preserve">Galaxy Grand I9082 </t>
  </si>
  <si>
    <t xml:space="preserve">Galaxy Mega 5.8 </t>
  </si>
  <si>
    <t xml:space="preserve">Galaxy Note 5 Dual </t>
  </si>
  <si>
    <t>Blossom Pink</t>
  </si>
  <si>
    <t>COCKTAIL ORANGE</t>
  </si>
  <si>
    <t>Titan Gray</t>
  </si>
  <si>
    <t xml:space="preserve">Galaxy Core 2 </t>
  </si>
  <si>
    <t xml:space="preserve">Galaxy Pocket Neo </t>
  </si>
  <si>
    <t>Metallic Silver</t>
  </si>
  <si>
    <t xml:space="preserve">Galaxy S Duos 2 </t>
  </si>
  <si>
    <t>Pure White</t>
  </si>
  <si>
    <t xml:space="preserve">Galaxy S4 Zoom </t>
  </si>
  <si>
    <t xml:space="preserve">Galaxy Grand Prime 4g </t>
  </si>
  <si>
    <t xml:space="preserve">S7 Edge </t>
  </si>
  <si>
    <t>Black Pearl</t>
  </si>
  <si>
    <t xml:space="preserve">Galaxy S6 Edge+ </t>
  </si>
  <si>
    <t>Pink Gold</t>
  </si>
  <si>
    <t>Lenovo</t>
  </si>
  <si>
    <t xml:space="preserve">A6600d40 </t>
  </si>
  <si>
    <t xml:space="preserve">K8 Plus </t>
  </si>
  <si>
    <t>Fine Gold</t>
  </si>
  <si>
    <t xml:space="preserve">K3 Note </t>
  </si>
  <si>
    <t xml:space="preserve">S930 </t>
  </si>
  <si>
    <t>Venom Black</t>
  </si>
  <si>
    <t xml:space="preserve">A269i </t>
  </si>
  <si>
    <t xml:space="preserve">A7 </t>
  </si>
  <si>
    <t xml:space="preserve">A5 </t>
  </si>
  <si>
    <t xml:space="preserve">A2010 </t>
  </si>
  <si>
    <t xml:space="preserve">Vibe Shot </t>
  </si>
  <si>
    <t xml:space="preserve">A7700 </t>
  </si>
  <si>
    <t xml:space="preserve">K8 Note </t>
  </si>
  <si>
    <t xml:space="preserve">K9 </t>
  </si>
  <si>
    <t xml:space="preserve">VIBE P1m </t>
  </si>
  <si>
    <t xml:space="preserve">Z2 Plus </t>
  </si>
  <si>
    <t xml:space="preserve">Vibe K5 Note </t>
  </si>
  <si>
    <t xml:space="preserve">B </t>
  </si>
  <si>
    <t xml:space="preserve">S850 </t>
  </si>
  <si>
    <t xml:space="preserve">A6600 </t>
  </si>
  <si>
    <t xml:space="preserve">A5000 </t>
  </si>
  <si>
    <t xml:space="preserve">A6600 Plus </t>
  </si>
  <si>
    <t xml:space="preserve">A536 </t>
  </si>
  <si>
    <t xml:space="preserve">A7000 </t>
  </si>
  <si>
    <t xml:space="preserve">K10 Note </t>
  </si>
  <si>
    <t xml:space="preserve">A7000 Turbo </t>
  </si>
  <si>
    <t xml:space="preserve">Vibe K5 Plus </t>
  </si>
  <si>
    <t xml:space="preserve">K6 Note </t>
  </si>
  <si>
    <t xml:space="preserve">K6 Power </t>
  </si>
  <si>
    <t xml:space="preserve">X2-AP </t>
  </si>
  <si>
    <t>dark gold</t>
  </si>
  <si>
    <t xml:space="preserve">K10 Plus </t>
  </si>
  <si>
    <t xml:space="preserve">P770 </t>
  </si>
  <si>
    <t xml:space="preserve">VIBE P1 </t>
  </si>
  <si>
    <t xml:space="preserve">K4 Note </t>
  </si>
  <si>
    <t>Black/Tuxedo Black</t>
  </si>
  <si>
    <t xml:space="preserve">S660 </t>
  </si>
  <si>
    <t xml:space="preserve">Vibe Z2 Pro </t>
  </si>
  <si>
    <t>Starry Night Black</t>
  </si>
  <si>
    <t xml:space="preserve">K9 Note </t>
  </si>
  <si>
    <t xml:space="preserve">P780 </t>
  </si>
  <si>
    <t xml:space="preserve">A850 </t>
  </si>
  <si>
    <t xml:space="preserve">A390 </t>
  </si>
  <si>
    <t>Sprite</t>
  </si>
  <si>
    <t xml:space="preserve">P2 </t>
  </si>
  <si>
    <t xml:space="preserve">A328 </t>
  </si>
  <si>
    <t xml:space="preserve">A6 Note </t>
  </si>
  <si>
    <t xml:space="preserve">Vibe P1 Turbo </t>
  </si>
  <si>
    <t xml:space="preserve">A1000 </t>
  </si>
  <si>
    <t xml:space="preserve">A6000 Plus </t>
  </si>
  <si>
    <t xml:space="preserve">S560 </t>
  </si>
  <si>
    <t xml:space="preserve">Sisley S60 </t>
  </si>
  <si>
    <t xml:space="preserve">P70 </t>
  </si>
  <si>
    <t xml:space="preserve">A319 </t>
  </si>
  <si>
    <t xml:space="preserve">S90 Or Sisley S90 </t>
  </si>
  <si>
    <t xml:space="preserve">A6000 Shot </t>
  </si>
  <si>
    <t xml:space="preserve">K6 POWER </t>
  </si>
  <si>
    <t>GREY/BLACK</t>
  </si>
  <si>
    <t xml:space="preserve">K3 Note Music </t>
  </si>
  <si>
    <t xml:space="preserve">ZUK Z1 </t>
  </si>
  <si>
    <t>Motorola</t>
  </si>
  <si>
    <t xml:space="preserve">E7 Power </t>
  </si>
  <si>
    <t>Tahiti Blue</t>
  </si>
  <si>
    <t xml:space="preserve">Edge 20 Fusion </t>
  </si>
  <si>
    <t>Cyber Teal</t>
  </si>
  <si>
    <t xml:space="preserve">G10 Power </t>
  </si>
  <si>
    <t>Aurora Grey</t>
  </si>
  <si>
    <t xml:space="preserve">G60 </t>
  </si>
  <si>
    <t>Frosted Champagne</t>
  </si>
  <si>
    <t xml:space="preserve">G40 Fusion </t>
  </si>
  <si>
    <t>Dynamic Gray</t>
  </si>
  <si>
    <t>Coral Red</t>
  </si>
  <si>
    <t>Electric Graphite</t>
  </si>
  <si>
    <t>Breeze Blue</t>
  </si>
  <si>
    <t xml:space="preserve">2nd Generation </t>
  </si>
  <si>
    <t xml:space="preserve">Edge 20 </t>
  </si>
  <si>
    <t>Frosted Emerald</t>
  </si>
  <si>
    <t xml:space="preserve">G8 Power Lite </t>
  </si>
  <si>
    <t>X4</t>
  </si>
  <si>
    <t>Super Black</t>
  </si>
  <si>
    <t xml:space="preserve">Razr 5G </t>
  </si>
  <si>
    <t>Polished Graphite</t>
  </si>
  <si>
    <t>E5</t>
  </si>
  <si>
    <t xml:space="preserve">Razr </t>
  </si>
  <si>
    <t>X Play</t>
  </si>
  <si>
    <t>Frosted Pearl</t>
  </si>
  <si>
    <t>C Plus</t>
  </si>
  <si>
    <t>G6</t>
  </si>
  <si>
    <t>Indigo Black</t>
  </si>
  <si>
    <t>M</t>
  </si>
  <si>
    <t xml:space="preserve">One Vision </t>
  </si>
  <si>
    <t>Sapphire Gradient</t>
  </si>
  <si>
    <t xml:space="preserve">G30 </t>
  </si>
  <si>
    <t>Dark Pearl</t>
  </si>
  <si>
    <t>G5</t>
  </si>
  <si>
    <t>Volcanic Grey</t>
  </si>
  <si>
    <t xml:space="preserve">G9 Power </t>
  </si>
  <si>
    <t>Electric Violet</t>
  </si>
  <si>
    <t xml:space="preserve">G 2nd Generation </t>
  </si>
  <si>
    <t>Pastel Sky</t>
  </si>
  <si>
    <t xml:space="preserve">One Fusion+ </t>
  </si>
  <si>
    <t>Moonlight White</t>
  </si>
  <si>
    <t xml:space="preserve">G9 </t>
  </si>
  <si>
    <t>Sapphire Blue</t>
  </si>
  <si>
    <t xml:space="preserve">E7 Plus </t>
  </si>
  <si>
    <t>Misty Blue</t>
  </si>
  <si>
    <t>Frosted Silver</t>
  </si>
  <si>
    <t xml:space="preserve">One Action </t>
  </si>
  <si>
    <t xml:space="preserve">E 2nd Gen 3G </t>
  </si>
  <si>
    <t>E6s</t>
  </si>
  <si>
    <t>C</t>
  </si>
  <si>
    <t>E5 Plus</t>
  </si>
  <si>
    <t xml:space="preserve">Edge+ </t>
  </si>
  <si>
    <t>Smoky Sangria</t>
  </si>
  <si>
    <t xml:space="preserve">G 3rd Generation </t>
  </si>
  <si>
    <t xml:space="preserve">One Macro </t>
  </si>
  <si>
    <t>Ultra Violet</t>
  </si>
  <si>
    <t>G5s</t>
  </si>
  <si>
    <t>Lunar Gray</t>
  </si>
  <si>
    <t xml:space="preserve">X 2nd Generation </t>
  </si>
  <si>
    <t>G7</t>
  </si>
  <si>
    <t>Sterling Blue</t>
  </si>
  <si>
    <t>Rich Cranberry</t>
  </si>
  <si>
    <t>One</t>
  </si>
  <si>
    <t>Z2 Play</t>
  </si>
  <si>
    <t xml:space="preserve">One Power </t>
  </si>
  <si>
    <t>Quench X T3</t>
  </si>
  <si>
    <t>G8 Plus</t>
  </si>
  <si>
    <t>Cosmic Blue</t>
  </si>
  <si>
    <t>G</t>
  </si>
  <si>
    <t>Bronze Gradient</t>
  </si>
  <si>
    <t>G6 Play</t>
  </si>
  <si>
    <t>XT502</t>
  </si>
  <si>
    <t xml:space="preserve">G6 Plus </t>
  </si>
  <si>
    <t>G4 Plus</t>
  </si>
  <si>
    <t>G7 Power</t>
  </si>
  <si>
    <t>G4</t>
  </si>
  <si>
    <t>Z Play</t>
  </si>
  <si>
    <t>Crystal Pink</t>
  </si>
  <si>
    <t>Twilight Orange</t>
  </si>
  <si>
    <t>Caribbean Blue</t>
  </si>
  <si>
    <t>Metallic Sage</t>
  </si>
  <si>
    <t>Lunar Grey</t>
  </si>
  <si>
    <t>G5 Plus</t>
  </si>
  <si>
    <t>Black Leather</t>
  </si>
  <si>
    <t>Z2 Force</t>
  </si>
  <si>
    <t>POCO</t>
  </si>
  <si>
    <t xml:space="preserve">X3 Pro </t>
  </si>
  <si>
    <t>Graphite Black</t>
  </si>
  <si>
    <t>Steel Blue</t>
  </si>
  <si>
    <t xml:space="preserve">M3 Pro 5G </t>
  </si>
  <si>
    <t>Power Black</t>
  </si>
  <si>
    <t xml:space="preserve">M2 Reloaded </t>
  </si>
  <si>
    <t>Mostly Blue</t>
  </si>
  <si>
    <t>Lime Green</t>
  </si>
  <si>
    <t>vivo</t>
  </si>
  <si>
    <t xml:space="preserve">Y20G </t>
  </si>
  <si>
    <t>Obsidian Black</t>
  </si>
  <si>
    <t xml:space="preserve">Y21 </t>
  </si>
  <si>
    <t>Purist Blue</t>
  </si>
  <si>
    <t xml:space="preserve">Y20A 2021 </t>
  </si>
  <si>
    <t>Nebula Blue</t>
  </si>
  <si>
    <t xml:space="preserve">Y33s </t>
  </si>
  <si>
    <t>Midday Dream</t>
  </si>
  <si>
    <t xml:space="preserve">Y20A </t>
  </si>
  <si>
    <t>Diamond Glow</t>
  </si>
  <si>
    <t xml:space="preserve">Y12s </t>
  </si>
  <si>
    <t xml:space="preserve">Y20G 2021 </t>
  </si>
  <si>
    <t>Dawn White</t>
  </si>
  <si>
    <t xml:space="preserve">Y73 </t>
  </si>
  <si>
    <t>Diamond Flare</t>
  </si>
  <si>
    <t xml:space="preserve">Y1s </t>
  </si>
  <si>
    <t>Olive Black</t>
  </si>
  <si>
    <t xml:space="preserve">Y12G </t>
  </si>
  <si>
    <t xml:space="preserve">Y51A </t>
  </si>
  <si>
    <t>Titanium Sapphire</t>
  </si>
  <si>
    <t xml:space="preserve">Y1S </t>
  </si>
  <si>
    <t xml:space="preserve">Y72 5G </t>
  </si>
  <si>
    <t>Slate Gray</t>
  </si>
  <si>
    <t xml:space="preserve">V21e </t>
  </si>
  <si>
    <t>Prism Magic</t>
  </si>
  <si>
    <t>Crystal Symphony</t>
  </si>
  <si>
    <t xml:space="preserve">Y20 </t>
  </si>
  <si>
    <t>Sunset Jazz</t>
  </si>
  <si>
    <t xml:space="preserve">V20 SE </t>
  </si>
  <si>
    <t>Gravity Black</t>
  </si>
  <si>
    <t xml:space="preserve">Y11 </t>
  </si>
  <si>
    <t>Agate Red</t>
  </si>
  <si>
    <t xml:space="preserve">Y53s </t>
  </si>
  <si>
    <t>Deep Sea Blue</t>
  </si>
  <si>
    <t xml:space="preserve">X60 </t>
  </si>
  <si>
    <t xml:space="preserve">V20 2021 </t>
  </si>
  <si>
    <t>Sunset Melody</t>
  </si>
  <si>
    <t xml:space="preserve">V21 5G </t>
  </si>
  <si>
    <t>Sunset Dazzle</t>
  </si>
  <si>
    <t>Dusk Blue</t>
  </si>
  <si>
    <t xml:space="preserve">Y91i </t>
  </si>
  <si>
    <t>Fantastic Rainbow</t>
  </si>
  <si>
    <t xml:space="preserve">Y31 </t>
  </si>
  <si>
    <t xml:space="preserve">Y30 </t>
  </si>
  <si>
    <t>Emerald Black</t>
  </si>
  <si>
    <t>Aquamarine Green</t>
  </si>
  <si>
    <t xml:space="preserve">V20 Pro </t>
  </si>
  <si>
    <t>Midnight Jazz</t>
  </si>
  <si>
    <t>Shimmer Blue</t>
  </si>
  <si>
    <t>Xiaomi</t>
  </si>
  <si>
    <t xml:space="preserve">Mi 10 </t>
  </si>
  <si>
    <t>Coral Green</t>
  </si>
  <si>
    <t>Twilight Grey</t>
  </si>
  <si>
    <t xml:space="preserve">Mi 10i </t>
  </si>
  <si>
    <t>Atlantic Blue</t>
  </si>
  <si>
    <t>Pacific Sunrise</t>
  </si>
  <si>
    <t xml:space="preserve">Mi 10T </t>
  </si>
  <si>
    <t>Lunar Silver</t>
  </si>
  <si>
    <t xml:space="preserve">Mi 11 Lite </t>
  </si>
  <si>
    <t>Jazz Blue</t>
  </si>
  <si>
    <t>Tuscany Coral</t>
  </si>
  <si>
    <t>Vinyl Black</t>
  </si>
  <si>
    <t xml:space="preserve">Mi 11X </t>
  </si>
  <si>
    <t>Celestial Silver</t>
  </si>
  <si>
    <t>LUNAR WHITE</t>
  </si>
  <si>
    <t xml:space="preserve">MI 11X 5G </t>
  </si>
  <si>
    <t>CELESTIAL SILVER</t>
  </si>
  <si>
    <t>COSMIC BLACK</t>
  </si>
  <si>
    <t xml:space="preserve">Mi 11X Pro 5G </t>
  </si>
  <si>
    <t xml:space="preserve">Mi A2 </t>
  </si>
  <si>
    <t xml:space="preserve">Mi A3 </t>
  </si>
  <si>
    <t>Kind of Grey</t>
  </si>
  <si>
    <t>More Than White</t>
  </si>
  <si>
    <t xml:space="preserve">Mi Max 2 </t>
  </si>
  <si>
    <t xml:space="preserve">MI3 </t>
  </si>
  <si>
    <t>Metallic Grey</t>
  </si>
  <si>
    <t xml:space="preserve">Redmi 5 </t>
  </si>
  <si>
    <t>Lake Blue</t>
  </si>
  <si>
    <t xml:space="preserve">Redmi 6 </t>
  </si>
  <si>
    <t xml:space="preserve">Redmi 6 Pro </t>
  </si>
  <si>
    <t xml:space="preserve">Redmi 6A </t>
  </si>
  <si>
    <t xml:space="preserve">Redmi 7 </t>
  </si>
  <si>
    <t xml:space="preserve">Redmi 7A </t>
  </si>
  <si>
    <t>Matte Gold</t>
  </si>
  <si>
    <t xml:space="preserve">Redmi 8 </t>
  </si>
  <si>
    <t>Onyx Black</t>
  </si>
  <si>
    <t>Ruby Red</t>
  </si>
  <si>
    <t xml:space="preserve">Redmi 8A </t>
  </si>
  <si>
    <t>Sunset Red</t>
  </si>
  <si>
    <t xml:space="preserve">Redmi 8A Dual </t>
  </si>
  <si>
    <t>Midnight Grey</t>
  </si>
  <si>
    <t>Sea Blue</t>
  </si>
  <si>
    <t xml:space="preserve">Redmi 9 </t>
  </si>
  <si>
    <t>Sporty Orange</t>
  </si>
  <si>
    <t xml:space="preserve">REDMI 9 Power </t>
  </si>
  <si>
    <t>Electric Green</t>
  </si>
  <si>
    <t>Fiery Red</t>
  </si>
  <si>
    <t>Mighty Black</t>
  </si>
  <si>
    <t xml:space="preserve">REDMI 9 Prime </t>
  </si>
  <si>
    <t>Sunrise Flare</t>
  </si>
  <si>
    <t xml:space="preserve">Redmi 9A </t>
  </si>
  <si>
    <t>Nature Green</t>
  </si>
  <si>
    <t>SeaBlue</t>
  </si>
  <si>
    <t xml:space="preserve">REDMI 9i </t>
  </si>
  <si>
    <t xml:space="preserve">Redmi K20 </t>
  </si>
  <si>
    <t>Flame Red</t>
  </si>
  <si>
    <t xml:space="preserve">Redmi K20 Pro </t>
  </si>
  <si>
    <t xml:space="preserve">REDMI Note 10 Pro </t>
  </si>
  <si>
    <t>Dark Nebula</t>
  </si>
  <si>
    <t>Dark Night</t>
  </si>
  <si>
    <t xml:space="preserve">REDMI Note 10S </t>
  </si>
  <si>
    <t>Cosmic Purple</t>
  </si>
  <si>
    <t xml:space="preserve">Redmi Note 4 </t>
  </si>
  <si>
    <t xml:space="preserve">Redmi Note 5 </t>
  </si>
  <si>
    <t xml:space="preserve">Redmi Note 5 Pro </t>
  </si>
  <si>
    <t xml:space="preserve">Redmi Note 6 Pro </t>
  </si>
  <si>
    <t xml:space="preserve">Redmi Note 7 </t>
  </si>
  <si>
    <t xml:space="preserve">Redmi Note 7 Pro </t>
  </si>
  <si>
    <t>MOONLIGHT WHITE</t>
  </si>
  <si>
    <t>Nebula Red</t>
  </si>
  <si>
    <t xml:space="preserve">Redmi Note 7S </t>
  </si>
  <si>
    <t>Astro Moonlight White</t>
  </si>
  <si>
    <t xml:space="preserve">Redmi Note 8 </t>
  </si>
  <si>
    <t xml:space="preserve">REDMI Note 9 </t>
  </si>
  <si>
    <t>Pebble Grey</t>
  </si>
  <si>
    <t xml:space="preserve">Redmi Note 9 Pro </t>
  </si>
  <si>
    <t>Glacier White</t>
  </si>
  <si>
    <t xml:space="preserve">Redmi Y1 </t>
  </si>
  <si>
    <t xml:space="preserve">Redmi Y2 </t>
  </si>
  <si>
    <t xml:space="preserve">Redmi Y3 </t>
  </si>
  <si>
    <t>Bold Red</t>
  </si>
  <si>
    <t>Elegant Blue</t>
  </si>
  <si>
    <t>Prime Black</t>
  </si>
  <si>
    <t>U11</t>
  </si>
  <si>
    <t>U Ultra</t>
  </si>
  <si>
    <t>Brilliant Black</t>
  </si>
  <si>
    <t>Desire 630</t>
  </si>
  <si>
    <t>Sprinkle White</t>
  </si>
  <si>
    <t>Carbon Grey</t>
  </si>
  <si>
    <t>Topaz Gold</t>
  </si>
  <si>
    <t>Sunset Blue</t>
  </si>
  <si>
    <t>Desire 626</t>
  </si>
  <si>
    <t>White Birch</t>
  </si>
  <si>
    <t>Blue Lagoon</t>
  </si>
  <si>
    <t>Desire 828</t>
  </si>
  <si>
    <t>Desire 826 DS</t>
  </si>
  <si>
    <t>820 G+</t>
  </si>
  <si>
    <t>Milkyway Grey</t>
  </si>
  <si>
    <t>Desire 326G DS</t>
  </si>
  <si>
    <t>One E9+</t>
  </si>
  <si>
    <t>Meteor Grey</t>
  </si>
  <si>
    <t>Gold Sepia</t>
  </si>
  <si>
    <t>Gold and Silver</t>
  </si>
  <si>
    <t>626G Plus</t>
  </si>
  <si>
    <t>526G Plus</t>
  </si>
  <si>
    <t>Fervor Red</t>
  </si>
  <si>
    <t>820S</t>
  </si>
  <si>
    <t>Santorini White</t>
  </si>
  <si>
    <t>Desire 820</t>
  </si>
  <si>
    <t>Saffron Grey</t>
  </si>
  <si>
    <t>Desire 526G Plus</t>
  </si>
  <si>
    <t>Glossy Black</t>
  </si>
  <si>
    <t>816G</t>
  </si>
  <si>
    <t>620G</t>
  </si>
  <si>
    <t>Desire 816G</t>
  </si>
  <si>
    <t>Desire 616</t>
  </si>
  <si>
    <t>Desire 516</t>
  </si>
  <si>
    <t xml:space="preserve">One M8 </t>
  </si>
  <si>
    <t>Amber Gold</t>
  </si>
  <si>
    <t xml:space="preserve">Desire 816  </t>
  </si>
  <si>
    <t xml:space="preserve">White  </t>
  </si>
  <si>
    <t>Desire 210</t>
  </si>
  <si>
    <t>Gunmetal Grey</t>
  </si>
  <si>
    <t>Desire 700</t>
  </si>
  <si>
    <t>One 802D</t>
  </si>
  <si>
    <t>XR 20</t>
  </si>
  <si>
    <t xml:space="preserve">Grey </t>
  </si>
  <si>
    <t>A55</t>
  </si>
  <si>
    <t>Rainbow Blue</t>
  </si>
  <si>
    <t>F3 GT</t>
  </si>
  <si>
    <t>Predator Black</t>
  </si>
  <si>
    <t>Gunmetal Silver</t>
  </si>
  <si>
    <t>Armoured Edition</t>
  </si>
  <si>
    <t>M2 Pro</t>
  </si>
  <si>
    <t>Two shades of black</t>
  </si>
  <si>
    <t>Green and Greener</t>
  </si>
  <si>
    <t>Out of Blue</t>
  </si>
  <si>
    <t xml:space="preserve">M2  </t>
  </si>
  <si>
    <t>Slate Blue</t>
  </si>
  <si>
    <t>Pitch Black</t>
  </si>
  <si>
    <t>Brick Red</t>
  </si>
  <si>
    <t>X2</t>
  </si>
  <si>
    <t>X2 Special Edition</t>
  </si>
  <si>
    <t>Matrix Purple</t>
  </si>
  <si>
    <t>Pheonix Red</t>
  </si>
  <si>
    <t>Rosso Red</t>
  </si>
  <si>
    <t>9i</t>
  </si>
  <si>
    <t>Daybreak Blue</t>
  </si>
  <si>
    <t>GT Neo 2</t>
  </si>
  <si>
    <t>Neo Blue</t>
  </si>
  <si>
    <t>Neo Black</t>
  </si>
  <si>
    <t xml:space="preserve">Luna White </t>
  </si>
  <si>
    <t>Voyager Grey</t>
  </si>
  <si>
    <t>X7 Max</t>
  </si>
  <si>
    <t>Mercury Silver</t>
  </si>
  <si>
    <t>Asteroid Black</t>
  </si>
  <si>
    <t>Awesome Mint</t>
  </si>
  <si>
    <t>Phantom Green</t>
  </si>
  <si>
    <t xml:space="preserve">Lavender  </t>
  </si>
  <si>
    <t xml:space="preserve">Galaxy F42 5G </t>
  </si>
  <si>
    <t>Matte Aqua</t>
  </si>
  <si>
    <t>Y21A</t>
  </si>
  <si>
    <t>Y33T</t>
  </si>
  <si>
    <t>Y21T</t>
  </si>
  <si>
    <t>V23 5G</t>
  </si>
  <si>
    <t>Sunshine Gold</t>
  </si>
  <si>
    <t>Stardust Black</t>
  </si>
  <si>
    <t>V23 Pro 5G</t>
  </si>
  <si>
    <t>Neon Spark</t>
  </si>
  <si>
    <t>Y20 T</t>
  </si>
  <si>
    <t>X70 Pro+</t>
  </si>
  <si>
    <t>Enigma Black</t>
  </si>
  <si>
    <t xml:space="preserve">X70 Pro </t>
  </si>
  <si>
    <t>Aurora Dawn</t>
  </si>
  <si>
    <t>X60 Pro</t>
  </si>
  <si>
    <t>X50 Pro</t>
  </si>
  <si>
    <t>Alpha Grey</t>
  </si>
  <si>
    <t xml:space="preserve">X50  </t>
  </si>
  <si>
    <t>Frost Blue</t>
  </si>
  <si>
    <t>U10</t>
  </si>
  <si>
    <t>U12</t>
  </si>
  <si>
    <t>S1</t>
  </si>
  <si>
    <t>Skyline Blue</t>
  </si>
  <si>
    <t>Z1x</t>
  </si>
  <si>
    <t>Phantom Purple</t>
  </si>
  <si>
    <t>S2</t>
  </si>
  <si>
    <t>Z1 Pro</t>
  </si>
  <si>
    <t>Sonic Blue</t>
  </si>
  <si>
    <t>Sonic Black</t>
  </si>
  <si>
    <t>Y90</t>
  </si>
  <si>
    <t>Y93</t>
  </si>
  <si>
    <t>Nebula Purple</t>
  </si>
  <si>
    <t>Y94</t>
  </si>
  <si>
    <t>Y95</t>
  </si>
  <si>
    <t>Y83</t>
  </si>
  <si>
    <t>V9</t>
  </si>
  <si>
    <t>X21</t>
  </si>
  <si>
    <t>V9 Youth</t>
  </si>
  <si>
    <t>V7+</t>
  </si>
  <si>
    <t>Y69</t>
  </si>
  <si>
    <t>Y83 Pro</t>
  </si>
  <si>
    <t>V11 Pro</t>
  </si>
  <si>
    <t>Dazzling Gold</t>
  </si>
  <si>
    <t>Y71i</t>
  </si>
  <si>
    <t>Pearl Black</t>
  </si>
  <si>
    <t xml:space="preserve">V7  </t>
  </si>
  <si>
    <t>Energetic Blue</t>
  </si>
  <si>
    <t>Y11T Pro</t>
  </si>
  <si>
    <t>Celestial Magic</t>
  </si>
  <si>
    <t>11i 5G</t>
  </si>
  <si>
    <t>Stealth Black</t>
  </si>
  <si>
    <t>Purple Mist</t>
  </si>
  <si>
    <t>11i Hypercharge 5G</t>
  </si>
  <si>
    <t>Pacific Pearl</t>
  </si>
  <si>
    <t>Camo Green</t>
  </si>
  <si>
    <t>Redmi Note 11T 5G</t>
  </si>
  <si>
    <t>Aquamarine Blue</t>
  </si>
  <si>
    <t>Stardust White</t>
  </si>
  <si>
    <t>129 GB</t>
  </si>
  <si>
    <t>130 GB</t>
  </si>
  <si>
    <t>Note 10 lite</t>
  </si>
  <si>
    <t>9A Sport</t>
  </si>
  <si>
    <t>11 Lite NE</t>
  </si>
  <si>
    <t>Diamond Dazzle</t>
  </si>
  <si>
    <t>Infinix</t>
  </si>
  <si>
    <t>Hot 10 Play</t>
  </si>
  <si>
    <t>Aegean Blue</t>
  </si>
  <si>
    <t xml:space="preserve">Purple  </t>
  </si>
  <si>
    <t>Morandi Green</t>
  </si>
  <si>
    <t>Hot 11S</t>
  </si>
  <si>
    <t>Polar Black</t>
  </si>
  <si>
    <t>Green Wave</t>
  </si>
  <si>
    <t>Hot 11</t>
  </si>
  <si>
    <t>Silver Wave</t>
  </si>
  <si>
    <t>Emerald Green</t>
  </si>
  <si>
    <t>Hot 10S</t>
  </si>
  <si>
    <t>Smart 5</t>
  </si>
  <si>
    <t>Smart 6</t>
  </si>
  <si>
    <t>Smart 7</t>
  </si>
  <si>
    <t>Smart 8</t>
  </si>
  <si>
    <t xml:space="preserve">Note 11 </t>
  </si>
  <si>
    <t>Smart 5A</t>
  </si>
  <si>
    <t>Quetzal Cyan</t>
  </si>
  <si>
    <t>Ocean Wave</t>
  </si>
  <si>
    <t>Smart HD 2021</t>
  </si>
  <si>
    <t>Celestial Snow</t>
  </si>
  <si>
    <t>Note 11S</t>
  </si>
  <si>
    <t>Symphony Cyan</t>
  </si>
  <si>
    <t>Haze Green</t>
  </si>
  <si>
    <t>Note 11</t>
  </si>
  <si>
    <t>Glacier Green</t>
  </si>
  <si>
    <t>Note 10 Pro</t>
  </si>
  <si>
    <t>Note 11S Free Fire Edition</t>
  </si>
  <si>
    <t>Mithril Grey</t>
  </si>
  <si>
    <t>Nordic Secret</t>
  </si>
  <si>
    <t>Smart 4</t>
  </si>
  <si>
    <t>Note 5</t>
  </si>
  <si>
    <t>Milan Black</t>
  </si>
  <si>
    <t>Smart 2</t>
  </si>
  <si>
    <t>Sandstone Black</t>
  </si>
  <si>
    <t>Hot 6 Pro</t>
  </si>
  <si>
    <t>Ice Blue</t>
  </si>
  <si>
    <t>Hot 8</t>
  </si>
  <si>
    <t>Smart 3 Plus</t>
  </si>
  <si>
    <t>Sapphire Cyan</t>
  </si>
  <si>
    <t>Note 5 Stylus</t>
  </si>
  <si>
    <t xml:space="preserve">Bordeaux Red </t>
  </si>
  <si>
    <t>S5 Pro</t>
  </si>
  <si>
    <t>S4</t>
  </si>
  <si>
    <t>Heart of Ocean</t>
  </si>
  <si>
    <t>Note 7</t>
  </si>
  <si>
    <t>Zero 8i</t>
  </si>
  <si>
    <t>Silver Diamond</t>
  </si>
  <si>
    <t>Topaz Blue</t>
  </si>
  <si>
    <t>Hot 10</t>
  </si>
  <si>
    <t>Moonlight Jade</t>
  </si>
  <si>
    <t>Amber Red</t>
  </si>
  <si>
    <t>Smart 4 Plus</t>
  </si>
  <si>
    <t>Note 10</t>
  </si>
  <si>
    <t>Hot 9</t>
  </si>
  <si>
    <t>Aether Black</t>
  </si>
  <si>
    <t>Hot 9 Pro</t>
  </si>
  <si>
    <t>Hot S3X</t>
  </si>
  <si>
    <t>Tradew Grey</t>
  </si>
  <si>
    <t>Mocha Brown</t>
  </si>
  <si>
    <t>Note 4</t>
  </si>
  <si>
    <t>City Blue</t>
  </si>
  <si>
    <t>Serene Gold</t>
  </si>
  <si>
    <t>Hot S3</t>
  </si>
  <si>
    <t>Blush Gold</t>
  </si>
  <si>
    <t>S5 Lite</t>
  </si>
  <si>
    <t>Magic Gold</t>
  </si>
  <si>
    <t>Shark Grey</t>
  </si>
  <si>
    <t>Hot 4 Pro</t>
  </si>
  <si>
    <t>Quartz Black</t>
  </si>
  <si>
    <t xml:space="preserve">S5 </t>
  </si>
  <si>
    <t>Charcoal Blue</t>
  </si>
  <si>
    <t>Hot 7</t>
  </si>
  <si>
    <t>Black Diamond</t>
  </si>
  <si>
    <t>Zero 5</t>
  </si>
  <si>
    <t>Berlin Gray</t>
  </si>
  <si>
    <t>Twilight Purple</t>
  </si>
  <si>
    <t>Bolivia Blue</t>
  </si>
  <si>
    <t>Zero 5 Pro</t>
  </si>
  <si>
    <t>Bronze Gold Black</t>
  </si>
  <si>
    <t>Hot 7 Pro</t>
  </si>
  <si>
    <t>Reno7 Pro 5G</t>
  </si>
  <si>
    <t>Startrails Blue</t>
  </si>
  <si>
    <t>C31</t>
  </si>
  <si>
    <t>Shadow Grey</t>
  </si>
  <si>
    <t>Starlight Black</t>
  </si>
  <si>
    <t>A16k</t>
  </si>
  <si>
    <t>Royal Gold</t>
  </si>
  <si>
    <t>iPhone 13 Pro Max</t>
  </si>
  <si>
    <t>Alpine Green</t>
  </si>
  <si>
    <t>iPhone 13 Pro</t>
  </si>
  <si>
    <t>iPhone 13 mini</t>
  </si>
  <si>
    <t>Y75 5G</t>
  </si>
  <si>
    <t>Glowing Galaxy</t>
  </si>
  <si>
    <t>9 5G</t>
  </si>
  <si>
    <t>Meteor Black</t>
  </si>
  <si>
    <t>Stargaze White</t>
  </si>
  <si>
    <t>9 Pro 5G</t>
  </si>
  <si>
    <t xml:space="preserve">Sunrise Blue </t>
  </si>
  <si>
    <t>9 Pro+ 5G</t>
  </si>
  <si>
    <t>9 5G SE</t>
  </si>
  <si>
    <t>Azure Glow</t>
  </si>
  <si>
    <t>Starry Glow</t>
  </si>
  <si>
    <t>C35</t>
  </si>
  <si>
    <t>Glowing Green</t>
  </si>
  <si>
    <t>M4 Pro</t>
  </si>
  <si>
    <t>M4 Pro 5G</t>
  </si>
  <si>
    <t>Galaxy S21 SE 5G</t>
  </si>
  <si>
    <t>Galaxy F23 5G</t>
  </si>
  <si>
    <t>Galaxy A03 Core</t>
  </si>
  <si>
    <t>M52 5G</t>
  </si>
  <si>
    <t>Blazing Black</t>
  </si>
  <si>
    <t>Icy Blue</t>
  </si>
  <si>
    <t>Grand Total</t>
  </si>
  <si>
    <t>Total</t>
  </si>
  <si>
    <t>Count of Model</t>
  </si>
  <si>
    <t>Margin</t>
  </si>
  <si>
    <t>Average of Rating</t>
  </si>
  <si>
    <t>Margin%</t>
  </si>
  <si>
    <t>Value for money (VFM) score</t>
  </si>
  <si>
    <t>Values</t>
  </si>
  <si>
    <t>Average of Margin%</t>
  </si>
  <si>
    <t>Average of Value for money (VFM) score</t>
  </si>
  <si>
    <t>Price Segment</t>
  </si>
  <si>
    <t>Total Sold Units</t>
  </si>
  <si>
    <t>Total Selling Price</t>
  </si>
  <si>
    <t>Avg Value for money (VFM) score</t>
  </si>
  <si>
    <t>Rating Segment</t>
  </si>
  <si>
    <t>Average</t>
  </si>
  <si>
    <t>Excellent</t>
  </si>
  <si>
    <t>Good</t>
  </si>
  <si>
    <t>Poor</t>
  </si>
  <si>
    <t>Count of Rating Segment</t>
  </si>
  <si>
    <t>Sum of Selling Price</t>
  </si>
  <si>
    <t>Top Selling Brand</t>
  </si>
  <si>
    <t>Top Selling 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</si>
</sst>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0.000000"/>
    <numFmt numFmtId="166" formatCode="[$₹-4009]\ #,##0.00"/>
    <numFmt numFmtId="167" formatCode="0.0000"/>
    <numFmt numFmtId="168" formatCode="[$₹-4009]\ #,##0"/>
    <numFmt numFmtId="169" formatCode="[$₹-4009]\ #,##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2" fontId="0" fillId="0" borderId="0" xfId="0" applyNumberFormat="1"/>
    <xf numFmtId="0" fontId="0" fillId="0" borderId="0" xfId="0" pivotButton="1"/>
    <xf numFmtId="164" fontId="0" fillId="0" borderId="0" xfId="0" applyNumberFormat="1"/>
    <xf numFmtId="9" fontId="0" fillId="0" borderId="0" xfId="0" applyNumberFormat="1"/>
    <xf numFmtId="1" fontId="0" fillId="0" borderId="0" xfId="0" applyNumberFormat="1"/>
    <xf numFmtId="165" fontId="0" fillId="0" borderId="0" xfId="0" applyNumberFormat="1"/>
    <xf numFmtId="166" fontId="0" fillId="0" borderId="0" xfId="0" pivotButton="1" applyNumberFormat="1"/>
    <xf numFmtId="166" fontId="0" fillId="0" borderId="0" xfId="0" applyNumberFormat="1"/>
    <xf numFmtId="49" fontId="0" fillId="0" borderId="0" xfId="0" applyNumberFormat="1"/>
    <xf numFmtId="167" fontId="0" fillId="0" borderId="0" xfId="0" applyNumberFormat="1"/>
    <xf numFmtId="168" fontId="0" fillId="0" borderId="0" xfId="0" applyNumberFormat="1"/>
    <xf numFmtId="169" fontId="0" fillId="0" borderId="0" xfId="0" applyNumberFormat="1"/>
    <xf numFmtId="0" fontId="0" fillId="0" borderId="0" xfId="0" applyNumberFormat="1"/>
    <xf numFmtId="0" fontId="0" fillId="0" borderId="0" xfId="0" pivotButton="1"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2">
    <dxf>
      <numFmt numFmtId="2" formatCode="0.00"/>
    </dxf>
    <dxf>
      <numFmt numFmtId="166" formatCode="[$₹-4009]\ #,##0.00"/>
    </dxf>
    <dxf>
      <numFmt numFmtId="166" formatCode="[$₹-4009]\ #,##0.00"/>
    </dxf>
    <dxf>
      <numFmt numFmtId="166" formatCode="[$₹-4009]\ #,##0.00"/>
    </dxf>
    <dxf>
      <numFmt numFmtId="168" formatCode="[$₹-4009]\ #,##0"/>
    </dxf>
    <dxf>
      <numFmt numFmtId="164" formatCode="0.0"/>
    </dxf>
    <dxf>
      <numFmt numFmtId="0" formatCode="General"/>
    </dxf>
    <dxf>
      <numFmt numFmtId="0" formatCode="General"/>
    </dxf>
    <dxf>
      <numFmt numFmtId="0" formatCode="General"/>
    </dxf>
    <dxf>
      <numFmt numFmtId="2" formatCode="0.00"/>
    </dxf>
    <dxf>
      <numFmt numFmtId="167" formatCode="0.0000"/>
    </dxf>
    <dxf>
      <numFmt numFmtId="1" formatCode="0"/>
    </dxf>
    <dxf>
      <numFmt numFmtId="164" formatCode="0.0"/>
    </dxf>
    <dxf>
      <numFmt numFmtId="2" formatCode="0.00"/>
    </dxf>
    <dxf>
      <numFmt numFmtId="166" formatCode="[$₹-4009]\ #,##0.00"/>
    </dxf>
    <dxf>
      <numFmt numFmtId="166" formatCode="[$₹-4009]\ #,##0.00"/>
    </dxf>
    <dxf>
      <numFmt numFmtId="166" formatCode="[$₹-4009]\ #,##0.00"/>
    </dxf>
    <dxf>
      <numFmt numFmtId="168" formatCode="[$₹-4009]\ #,##0"/>
    </dxf>
    <dxf>
      <numFmt numFmtId="164" formatCode="0.0"/>
    </dxf>
    <dxf>
      <numFmt numFmtId="0" formatCode="General"/>
    </dxf>
    <dxf>
      <numFmt numFmtId="0" formatCode="General"/>
    </dxf>
    <dxf>
      <numFmt numFmtId="0" formatCode="General"/>
    </dxf>
    <dxf>
      <numFmt numFmtId="2" formatCode="0.00"/>
    </dxf>
    <dxf>
      <numFmt numFmtId="167" formatCode="0.0000"/>
    </dxf>
    <dxf>
      <numFmt numFmtId="1" formatCode="0"/>
    </dxf>
    <dxf>
      <numFmt numFmtId="164" formatCode="0.0"/>
    </dxf>
    <dxf>
      <numFmt numFmtId="167" formatCode="0.0000"/>
    </dxf>
    <dxf>
      <numFmt numFmtId="2" formatCode="0.00"/>
    </dxf>
    <dxf>
      <numFmt numFmtId="166" formatCode="[$₹-4009]\ #,##0.00"/>
    </dxf>
    <dxf>
      <numFmt numFmtId="166" formatCode="[$₹-4009]\ #,##0.00"/>
    </dxf>
    <dxf>
      <numFmt numFmtId="166" formatCode="[$₹-4009]\ #,##0.00"/>
    </dxf>
    <dxf>
      <numFmt numFmtId="168" formatCode="[$₹-4009]\ #,##0"/>
    </dxf>
    <dxf>
      <numFmt numFmtId="0" formatCode="General"/>
    </dxf>
    <dxf>
      <numFmt numFmtId="0" formatCode="General"/>
    </dxf>
    <dxf>
      <numFmt numFmtId="0" formatCode="General"/>
    </dxf>
    <dxf>
      <numFmt numFmtId="2" formatCode="0.00"/>
    </dxf>
    <dxf>
      <numFmt numFmtId="1" formatCode="0"/>
    </dxf>
    <dxf>
      <numFmt numFmtId="164" formatCode="0.0"/>
    </dxf>
    <dxf>
      <numFmt numFmtId="167" formatCode="0.0000"/>
    </dxf>
    <dxf>
      <numFmt numFmtId="2" formatCode="0.00"/>
    </dxf>
    <dxf>
      <numFmt numFmtId="166" formatCode="[$₹-4009]\ #,##0.00"/>
    </dxf>
    <dxf>
      <numFmt numFmtId="166" formatCode="[$₹-4009]\ #,##0.00"/>
    </dxf>
    <dxf>
      <numFmt numFmtId="166" formatCode="[$₹-4009]\ #,##0.00"/>
    </dxf>
    <dxf>
      <numFmt numFmtId="168" formatCode="[$₹-4009]\ #,##0"/>
    </dxf>
    <dxf>
      <numFmt numFmtId="0" formatCode="General"/>
    </dxf>
    <dxf>
      <numFmt numFmtId="0" formatCode="General"/>
    </dxf>
    <dxf>
      <numFmt numFmtId="0" formatCode="General"/>
    </dxf>
    <dxf>
      <numFmt numFmtId="2" formatCode="0.00"/>
    </dxf>
    <dxf>
      <numFmt numFmtId="1" formatCode="0"/>
    </dxf>
    <dxf>
      <numFmt numFmtId="164" formatCode="0.0"/>
    </dxf>
    <dxf>
      <fill>
        <patternFill>
          <bgColor theme="7" tint="0.59996337778862885"/>
        </patternFill>
      </fill>
    </dxf>
    <dxf>
      <fill>
        <patternFill>
          <bgColor theme="7" tint="0.59996337778862885"/>
        </patternFill>
      </fill>
    </dxf>
    <dxf>
      <numFmt numFmtId="0" formatCode="General"/>
    </dxf>
    <dxf>
      <numFmt numFmtId="0" formatCode="General"/>
    </dxf>
    <dxf>
      <numFmt numFmtId="166" formatCode="[$₹-4009]\ #,##0.00"/>
    </dxf>
    <dxf>
      <numFmt numFmtId="166" formatCode="[$₹-4009]\ #,##0.00"/>
    </dxf>
    <dxf>
      <numFmt numFmtId="166" formatCode="[$₹-4009]\ #,##0.00"/>
    </dxf>
    <dxf>
      <numFmt numFmtId="164" formatCode="0.0"/>
    </dxf>
    <dxf>
      <numFmt numFmtId="169" formatCode="[$₹-4009]\ #,##0.0"/>
    </dxf>
    <dxf>
      <numFmt numFmtId="2" formatCode="0.00"/>
    </dxf>
    <dxf>
      <numFmt numFmtId="168" formatCode="[$₹-4009]\ #,##0"/>
    </dxf>
    <dxf>
      <numFmt numFmtId="166" formatCode="[$₹-4009]\ #,##0.00"/>
    </dxf>
    <dxf>
      <numFmt numFmtId="166" formatCode="[$₹-4009]\ #,##0.00"/>
    </dxf>
    <dxf>
      <numFmt numFmtId="166" formatCode="[$₹-4009]\ #,##0.00"/>
    </dxf>
    <dxf>
      <numFmt numFmtId="2" formatCode="0.00"/>
    </dxf>
    <dxf>
      <numFmt numFmtId="0" formatCode="General"/>
    </dxf>
    <dxf>
      <numFmt numFmtId="0" formatCode="General"/>
    </dxf>
    <dxf>
      <numFmt numFmtId="0" formatCode="General"/>
    </dxf>
    <dxf>
      <numFmt numFmtId="167" formatCode="0.0000"/>
    </dxf>
    <dxf>
      <numFmt numFmtId="1" formatCode="0"/>
    </dxf>
    <dxf>
      <numFmt numFmtId="167" formatCode="0.0000"/>
    </dxf>
    <dxf>
      <numFmt numFmtId="1" formatCode="0"/>
    </dxf>
    <dxf>
      <numFmt numFmtId="164" formatCode="0.0"/>
    </dxf>
    <dxf>
      <numFmt numFmtId="0" formatCode="General"/>
    </dxf>
    <dxf>
      <numFmt numFmtId="0" formatCode="General"/>
    </dxf>
    <dxf>
      <numFmt numFmtId="0" formatCode="General"/>
    </dxf>
    <dxf>
      <numFmt numFmtId="13" formatCode="0%"/>
    </dxf>
    <dxf>
      <numFmt numFmtId="0" formatCode="General"/>
    </dxf>
    <dxf>
      <numFmt numFmtId="30" formatCode="@"/>
    </dxf>
    <dxf>
      <font>
        <b/>
        <i val="0"/>
        <color rgb="FFFFFFFF"/>
      </font>
      <fill>
        <patternFill>
          <bgColor rgb="FF2874F0"/>
        </patternFill>
      </fill>
    </dxf>
    <dxf>
      <font>
        <sz val="14"/>
        <name val="Calibri"/>
        <family val="2"/>
        <scheme val="minor"/>
      </font>
    </dxf>
    <dxf>
      <fill>
        <patternFill>
          <bgColor rgb="FF2874F0"/>
        </patternFill>
      </fill>
    </dxf>
  </dxfs>
  <tableStyles count="4" defaultTableStyle="TableStyleMedium2" defaultPivotStyle="PivotStyleLight16">
    <tableStyle name="Slicer Style 1" pivot="0" table="0" count="1" xr9:uid="{1633A275-DF9C-4AA9-9BFB-54BEB7BF37EB}"/>
    <tableStyle name="Slicer Style 2" pivot="0" table="0" count="1" xr9:uid="{02B0F41B-F4A0-4E88-8139-D96893607C93}">
      <tableStyleElement type="headerRow" dxfId="81"/>
    </tableStyle>
    <tableStyle name="Slicer Style 3" pivot="0" table="0" count="1" xr9:uid="{F601B125-3DBB-42B3-93C6-0ADEAF848970}"/>
    <tableStyle name="Slicer Style 4" pivot="0" table="0" count="4" xr9:uid="{1B8FD0A0-92FB-4220-99B4-EDC98D764EAB}">
      <tableStyleElement type="wholeTable" dxfId="80"/>
      <tableStyleElement type="headerRow" dxfId="79"/>
    </tableStyle>
  </tableStyles>
  <colors>
    <mruColors>
      <color rgb="FF2874F0"/>
      <color rgb="FF00467E"/>
      <color rgb="FFEAF1FF"/>
      <color rgb="FFFFFF0D"/>
      <color rgb="FFFFFF9B"/>
      <color rgb="FFFDDB87"/>
      <color rgb="FFFBC02D"/>
      <color rgb="FF6FA8FF"/>
      <color rgb="FFEAF2FF"/>
      <color rgb="FFFFFFFF"/>
    </mruColors>
  </colors>
  <extLst>
    <ext xmlns:x14="http://schemas.microsoft.com/office/spreadsheetml/2009/9/main" uri="{46F421CA-312F-682f-3DD2-61675219B42D}">
      <x14:dxfs count="4">
        <dxf>
          <font>
            <color rgb="FF333333"/>
          </font>
          <fill>
            <patternFill>
              <bgColor rgb="FFFFE500"/>
            </patternFill>
          </fill>
        </dxf>
        <dxf>
          <fill>
            <patternFill>
              <bgColor rgb="FFFFFFFF"/>
            </patternFill>
          </fill>
        </dxf>
        <dxf>
          <fill>
            <patternFill>
              <bgColor rgb="FFFFE500"/>
            </patternFill>
          </fill>
        </dxf>
        <dxf>
          <font>
            <b/>
            <i val="0"/>
            <name val="Aptos"/>
            <family val="2"/>
            <scheme val="none"/>
          </font>
        </dxf>
      </x14:dxfs>
    </ext>
    <ext xmlns:x14="http://schemas.microsoft.com/office/spreadsheetml/2009/9/main" uri="{EB79DEF2-80B8-43e5-95BD-54CBDDF9020C}">
      <x14:slicerStyles defaultSlicerStyle="Slicer Style 4">
        <x14:slicerStyle name="Slicer Style 1">
          <x14:slicerStyleElements>
            <x14:slicerStyleElement type="selectedItemWithNoData" dxfId="3"/>
          </x14:slicerStyleElements>
        </x14:slicerStyle>
        <x14:slicerStyle name="Slicer Style 2"/>
        <x14:slicerStyle name="Slicer Style 3">
          <x14:slicerStyleElements>
            <x14:slicerStyleElement type="selectedItemWithNoData" dxfId="2"/>
          </x14:slicerStyleElements>
        </x14:slicerStyle>
        <x14:slicerStyle name="Slicer Style 4">
          <x14:slicerStyleElements>
            <x14:slicerStyleElement type="unselectedItemWithNo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[Flipkart_Mobiles_project.new (1).xlsx]Value For Money Brands!PivotTable3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'Value For Money Brands'!$B$5:$B$6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'Value For Money Brands'!$A$7:$A$23</c:f>
              <c:strCache>
                <c:ptCount val="17"/>
                <c:pt idx="0">
                  <c:v>Apple</c:v>
                </c:pt>
                <c:pt idx="1">
                  <c:v>Google Pixel</c:v>
                </c:pt>
                <c:pt idx="2">
                  <c:v>IQOO</c:v>
                </c:pt>
                <c:pt idx="3">
                  <c:v>HTC</c:v>
                </c:pt>
                <c:pt idx="4">
                  <c:v>vivo</c:v>
                </c:pt>
                <c:pt idx="5">
                  <c:v>OPPO</c:v>
                </c:pt>
                <c:pt idx="6">
                  <c:v>POCO</c:v>
                </c:pt>
                <c:pt idx="7">
                  <c:v>LG</c:v>
                </c:pt>
                <c:pt idx="8">
                  <c:v>Xiaomi</c:v>
                </c:pt>
                <c:pt idx="9">
                  <c:v>realme</c:v>
                </c:pt>
                <c:pt idx="10">
                  <c:v>Motorola</c:v>
                </c:pt>
                <c:pt idx="11">
                  <c:v>SAMSUNG</c:v>
                </c:pt>
                <c:pt idx="12">
                  <c:v>ASUS</c:v>
                </c:pt>
                <c:pt idx="13">
                  <c:v>Infinix</c:v>
                </c:pt>
                <c:pt idx="14">
                  <c:v>Lenovo</c:v>
                </c:pt>
                <c:pt idx="15">
                  <c:v>GIONEE</c:v>
                </c:pt>
                <c:pt idx="16">
                  <c:v>Nokia</c:v>
                </c:pt>
              </c:strCache>
            </c:strRef>
          </c:cat>
          <c:val>
            <c:numRef>
              <c:f>'Value For Money Brands'!$B$7:$B$23</c:f>
              <c:numCache>
                <c:formatCode>0.0000</c:formatCode>
                <c:ptCount val="17"/>
                <c:pt idx="0">
                  <c:v>7.7970038641410402E-2</c:v>
                </c:pt>
                <c:pt idx="1">
                  <c:v>9.4281063606020218E-2</c:v>
                </c:pt>
                <c:pt idx="2">
                  <c:v>0.11863356816177047</c:v>
                </c:pt>
                <c:pt idx="3">
                  <c:v>0.20625698820207466</c:v>
                </c:pt>
                <c:pt idx="4">
                  <c:v>0.22996464236432124</c:v>
                </c:pt>
                <c:pt idx="5">
                  <c:v>0.27443196846656009</c:v>
                </c:pt>
                <c:pt idx="6">
                  <c:v>0.3007888105638501</c:v>
                </c:pt>
                <c:pt idx="7">
                  <c:v>0.30264099274117329</c:v>
                </c:pt>
                <c:pt idx="8">
                  <c:v>0.3139478900891533</c:v>
                </c:pt>
                <c:pt idx="9">
                  <c:v>0.31945468429103224</c:v>
                </c:pt>
                <c:pt idx="10">
                  <c:v>0.34551100389569905</c:v>
                </c:pt>
                <c:pt idx="11">
                  <c:v>0.35338604819624175</c:v>
                </c:pt>
                <c:pt idx="12">
                  <c:v>0.38558594638283622</c:v>
                </c:pt>
                <c:pt idx="13">
                  <c:v>0.40941448228463523</c:v>
                </c:pt>
                <c:pt idx="14">
                  <c:v>0.46105361407163764</c:v>
                </c:pt>
                <c:pt idx="15">
                  <c:v>0.72471697300429849</c:v>
                </c:pt>
                <c:pt idx="16">
                  <c:v>0.89400558418866571</c:v>
                </c:pt>
              </c:numCache>
            </c:numRef>
          </c:val>
          <c:extLst>
            <c:ext xmlns:c16="http://schemas.microsoft.com/office/drawing/2014/chart" uri="{C3380CC4-5D6E-409C-BE32-E72D297353CC}">
              <c16:uniqueId val="{00000003-6D2C-41C6-B7A0-36B36280F380}"/>
            </c:ext>
          </c:extLst>
        </c:ser>
        <c:dLbls>
          <c:dLblPos val="outEnd"/>
          <c:showLegendKey val="0"/>
          <c:showVal val="1"/>
          <c:showCatName val="0"/>
          <c:showSerName val="0"/>
          <c:showPercent val="0"/>
          <c:showBubbleSize val="0"/>
        </c:dLbls>
        <c:gapWidth val="182"/>
        <c:axId val="208720416"/>
        <c:axId val="208712256"/>
      </c:barChart>
      <c:catAx>
        <c:axId val="2087204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12256"/>
        <c:crosses val="autoZero"/>
        <c:auto val="1"/>
        <c:lblAlgn val="ctr"/>
        <c:lblOffset val="100"/>
        <c:noMultiLvlLbl val="0"/>
      </c:catAx>
      <c:valAx>
        <c:axId val="208712256"/>
        <c:scaling>
          <c:orientation val="minMax"/>
        </c:scaling>
        <c:delete val="0"/>
        <c:axPos val="b"/>
        <c:numFmt formatCode="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20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[Flipkart_Mobiles_project.new (1).xlsx]Margin Analysis!PivotTable7</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456036745406818E-2"/>
          <c:y val="0.13353374212171418"/>
          <c:w val="0.84101749781277346"/>
          <c:h val="0.50578065485848989"/>
        </c:manualLayout>
      </c:layout>
      <c:barChart>
        <c:barDir val="col"/>
        <c:grouping val="clustered"/>
        <c:varyColors val="0"/>
        <c:ser>
          <c:idx val="0"/>
          <c:order val="0"/>
          <c:tx>
            <c:strRef>
              <c:f>'Margin Analysis'!$B$3:$B$4</c:f>
              <c:strCache>
                <c:ptCount val="1"/>
                <c:pt idx="0">
                  <c:v>Average of Margin%</c:v>
                </c:pt>
              </c:strCache>
            </c:strRef>
          </c:tx>
          <c:spPr>
            <a:solidFill>
              <a:schemeClr val="accent1"/>
            </a:solidFill>
            <a:ln>
              <a:noFill/>
            </a:ln>
            <a:effectLst/>
          </c:spPr>
          <c:invertIfNegative val="0"/>
          <c:cat>
            <c:strRef>
              <c:f>'Margin Analysis'!$A$5:$A$21</c:f>
              <c:strCache>
                <c:ptCount val="17"/>
                <c:pt idx="0">
                  <c:v>Apple</c:v>
                </c:pt>
                <c:pt idx="1">
                  <c:v>ASUS</c:v>
                </c:pt>
                <c:pt idx="2">
                  <c:v>GIONEE</c:v>
                </c:pt>
                <c:pt idx="3">
                  <c:v>Google Pixel</c:v>
                </c:pt>
                <c:pt idx="4">
                  <c:v>HTC</c:v>
                </c:pt>
                <c:pt idx="5">
                  <c:v>Infinix</c:v>
                </c:pt>
                <c:pt idx="6">
                  <c:v>IQOO</c:v>
                </c:pt>
                <c:pt idx="7">
                  <c:v>Lenovo</c:v>
                </c:pt>
                <c:pt idx="8">
                  <c:v>LG</c:v>
                </c:pt>
                <c:pt idx="9">
                  <c:v>Motorola</c:v>
                </c:pt>
                <c:pt idx="10">
                  <c:v>Nokia</c:v>
                </c:pt>
                <c:pt idx="11">
                  <c:v>OPPO</c:v>
                </c:pt>
                <c:pt idx="12">
                  <c:v>POCO</c:v>
                </c:pt>
                <c:pt idx="13">
                  <c:v>realme</c:v>
                </c:pt>
                <c:pt idx="14">
                  <c:v>SAMSUNG</c:v>
                </c:pt>
                <c:pt idx="15">
                  <c:v>vivo</c:v>
                </c:pt>
                <c:pt idx="16">
                  <c:v>Xiaomi</c:v>
                </c:pt>
              </c:strCache>
            </c:strRef>
          </c:cat>
          <c:val>
            <c:numRef>
              <c:f>'Margin Analysis'!$B$5:$B$21</c:f>
              <c:numCache>
                <c:formatCode>0%</c:formatCode>
                <c:ptCount val="17"/>
                <c:pt idx="0">
                  <c:v>4.7044463947948721E-2</c:v>
                </c:pt>
                <c:pt idx="1">
                  <c:v>1.3569269868716295E-2</c:v>
                </c:pt>
                <c:pt idx="2">
                  <c:v>5.9939770069674325E-2</c:v>
                </c:pt>
                <c:pt idx="3">
                  <c:v>2.0685055938186293E-2</c:v>
                </c:pt>
                <c:pt idx="4">
                  <c:v>0</c:v>
                </c:pt>
                <c:pt idx="5">
                  <c:v>6.877392729358521E-2</c:v>
                </c:pt>
                <c:pt idx="6">
                  <c:v>9.0656265938318548E-2</c:v>
                </c:pt>
                <c:pt idx="7">
                  <c:v>2.4345998601385723E-2</c:v>
                </c:pt>
                <c:pt idx="8">
                  <c:v>8.8069980071286413E-2</c:v>
                </c:pt>
                <c:pt idx="9">
                  <c:v>0.12774220137163519</c:v>
                </c:pt>
                <c:pt idx="10">
                  <c:v>5.7713313139495029E-2</c:v>
                </c:pt>
                <c:pt idx="11">
                  <c:v>8.4334795257961254E-2</c:v>
                </c:pt>
                <c:pt idx="12">
                  <c:v>0.14543372004409699</c:v>
                </c:pt>
                <c:pt idx="13">
                  <c:v>8.3662394651547858E-2</c:v>
                </c:pt>
                <c:pt idx="14">
                  <c:v>5.9986411625973957E-2</c:v>
                </c:pt>
                <c:pt idx="15">
                  <c:v>4.8011495855403513E-2</c:v>
                </c:pt>
                <c:pt idx="16">
                  <c:v>3.9333911724524787E-2</c:v>
                </c:pt>
              </c:numCache>
            </c:numRef>
          </c:val>
          <c:extLst>
            <c:ext xmlns:c16="http://schemas.microsoft.com/office/drawing/2014/chart" uri="{C3380CC4-5D6E-409C-BE32-E72D297353CC}">
              <c16:uniqueId val="{00000006-4859-40A0-BCDD-078C9ED446E2}"/>
            </c:ext>
          </c:extLst>
        </c:ser>
        <c:ser>
          <c:idx val="1"/>
          <c:order val="1"/>
          <c:tx>
            <c:strRef>
              <c:f>'Margin Analysis'!$C$3:$C$4</c:f>
              <c:strCache>
                <c:ptCount val="1"/>
                <c:pt idx="0">
                  <c:v>Average of Rating</c:v>
                </c:pt>
              </c:strCache>
            </c:strRef>
          </c:tx>
          <c:spPr>
            <a:solidFill>
              <a:schemeClr val="accent2"/>
            </a:solidFill>
            <a:ln w="25400">
              <a:noFill/>
            </a:ln>
            <a:effectLst/>
          </c:spPr>
          <c:invertIfNegative val="0"/>
          <c:cat>
            <c:strRef>
              <c:f>'Margin Analysis'!$A$5:$A$21</c:f>
              <c:strCache>
                <c:ptCount val="17"/>
                <c:pt idx="0">
                  <c:v>Apple</c:v>
                </c:pt>
                <c:pt idx="1">
                  <c:v>ASUS</c:v>
                </c:pt>
                <c:pt idx="2">
                  <c:v>GIONEE</c:v>
                </c:pt>
                <c:pt idx="3">
                  <c:v>Google Pixel</c:v>
                </c:pt>
                <c:pt idx="4">
                  <c:v>HTC</c:v>
                </c:pt>
                <c:pt idx="5">
                  <c:v>Infinix</c:v>
                </c:pt>
                <c:pt idx="6">
                  <c:v>IQOO</c:v>
                </c:pt>
                <c:pt idx="7">
                  <c:v>Lenovo</c:v>
                </c:pt>
                <c:pt idx="8">
                  <c:v>LG</c:v>
                </c:pt>
                <c:pt idx="9">
                  <c:v>Motorola</c:v>
                </c:pt>
                <c:pt idx="10">
                  <c:v>Nokia</c:v>
                </c:pt>
                <c:pt idx="11">
                  <c:v>OPPO</c:v>
                </c:pt>
                <c:pt idx="12">
                  <c:v>POCO</c:v>
                </c:pt>
                <c:pt idx="13">
                  <c:v>realme</c:v>
                </c:pt>
                <c:pt idx="14">
                  <c:v>SAMSUNG</c:v>
                </c:pt>
                <c:pt idx="15">
                  <c:v>vivo</c:v>
                </c:pt>
                <c:pt idx="16">
                  <c:v>Xiaomi</c:v>
                </c:pt>
              </c:strCache>
            </c:strRef>
          </c:cat>
          <c:val>
            <c:numRef>
              <c:f>'Margin Analysis'!$C$5:$C$21</c:f>
              <c:numCache>
                <c:formatCode>General</c:formatCode>
                <c:ptCount val="17"/>
                <c:pt idx="0">
                  <c:v>4.5702194357366865</c:v>
                </c:pt>
                <c:pt idx="1">
                  <c:v>4.0828828828828865</c:v>
                </c:pt>
                <c:pt idx="2">
                  <c:v>3.8511811023622085</c:v>
                </c:pt>
                <c:pt idx="3">
                  <c:v>4.5068965517241377</c:v>
                </c:pt>
                <c:pt idx="4">
                  <c:v>3.969090909090911</c:v>
                </c:pt>
                <c:pt idx="5">
                  <c:v>4.2768211920529815</c:v>
                </c:pt>
                <c:pt idx="6">
                  <c:v>4.4000000000000004</c:v>
                </c:pt>
                <c:pt idx="7">
                  <c:v>3.9750000000000028</c:v>
                </c:pt>
                <c:pt idx="8">
                  <c:v>3.9816326530612249</c:v>
                </c:pt>
                <c:pt idx="9">
                  <c:v>4.1427184466019407</c:v>
                </c:pt>
                <c:pt idx="10">
                  <c:v>4.0059782608695649</c:v>
                </c:pt>
                <c:pt idx="11">
                  <c:v>4.2984063745019796</c:v>
                </c:pt>
                <c:pt idx="12">
                  <c:v>4.38767123287671</c:v>
                </c:pt>
                <c:pt idx="13">
                  <c:v>4.3928825622775776</c:v>
                </c:pt>
                <c:pt idx="14">
                  <c:v>4.2080291970802977</c:v>
                </c:pt>
                <c:pt idx="15">
                  <c:v>4.3929824561403494</c:v>
                </c:pt>
                <c:pt idx="16">
                  <c:v>4.304712041884807</c:v>
                </c:pt>
              </c:numCache>
            </c:numRef>
          </c:val>
          <c:extLst>
            <c:ext xmlns:c16="http://schemas.microsoft.com/office/drawing/2014/chart" uri="{C3380CC4-5D6E-409C-BE32-E72D297353CC}">
              <c16:uniqueId val="{00000007-4859-40A0-BCDD-078C9ED446E2}"/>
            </c:ext>
          </c:extLst>
        </c:ser>
        <c:dLbls>
          <c:showLegendKey val="0"/>
          <c:showVal val="0"/>
          <c:showCatName val="0"/>
          <c:showSerName val="0"/>
          <c:showPercent val="0"/>
          <c:showBubbleSize val="0"/>
        </c:dLbls>
        <c:gapWidth val="219"/>
        <c:overlap val="-27"/>
        <c:axId val="208729056"/>
        <c:axId val="208729536"/>
      </c:barChart>
      <c:catAx>
        <c:axId val="20872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29536"/>
        <c:crosses val="autoZero"/>
        <c:auto val="1"/>
        <c:lblAlgn val="ctr"/>
        <c:lblOffset val="100"/>
        <c:noMultiLvlLbl val="0"/>
      </c:catAx>
      <c:valAx>
        <c:axId val="2087295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29056"/>
        <c:crosses val="autoZero"/>
        <c:crossBetween val="between"/>
      </c:valAx>
      <c:spPr>
        <a:noFill/>
        <a:ln>
          <a:noFill/>
        </a:ln>
        <a:effectLst/>
      </c:spPr>
    </c:plotArea>
    <c:legend>
      <c:legendPos val="r"/>
      <c:layout>
        <c:manualLayout>
          <c:xMode val="edge"/>
          <c:yMode val="edge"/>
          <c:x val="0.14836001749781277"/>
          <c:y val="0.82477257587920816"/>
          <c:w val="0.79330664916885385"/>
          <c:h val="0.140042359130271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[Flipkart_Mobiles_project.new (1).xlsx]Calculations- Brand Performance!PivotTable1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SELLING</a:t>
            </a:r>
            <a:r>
              <a:rPr lang="en-US" baseline="0"/>
              <a:t> BRANDS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 Brand Performance'!$B$30:$B$31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 Brand Performance'!$A$32:$A$49</c:f>
              <c:strCache>
                <c:ptCount val="17"/>
                <c:pt idx="0">
                  <c:v>SAMSUNG</c:v>
                </c:pt>
                <c:pt idx="1">
                  <c:v>Apple</c:v>
                </c:pt>
                <c:pt idx="2">
                  <c:v>realme</c:v>
                </c:pt>
                <c:pt idx="3">
                  <c:v>OPPO</c:v>
                </c:pt>
                <c:pt idx="4">
                  <c:v>Xiaomi</c:v>
                </c:pt>
                <c:pt idx="5">
                  <c:v>Nokia</c:v>
                </c:pt>
                <c:pt idx="6">
                  <c:v>Infinix</c:v>
                </c:pt>
                <c:pt idx="7">
                  <c:v>GIONEE</c:v>
                </c:pt>
                <c:pt idx="8">
                  <c:v>Lenovo</c:v>
                </c:pt>
                <c:pt idx="9">
                  <c:v>vivo</c:v>
                </c:pt>
                <c:pt idx="10">
                  <c:v>ASUS</c:v>
                </c:pt>
                <c:pt idx="11">
                  <c:v>Motorola</c:v>
                </c:pt>
                <c:pt idx="12">
                  <c:v>LG</c:v>
                </c:pt>
                <c:pt idx="13">
                  <c:v>POCO</c:v>
                </c:pt>
                <c:pt idx="14">
                  <c:v>HTC</c:v>
                </c:pt>
                <c:pt idx="15">
                  <c:v>Google Pixel</c:v>
                </c:pt>
                <c:pt idx="16">
                  <c:v>IQOO</c:v>
                </c:pt>
              </c:strCache>
            </c:strRef>
          </c:cat>
          <c:val>
            <c:numRef>
              <c:f>'Calculations- Brand Performance'!$B$32:$B$49</c:f>
              <c:numCache>
                <c:formatCode>General</c:formatCode>
                <c:ptCount val="17"/>
                <c:pt idx="0">
                  <c:v>685</c:v>
                </c:pt>
                <c:pt idx="1">
                  <c:v>319</c:v>
                </c:pt>
                <c:pt idx="2">
                  <c:v>281</c:v>
                </c:pt>
                <c:pt idx="3">
                  <c:v>251</c:v>
                </c:pt>
                <c:pt idx="4">
                  <c:v>191</c:v>
                </c:pt>
                <c:pt idx="5">
                  <c:v>184</c:v>
                </c:pt>
                <c:pt idx="6">
                  <c:v>151</c:v>
                </c:pt>
                <c:pt idx="7">
                  <c:v>127</c:v>
                </c:pt>
                <c:pt idx="8">
                  <c:v>120</c:v>
                </c:pt>
                <c:pt idx="9">
                  <c:v>114</c:v>
                </c:pt>
                <c:pt idx="10">
                  <c:v>111</c:v>
                </c:pt>
                <c:pt idx="11">
                  <c:v>103</c:v>
                </c:pt>
                <c:pt idx="12">
                  <c:v>98</c:v>
                </c:pt>
                <c:pt idx="13">
                  <c:v>73</c:v>
                </c:pt>
                <c:pt idx="14">
                  <c:v>55</c:v>
                </c:pt>
                <c:pt idx="15">
                  <c:v>29</c:v>
                </c:pt>
                <c:pt idx="16">
                  <c:v>5</c:v>
                </c:pt>
              </c:numCache>
            </c:numRef>
          </c:val>
          <c:extLst>
            <c:ext xmlns:c16="http://schemas.microsoft.com/office/drawing/2014/chart" uri="{C3380CC4-5D6E-409C-BE32-E72D297353CC}">
              <c16:uniqueId val="{00000000-949E-490F-A041-31F06C9F7B92}"/>
            </c:ext>
          </c:extLst>
        </c:ser>
        <c:dLbls>
          <c:dLblPos val="outEnd"/>
          <c:showLegendKey val="0"/>
          <c:showVal val="1"/>
          <c:showCatName val="0"/>
          <c:showSerName val="0"/>
          <c:showPercent val="0"/>
          <c:showBubbleSize val="0"/>
        </c:dLbls>
        <c:gapWidth val="219"/>
        <c:overlap val="-27"/>
        <c:axId val="1309857311"/>
        <c:axId val="1309872671"/>
      </c:barChart>
      <c:catAx>
        <c:axId val="13098573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872671"/>
        <c:crosses val="autoZero"/>
        <c:auto val="1"/>
        <c:lblAlgn val="ctr"/>
        <c:lblOffset val="100"/>
        <c:noMultiLvlLbl val="0"/>
      </c:catAx>
      <c:valAx>
        <c:axId val="130987267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857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6FA8FF"/>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[Flipkart_Mobiles_project.new (1).xlsx]Brand Performance by Ratings!PivotTable6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BRANDS</a:t>
            </a:r>
            <a:r>
              <a:rPr lang="en-US" baseline="0"/>
              <a:t>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0062039919428677"/>
          <c:w val="0.88235870516185477"/>
          <c:h val="0.53542904229994503"/>
        </c:manualLayout>
      </c:layout>
      <c:barChart>
        <c:barDir val="col"/>
        <c:grouping val="stacked"/>
        <c:varyColors val="0"/>
        <c:ser>
          <c:idx val="0"/>
          <c:order val="0"/>
          <c:tx>
            <c:strRef>
              <c:f>'Brand Performance by Ratings'!$F$5:$F$6</c:f>
              <c:strCache>
                <c:ptCount val="1"/>
                <c:pt idx="0">
                  <c:v>Average</c:v>
                </c:pt>
              </c:strCache>
            </c:strRef>
          </c:tx>
          <c:spPr>
            <a:solidFill>
              <a:schemeClr val="accent1"/>
            </a:solidFill>
            <a:ln>
              <a:noFill/>
            </a:ln>
            <a:effectLst/>
          </c:spPr>
          <c:invertIfNegative val="0"/>
          <c:cat>
            <c:strRef>
              <c:f>'Brand Performance by Ratings'!$E$7:$E$23</c:f>
              <c:strCache>
                <c:ptCount val="17"/>
                <c:pt idx="0">
                  <c:v>Apple</c:v>
                </c:pt>
                <c:pt idx="1">
                  <c:v>ASUS</c:v>
                </c:pt>
                <c:pt idx="2">
                  <c:v>GIONEE</c:v>
                </c:pt>
                <c:pt idx="3">
                  <c:v>Google Pixel</c:v>
                </c:pt>
                <c:pt idx="4">
                  <c:v>HTC</c:v>
                </c:pt>
                <c:pt idx="5">
                  <c:v>Infinix</c:v>
                </c:pt>
                <c:pt idx="6">
                  <c:v>IQOO</c:v>
                </c:pt>
                <c:pt idx="7">
                  <c:v>Lenovo</c:v>
                </c:pt>
                <c:pt idx="8">
                  <c:v>LG</c:v>
                </c:pt>
                <c:pt idx="9">
                  <c:v>Motorola</c:v>
                </c:pt>
                <c:pt idx="10">
                  <c:v>Nokia</c:v>
                </c:pt>
                <c:pt idx="11">
                  <c:v>OPPO</c:v>
                </c:pt>
                <c:pt idx="12">
                  <c:v>POCO</c:v>
                </c:pt>
                <c:pt idx="13">
                  <c:v>realme</c:v>
                </c:pt>
                <c:pt idx="14">
                  <c:v>SAMSUNG</c:v>
                </c:pt>
                <c:pt idx="15">
                  <c:v>vivo</c:v>
                </c:pt>
                <c:pt idx="16">
                  <c:v>Xiaomi</c:v>
                </c:pt>
              </c:strCache>
            </c:strRef>
          </c:cat>
          <c:val>
            <c:numRef>
              <c:f>'Brand Performance by Ratings'!$F$7:$F$23</c:f>
              <c:numCache>
                <c:formatCode>0</c:formatCode>
                <c:ptCount val="17"/>
                <c:pt idx="1">
                  <c:v>51</c:v>
                </c:pt>
                <c:pt idx="2">
                  <c:v>84</c:v>
                </c:pt>
                <c:pt idx="4">
                  <c:v>37</c:v>
                </c:pt>
                <c:pt idx="5">
                  <c:v>5</c:v>
                </c:pt>
                <c:pt idx="7">
                  <c:v>64</c:v>
                </c:pt>
                <c:pt idx="8">
                  <c:v>54</c:v>
                </c:pt>
                <c:pt idx="9">
                  <c:v>19</c:v>
                </c:pt>
                <c:pt idx="10">
                  <c:v>97</c:v>
                </c:pt>
                <c:pt idx="11">
                  <c:v>15</c:v>
                </c:pt>
                <c:pt idx="14">
                  <c:v>124</c:v>
                </c:pt>
                <c:pt idx="15">
                  <c:v>1</c:v>
                </c:pt>
                <c:pt idx="16">
                  <c:v>3</c:v>
                </c:pt>
              </c:numCache>
            </c:numRef>
          </c:val>
          <c:extLst>
            <c:ext xmlns:c16="http://schemas.microsoft.com/office/drawing/2014/chart" uri="{C3380CC4-5D6E-409C-BE32-E72D297353CC}">
              <c16:uniqueId val="{00000000-808E-4596-8526-BFABD8EF8197}"/>
            </c:ext>
          </c:extLst>
        </c:ser>
        <c:ser>
          <c:idx val="1"/>
          <c:order val="1"/>
          <c:tx>
            <c:strRef>
              <c:f>'Brand Performance by Ratings'!$G$5:$G$6</c:f>
              <c:strCache>
                <c:ptCount val="1"/>
                <c:pt idx="0">
                  <c:v>Excellent</c:v>
                </c:pt>
              </c:strCache>
            </c:strRef>
          </c:tx>
          <c:spPr>
            <a:solidFill>
              <a:schemeClr val="accent2"/>
            </a:solidFill>
            <a:ln>
              <a:noFill/>
            </a:ln>
            <a:effectLst/>
          </c:spPr>
          <c:invertIfNegative val="0"/>
          <c:cat>
            <c:strRef>
              <c:f>'Brand Performance by Ratings'!$E$7:$E$23</c:f>
              <c:strCache>
                <c:ptCount val="17"/>
                <c:pt idx="0">
                  <c:v>Apple</c:v>
                </c:pt>
                <c:pt idx="1">
                  <c:v>ASUS</c:v>
                </c:pt>
                <c:pt idx="2">
                  <c:v>GIONEE</c:v>
                </c:pt>
                <c:pt idx="3">
                  <c:v>Google Pixel</c:v>
                </c:pt>
                <c:pt idx="4">
                  <c:v>HTC</c:v>
                </c:pt>
                <c:pt idx="5">
                  <c:v>Infinix</c:v>
                </c:pt>
                <c:pt idx="6">
                  <c:v>IQOO</c:v>
                </c:pt>
                <c:pt idx="7">
                  <c:v>Lenovo</c:v>
                </c:pt>
                <c:pt idx="8">
                  <c:v>LG</c:v>
                </c:pt>
                <c:pt idx="9">
                  <c:v>Motorola</c:v>
                </c:pt>
                <c:pt idx="10">
                  <c:v>Nokia</c:v>
                </c:pt>
                <c:pt idx="11">
                  <c:v>OPPO</c:v>
                </c:pt>
                <c:pt idx="12">
                  <c:v>POCO</c:v>
                </c:pt>
                <c:pt idx="13">
                  <c:v>realme</c:v>
                </c:pt>
                <c:pt idx="14">
                  <c:v>SAMSUNG</c:v>
                </c:pt>
                <c:pt idx="15">
                  <c:v>vivo</c:v>
                </c:pt>
                <c:pt idx="16">
                  <c:v>Xiaomi</c:v>
                </c:pt>
              </c:strCache>
            </c:strRef>
          </c:cat>
          <c:val>
            <c:numRef>
              <c:f>'Brand Performance by Ratings'!$G$7:$G$23</c:f>
              <c:numCache>
                <c:formatCode>0</c:formatCode>
                <c:ptCount val="17"/>
                <c:pt idx="0">
                  <c:v>191</c:v>
                </c:pt>
                <c:pt idx="1">
                  <c:v>2</c:v>
                </c:pt>
                <c:pt idx="3">
                  <c:v>10</c:v>
                </c:pt>
                <c:pt idx="4">
                  <c:v>5</c:v>
                </c:pt>
                <c:pt idx="11">
                  <c:v>2</c:v>
                </c:pt>
                <c:pt idx="13">
                  <c:v>6</c:v>
                </c:pt>
                <c:pt idx="14">
                  <c:v>26</c:v>
                </c:pt>
                <c:pt idx="15">
                  <c:v>5</c:v>
                </c:pt>
              </c:numCache>
            </c:numRef>
          </c:val>
          <c:extLst>
            <c:ext xmlns:c16="http://schemas.microsoft.com/office/drawing/2014/chart" uri="{C3380CC4-5D6E-409C-BE32-E72D297353CC}">
              <c16:uniqueId val="{0000000A-14F1-44CD-814E-2C77798411EB}"/>
            </c:ext>
          </c:extLst>
        </c:ser>
        <c:ser>
          <c:idx val="2"/>
          <c:order val="2"/>
          <c:tx>
            <c:strRef>
              <c:f>'Brand Performance by Ratings'!$H$5:$H$6</c:f>
              <c:strCache>
                <c:ptCount val="1"/>
                <c:pt idx="0">
                  <c:v>Good</c:v>
                </c:pt>
              </c:strCache>
            </c:strRef>
          </c:tx>
          <c:spPr>
            <a:solidFill>
              <a:schemeClr val="accent3"/>
            </a:solidFill>
            <a:ln>
              <a:noFill/>
            </a:ln>
            <a:effectLst/>
          </c:spPr>
          <c:invertIfNegative val="0"/>
          <c:cat>
            <c:strRef>
              <c:f>'Brand Performance by Ratings'!$E$7:$E$23</c:f>
              <c:strCache>
                <c:ptCount val="17"/>
                <c:pt idx="0">
                  <c:v>Apple</c:v>
                </c:pt>
                <c:pt idx="1">
                  <c:v>ASUS</c:v>
                </c:pt>
                <c:pt idx="2">
                  <c:v>GIONEE</c:v>
                </c:pt>
                <c:pt idx="3">
                  <c:v>Google Pixel</c:v>
                </c:pt>
                <c:pt idx="4">
                  <c:v>HTC</c:v>
                </c:pt>
                <c:pt idx="5">
                  <c:v>Infinix</c:v>
                </c:pt>
                <c:pt idx="6">
                  <c:v>IQOO</c:v>
                </c:pt>
                <c:pt idx="7">
                  <c:v>Lenovo</c:v>
                </c:pt>
                <c:pt idx="8">
                  <c:v>LG</c:v>
                </c:pt>
                <c:pt idx="9">
                  <c:v>Motorola</c:v>
                </c:pt>
                <c:pt idx="10">
                  <c:v>Nokia</c:v>
                </c:pt>
                <c:pt idx="11">
                  <c:v>OPPO</c:v>
                </c:pt>
                <c:pt idx="12">
                  <c:v>POCO</c:v>
                </c:pt>
                <c:pt idx="13">
                  <c:v>realme</c:v>
                </c:pt>
                <c:pt idx="14">
                  <c:v>SAMSUNG</c:v>
                </c:pt>
                <c:pt idx="15">
                  <c:v>vivo</c:v>
                </c:pt>
                <c:pt idx="16">
                  <c:v>Xiaomi</c:v>
                </c:pt>
              </c:strCache>
            </c:strRef>
          </c:cat>
          <c:val>
            <c:numRef>
              <c:f>'Brand Performance by Ratings'!$H$7:$H$23</c:f>
              <c:numCache>
                <c:formatCode>0</c:formatCode>
                <c:ptCount val="17"/>
                <c:pt idx="0">
                  <c:v>128</c:v>
                </c:pt>
                <c:pt idx="1">
                  <c:v>58</c:v>
                </c:pt>
                <c:pt idx="2">
                  <c:v>32</c:v>
                </c:pt>
                <c:pt idx="3">
                  <c:v>19</c:v>
                </c:pt>
                <c:pt idx="4">
                  <c:v>11</c:v>
                </c:pt>
                <c:pt idx="5">
                  <c:v>146</c:v>
                </c:pt>
                <c:pt idx="6">
                  <c:v>5</c:v>
                </c:pt>
                <c:pt idx="7">
                  <c:v>52</c:v>
                </c:pt>
                <c:pt idx="8">
                  <c:v>36</c:v>
                </c:pt>
                <c:pt idx="9">
                  <c:v>83</c:v>
                </c:pt>
                <c:pt idx="10">
                  <c:v>83</c:v>
                </c:pt>
                <c:pt idx="11">
                  <c:v>231</c:v>
                </c:pt>
                <c:pt idx="12">
                  <c:v>73</c:v>
                </c:pt>
                <c:pt idx="13">
                  <c:v>275</c:v>
                </c:pt>
                <c:pt idx="14">
                  <c:v>523</c:v>
                </c:pt>
                <c:pt idx="15">
                  <c:v>108</c:v>
                </c:pt>
                <c:pt idx="16">
                  <c:v>187</c:v>
                </c:pt>
              </c:numCache>
            </c:numRef>
          </c:val>
          <c:extLst>
            <c:ext xmlns:c16="http://schemas.microsoft.com/office/drawing/2014/chart" uri="{C3380CC4-5D6E-409C-BE32-E72D297353CC}">
              <c16:uniqueId val="{00000001-A7BA-4B44-90FB-6737BE7DCEE0}"/>
            </c:ext>
          </c:extLst>
        </c:ser>
        <c:ser>
          <c:idx val="3"/>
          <c:order val="3"/>
          <c:tx>
            <c:strRef>
              <c:f>'Brand Performance by Ratings'!$I$5:$I$6</c:f>
              <c:strCache>
                <c:ptCount val="1"/>
                <c:pt idx="0">
                  <c:v>Poor</c:v>
                </c:pt>
              </c:strCache>
            </c:strRef>
          </c:tx>
          <c:spPr>
            <a:solidFill>
              <a:schemeClr val="accent4"/>
            </a:solidFill>
            <a:ln>
              <a:noFill/>
            </a:ln>
            <a:effectLst/>
          </c:spPr>
          <c:invertIfNegative val="0"/>
          <c:cat>
            <c:strRef>
              <c:f>'Brand Performance by Ratings'!$E$7:$E$23</c:f>
              <c:strCache>
                <c:ptCount val="17"/>
                <c:pt idx="0">
                  <c:v>Apple</c:v>
                </c:pt>
                <c:pt idx="1">
                  <c:v>ASUS</c:v>
                </c:pt>
                <c:pt idx="2">
                  <c:v>GIONEE</c:v>
                </c:pt>
                <c:pt idx="3">
                  <c:v>Google Pixel</c:v>
                </c:pt>
                <c:pt idx="4">
                  <c:v>HTC</c:v>
                </c:pt>
                <c:pt idx="5">
                  <c:v>Infinix</c:v>
                </c:pt>
                <c:pt idx="6">
                  <c:v>IQOO</c:v>
                </c:pt>
                <c:pt idx="7">
                  <c:v>Lenovo</c:v>
                </c:pt>
                <c:pt idx="8">
                  <c:v>LG</c:v>
                </c:pt>
                <c:pt idx="9">
                  <c:v>Motorola</c:v>
                </c:pt>
                <c:pt idx="10">
                  <c:v>Nokia</c:v>
                </c:pt>
                <c:pt idx="11">
                  <c:v>OPPO</c:v>
                </c:pt>
                <c:pt idx="12">
                  <c:v>POCO</c:v>
                </c:pt>
                <c:pt idx="13">
                  <c:v>realme</c:v>
                </c:pt>
                <c:pt idx="14">
                  <c:v>SAMSUNG</c:v>
                </c:pt>
                <c:pt idx="15">
                  <c:v>vivo</c:v>
                </c:pt>
                <c:pt idx="16">
                  <c:v>Xiaomi</c:v>
                </c:pt>
              </c:strCache>
            </c:strRef>
          </c:cat>
          <c:val>
            <c:numRef>
              <c:f>'Brand Performance by Ratings'!$I$7:$I$23</c:f>
              <c:numCache>
                <c:formatCode>0</c:formatCode>
                <c:ptCount val="17"/>
                <c:pt idx="2">
                  <c:v>11</c:v>
                </c:pt>
                <c:pt idx="4">
                  <c:v>2</c:v>
                </c:pt>
                <c:pt idx="7">
                  <c:v>4</c:v>
                </c:pt>
                <c:pt idx="8">
                  <c:v>8</c:v>
                </c:pt>
                <c:pt idx="9">
                  <c:v>1</c:v>
                </c:pt>
                <c:pt idx="10">
                  <c:v>4</c:v>
                </c:pt>
                <c:pt idx="11">
                  <c:v>3</c:v>
                </c:pt>
                <c:pt idx="14">
                  <c:v>12</c:v>
                </c:pt>
                <c:pt idx="16">
                  <c:v>1</c:v>
                </c:pt>
              </c:numCache>
            </c:numRef>
          </c:val>
          <c:extLst>
            <c:ext xmlns:c16="http://schemas.microsoft.com/office/drawing/2014/chart" uri="{C3380CC4-5D6E-409C-BE32-E72D297353CC}">
              <c16:uniqueId val="{00000002-A7BA-4B44-90FB-6737BE7DCEE0}"/>
            </c:ext>
          </c:extLst>
        </c:ser>
        <c:dLbls>
          <c:showLegendKey val="0"/>
          <c:showVal val="0"/>
          <c:showCatName val="0"/>
          <c:showSerName val="0"/>
          <c:showPercent val="0"/>
          <c:showBubbleSize val="0"/>
        </c:dLbls>
        <c:gapWidth val="150"/>
        <c:overlap val="100"/>
        <c:axId val="1309892831"/>
        <c:axId val="1309895231"/>
      </c:barChart>
      <c:catAx>
        <c:axId val="1309892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895231"/>
        <c:crosses val="autoZero"/>
        <c:auto val="1"/>
        <c:lblAlgn val="ctr"/>
        <c:lblOffset val="100"/>
        <c:noMultiLvlLbl val="0"/>
      </c:catAx>
      <c:valAx>
        <c:axId val="130989523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9892831"/>
        <c:crosses val="autoZero"/>
        <c:crossBetween val="between"/>
      </c:valAx>
      <c:spPr>
        <a:noFill/>
        <a:ln>
          <a:noFill/>
        </a:ln>
        <a:effectLst/>
      </c:spPr>
    </c:plotArea>
    <c:legend>
      <c:legendPos val="r"/>
      <c:layout>
        <c:manualLayout>
          <c:xMode val="edge"/>
          <c:yMode val="edge"/>
          <c:x val="2.5495268147967359E-2"/>
          <c:y val="0.80756735904864718"/>
          <c:w val="0.1126004991907763"/>
          <c:h val="0.192432640951352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6FA8FF"/>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[Flipkart_Mobiles_project.new (1).xlsx]Margin Analysis!PivotTable7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HIGHEST MARGIN WITH HIGHEST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456036745406818E-2"/>
          <c:y val="0.13353374212171418"/>
          <c:w val="0.84101749781277346"/>
          <c:h val="0.50578065485848989"/>
        </c:manualLayout>
      </c:layout>
      <c:barChart>
        <c:barDir val="col"/>
        <c:grouping val="clustered"/>
        <c:varyColors val="0"/>
        <c:ser>
          <c:idx val="0"/>
          <c:order val="0"/>
          <c:tx>
            <c:strRef>
              <c:f>'Margin Analysis'!$B$3:$B$4</c:f>
              <c:strCache>
                <c:ptCount val="1"/>
                <c:pt idx="0">
                  <c:v>Average of Margin%</c:v>
                </c:pt>
              </c:strCache>
            </c:strRef>
          </c:tx>
          <c:spPr>
            <a:solidFill>
              <a:schemeClr val="accent1"/>
            </a:solidFill>
            <a:ln>
              <a:noFill/>
            </a:ln>
            <a:effectLst/>
          </c:spPr>
          <c:invertIfNegative val="0"/>
          <c:cat>
            <c:strRef>
              <c:f>'Margin Analysis'!$A$5:$A$21</c:f>
              <c:strCache>
                <c:ptCount val="17"/>
                <c:pt idx="0">
                  <c:v>Apple</c:v>
                </c:pt>
                <c:pt idx="1">
                  <c:v>ASUS</c:v>
                </c:pt>
                <c:pt idx="2">
                  <c:v>GIONEE</c:v>
                </c:pt>
                <c:pt idx="3">
                  <c:v>Google Pixel</c:v>
                </c:pt>
                <c:pt idx="4">
                  <c:v>HTC</c:v>
                </c:pt>
                <c:pt idx="5">
                  <c:v>Infinix</c:v>
                </c:pt>
                <c:pt idx="6">
                  <c:v>IQOO</c:v>
                </c:pt>
                <c:pt idx="7">
                  <c:v>Lenovo</c:v>
                </c:pt>
                <c:pt idx="8">
                  <c:v>LG</c:v>
                </c:pt>
                <c:pt idx="9">
                  <c:v>Motorola</c:v>
                </c:pt>
                <c:pt idx="10">
                  <c:v>Nokia</c:v>
                </c:pt>
                <c:pt idx="11">
                  <c:v>OPPO</c:v>
                </c:pt>
                <c:pt idx="12">
                  <c:v>POCO</c:v>
                </c:pt>
                <c:pt idx="13">
                  <c:v>realme</c:v>
                </c:pt>
                <c:pt idx="14">
                  <c:v>SAMSUNG</c:v>
                </c:pt>
                <c:pt idx="15">
                  <c:v>vivo</c:v>
                </c:pt>
                <c:pt idx="16">
                  <c:v>Xiaomi</c:v>
                </c:pt>
              </c:strCache>
            </c:strRef>
          </c:cat>
          <c:val>
            <c:numRef>
              <c:f>'Margin Analysis'!$B$5:$B$21</c:f>
              <c:numCache>
                <c:formatCode>0%</c:formatCode>
                <c:ptCount val="17"/>
                <c:pt idx="0">
                  <c:v>4.7044463947948721E-2</c:v>
                </c:pt>
                <c:pt idx="1">
                  <c:v>1.3569269868716295E-2</c:v>
                </c:pt>
                <c:pt idx="2">
                  <c:v>5.9939770069674325E-2</c:v>
                </c:pt>
                <c:pt idx="3">
                  <c:v>2.0685055938186293E-2</c:v>
                </c:pt>
                <c:pt idx="4">
                  <c:v>0</c:v>
                </c:pt>
                <c:pt idx="5">
                  <c:v>6.877392729358521E-2</c:v>
                </c:pt>
                <c:pt idx="6">
                  <c:v>9.0656265938318548E-2</c:v>
                </c:pt>
                <c:pt idx="7">
                  <c:v>2.4345998601385723E-2</c:v>
                </c:pt>
                <c:pt idx="8">
                  <c:v>8.8069980071286413E-2</c:v>
                </c:pt>
                <c:pt idx="9">
                  <c:v>0.12774220137163519</c:v>
                </c:pt>
                <c:pt idx="10">
                  <c:v>5.7713313139495029E-2</c:v>
                </c:pt>
                <c:pt idx="11">
                  <c:v>8.4334795257961254E-2</c:v>
                </c:pt>
                <c:pt idx="12">
                  <c:v>0.14543372004409699</c:v>
                </c:pt>
                <c:pt idx="13">
                  <c:v>8.3662394651547858E-2</c:v>
                </c:pt>
                <c:pt idx="14">
                  <c:v>5.9986411625973957E-2</c:v>
                </c:pt>
                <c:pt idx="15">
                  <c:v>4.8011495855403513E-2</c:v>
                </c:pt>
                <c:pt idx="16">
                  <c:v>3.9333911724524787E-2</c:v>
                </c:pt>
              </c:numCache>
            </c:numRef>
          </c:val>
          <c:extLst>
            <c:ext xmlns:c16="http://schemas.microsoft.com/office/drawing/2014/chart" uri="{C3380CC4-5D6E-409C-BE32-E72D297353CC}">
              <c16:uniqueId val="{00000007-7410-457A-8CDF-5DFA3531D4CA}"/>
            </c:ext>
          </c:extLst>
        </c:ser>
        <c:dLbls>
          <c:showLegendKey val="0"/>
          <c:showVal val="0"/>
          <c:showCatName val="0"/>
          <c:showSerName val="0"/>
          <c:showPercent val="0"/>
          <c:showBubbleSize val="0"/>
        </c:dLbls>
        <c:gapWidth val="219"/>
        <c:axId val="914448752"/>
        <c:axId val="914465072"/>
      </c:barChart>
      <c:lineChart>
        <c:grouping val="standard"/>
        <c:varyColors val="0"/>
        <c:ser>
          <c:idx val="1"/>
          <c:order val="1"/>
          <c:tx>
            <c:strRef>
              <c:f>'Margin Analysis'!$C$3:$C$4</c:f>
              <c:strCache>
                <c:ptCount val="1"/>
                <c:pt idx="0">
                  <c:v>Average of Rating</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'Margin Analysis'!$A$5:$A$21</c:f>
              <c:strCache>
                <c:ptCount val="17"/>
                <c:pt idx="0">
                  <c:v>Apple</c:v>
                </c:pt>
                <c:pt idx="1">
                  <c:v>ASUS</c:v>
                </c:pt>
                <c:pt idx="2">
                  <c:v>GIONEE</c:v>
                </c:pt>
                <c:pt idx="3">
                  <c:v>Google Pixel</c:v>
                </c:pt>
                <c:pt idx="4">
                  <c:v>HTC</c:v>
                </c:pt>
                <c:pt idx="5">
                  <c:v>Infinix</c:v>
                </c:pt>
                <c:pt idx="6">
                  <c:v>IQOO</c:v>
                </c:pt>
                <c:pt idx="7">
                  <c:v>Lenovo</c:v>
                </c:pt>
                <c:pt idx="8">
                  <c:v>LG</c:v>
                </c:pt>
                <c:pt idx="9">
                  <c:v>Motorola</c:v>
                </c:pt>
                <c:pt idx="10">
                  <c:v>Nokia</c:v>
                </c:pt>
                <c:pt idx="11">
                  <c:v>OPPO</c:v>
                </c:pt>
                <c:pt idx="12">
                  <c:v>POCO</c:v>
                </c:pt>
                <c:pt idx="13">
                  <c:v>realme</c:v>
                </c:pt>
                <c:pt idx="14">
                  <c:v>SAMSUNG</c:v>
                </c:pt>
                <c:pt idx="15">
                  <c:v>vivo</c:v>
                </c:pt>
                <c:pt idx="16">
                  <c:v>Xiaomi</c:v>
                </c:pt>
              </c:strCache>
            </c:strRef>
          </c:cat>
          <c:val>
            <c:numRef>
              <c:f>'Margin Analysis'!$C$5:$C$21</c:f>
              <c:numCache>
                <c:formatCode>General</c:formatCode>
                <c:ptCount val="17"/>
                <c:pt idx="0">
                  <c:v>4.5702194357366865</c:v>
                </c:pt>
                <c:pt idx="1">
                  <c:v>4.0828828828828865</c:v>
                </c:pt>
                <c:pt idx="2">
                  <c:v>3.8511811023622085</c:v>
                </c:pt>
                <c:pt idx="3">
                  <c:v>4.5068965517241377</c:v>
                </c:pt>
                <c:pt idx="4">
                  <c:v>3.969090909090911</c:v>
                </c:pt>
                <c:pt idx="5">
                  <c:v>4.2768211920529815</c:v>
                </c:pt>
                <c:pt idx="6">
                  <c:v>4.4000000000000004</c:v>
                </c:pt>
                <c:pt idx="7">
                  <c:v>3.9750000000000028</c:v>
                </c:pt>
                <c:pt idx="8">
                  <c:v>3.9816326530612249</c:v>
                </c:pt>
                <c:pt idx="9">
                  <c:v>4.1427184466019407</c:v>
                </c:pt>
                <c:pt idx="10">
                  <c:v>4.0059782608695649</c:v>
                </c:pt>
                <c:pt idx="11">
                  <c:v>4.2984063745019796</c:v>
                </c:pt>
                <c:pt idx="12">
                  <c:v>4.38767123287671</c:v>
                </c:pt>
                <c:pt idx="13">
                  <c:v>4.3928825622775776</c:v>
                </c:pt>
                <c:pt idx="14">
                  <c:v>4.2080291970802977</c:v>
                </c:pt>
                <c:pt idx="15">
                  <c:v>4.3929824561403494</c:v>
                </c:pt>
                <c:pt idx="16">
                  <c:v>4.304712041884807</c:v>
                </c:pt>
              </c:numCache>
            </c:numRef>
          </c:val>
          <c:smooth val="0"/>
          <c:extLst>
            <c:ext xmlns:c16="http://schemas.microsoft.com/office/drawing/2014/chart" uri="{C3380CC4-5D6E-409C-BE32-E72D297353CC}">
              <c16:uniqueId val="{00000008-7410-457A-8CDF-5DFA3531D4CA}"/>
            </c:ext>
          </c:extLst>
        </c:ser>
        <c:dLbls>
          <c:showLegendKey val="0"/>
          <c:showVal val="0"/>
          <c:showCatName val="0"/>
          <c:showSerName val="0"/>
          <c:showPercent val="0"/>
          <c:showBubbleSize val="0"/>
        </c:dLbls>
        <c:marker val="1"/>
        <c:smooth val="0"/>
        <c:axId val="208729056"/>
        <c:axId val="208729536"/>
      </c:lineChart>
      <c:catAx>
        <c:axId val="20872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29536"/>
        <c:crosses val="autoZero"/>
        <c:auto val="1"/>
        <c:lblAlgn val="ctr"/>
        <c:lblOffset val="100"/>
        <c:noMultiLvlLbl val="0"/>
      </c:catAx>
      <c:valAx>
        <c:axId val="2087295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29056"/>
        <c:crosses val="autoZero"/>
        <c:crossBetween val="between"/>
      </c:valAx>
      <c:valAx>
        <c:axId val="914465072"/>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448752"/>
        <c:crosses val="max"/>
        <c:crossBetween val="between"/>
      </c:valAx>
      <c:catAx>
        <c:axId val="914448752"/>
        <c:scaling>
          <c:orientation val="minMax"/>
        </c:scaling>
        <c:delete val="1"/>
        <c:axPos val="b"/>
        <c:numFmt formatCode="General" sourceLinked="1"/>
        <c:majorTickMark val="none"/>
        <c:minorTickMark val="none"/>
        <c:tickLblPos val="nextTo"/>
        <c:crossAx val="914465072"/>
        <c:crosses val="autoZero"/>
        <c:auto val="1"/>
        <c:lblAlgn val="ctr"/>
        <c:lblOffset val="100"/>
        <c:noMultiLvlLbl val="0"/>
      </c:catAx>
      <c:spPr>
        <a:noFill/>
        <a:ln>
          <a:noFill/>
        </a:ln>
        <a:effectLst/>
      </c:spPr>
    </c:plotArea>
    <c:legend>
      <c:legendPos val="r"/>
      <c:layout>
        <c:manualLayout>
          <c:xMode val="edge"/>
          <c:yMode val="edge"/>
          <c:x val="4.6505960498595941E-2"/>
          <c:y val="0.82477257587920816"/>
          <c:w val="0.89143147112636856"/>
          <c:h val="0.144273675274837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2874F0"/>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[Flipkart_Mobiles_project.new (1).xlsx]Value For Money Brands!PivotTable3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VALUE</a:t>
            </a:r>
            <a:r>
              <a:rPr lang="en-US" baseline="0"/>
              <a:t> FOR MONEY BRANDS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'Value For Money Brands'!$B$5:$B$6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'Value For Money Brands'!$A$7:$A$23</c:f>
              <c:strCache>
                <c:ptCount val="17"/>
                <c:pt idx="0">
                  <c:v>Apple</c:v>
                </c:pt>
                <c:pt idx="1">
                  <c:v>Google Pixel</c:v>
                </c:pt>
                <c:pt idx="2">
                  <c:v>IQOO</c:v>
                </c:pt>
                <c:pt idx="3">
                  <c:v>HTC</c:v>
                </c:pt>
                <c:pt idx="4">
                  <c:v>vivo</c:v>
                </c:pt>
                <c:pt idx="5">
                  <c:v>OPPO</c:v>
                </c:pt>
                <c:pt idx="6">
                  <c:v>POCO</c:v>
                </c:pt>
                <c:pt idx="7">
                  <c:v>LG</c:v>
                </c:pt>
                <c:pt idx="8">
                  <c:v>Xiaomi</c:v>
                </c:pt>
                <c:pt idx="9">
                  <c:v>realme</c:v>
                </c:pt>
                <c:pt idx="10">
                  <c:v>Motorola</c:v>
                </c:pt>
                <c:pt idx="11">
                  <c:v>SAMSUNG</c:v>
                </c:pt>
                <c:pt idx="12">
                  <c:v>ASUS</c:v>
                </c:pt>
                <c:pt idx="13">
                  <c:v>Infinix</c:v>
                </c:pt>
                <c:pt idx="14">
                  <c:v>Lenovo</c:v>
                </c:pt>
                <c:pt idx="15">
                  <c:v>GIONEE</c:v>
                </c:pt>
                <c:pt idx="16">
                  <c:v>Nokia</c:v>
                </c:pt>
              </c:strCache>
            </c:strRef>
          </c:cat>
          <c:val>
            <c:numRef>
              <c:f>'Value For Money Brands'!$B$7:$B$23</c:f>
              <c:numCache>
                <c:formatCode>0.0000</c:formatCode>
                <c:ptCount val="17"/>
                <c:pt idx="0">
                  <c:v>7.7970038641410402E-2</c:v>
                </c:pt>
                <c:pt idx="1">
                  <c:v>9.4281063606020218E-2</c:v>
                </c:pt>
                <c:pt idx="2">
                  <c:v>0.11863356816177047</c:v>
                </c:pt>
                <c:pt idx="3">
                  <c:v>0.20625698820207466</c:v>
                </c:pt>
                <c:pt idx="4">
                  <c:v>0.22996464236432124</c:v>
                </c:pt>
                <c:pt idx="5">
                  <c:v>0.27443196846656009</c:v>
                </c:pt>
                <c:pt idx="6">
                  <c:v>0.3007888105638501</c:v>
                </c:pt>
                <c:pt idx="7">
                  <c:v>0.30264099274117329</c:v>
                </c:pt>
                <c:pt idx="8">
                  <c:v>0.3139478900891533</c:v>
                </c:pt>
                <c:pt idx="9">
                  <c:v>0.31945468429103224</c:v>
                </c:pt>
                <c:pt idx="10">
                  <c:v>0.34551100389569905</c:v>
                </c:pt>
                <c:pt idx="11">
                  <c:v>0.35338604819624175</c:v>
                </c:pt>
                <c:pt idx="12">
                  <c:v>0.38558594638283622</c:v>
                </c:pt>
                <c:pt idx="13">
                  <c:v>0.40941448228463523</c:v>
                </c:pt>
                <c:pt idx="14">
                  <c:v>0.46105361407163764</c:v>
                </c:pt>
                <c:pt idx="15">
                  <c:v>0.72471697300429849</c:v>
                </c:pt>
                <c:pt idx="16">
                  <c:v>0.89400558418866571</c:v>
                </c:pt>
              </c:numCache>
            </c:numRef>
          </c:val>
          <c:extLst>
            <c:ext xmlns:c16="http://schemas.microsoft.com/office/drawing/2014/chart" uri="{C3380CC4-5D6E-409C-BE32-E72D297353CC}">
              <c16:uniqueId val="{00000004-4928-4A54-9E61-3FD63A4F09E9}"/>
            </c:ext>
          </c:extLst>
        </c:ser>
        <c:dLbls>
          <c:dLblPos val="outEnd"/>
          <c:showLegendKey val="0"/>
          <c:showVal val="1"/>
          <c:showCatName val="0"/>
          <c:showSerName val="0"/>
          <c:showPercent val="0"/>
          <c:showBubbleSize val="0"/>
        </c:dLbls>
        <c:gapWidth val="182"/>
        <c:axId val="208720416"/>
        <c:axId val="208712256"/>
      </c:barChart>
      <c:catAx>
        <c:axId val="2087204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12256"/>
        <c:crosses val="autoZero"/>
        <c:auto val="1"/>
        <c:lblAlgn val="ctr"/>
        <c:lblOffset val="100"/>
        <c:noMultiLvlLbl val="0"/>
      </c:catAx>
      <c:valAx>
        <c:axId val="208712256"/>
        <c:scaling>
          <c:orientation val="minMax"/>
        </c:scaling>
        <c:delete val="0"/>
        <c:axPos val="b"/>
        <c:numFmt formatCode="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20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6FA8FF"/>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323850</xdr:colOff>
      <xdr:row>3</xdr:row>
      <xdr:rowOff>69850</xdr:rowOff>
    </xdr:from>
    <xdr:to>
      <xdr:col>10</xdr:col>
      <xdr:colOff>171450</xdr:colOff>
      <xdr:row>18</xdr:row>
      <xdr:rowOff>50800</xdr:rowOff>
    </xdr:to>
    <xdr:graphicFrame macro="">
      <xdr:nvGraphicFramePr>
        <xdr:cNvPr id="2" name="Chart 1">
          <a:extLst>
            <a:ext uri="{FF2B5EF4-FFF2-40B4-BE49-F238E27FC236}">
              <a16:creationId xmlns:a16="http://schemas.microsoft.com/office/drawing/2014/main" id="{5E09689F-682E-6BC6-76A7-04277EAA78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158750</xdr:colOff>
      <xdr:row>2</xdr:row>
      <xdr:rowOff>114300</xdr:rowOff>
    </xdr:from>
    <xdr:to>
      <xdr:col>10</xdr:col>
      <xdr:colOff>463550</xdr:colOff>
      <xdr:row>18</xdr:row>
      <xdr:rowOff>95250</xdr:rowOff>
    </xdr:to>
    <xdr:graphicFrame macro="">
      <xdr:nvGraphicFramePr>
        <xdr:cNvPr id="2" name="Chart 1">
          <a:extLst>
            <a:ext uri="{FF2B5EF4-FFF2-40B4-BE49-F238E27FC236}">
              <a16:creationId xmlns:a16="http://schemas.microsoft.com/office/drawing/2014/main" id="{3D2CEDE7-56EB-463B-AE9A-978F2BDA7C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19050</xdr:colOff>
      <xdr:row>0</xdr:row>
      <xdr:rowOff>0</xdr:rowOff>
    </xdr:from>
    <xdr:to>
      <xdr:col>26</xdr:col>
      <xdr:colOff>23318</xdr:colOff>
      <xdr:row>3</xdr:row>
      <xdr:rowOff>61087</xdr:rowOff>
    </xdr:to>
    <xdr:sp macro="" textlink="">
      <xdr:nvSpPr>
        <xdr:cNvPr id="2" name="Rectangle: Rounded Corners 1">
          <a:extLst>
            <a:ext uri="{FF2B5EF4-FFF2-40B4-BE49-F238E27FC236}">
              <a16:creationId xmlns:a16="http://schemas.microsoft.com/office/drawing/2014/main" id="{BC862581-0F80-4502-B9E2-5DC9AC29ACCA}"/>
            </a:ext>
          </a:extLst>
        </xdr:cNvPr>
        <xdr:cNvSpPr/>
      </xdr:nvSpPr>
      <xdr:spPr>
        <a:xfrm>
          <a:off x="19050" y="0"/>
          <a:ext cx="15853868" cy="613537"/>
        </a:xfrm>
        <a:prstGeom prst="roundRect">
          <a:avLst/>
        </a:prstGeom>
        <a:solidFill>
          <a:srgbClr val="2874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solidFill>
                <a:srgbClr val="FFE500"/>
              </a:solidFill>
              <a:latin typeface="Aptos Narrow" panose="020B0004020202020204" pitchFamily="34" charset="0"/>
            </a:rPr>
            <a:t>FLIPKART MOBILE MARKET INSIGHTS</a:t>
          </a:r>
          <a:r>
            <a:rPr lang="en-US" sz="3000" b="1">
              <a:solidFill>
                <a:srgbClr val="FFE500"/>
              </a:solidFill>
              <a:latin typeface="Aptos Narrow" panose="020B0004020202020204" pitchFamily="34" charset="0"/>
            </a:rPr>
            <a:t>: </a:t>
          </a:r>
          <a:r>
            <a:rPr lang="en-US" sz="1600" b="1">
              <a:solidFill>
                <a:srgbClr val="FFE500"/>
              </a:solidFill>
              <a:effectLst/>
              <a:latin typeface="Aptos Narrow" panose="020B0004020202020204" pitchFamily="34" charset="0"/>
              <a:ea typeface="+mn-ea"/>
              <a:cs typeface="+mn-cs"/>
            </a:rPr>
            <a:t>For Product Manager Review</a:t>
          </a:r>
          <a:endParaRPr lang="en-US" sz="1600">
            <a:solidFill>
              <a:srgbClr val="FFE500"/>
            </a:solidFill>
            <a:latin typeface="Aptos Narrow" panose="020B0004020202020204" pitchFamily="34" charset="0"/>
          </a:endParaRPr>
        </a:p>
      </xdr:txBody>
    </xdr:sp>
    <xdr:clientData/>
  </xdr:twoCellAnchor>
  <xdr:twoCellAnchor editAs="oneCell">
    <xdr:from>
      <xdr:col>0</xdr:col>
      <xdr:colOff>0</xdr:colOff>
      <xdr:row>0</xdr:row>
      <xdr:rowOff>0</xdr:rowOff>
    </xdr:from>
    <xdr:to>
      <xdr:col>1</xdr:col>
      <xdr:colOff>39537</xdr:colOff>
      <xdr:row>3</xdr:row>
      <xdr:rowOff>32421</xdr:rowOff>
    </xdr:to>
    <xdr:pic>
      <xdr:nvPicPr>
        <xdr:cNvPr id="3" name="Picture 2">
          <a:extLst>
            <a:ext uri="{FF2B5EF4-FFF2-40B4-BE49-F238E27FC236}">
              <a16:creationId xmlns:a16="http://schemas.microsoft.com/office/drawing/2014/main" id="{6C3697FC-473C-4FEB-9ACF-FDEBC5D579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49137" cy="584871"/>
        </a:xfrm>
        <a:prstGeom prst="rect">
          <a:avLst/>
        </a:prstGeom>
      </xdr:spPr>
    </xdr:pic>
    <xdr:clientData/>
  </xdr:twoCellAnchor>
  <xdr:twoCellAnchor editAs="oneCell">
    <xdr:from>
      <xdr:col>24</xdr:col>
      <xdr:colOff>584200</xdr:colOff>
      <xdr:row>0</xdr:row>
      <xdr:rowOff>95250</xdr:rowOff>
    </xdr:from>
    <xdr:to>
      <xdr:col>25</xdr:col>
      <xdr:colOff>433238</xdr:colOff>
      <xdr:row>2</xdr:row>
      <xdr:rowOff>175284</xdr:rowOff>
    </xdr:to>
    <xdr:pic>
      <xdr:nvPicPr>
        <xdr:cNvPr id="4" name="Picture 3">
          <a:extLst>
            <a:ext uri="{FF2B5EF4-FFF2-40B4-BE49-F238E27FC236}">
              <a16:creationId xmlns:a16="http://schemas.microsoft.com/office/drawing/2014/main" id="{9E556F88-CCB9-4596-901C-443C737AC17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214600" y="95250"/>
          <a:ext cx="458638" cy="448334"/>
        </a:xfrm>
        <a:prstGeom prst="rect">
          <a:avLst/>
        </a:prstGeom>
      </xdr:spPr>
    </xdr:pic>
    <xdr:clientData/>
  </xdr:twoCellAnchor>
  <xdr:twoCellAnchor>
    <xdr:from>
      <xdr:col>6</xdr:col>
      <xdr:colOff>604157</xdr:colOff>
      <xdr:row>7</xdr:row>
      <xdr:rowOff>18777</xdr:rowOff>
    </xdr:from>
    <xdr:to>
      <xdr:col>9</xdr:col>
      <xdr:colOff>605144</xdr:colOff>
      <xdr:row>11</xdr:row>
      <xdr:rowOff>64389</xdr:rowOff>
    </xdr:to>
    <xdr:sp macro="" textlink="'KPI Sheet'!B6">
      <xdr:nvSpPr>
        <xdr:cNvPr id="5" name="Rectangle: Rounded Corners 4">
          <a:extLst>
            <a:ext uri="{FF2B5EF4-FFF2-40B4-BE49-F238E27FC236}">
              <a16:creationId xmlns:a16="http://schemas.microsoft.com/office/drawing/2014/main" id="{04B86A4D-2D2C-48A1-98D3-CBEC85DD7A3F}"/>
            </a:ext>
          </a:extLst>
        </xdr:cNvPr>
        <xdr:cNvSpPr/>
      </xdr:nvSpPr>
      <xdr:spPr>
        <a:xfrm>
          <a:off x="4261757" y="1322644"/>
          <a:ext cx="1829787" cy="790678"/>
        </a:xfrm>
        <a:prstGeom prst="roundRect">
          <a:avLst/>
        </a:prstGeom>
        <a:solidFill>
          <a:srgbClr val="EAF1F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rgbClr val="000000"/>
              </a:solidFill>
              <a:latin typeface="Calibri"/>
              <a:ea typeface="Calibri"/>
              <a:cs typeface="Calibri"/>
            </a:rPr>
            <a:t>Total</a:t>
          </a:r>
          <a:r>
            <a:rPr lang="en-US" sz="1600" b="0" i="0" u="none" strike="noStrike" baseline="0">
              <a:solidFill>
                <a:srgbClr val="000000"/>
              </a:solidFill>
              <a:latin typeface="Calibri"/>
              <a:ea typeface="Calibri"/>
              <a:cs typeface="Calibri"/>
            </a:rPr>
            <a:t> Units</a:t>
          </a:r>
          <a:r>
            <a:rPr lang="en-US" sz="1600" b="0" i="0" u="none" strike="noStrike">
              <a:solidFill>
                <a:srgbClr val="000000"/>
              </a:solidFill>
              <a:latin typeface="Calibri"/>
              <a:ea typeface="Calibri"/>
              <a:cs typeface="Calibri"/>
            </a:rPr>
            <a:t>:</a:t>
          </a:r>
        </a:p>
        <a:p>
          <a:pPr algn="ctr"/>
          <a:fld id="{37C8480D-9B27-459A-8358-A203D0DB7DC4}" type="TxLink">
            <a:rPr lang="en-US" sz="2000" b="0" i="0" u="none" strike="noStrike">
              <a:solidFill>
                <a:srgbClr val="2874F0"/>
              </a:solidFill>
              <a:latin typeface="Calibri"/>
              <a:ea typeface="Calibri"/>
              <a:cs typeface="Calibri"/>
            </a:rPr>
            <a:pPr algn="ctr"/>
            <a:t>2897</a:t>
          </a:fld>
          <a:endParaRPr lang="en-US" sz="2000">
            <a:solidFill>
              <a:srgbClr val="2874F0"/>
            </a:solidFill>
          </a:endParaRPr>
        </a:p>
      </xdr:txBody>
    </xdr:sp>
    <xdr:clientData/>
  </xdr:twoCellAnchor>
  <xdr:twoCellAnchor>
    <xdr:from>
      <xdr:col>11</xdr:col>
      <xdr:colOff>1094</xdr:colOff>
      <xdr:row>6</xdr:row>
      <xdr:rowOff>181521</xdr:rowOff>
    </xdr:from>
    <xdr:to>
      <xdr:col>13</xdr:col>
      <xdr:colOff>610347</xdr:colOff>
      <xdr:row>11</xdr:row>
      <xdr:rowOff>45704</xdr:rowOff>
    </xdr:to>
    <xdr:sp macro="" textlink="'KPI Sheet'!M6">
      <xdr:nvSpPr>
        <xdr:cNvPr id="6" name="Rectangle: Rounded Corners 5">
          <a:extLst>
            <a:ext uri="{FF2B5EF4-FFF2-40B4-BE49-F238E27FC236}">
              <a16:creationId xmlns:a16="http://schemas.microsoft.com/office/drawing/2014/main" id="{C43A4047-A82A-45C9-9970-600FF97A6716}"/>
            </a:ext>
          </a:extLst>
        </xdr:cNvPr>
        <xdr:cNvSpPr/>
      </xdr:nvSpPr>
      <xdr:spPr>
        <a:xfrm>
          <a:off x="6745232" y="1298245"/>
          <a:ext cx="1835460" cy="794787"/>
        </a:xfrm>
        <a:prstGeom prst="roundRect">
          <a:avLst/>
        </a:prstGeom>
        <a:solidFill>
          <a:srgbClr val="EAF1F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rgbClr val="000000"/>
              </a:solidFill>
              <a:latin typeface="Calibri"/>
              <a:ea typeface="Calibri"/>
              <a:cs typeface="Calibri"/>
            </a:rPr>
            <a:t>Avg.</a:t>
          </a:r>
          <a:r>
            <a:rPr lang="en-US" sz="1600" b="0" i="0" u="none" strike="noStrike" baseline="0">
              <a:solidFill>
                <a:srgbClr val="000000"/>
              </a:solidFill>
              <a:latin typeface="Calibri"/>
              <a:ea typeface="Calibri"/>
              <a:cs typeface="Calibri"/>
            </a:rPr>
            <a:t> Rating</a:t>
          </a:r>
          <a:r>
            <a:rPr lang="en-US" sz="1600" b="0" i="0" u="none" strike="noStrike">
              <a:solidFill>
                <a:srgbClr val="000000"/>
              </a:solidFill>
              <a:latin typeface="Calibri"/>
              <a:ea typeface="Calibri"/>
              <a:cs typeface="Calibri"/>
            </a:rPr>
            <a:t>:</a:t>
          </a:r>
        </a:p>
        <a:p>
          <a:pPr algn="ctr"/>
          <a:fld id="{ED9AB40F-4B63-4385-9CA3-EF82B2B7A800}" type="TxLink">
            <a:rPr lang="en-US" sz="2000" b="0" i="0" u="none" strike="noStrike">
              <a:solidFill>
                <a:srgbClr val="2874F0"/>
              </a:solidFill>
              <a:latin typeface="Calibri"/>
              <a:ea typeface="Calibri"/>
              <a:cs typeface="Calibri"/>
            </a:rPr>
            <a:pPr algn="ctr"/>
            <a:t>4.24</a:t>
          </a:fld>
          <a:endParaRPr lang="en-US" sz="2000" b="0" i="0" u="none" strike="noStrike">
            <a:solidFill>
              <a:srgbClr val="2874F0"/>
            </a:solidFill>
            <a:latin typeface="Calibri"/>
            <a:ea typeface="Calibri"/>
            <a:cs typeface="Calibri"/>
          </a:endParaRPr>
        </a:p>
      </xdr:txBody>
    </xdr:sp>
    <xdr:clientData/>
  </xdr:twoCellAnchor>
  <xdr:twoCellAnchor>
    <xdr:from>
      <xdr:col>15</xdr:col>
      <xdr:colOff>24050</xdr:colOff>
      <xdr:row>7</xdr:row>
      <xdr:rowOff>2628</xdr:rowOff>
    </xdr:from>
    <xdr:to>
      <xdr:col>18</xdr:col>
      <xdr:colOff>10948</xdr:colOff>
      <xdr:row>11</xdr:row>
      <xdr:rowOff>54903</xdr:rowOff>
    </xdr:to>
    <xdr:sp macro="" textlink="'KPI Sheet'!T6">
      <xdr:nvSpPr>
        <xdr:cNvPr id="7" name="Rectangle: Rounded Corners 6">
          <a:extLst>
            <a:ext uri="{FF2B5EF4-FFF2-40B4-BE49-F238E27FC236}">
              <a16:creationId xmlns:a16="http://schemas.microsoft.com/office/drawing/2014/main" id="{7E35C85A-5AB1-4F80-9D6F-42AA48F63582}"/>
            </a:ext>
          </a:extLst>
        </xdr:cNvPr>
        <xdr:cNvSpPr/>
      </xdr:nvSpPr>
      <xdr:spPr>
        <a:xfrm>
          <a:off x="9220602" y="1305473"/>
          <a:ext cx="1826208" cy="796758"/>
        </a:xfrm>
        <a:prstGeom prst="roundRect">
          <a:avLst/>
        </a:prstGeom>
        <a:solidFill>
          <a:srgbClr val="EAF1F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rgbClr val="000000"/>
              </a:solidFill>
              <a:latin typeface="Calibri"/>
              <a:ea typeface="Calibri"/>
              <a:cs typeface="Calibri"/>
            </a:rPr>
            <a:t>Avg. Margin%:</a:t>
          </a:r>
        </a:p>
        <a:p>
          <a:pPr algn="ctr"/>
          <a:fld id="{338A0A54-F86F-4CF1-BB0D-EEDDF0C9F437}" type="TxLink">
            <a:rPr lang="en-US" sz="2000" b="0" i="0" u="none" strike="noStrike">
              <a:solidFill>
                <a:srgbClr val="2874F0"/>
              </a:solidFill>
              <a:latin typeface="Calibri"/>
              <a:ea typeface="Calibri"/>
              <a:cs typeface="Calibri"/>
            </a:rPr>
            <a:pPr algn="ctr"/>
            <a:t>6%</a:t>
          </a:fld>
          <a:endParaRPr lang="en-US" sz="2000" b="0" i="0" u="none" strike="noStrike">
            <a:solidFill>
              <a:srgbClr val="2874F0"/>
            </a:solidFill>
            <a:latin typeface="Calibri"/>
            <a:ea typeface="Calibri"/>
            <a:cs typeface="Calibri"/>
          </a:endParaRPr>
        </a:p>
      </xdr:txBody>
    </xdr:sp>
    <xdr:clientData/>
  </xdr:twoCellAnchor>
  <xdr:twoCellAnchor>
    <xdr:from>
      <xdr:col>19</xdr:col>
      <xdr:colOff>10949</xdr:colOff>
      <xdr:row>7</xdr:row>
      <xdr:rowOff>10947</xdr:rowOff>
    </xdr:from>
    <xdr:to>
      <xdr:col>22</xdr:col>
      <xdr:colOff>3595</xdr:colOff>
      <xdr:row>11</xdr:row>
      <xdr:rowOff>61251</xdr:rowOff>
    </xdr:to>
    <xdr:sp macro="" textlink="'KPI Sheet'!G6">
      <xdr:nvSpPr>
        <xdr:cNvPr id="8" name="Rectangle: Rounded Corners 7">
          <a:extLst>
            <a:ext uri="{FF2B5EF4-FFF2-40B4-BE49-F238E27FC236}">
              <a16:creationId xmlns:a16="http://schemas.microsoft.com/office/drawing/2014/main" id="{80F9919B-05DE-47B6-852B-2DC5E8BFAA1E}"/>
            </a:ext>
          </a:extLst>
        </xdr:cNvPr>
        <xdr:cNvSpPr/>
      </xdr:nvSpPr>
      <xdr:spPr>
        <a:xfrm>
          <a:off x="11659915" y="1313792"/>
          <a:ext cx="1831956" cy="794787"/>
        </a:xfrm>
        <a:prstGeom prst="roundRect">
          <a:avLst/>
        </a:prstGeom>
        <a:solidFill>
          <a:srgbClr val="EAF1F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600" b="0" i="0" u="none" strike="noStrike">
              <a:solidFill>
                <a:srgbClr val="000000"/>
              </a:solidFill>
              <a:latin typeface="Calibri"/>
              <a:ea typeface="Calibri"/>
              <a:cs typeface="Calibri"/>
            </a:rPr>
            <a:t>Total</a:t>
          </a:r>
          <a:r>
            <a:rPr lang="en-US" sz="1600" b="0" i="0" u="none" strike="noStrike" baseline="0">
              <a:solidFill>
                <a:srgbClr val="000000"/>
              </a:solidFill>
              <a:latin typeface="Calibri"/>
              <a:ea typeface="Calibri"/>
              <a:cs typeface="Calibri"/>
            </a:rPr>
            <a:t> Selling Price</a:t>
          </a:r>
          <a:r>
            <a:rPr lang="en-US" sz="1600" b="0" i="0" u="none" strike="noStrike">
              <a:solidFill>
                <a:srgbClr val="000000"/>
              </a:solidFill>
              <a:latin typeface="Calibri"/>
              <a:ea typeface="Calibri"/>
              <a:cs typeface="Calibri"/>
            </a:rPr>
            <a:t>:</a:t>
          </a:r>
        </a:p>
        <a:p>
          <a:pPr algn="ctr"/>
          <a:fld id="{F231621C-F7DD-4CB7-A90E-3C2F4702D2C1}" type="TxLink">
            <a:rPr lang="en-US" sz="2000" b="0" i="0" u="none" strike="noStrike">
              <a:solidFill>
                <a:srgbClr val="2874F0"/>
              </a:solidFill>
              <a:latin typeface="Calibri"/>
              <a:ea typeface="Calibri"/>
              <a:cs typeface="Calibri"/>
            </a:rPr>
            <a:pPr algn="ctr"/>
            <a:t>₹ 71,534,150</a:t>
          </a:fld>
          <a:endParaRPr lang="en-US" sz="2000">
            <a:solidFill>
              <a:srgbClr val="2874F0"/>
            </a:solidFill>
          </a:endParaRPr>
        </a:p>
      </xdr:txBody>
    </xdr:sp>
    <xdr:clientData/>
  </xdr:twoCellAnchor>
  <xdr:twoCellAnchor>
    <xdr:from>
      <xdr:col>22</xdr:col>
      <xdr:colOff>610257</xdr:colOff>
      <xdr:row>6</xdr:row>
      <xdr:rowOff>175174</xdr:rowOff>
    </xdr:from>
    <xdr:to>
      <xdr:col>25</xdr:col>
      <xdr:colOff>606407</xdr:colOff>
      <xdr:row>11</xdr:row>
      <xdr:rowOff>39357</xdr:rowOff>
    </xdr:to>
    <xdr:sp macro="" textlink="'KPI Sheet'!Q6">
      <xdr:nvSpPr>
        <xdr:cNvPr id="9" name="Rectangle: Rounded Corners 8">
          <a:extLst>
            <a:ext uri="{FF2B5EF4-FFF2-40B4-BE49-F238E27FC236}">
              <a16:creationId xmlns:a16="http://schemas.microsoft.com/office/drawing/2014/main" id="{6D8BD078-689B-4AB4-8485-E0FD7C1145D2}"/>
            </a:ext>
          </a:extLst>
        </xdr:cNvPr>
        <xdr:cNvSpPr/>
      </xdr:nvSpPr>
      <xdr:spPr>
        <a:xfrm>
          <a:off x="14098533" y="1291898"/>
          <a:ext cx="1835460" cy="794787"/>
        </a:xfrm>
        <a:prstGeom prst="roundRect">
          <a:avLst/>
        </a:prstGeom>
        <a:solidFill>
          <a:srgbClr val="EAF1F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1400" b="0" i="0" u="none" strike="noStrike">
              <a:solidFill>
                <a:srgbClr val="000000"/>
              </a:solidFill>
              <a:latin typeface="Calibri"/>
              <a:ea typeface="Calibri"/>
              <a:cs typeface="Calibri"/>
            </a:rPr>
            <a:t>Avg.</a:t>
          </a:r>
          <a:r>
            <a:rPr lang="en-US" sz="1400" b="0" i="0" u="none" strike="noStrike" baseline="0">
              <a:solidFill>
                <a:srgbClr val="000000"/>
              </a:solidFill>
              <a:latin typeface="Calibri"/>
              <a:ea typeface="Calibri"/>
              <a:cs typeface="Calibri"/>
            </a:rPr>
            <a:t> Val. for Money:</a:t>
          </a:r>
        </a:p>
        <a:p>
          <a:pPr algn="ctr"/>
          <a:fld id="{768138F3-8DD1-4AA9-A193-0004E58AB1FB}" type="TxLink">
            <a:rPr lang="en-US" sz="2000" b="0" i="0" u="none" strike="noStrike">
              <a:solidFill>
                <a:srgbClr val="2874F0"/>
              </a:solidFill>
              <a:latin typeface="Calibri"/>
              <a:ea typeface="Calibri"/>
              <a:cs typeface="Calibri"/>
            </a:rPr>
            <a:pPr algn="ctr"/>
            <a:t>0.36</a:t>
          </a:fld>
          <a:endParaRPr lang="en-US" sz="2000">
            <a:solidFill>
              <a:srgbClr val="2874F0"/>
            </a:solidFill>
          </a:endParaRPr>
        </a:p>
      </xdr:txBody>
    </xdr:sp>
    <xdr:clientData/>
  </xdr:twoCellAnchor>
  <xdr:twoCellAnchor>
    <xdr:from>
      <xdr:col>7</xdr:col>
      <xdr:colOff>2846</xdr:colOff>
      <xdr:row>19</xdr:row>
      <xdr:rowOff>17299</xdr:rowOff>
    </xdr:from>
    <xdr:to>
      <xdr:col>15</xdr:col>
      <xdr:colOff>602155</xdr:colOff>
      <xdr:row>34</xdr:row>
      <xdr:rowOff>175173</xdr:rowOff>
    </xdr:to>
    <xdr:graphicFrame macro="">
      <xdr:nvGraphicFramePr>
        <xdr:cNvPr id="10" name="Chart 9">
          <a:extLst>
            <a:ext uri="{FF2B5EF4-FFF2-40B4-BE49-F238E27FC236}">
              <a16:creationId xmlns:a16="http://schemas.microsoft.com/office/drawing/2014/main" id="{F6D7DA02-EC7F-4863-9F09-F4BE2CA6E3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606096</xdr:colOff>
      <xdr:row>12</xdr:row>
      <xdr:rowOff>10948</xdr:rowOff>
    </xdr:from>
    <xdr:to>
      <xdr:col>9</xdr:col>
      <xdr:colOff>598742</xdr:colOff>
      <xdr:row>16</xdr:row>
      <xdr:rowOff>61252</xdr:rowOff>
    </xdr:to>
    <xdr:sp macro="" textlink="'KPI Sheet'!X7">
      <xdr:nvSpPr>
        <xdr:cNvPr id="11" name="Rectangle: Rounded Corners 10">
          <a:extLst>
            <a:ext uri="{FF2B5EF4-FFF2-40B4-BE49-F238E27FC236}">
              <a16:creationId xmlns:a16="http://schemas.microsoft.com/office/drawing/2014/main" id="{FB5D6258-0D3E-49ED-93B8-DE85D2756B90}"/>
            </a:ext>
          </a:extLst>
        </xdr:cNvPr>
        <xdr:cNvSpPr/>
      </xdr:nvSpPr>
      <xdr:spPr>
        <a:xfrm>
          <a:off x="4263696" y="2246148"/>
          <a:ext cx="1821446" cy="795371"/>
        </a:xfrm>
        <a:prstGeom prst="roundRect">
          <a:avLst/>
        </a:prstGeom>
        <a:solidFill>
          <a:srgbClr val="EAF1F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rgbClr val="000000"/>
              </a:solidFill>
              <a:latin typeface="Calibri"/>
              <a:ea typeface="Calibri"/>
              <a:cs typeface="Calibri"/>
            </a:rPr>
            <a:t>Top Selling Brand:</a:t>
          </a:r>
        </a:p>
        <a:p>
          <a:pPr algn="ctr"/>
          <a:fld id="{947D6A62-62F8-4365-B947-BDD609F80F39}" type="TxLink">
            <a:rPr lang="en-US" sz="2000" b="0" i="0" u="none" strike="noStrike">
              <a:solidFill>
                <a:srgbClr val="2874F0"/>
              </a:solidFill>
              <a:latin typeface="Calibri"/>
              <a:ea typeface="Calibri"/>
              <a:cs typeface="Calibri"/>
            </a:rPr>
            <a:pPr algn="ctr"/>
            <a:t>SAMSUNG</a:t>
          </a:fld>
          <a:endParaRPr lang="en-US" sz="2000">
            <a:solidFill>
              <a:srgbClr val="2874F0"/>
            </a:solidFill>
          </a:endParaRPr>
        </a:p>
      </xdr:txBody>
    </xdr:sp>
    <xdr:clientData/>
  </xdr:twoCellAnchor>
  <xdr:twoCellAnchor>
    <xdr:from>
      <xdr:col>11</xdr:col>
      <xdr:colOff>10948</xdr:colOff>
      <xdr:row>12</xdr:row>
      <xdr:rowOff>0</xdr:rowOff>
    </xdr:from>
    <xdr:to>
      <xdr:col>14</xdr:col>
      <xdr:colOff>3594</xdr:colOff>
      <xdr:row>16</xdr:row>
      <xdr:rowOff>50304</xdr:rowOff>
    </xdr:to>
    <xdr:sp macro="" textlink="'KPI Sheet'!AB7">
      <xdr:nvSpPr>
        <xdr:cNvPr id="12" name="Rectangle: Rounded Corners 11">
          <a:extLst>
            <a:ext uri="{FF2B5EF4-FFF2-40B4-BE49-F238E27FC236}">
              <a16:creationId xmlns:a16="http://schemas.microsoft.com/office/drawing/2014/main" id="{F156C4C7-9C7B-4E2A-83E1-C3DBCFCC1194}"/>
            </a:ext>
          </a:extLst>
        </xdr:cNvPr>
        <xdr:cNvSpPr/>
      </xdr:nvSpPr>
      <xdr:spPr>
        <a:xfrm>
          <a:off x="6755086" y="2233448"/>
          <a:ext cx="1831956" cy="794787"/>
        </a:xfrm>
        <a:prstGeom prst="roundRect">
          <a:avLst/>
        </a:prstGeom>
        <a:solidFill>
          <a:srgbClr val="EAF1F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rgbClr val="000000"/>
              </a:solidFill>
              <a:latin typeface="Calibri"/>
              <a:ea typeface="Calibri"/>
              <a:cs typeface="Calibri"/>
            </a:rPr>
            <a:t>Top Selling Model:</a:t>
          </a:r>
        </a:p>
        <a:p>
          <a:pPr algn="ctr"/>
          <a:fld id="{EC763ABB-9256-4A0F-AFB8-8C731D8F857B}" type="TxLink">
            <a:rPr lang="en-US" sz="2000" b="0" i="0" u="none" strike="noStrike">
              <a:solidFill>
                <a:srgbClr val="2874F0"/>
              </a:solidFill>
              <a:latin typeface="Calibri"/>
              <a:ea typeface="Calibri"/>
              <a:cs typeface="Calibri"/>
            </a:rPr>
            <a:pPr algn="ctr"/>
            <a:t>iPhone 11 </a:t>
          </a:fld>
          <a:endParaRPr lang="en-US" sz="2000">
            <a:solidFill>
              <a:srgbClr val="2874F0"/>
            </a:solidFill>
          </a:endParaRPr>
        </a:p>
      </xdr:txBody>
    </xdr:sp>
    <xdr:clientData/>
  </xdr:twoCellAnchor>
  <xdr:twoCellAnchor>
    <xdr:from>
      <xdr:col>14</xdr:col>
      <xdr:colOff>602156</xdr:colOff>
      <xdr:row>12</xdr:row>
      <xdr:rowOff>10949</xdr:rowOff>
    </xdr:from>
    <xdr:to>
      <xdr:col>17</xdr:col>
      <xdr:colOff>594800</xdr:colOff>
      <xdr:row>16</xdr:row>
      <xdr:rowOff>61253</xdr:rowOff>
    </xdr:to>
    <xdr:sp macro="" textlink="'KPI Sheet'!AF7">
      <xdr:nvSpPr>
        <xdr:cNvPr id="13" name="Rectangle: Rounded Corners 12">
          <a:extLst>
            <a:ext uri="{FF2B5EF4-FFF2-40B4-BE49-F238E27FC236}">
              <a16:creationId xmlns:a16="http://schemas.microsoft.com/office/drawing/2014/main" id="{BE321354-556E-4426-BA3F-C80162691E03}"/>
            </a:ext>
          </a:extLst>
        </xdr:cNvPr>
        <xdr:cNvSpPr/>
      </xdr:nvSpPr>
      <xdr:spPr>
        <a:xfrm>
          <a:off x="9185604" y="2244397"/>
          <a:ext cx="1831955" cy="794787"/>
        </a:xfrm>
        <a:prstGeom prst="roundRect">
          <a:avLst/>
        </a:prstGeom>
        <a:solidFill>
          <a:srgbClr val="EAF1F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rgbClr val="000000"/>
              </a:solidFill>
              <a:latin typeface="Calibri"/>
              <a:ea typeface="Calibri"/>
              <a:cs typeface="Calibri"/>
            </a:rPr>
            <a:t>Top Rated Brand:</a:t>
          </a:r>
        </a:p>
        <a:p>
          <a:pPr algn="ctr"/>
          <a:fld id="{D83F35C2-01C9-4D94-BAE2-2801E0513ECD}" type="TxLink">
            <a:rPr lang="en-US" sz="2000" b="0" i="0" u="none" strike="noStrike">
              <a:solidFill>
                <a:srgbClr val="2874F0"/>
              </a:solidFill>
              <a:latin typeface="Calibri"/>
              <a:ea typeface="Calibri"/>
              <a:cs typeface="Calibri"/>
            </a:rPr>
            <a:pPr algn="ctr"/>
            <a:t>Apple</a:t>
          </a:fld>
          <a:endParaRPr lang="en-US" sz="2000">
            <a:solidFill>
              <a:srgbClr val="2874F0"/>
            </a:solidFill>
          </a:endParaRPr>
        </a:p>
      </xdr:txBody>
    </xdr:sp>
    <xdr:clientData/>
  </xdr:twoCellAnchor>
  <xdr:twoCellAnchor>
    <xdr:from>
      <xdr:col>19</xdr:col>
      <xdr:colOff>0</xdr:colOff>
      <xdr:row>12</xdr:row>
      <xdr:rowOff>10948</xdr:rowOff>
    </xdr:from>
    <xdr:to>
      <xdr:col>21</xdr:col>
      <xdr:colOff>605750</xdr:colOff>
      <xdr:row>16</xdr:row>
      <xdr:rowOff>61252</xdr:rowOff>
    </xdr:to>
    <xdr:sp macro="" textlink="'KPI Sheet'!AJ7">
      <xdr:nvSpPr>
        <xdr:cNvPr id="14" name="Rectangle: Rounded Corners 13">
          <a:extLst>
            <a:ext uri="{FF2B5EF4-FFF2-40B4-BE49-F238E27FC236}">
              <a16:creationId xmlns:a16="http://schemas.microsoft.com/office/drawing/2014/main" id="{AB595987-4B57-4786-9373-98C90DB027BC}"/>
            </a:ext>
          </a:extLst>
        </xdr:cNvPr>
        <xdr:cNvSpPr/>
      </xdr:nvSpPr>
      <xdr:spPr>
        <a:xfrm>
          <a:off x="11648966" y="2244396"/>
          <a:ext cx="1831956" cy="794787"/>
        </a:xfrm>
        <a:prstGeom prst="roundRect">
          <a:avLst/>
        </a:prstGeom>
        <a:solidFill>
          <a:srgbClr val="EAF1F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500" b="0" i="0" u="none" strike="noStrike">
              <a:solidFill>
                <a:srgbClr val="000000"/>
              </a:solidFill>
              <a:latin typeface="Calibri"/>
              <a:ea typeface="Calibri"/>
              <a:cs typeface="Calibri"/>
            </a:rPr>
            <a:t>Highest Rev.</a:t>
          </a:r>
          <a:r>
            <a:rPr lang="en-US" sz="1500" b="0" i="0" u="none" strike="noStrike" baseline="0">
              <a:solidFill>
                <a:srgbClr val="000000"/>
              </a:solidFill>
              <a:latin typeface="Calibri"/>
              <a:ea typeface="Calibri"/>
              <a:cs typeface="Calibri"/>
            </a:rPr>
            <a:t> Brand</a:t>
          </a:r>
          <a:r>
            <a:rPr lang="en-US" sz="1500" b="0" i="0" u="none" strike="noStrike">
              <a:solidFill>
                <a:srgbClr val="000000"/>
              </a:solidFill>
              <a:latin typeface="Calibri"/>
              <a:ea typeface="Calibri"/>
              <a:cs typeface="Calibri"/>
            </a:rPr>
            <a:t>:</a:t>
          </a:r>
        </a:p>
        <a:p>
          <a:pPr algn="ctr"/>
          <a:fld id="{7CFABCD7-BFB4-451F-86FE-6A249BF2109D}" type="TxLink">
            <a:rPr lang="en-US" sz="2000" b="0" i="0" u="none" strike="noStrike">
              <a:solidFill>
                <a:srgbClr val="2874F0"/>
              </a:solidFill>
              <a:latin typeface="Calibri"/>
              <a:ea typeface="Calibri"/>
              <a:cs typeface="Calibri"/>
            </a:rPr>
            <a:pPr algn="ctr"/>
            <a:t>Apple</a:t>
          </a:fld>
          <a:endParaRPr lang="en-US" sz="2000">
            <a:solidFill>
              <a:srgbClr val="2874F0"/>
            </a:solidFill>
          </a:endParaRPr>
        </a:p>
      </xdr:txBody>
    </xdr:sp>
    <xdr:clientData/>
  </xdr:twoCellAnchor>
  <xdr:twoCellAnchor>
    <xdr:from>
      <xdr:col>23</xdr:col>
      <xdr:colOff>0</xdr:colOff>
      <xdr:row>12</xdr:row>
      <xdr:rowOff>10948</xdr:rowOff>
    </xdr:from>
    <xdr:to>
      <xdr:col>25</xdr:col>
      <xdr:colOff>605749</xdr:colOff>
      <xdr:row>16</xdr:row>
      <xdr:rowOff>61252</xdr:rowOff>
    </xdr:to>
    <xdr:sp macro="" textlink="'KPI Sheet'!A41">
      <xdr:nvSpPr>
        <xdr:cNvPr id="15" name="Rectangle: Rounded Corners 14">
          <a:extLst>
            <a:ext uri="{FF2B5EF4-FFF2-40B4-BE49-F238E27FC236}">
              <a16:creationId xmlns:a16="http://schemas.microsoft.com/office/drawing/2014/main" id="{6EB363C9-3DE1-46CC-8983-FA5E09E5D69B}"/>
            </a:ext>
          </a:extLst>
        </xdr:cNvPr>
        <xdr:cNvSpPr/>
      </xdr:nvSpPr>
      <xdr:spPr>
        <a:xfrm>
          <a:off x="14101379" y="2244396"/>
          <a:ext cx="1831956" cy="794787"/>
        </a:xfrm>
        <a:prstGeom prst="roundRect">
          <a:avLst/>
        </a:prstGeom>
        <a:solidFill>
          <a:srgbClr val="EAF1F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rgbClr val="000000"/>
              </a:solidFill>
              <a:latin typeface="Calibri"/>
              <a:ea typeface="Calibri"/>
              <a:cs typeface="Calibri"/>
            </a:rPr>
            <a:t>Top VFM Brand:</a:t>
          </a:r>
        </a:p>
        <a:p>
          <a:pPr algn="ctr"/>
          <a:fld id="{64C755BB-868F-47FA-BF0B-1B3A9E3B156C}" type="TxLink">
            <a:rPr lang="en-US" sz="2000" b="0" i="0" u="none" strike="noStrike">
              <a:solidFill>
                <a:srgbClr val="2874F0"/>
              </a:solidFill>
              <a:latin typeface="Calibri"/>
              <a:ea typeface="Calibri"/>
              <a:cs typeface="Calibri"/>
            </a:rPr>
            <a:pPr algn="ctr"/>
            <a:t>Nokia</a:t>
          </a:fld>
          <a:endParaRPr lang="en-US" sz="2000">
            <a:solidFill>
              <a:srgbClr val="2874F0"/>
            </a:solidFill>
          </a:endParaRPr>
        </a:p>
      </xdr:txBody>
    </xdr:sp>
    <xdr:clientData/>
  </xdr:twoCellAnchor>
  <xdr:twoCellAnchor>
    <xdr:from>
      <xdr:col>16</xdr:col>
      <xdr:colOff>607977</xdr:colOff>
      <xdr:row>19</xdr:row>
      <xdr:rowOff>6351</xdr:rowOff>
    </xdr:from>
    <xdr:to>
      <xdr:col>26</xdr:col>
      <xdr:colOff>13509</xdr:colOff>
      <xdr:row>34</xdr:row>
      <xdr:rowOff>175639</xdr:rowOff>
    </xdr:to>
    <xdr:graphicFrame macro="">
      <xdr:nvGraphicFramePr>
        <xdr:cNvPr id="16" name="Chart 15">
          <a:extLst>
            <a:ext uri="{FF2B5EF4-FFF2-40B4-BE49-F238E27FC236}">
              <a16:creationId xmlns:a16="http://schemas.microsoft.com/office/drawing/2014/main" id="{C76B4DEE-4768-4E90-AE1E-4F75A6C003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606752</xdr:colOff>
      <xdr:row>37</xdr:row>
      <xdr:rowOff>17298</xdr:rowOff>
    </xdr:from>
    <xdr:to>
      <xdr:col>15</xdr:col>
      <xdr:colOff>602155</xdr:colOff>
      <xdr:row>53</xdr:row>
      <xdr:rowOff>0</xdr:rowOff>
    </xdr:to>
    <xdr:graphicFrame macro="">
      <xdr:nvGraphicFramePr>
        <xdr:cNvPr id="17" name="Chart 16">
          <a:extLst>
            <a:ext uri="{FF2B5EF4-FFF2-40B4-BE49-F238E27FC236}">
              <a16:creationId xmlns:a16="http://schemas.microsoft.com/office/drawing/2014/main" id="{333DC981-0DE6-4188-8699-2724FF84FE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10950</xdr:colOff>
      <xdr:row>37</xdr:row>
      <xdr:rowOff>2627</xdr:rowOff>
    </xdr:from>
    <xdr:to>
      <xdr:col>26</xdr:col>
      <xdr:colOff>1</xdr:colOff>
      <xdr:row>52</xdr:row>
      <xdr:rowOff>162127</xdr:rowOff>
    </xdr:to>
    <xdr:graphicFrame macro="">
      <xdr:nvGraphicFramePr>
        <xdr:cNvPr id="18" name="Chart 17">
          <a:extLst>
            <a:ext uri="{FF2B5EF4-FFF2-40B4-BE49-F238E27FC236}">
              <a16:creationId xmlns:a16="http://schemas.microsoft.com/office/drawing/2014/main" id="{60103AD0-7A74-4039-A329-DE9183EEA9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4</xdr:row>
      <xdr:rowOff>21896</xdr:rowOff>
    </xdr:from>
    <xdr:to>
      <xdr:col>3</xdr:col>
      <xdr:colOff>1</xdr:colOff>
      <xdr:row>27</xdr:row>
      <xdr:rowOff>174313</xdr:rowOff>
    </xdr:to>
    <mc:AlternateContent xmlns:mc="http://schemas.openxmlformats.org/markup-compatibility/2006" xmlns:a14="http://schemas.microsoft.com/office/drawing/2010/main">
      <mc:Choice Requires="a14">
        <xdr:graphicFrame macro="">
          <xdr:nvGraphicFramePr>
            <xdr:cNvPr id="19" name="Brand 1">
              <a:extLst>
                <a:ext uri="{FF2B5EF4-FFF2-40B4-BE49-F238E27FC236}">
                  <a16:creationId xmlns:a16="http://schemas.microsoft.com/office/drawing/2014/main" id="{D4B04C16-C80E-457D-A3C0-F3C0E50025F5}"/>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0" y="778493"/>
              <a:ext cx="1823937" cy="31906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251811</xdr:colOff>
      <xdr:row>4</xdr:row>
      <xdr:rowOff>2629</xdr:rowOff>
    </xdr:from>
    <xdr:to>
      <xdr:col>6</xdr:col>
      <xdr:colOff>32845</xdr:colOff>
      <xdr:row>28</xdr:row>
      <xdr:rowOff>37353</xdr:rowOff>
    </xdr:to>
    <mc:AlternateContent xmlns:mc="http://schemas.openxmlformats.org/markup-compatibility/2006" xmlns:a14="http://schemas.microsoft.com/office/drawing/2010/main">
      <mc:Choice Requires="a14">
        <xdr:graphicFrame macro="">
          <xdr:nvGraphicFramePr>
            <xdr:cNvPr id="20" name="Model">
              <a:extLst>
                <a:ext uri="{FF2B5EF4-FFF2-40B4-BE49-F238E27FC236}">
                  <a16:creationId xmlns:a16="http://schemas.microsoft.com/office/drawing/2014/main" id="{B3ED7845-1F92-4F1A-9795-EE5A3652E9F1}"/>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2075747" y="759225"/>
              <a:ext cx="1604970" cy="32129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272617</xdr:colOff>
      <xdr:row>30</xdr:row>
      <xdr:rowOff>2345</xdr:rowOff>
    </xdr:from>
    <xdr:to>
      <xdr:col>6</xdr:col>
      <xdr:colOff>108611</xdr:colOff>
      <xdr:row>53</xdr:row>
      <xdr:rowOff>12451</xdr:rowOff>
    </xdr:to>
    <mc:AlternateContent xmlns:mc="http://schemas.openxmlformats.org/markup-compatibility/2006">
      <mc:Choice xmlns:a14="http://schemas.microsoft.com/office/drawing/2010/main" Requires="a14">
        <xdr:graphicFrame macro="">
          <xdr:nvGraphicFramePr>
            <xdr:cNvPr id="21" name="Memory">
              <a:extLst>
                <a:ext uri="{FF2B5EF4-FFF2-40B4-BE49-F238E27FC236}">
                  <a16:creationId xmlns:a16="http://schemas.microsoft.com/office/drawing/2014/main" id="{7543697A-863B-4F58-8E9F-EA125DE0CEC1}"/>
                </a:ext>
              </a:extLst>
            </xdr:cNvPr>
            <xdr:cNvGraphicFramePr/>
          </xdr:nvGraphicFramePr>
          <xdr:xfrm>
            <a:off x="0" y="0"/>
            <a:ext cx="0" cy="0"/>
          </xdr:xfrm>
          <a:graphic>
            <a:graphicData uri="http://schemas.microsoft.com/office/drawing/2010/slicer">
              <sle:slicer xmlns:sle="http://schemas.microsoft.com/office/drawing/2010/slicer" name="Memory"/>
            </a:graphicData>
          </a:graphic>
        </xdr:graphicFrame>
      </mc:Choice>
      <mc:Fallback>
        <xdr:sp macro="" textlink="">
          <xdr:nvSpPr>
            <xdr:cNvPr id="0" name=""/>
            <xdr:cNvSpPr>
              <a:spLocks noTextEdit="1"/>
            </xdr:cNvSpPr>
          </xdr:nvSpPr>
          <xdr:spPr>
            <a:xfrm>
              <a:off x="2102911" y="5605286"/>
              <a:ext cx="1666288" cy="43056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12451</xdr:colOff>
      <xdr:row>30</xdr:row>
      <xdr:rowOff>0</xdr:rowOff>
    </xdr:from>
    <xdr:to>
      <xdr:col>3</xdr:col>
      <xdr:colOff>6627</xdr:colOff>
      <xdr:row>53</xdr:row>
      <xdr:rowOff>12451</xdr:rowOff>
    </xdr:to>
    <mc:AlternateContent xmlns:mc="http://schemas.openxmlformats.org/markup-compatibility/2006">
      <mc:Choice xmlns:a14="http://schemas.microsoft.com/office/drawing/2010/main" Requires="a14">
        <xdr:graphicFrame macro="">
          <xdr:nvGraphicFramePr>
            <xdr:cNvPr id="22" name="Storage">
              <a:extLst>
                <a:ext uri="{FF2B5EF4-FFF2-40B4-BE49-F238E27FC236}">
                  <a16:creationId xmlns:a16="http://schemas.microsoft.com/office/drawing/2014/main" id="{BB25F5BE-A6E3-454F-9EDF-4D8F607DBC6B}"/>
                </a:ext>
              </a:extLst>
            </xdr:cNvPr>
            <xdr:cNvGraphicFramePr/>
          </xdr:nvGraphicFramePr>
          <xdr:xfrm>
            <a:off x="0" y="0"/>
            <a:ext cx="0" cy="0"/>
          </xdr:xfrm>
          <a:graphic>
            <a:graphicData uri="http://schemas.microsoft.com/office/drawing/2010/slicer">
              <sle:slicer xmlns:sle="http://schemas.microsoft.com/office/drawing/2010/slicer" name="Storage"/>
            </a:graphicData>
          </a:graphic>
        </xdr:graphicFrame>
      </mc:Choice>
      <mc:Fallback>
        <xdr:sp macro="" textlink="">
          <xdr:nvSpPr>
            <xdr:cNvPr id="0" name=""/>
            <xdr:cNvSpPr>
              <a:spLocks noTextEdit="1"/>
            </xdr:cNvSpPr>
          </xdr:nvSpPr>
          <xdr:spPr>
            <a:xfrm>
              <a:off x="12451" y="5602941"/>
              <a:ext cx="1824470" cy="43080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10947</xdr:colOff>
      <xdr:row>3</xdr:row>
      <xdr:rowOff>181523</xdr:rowOff>
    </xdr:from>
    <xdr:to>
      <xdr:col>26</xdr:col>
      <xdr:colOff>3284</xdr:colOff>
      <xdr:row>5</xdr:row>
      <xdr:rowOff>175173</xdr:rowOff>
    </xdr:to>
    <xdr:sp macro="" textlink="">
      <xdr:nvSpPr>
        <xdr:cNvPr id="25" name="Rectangle: Rounded Corners 24">
          <a:extLst>
            <a:ext uri="{FF2B5EF4-FFF2-40B4-BE49-F238E27FC236}">
              <a16:creationId xmlns:a16="http://schemas.microsoft.com/office/drawing/2014/main" id="{E118512C-1237-5F73-A403-6B3520531955}"/>
            </a:ext>
          </a:extLst>
        </xdr:cNvPr>
        <xdr:cNvSpPr/>
      </xdr:nvSpPr>
      <xdr:spPr>
        <a:xfrm>
          <a:off x="4302671" y="739885"/>
          <a:ext cx="11641303" cy="365891"/>
        </a:xfrm>
        <a:prstGeom prst="roundRect">
          <a:avLst/>
        </a:prstGeom>
        <a:solidFill>
          <a:srgbClr val="2874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solidFill>
                <a:srgbClr val="FFFF00"/>
              </a:solidFill>
              <a:latin typeface="Aptos Narrow" panose="020B0004020202020204" pitchFamily="34" charset="0"/>
            </a:rPr>
            <a:t>Analysis of mobile brand performance, pricing strategy, profitability, customer satisfaction, and value-for-money trends.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xdr:colOff>
      <xdr:row>0</xdr:row>
      <xdr:rowOff>0</xdr:rowOff>
    </xdr:from>
    <xdr:to>
      <xdr:col>14</xdr:col>
      <xdr:colOff>603250</xdr:colOff>
      <xdr:row>4</xdr:row>
      <xdr:rowOff>6350</xdr:rowOff>
    </xdr:to>
    <xdr:sp macro="" textlink="">
      <xdr:nvSpPr>
        <xdr:cNvPr id="2" name="Rectangle: Rounded Corners 1">
          <a:extLst>
            <a:ext uri="{FF2B5EF4-FFF2-40B4-BE49-F238E27FC236}">
              <a16:creationId xmlns:a16="http://schemas.microsoft.com/office/drawing/2014/main" id="{0ACB4A20-9176-4D5A-84E4-A012F50ABD18}"/>
            </a:ext>
          </a:extLst>
        </xdr:cNvPr>
        <xdr:cNvSpPr/>
      </xdr:nvSpPr>
      <xdr:spPr>
        <a:xfrm>
          <a:off x="1" y="0"/>
          <a:ext cx="9137649" cy="742950"/>
        </a:xfrm>
        <a:prstGeom prst="roundRect">
          <a:avLst/>
        </a:prstGeom>
        <a:solidFill>
          <a:srgbClr val="2874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solidFill>
                <a:srgbClr val="FFE500"/>
              </a:solidFill>
              <a:latin typeface="Aptos Narrow" panose="020B0004020202020204" pitchFamily="34" charset="0"/>
            </a:rPr>
            <a:t>FLIPKART MOBILE MARKET INSIGHTS</a:t>
          </a:r>
          <a:r>
            <a:rPr lang="en-US" sz="3000" b="1">
              <a:solidFill>
                <a:srgbClr val="FFE500"/>
              </a:solidFill>
              <a:latin typeface="Aptos Narrow" panose="020B0004020202020204" pitchFamily="34" charset="0"/>
            </a:rPr>
            <a:t>: </a:t>
          </a:r>
          <a:r>
            <a:rPr lang="en-US" sz="1600" b="1">
              <a:solidFill>
                <a:srgbClr val="FFE500"/>
              </a:solidFill>
              <a:effectLst/>
              <a:latin typeface="Aptos Narrow" panose="020B0004020202020204" pitchFamily="34" charset="0"/>
              <a:ea typeface="+mn-ea"/>
              <a:cs typeface="+mn-cs"/>
            </a:rPr>
            <a:t>For Product Manager Review</a:t>
          </a:r>
          <a:endParaRPr lang="en-US" sz="1600">
            <a:solidFill>
              <a:srgbClr val="FFE500"/>
            </a:solidFill>
            <a:latin typeface="Aptos Narrow" panose="020B0004020202020204" pitchFamily="34" charset="0"/>
          </a:endParaRPr>
        </a:p>
      </xdr:txBody>
    </xdr:sp>
    <xdr:clientData/>
  </xdr:twoCellAnchor>
  <xdr:twoCellAnchor>
    <xdr:from>
      <xdr:col>0</xdr:col>
      <xdr:colOff>1</xdr:colOff>
      <xdr:row>5</xdr:row>
      <xdr:rowOff>0</xdr:rowOff>
    </xdr:from>
    <xdr:to>
      <xdr:col>15</xdr:col>
      <xdr:colOff>0</xdr:colOff>
      <xdr:row>6</xdr:row>
      <xdr:rowOff>120650</xdr:rowOff>
    </xdr:to>
    <xdr:sp macro="" textlink="">
      <xdr:nvSpPr>
        <xdr:cNvPr id="4" name="Rectangle: Rounded Corners 3">
          <a:extLst>
            <a:ext uri="{FF2B5EF4-FFF2-40B4-BE49-F238E27FC236}">
              <a16:creationId xmlns:a16="http://schemas.microsoft.com/office/drawing/2014/main" id="{D78F4157-BCC7-4AD2-AC2C-237D89289C76}"/>
            </a:ext>
          </a:extLst>
        </xdr:cNvPr>
        <xdr:cNvSpPr/>
      </xdr:nvSpPr>
      <xdr:spPr>
        <a:xfrm>
          <a:off x="1" y="920750"/>
          <a:ext cx="9143999" cy="304800"/>
        </a:xfrm>
        <a:prstGeom prst="roundRect">
          <a:avLst/>
        </a:prstGeom>
        <a:solidFill>
          <a:srgbClr val="2874F0"/>
        </a:solidFill>
        <a:ln>
          <a:solidFill>
            <a:srgbClr val="2874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FDDB87"/>
              </a:solidFill>
              <a:latin typeface="Aptos Narrow" panose="020B0004020202020204" pitchFamily="34" charset="0"/>
            </a:rPr>
            <a:t>Business analysis of mobile brand performance, pricing strategy, customer satisfaction, profitability, and value-for-money trends using Microsoft Excel.</a:t>
          </a:r>
        </a:p>
      </xdr:txBody>
    </xdr:sp>
    <xdr:clientData/>
  </xdr:twoCellAnchor>
  <xdr:twoCellAnchor editAs="oneCell">
    <xdr:from>
      <xdr:col>0</xdr:col>
      <xdr:colOff>1</xdr:colOff>
      <xdr:row>0</xdr:row>
      <xdr:rowOff>0</xdr:rowOff>
    </xdr:from>
    <xdr:to>
      <xdr:col>1</xdr:col>
      <xdr:colOff>37917</xdr:colOff>
      <xdr:row>3</xdr:row>
      <xdr:rowOff>69850</xdr:rowOff>
    </xdr:to>
    <xdr:pic>
      <xdr:nvPicPr>
        <xdr:cNvPr id="5" name="Picture 4">
          <a:extLst>
            <a:ext uri="{FF2B5EF4-FFF2-40B4-BE49-F238E27FC236}">
              <a16:creationId xmlns:a16="http://schemas.microsoft.com/office/drawing/2014/main" id="{968BE545-9B84-4D21-B9FA-D064633074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647516" cy="622300"/>
        </a:xfrm>
        <a:prstGeom prst="rect">
          <a:avLst/>
        </a:prstGeom>
      </xdr:spPr>
    </xdr:pic>
    <xdr:clientData/>
  </xdr:twoCellAnchor>
  <xdr:twoCellAnchor editAs="oneCell">
    <xdr:from>
      <xdr:col>14</xdr:col>
      <xdr:colOff>31751</xdr:colOff>
      <xdr:row>0</xdr:row>
      <xdr:rowOff>127000</xdr:rowOff>
    </xdr:from>
    <xdr:to>
      <xdr:col>14</xdr:col>
      <xdr:colOff>488768</xdr:colOff>
      <xdr:row>3</xdr:row>
      <xdr:rowOff>32882</xdr:rowOff>
    </xdr:to>
    <xdr:pic>
      <xdr:nvPicPr>
        <xdr:cNvPr id="6" name="Picture 5">
          <a:extLst>
            <a:ext uri="{FF2B5EF4-FFF2-40B4-BE49-F238E27FC236}">
              <a16:creationId xmlns:a16="http://schemas.microsoft.com/office/drawing/2014/main" id="{EC14E0E1-7B75-4219-A40C-04B94A97B9A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566151" y="127000"/>
          <a:ext cx="457017" cy="458332"/>
        </a:xfrm>
        <a:prstGeom prst="rect">
          <a:avLst/>
        </a:prstGeom>
      </xdr:spPr>
    </xdr:pic>
    <xdr:clientData/>
  </xdr:twoCellAnchor>
  <xdr:twoCellAnchor>
    <xdr:from>
      <xdr:col>3</xdr:col>
      <xdr:colOff>6350</xdr:colOff>
      <xdr:row>7</xdr:row>
      <xdr:rowOff>177800</xdr:rowOff>
    </xdr:from>
    <xdr:to>
      <xdr:col>12</xdr:col>
      <xdr:colOff>6349</xdr:colOff>
      <xdr:row>9</xdr:row>
      <xdr:rowOff>114300</xdr:rowOff>
    </xdr:to>
    <xdr:sp macro="" textlink="">
      <xdr:nvSpPr>
        <xdr:cNvPr id="8" name="Rectangle: Rounded Corners 7">
          <a:extLst>
            <a:ext uri="{FF2B5EF4-FFF2-40B4-BE49-F238E27FC236}">
              <a16:creationId xmlns:a16="http://schemas.microsoft.com/office/drawing/2014/main" id="{66CD6758-72F6-4544-BB72-C85D0E3EB362}"/>
            </a:ext>
          </a:extLst>
        </xdr:cNvPr>
        <xdr:cNvSpPr/>
      </xdr:nvSpPr>
      <xdr:spPr>
        <a:xfrm>
          <a:off x="1835150" y="1466850"/>
          <a:ext cx="5486399" cy="304800"/>
        </a:xfrm>
        <a:prstGeom prst="roundRect">
          <a:avLst/>
        </a:prstGeom>
        <a:solidFill>
          <a:srgbClr val="2874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FFFF0D"/>
              </a:solidFill>
              <a:latin typeface="Aptos Narrow" panose="020B0004020202020204" pitchFamily="34" charset="0"/>
            </a:rPr>
            <a:t>Project</a:t>
          </a:r>
          <a:r>
            <a:rPr lang="en-US" sz="1100" baseline="0">
              <a:solidFill>
                <a:srgbClr val="FFFF0D"/>
              </a:solidFill>
              <a:latin typeface="Aptos Narrow" panose="020B0004020202020204" pitchFamily="34" charset="0"/>
            </a:rPr>
            <a:t> Stakeholder: PRODUCT MANAGER</a:t>
          </a:r>
          <a:endParaRPr lang="en-US" sz="1100">
            <a:solidFill>
              <a:srgbClr val="FFFF0D"/>
            </a:solidFill>
            <a:latin typeface="Aptos Narrow" panose="020B0004020202020204" pitchFamily="34" charset="0"/>
          </a:endParaRPr>
        </a:p>
      </xdr:txBody>
    </xdr:sp>
    <xdr:clientData/>
  </xdr:twoCellAnchor>
  <xdr:twoCellAnchor>
    <xdr:from>
      <xdr:col>0</xdr:col>
      <xdr:colOff>35943</xdr:colOff>
      <xdr:row>13</xdr:row>
      <xdr:rowOff>0</xdr:rowOff>
    </xdr:from>
    <xdr:to>
      <xdr:col>6</xdr:col>
      <xdr:colOff>11982</xdr:colOff>
      <xdr:row>23</xdr:row>
      <xdr:rowOff>6350</xdr:rowOff>
    </xdr:to>
    <xdr:sp macro="" textlink="">
      <xdr:nvSpPr>
        <xdr:cNvPr id="9" name="TextBox 8">
          <a:extLst>
            <a:ext uri="{FF2B5EF4-FFF2-40B4-BE49-F238E27FC236}">
              <a16:creationId xmlns:a16="http://schemas.microsoft.com/office/drawing/2014/main" id="{EEA09144-9422-35A5-BA8F-E0FBE896D2B6}"/>
            </a:ext>
          </a:extLst>
        </xdr:cNvPr>
        <xdr:cNvSpPr txBox="1"/>
      </xdr:nvSpPr>
      <xdr:spPr>
        <a:xfrm>
          <a:off x="35943" y="2336321"/>
          <a:ext cx="3642265" cy="1803520"/>
        </a:xfrm>
        <a:prstGeom prst="rect">
          <a:avLst/>
        </a:prstGeom>
        <a:solidFill>
          <a:srgbClr val="EAF1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u="sng">
              <a:latin typeface="Aptos Narrow" panose="020B0004020202020204" pitchFamily="34" charset="0"/>
              <a:cs typeface="Segoe UI" panose="020B0502040204020203" pitchFamily="34" charset="0"/>
            </a:rPr>
            <a:t>Business Objectives</a:t>
          </a:r>
          <a:r>
            <a:rPr lang="en-US" sz="1400">
              <a:latin typeface="Aptos Narrow" panose="020B0004020202020204" pitchFamily="34" charset="0"/>
              <a:cs typeface="Segoe UI" panose="020B0502040204020203" pitchFamily="34" charset="0"/>
            </a:rPr>
            <a:t>:</a:t>
          </a:r>
        </a:p>
        <a:p>
          <a:r>
            <a:rPr lang="en-US" sz="1400">
              <a:solidFill>
                <a:srgbClr val="00467E"/>
              </a:solidFill>
              <a:latin typeface="Aptos Narrow" panose="020B0004020202020204" pitchFamily="34" charset="0"/>
              <a:cs typeface="Segoe UI" panose="020B0502040204020203" pitchFamily="34" charset="0"/>
            </a:rPr>
            <a:t>1. Identify top-performing mobile brands.</a:t>
          </a:r>
        </a:p>
        <a:p>
          <a:r>
            <a:rPr lang="en-US" sz="1400">
              <a:solidFill>
                <a:srgbClr val="00467E"/>
              </a:solidFill>
              <a:latin typeface="Aptos Narrow" panose="020B0004020202020204" pitchFamily="34" charset="0"/>
              <a:cs typeface="Segoe UI" panose="020B0502040204020203" pitchFamily="34" charset="0"/>
            </a:rPr>
            <a:t>2. Analyze customer satisfaction trends.</a:t>
          </a:r>
        </a:p>
        <a:p>
          <a:r>
            <a:rPr lang="en-US" sz="1400">
              <a:solidFill>
                <a:srgbClr val="00467E"/>
              </a:solidFill>
              <a:latin typeface="Aptos Narrow" panose="020B0004020202020204" pitchFamily="34" charset="0"/>
              <a:cs typeface="Segoe UI" panose="020B0502040204020203" pitchFamily="34" charset="0"/>
            </a:rPr>
            <a:t>3. Compare pricing segments.</a:t>
          </a:r>
        </a:p>
        <a:p>
          <a:r>
            <a:rPr lang="en-US" sz="1400">
              <a:solidFill>
                <a:srgbClr val="00467E"/>
              </a:solidFill>
              <a:latin typeface="Aptos Narrow" panose="020B0004020202020204" pitchFamily="34" charset="0"/>
              <a:cs typeface="Segoe UI" panose="020B0502040204020203" pitchFamily="34" charset="0"/>
            </a:rPr>
            <a:t>4. Evaluate profitability and margins.</a:t>
          </a:r>
        </a:p>
        <a:p>
          <a:r>
            <a:rPr lang="en-US" sz="1400">
              <a:solidFill>
                <a:srgbClr val="00467E"/>
              </a:solidFill>
              <a:latin typeface="Aptos Narrow" panose="020B0004020202020204" pitchFamily="34" charset="0"/>
              <a:cs typeface="Segoe UI" panose="020B0502040204020203" pitchFamily="34" charset="0"/>
            </a:rPr>
            <a:t>5. Measure value-for-money performance.</a:t>
          </a:r>
        </a:p>
        <a:p>
          <a:r>
            <a:rPr lang="en-US" sz="1400">
              <a:solidFill>
                <a:srgbClr val="00467E"/>
              </a:solidFill>
              <a:latin typeface="Aptos Narrow" panose="020B0004020202020204" pitchFamily="34" charset="0"/>
              <a:cs typeface="Segoe UI" panose="020B0502040204020203" pitchFamily="34" charset="0"/>
            </a:rPr>
            <a:t>6. Study price vs rating relationship.</a:t>
          </a:r>
        </a:p>
      </xdr:txBody>
    </xdr:sp>
    <xdr:clientData/>
  </xdr:twoCellAnchor>
  <xdr:twoCellAnchor>
    <xdr:from>
      <xdr:col>8</xdr:col>
      <xdr:colOff>6350</xdr:colOff>
      <xdr:row>13</xdr:row>
      <xdr:rowOff>0</xdr:rowOff>
    </xdr:from>
    <xdr:to>
      <xdr:col>15</xdr:col>
      <xdr:colOff>48107</xdr:colOff>
      <xdr:row>23</xdr:row>
      <xdr:rowOff>86591</xdr:rowOff>
    </xdr:to>
    <xdr:sp macro="" textlink="">
      <xdr:nvSpPr>
        <xdr:cNvPr id="10" name="TextBox 9">
          <a:extLst>
            <a:ext uri="{FF2B5EF4-FFF2-40B4-BE49-F238E27FC236}">
              <a16:creationId xmlns:a16="http://schemas.microsoft.com/office/drawing/2014/main" id="{09EFBB55-E52F-0C0F-5340-4191E5656F83}"/>
            </a:ext>
          </a:extLst>
        </xdr:cNvPr>
        <xdr:cNvSpPr txBox="1"/>
      </xdr:nvSpPr>
      <xdr:spPr>
        <a:xfrm>
          <a:off x="4855441" y="2376439"/>
          <a:ext cx="4284711" cy="1914622"/>
        </a:xfrm>
        <a:prstGeom prst="rect">
          <a:avLst/>
        </a:prstGeom>
        <a:solidFill>
          <a:srgbClr val="EAF1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u="sng">
              <a:latin typeface="Aptos Narrow" panose="020B0004020202020204" pitchFamily="34" charset="0"/>
            </a:rPr>
            <a:t>Key</a:t>
          </a:r>
          <a:r>
            <a:rPr lang="en-US" sz="1300" b="1" u="sng" baseline="0">
              <a:latin typeface="Aptos Narrow" panose="020B0004020202020204" pitchFamily="34" charset="0"/>
            </a:rPr>
            <a:t> Insights:</a:t>
          </a:r>
        </a:p>
        <a:p>
          <a:r>
            <a:rPr lang="en-US" sz="1300" baseline="0">
              <a:solidFill>
                <a:srgbClr val="00467E"/>
              </a:solidFill>
              <a:latin typeface="Aptos Narrow" panose="020B0004020202020204" pitchFamily="34" charset="0"/>
            </a:rPr>
            <a:t>1. </a:t>
          </a:r>
          <a:r>
            <a:rPr lang="en-US" sz="1300">
              <a:solidFill>
                <a:srgbClr val="00467E"/>
              </a:solidFill>
              <a:latin typeface="Aptos Narrow" panose="020B0004020202020204" pitchFamily="34" charset="0"/>
            </a:rPr>
            <a:t>Mid-range smartphones provide the strongest balance between pricing and customer satisfaction.</a:t>
          </a:r>
        </a:p>
        <a:p>
          <a:r>
            <a:rPr lang="en-US" sz="1300">
              <a:solidFill>
                <a:srgbClr val="00467E"/>
              </a:solidFill>
              <a:latin typeface="Aptos Narrow" panose="020B0004020202020204" pitchFamily="34" charset="0"/>
            </a:rPr>
            <a:t>2. Premium brands achieve stronger margins but lower value-for-money scores.</a:t>
          </a:r>
        </a:p>
        <a:p>
          <a:r>
            <a:rPr lang="en-US" sz="1300">
              <a:solidFill>
                <a:srgbClr val="00467E"/>
              </a:solidFill>
              <a:latin typeface="Aptos Narrow" panose="020B0004020202020204" pitchFamily="34" charset="0"/>
            </a:rPr>
            <a:t>3. Market performance is concentrated among a limited number of dominant brands.</a:t>
          </a:r>
        </a:p>
        <a:p>
          <a:r>
            <a:rPr lang="en-US" sz="1300">
              <a:solidFill>
                <a:srgbClr val="00467E"/>
              </a:solidFill>
              <a:latin typeface="Aptos Narrow" panose="020B0004020202020204" pitchFamily="34" charset="0"/>
            </a:rPr>
            <a:t>4. Higher pricing shows weak correlation with customer ratings.</a:t>
          </a:r>
        </a:p>
      </xdr:txBody>
    </xdr:sp>
    <xdr:clientData/>
  </xdr:twoCellAnchor>
  <xdr:twoCellAnchor>
    <xdr:from>
      <xdr:col>1</xdr:col>
      <xdr:colOff>577850</xdr:colOff>
      <xdr:row>27</xdr:row>
      <xdr:rowOff>0</xdr:rowOff>
    </xdr:from>
    <xdr:to>
      <xdr:col>14</xdr:col>
      <xdr:colOff>6350</xdr:colOff>
      <xdr:row>33</xdr:row>
      <xdr:rowOff>171450</xdr:rowOff>
    </xdr:to>
    <xdr:sp macro="" textlink="">
      <xdr:nvSpPr>
        <xdr:cNvPr id="11" name="TextBox 10">
          <a:extLst>
            <a:ext uri="{FF2B5EF4-FFF2-40B4-BE49-F238E27FC236}">
              <a16:creationId xmlns:a16="http://schemas.microsoft.com/office/drawing/2014/main" id="{E41F3D60-F3E5-9B63-D54C-403954108096}"/>
            </a:ext>
          </a:extLst>
        </xdr:cNvPr>
        <xdr:cNvSpPr txBox="1"/>
      </xdr:nvSpPr>
      <xdr:spPr>
        <a:xfrm>
          <a:off x="1187450" y="4972050"/>
          <a:ext cx="7353300" cy="1276350"/>
        </a:xfrm>
        <a:prstGeom prst="rect">
          <a:avLst/>
        </a:prstGeom>
        <a:solidFill>
          <a:srgbClr val="EAF1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sng">
              <a:latin typeface="Aptos Narrow" panose="020B0004020202020204" pitchFamily="34" charset="0"/>
            </a:rPr>
            <a:t>Strategic Recommendations:</a:t>
          </a:r>
        </a:p>
        <a:p>
          <a:r>
            <a:rPr lang="en-US" sz="1400">
              <a:solidFill>
                <a:srgbClr val="00467E"/>
              </a:solidFill>
              <a:latin typeface="Aptos Narrow" panose="020B0004020202020204" pitchFamily="34" charset="0"/>
            </a:rPr>
            <a:t>1. Focus marketing and inventory strategies on mid-range products due to balanced pricing and customer satisfaction.</a:t>
          </a:r>
        </a:p>
        <a:p>
          <a:r>
            <a:rPr lang="en-US" sz="1400">
              <a:solidFill>
                <a:srgbClr val="00467E"/>
              </a:solidFill>
              <a:latin typeface="Aptos Narrow" panose="020B0004020202020204" pitchFamily="34" charset="0"/>
            </a:rPr>
            <a:t>2. Brands with lower VFM scores should optimize pricing strategies to improve competitiveness.</a:t>
          </a:r>
        </a:p>
        <a:p>
          <a:r>
            <a:rPr lang="en-US" sz="1400">
              <a:solidFill>
                <a:srgbClr val="00467E"/>
              </a:solidFill>
              <a:latin typeface="Aptos Narrow" panose="020B0004020202020204" pitchFamily="34" charset="0"/>
            </a:rPr>
            <a:t>3. High-rated products with lower visibility may benefit from improved promotional positioning.</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157.046861805553" createdVersion="8" refreshedVersion="8" minRefreshableVersion="3" recordCount="2897" xr:uid="{385EA8CC-EEF3-4E95-BBDA-189D1A9C570B}">
  <cacheSource type="worksheet">
    <worksheetSource name="FlipkartTable"/>
  </cacheSource>
  <cacheFields count="13">
    <cacheField name="Brand" numFmtId="0">
      <sharedItems count="17">
        <s v="OPPO"/>
        <s v="HTC"/>
        <s v="IQOO"/>
        <s v="Google Pixel"/>
        <s v="LG"/>
        <s v="ASUS"/>
        <s v="realme"/>
        <s v="GIONEE"/>
        <s v="Nokia"/>
        <s v="Apple"/>
        <s v="SAMSUNG"/>
        <s v="Lenovo"/>
        <s v="Motorola"/>
        <s v="POCO"/>
        <s v="vivo"/>
        <s v="Xiaomi"/>
        <s v="Infinix"/>
      </sharedItems>
    </cacheField>
    <cacheField name="Model" numFmtId="49">
      <sharedItems containsMixedTypes="1" containsNumber="1" minValue="1" maxValue="8110" count="868">
        <s v="A53"/>
        <s v="A12"/>
        <s v="A53s 5G"/>
        <s v="A33"/>
        <s v="A31"/>
        <s v="A74 5G"/>
        <s v="A11K"/>
        <s v="F17 Pro"/>
        <s v="A54"/>
        <s v="Reno6 5G"/>
        <s v="F17"/>
        <s v="Reno5 Pro 5G"/>
        <s v="A15"/>
        <s v="A74 5G BLACK"/>
        <s v="Reno6 Pro 5G"/>
        <s v="Reno2 F"/>
        <s v="Reno3 Pro"/>
        <s v="A15s"/>
        <s v="F19 Pro"/>
        <s v="F19 Pro+ 5G"/>
        <s v="F19"/>
        <s v="A7"/>
        <s v="F5"/>
        <s v="A5s"/>
        <s v="Reno"/>
        <s v="Reno2 Z"/>
        <s v="F15"/>
        <s v="K1"/>
        <s v="A9 2020"/>
        <s v="Find X"/>
        <s v="Reno4 Pro Special Edition"/>
        <s v="F11"/>
        <s v="A5"/>
        <s v="Reno4 Pro"/>
        <s v="A5 2020"/>
        <s v="F3 Deepika Padukone Limited Edition"/>
        <s v="F1 Plus"/>
        <s v="A83 2018 Edition"/>
        <s v="F3"/>
        <s v="A3s"/>
        <s v="A83"/>
        <s v="K3"/>
        <s v="F9"/>
        <s v="A52"/>
        <s v="A71 New Edition"/>
        <s v="Neo 7 4G"/>
        <s v="A71"/>
        <s v="A57"/>
        <s v="A1K"/>
        <s v="A37f"/>
        <s v="F9 Pro"/>
        <s v="A71k"/>
        <s v="A9"/>
        <s v="F3 Plus"/>
        <s v="Rohit Sharma Limited Edition"/>
        <s v="Hardik Pandya Limited Editon"/>
        <s v="Ravichandran Ashwin Limited Edition"/>
        <s v="F11 Pro"/>
        <s v="R1 R829"/>
        <s v="F5 Youth"/>
        <s v="F7"/>
        <s v="Neo 5"/>
        <s v="F1"/>
        <s v="Reno2"/>
        <s v="R17"/>
        <s v="Reno 10x Zoom"/>
        <s v="F1S"/>
        <s v="N5111"/>
        <s v="U11+ "/>
        <s v="Wildfire X "/>
        <n v="3"/>
        <s v="4a "/>
        <s v="3a XL "/>
        <s v="3 XL "/>
        <s v="3a "/>
        <s v="XL "/>
        <s v="2 XL "/>
        <n v="2"/>
        <s v="Quite Black"/>
        <s v="Very Silver"/>
        <s v="W11 "/>
        <s v="Velvet Dual Screen "/>
        <s v="Q60 "/>
        <s v="L90 Dual "/>
        <s v="W31 "/>
        <s v="W31 Plus "/>
        <s v="K42 "/>
        <s v="W30 Pro "/>
        <s v="Candy K9 "/>
        <s v="K9 4G LTE "/>
        <s v="W10 "/>
        <s v="K-10 "/>
        <s v="W41 "/>
        <s v="Q Stylus+ "/>
        <s v="W10 Alpha "/>
        <s v="W30 "/>
        <s v="W30 Plus "/>
        <s v="G7+ ThinQ "/>
        <s v="Stylus 2 "/>
        <s v="Max X160 "/>
        <s v="V20 "/>
        <s v="G8X "/>
        <s v="V40 ThinQ "/>
        <s v="K7i "/>
        <s v="Nexus4 E960"/>
        <s v="G7 ThinQ "/>
        <s v="Nexus 5X "/>
        <s v="G5 "/>
        <s v="Q6+ "/>
        <s v="Spirit 4G LTE "/>
        <s v="Velvet "/>
        <s v="W41 Plus "/>
        <s v="Wing "/>
        <s v="W41 Pro "/>
        <s v="Optimus L70 "/>
        <s v="L60 Dual "/>
        <s v="K8 "/>
        <s v="G Pro 2 "/>
        <s v="Optimus L5 II "/>
        <s v="V30+ "/>
        <s v="G2 D802 "/>
        <s v="Q Stylus "/>
        <s v="Q6 "/>
        <s v="G6 "/>
        <s v="K10 2017 "/>
        <s v="V20a "/>
        <s v="K10 K420DS "/>
        <s v="Q7 "/>
        <s v="X Power "/>
        <s v="Stylus 2 Plus "/>
        <s v="K-7 "/>
        <s v="G3 Beat "/>
        <s v="G4 "/>
        <s v="Stylus 3 "/>
        <s v="L Bello "/>
        <s v="G4 Stylus 4G LTE "/>
        <s v="X Cam "/>
        <s v="Optimus L3 II E425 "/>
        <s v="Optimus L7 II Dual "/>
        <s v="L 80 Dual "/>
        <s v="G3 Stylus "/>
        <s v="Q7+ "/>
        <s v="X Screen K500I "/>
        <s v="Spirit "/>
        <s v="ROG Phone 5 "/>
        <s v="ROG Phone 3 "/>
        <s v="Zenfone Max Pro M1 "/>
        <s v="Zenfone 2 Laser ZE500KL "/>
        <s v="ZenFone Max M2 "/>
        <s v="ZenFone 5Z "/>
        <s v="6Z "/>
        <s v="Zenfone Go 4.5 "/>
        <s v="Zenfone Go 5.5 "/>
        <s v="Zenfone Go 3rd Gen"/>
        <s v="Zenfone Go 2nd Gen"/>
        <s v="Zenfone Go "/>
        <s v="ZenFone Lite L1 "/>
        <s v="Zenfone 4 Selfie "/>
        <s v="ROG Phone II "/>
        <s v="Zenfone Go 5.0 "/>
        <s v="ZenFone Max Pro M2 "/>
        <s v="Zenfone Go 5.0 LTE 2nd Gen "/>
        <s v="Zenfone C "/>
        <s v="Zenfone Go 5.0 LTE "/>
        <s v="Zenfone Max ZC550KL "/>
        <s v="Zenfone Max "/>
        <s v="Zenfone Go 4.5 LTE "/>
        <s v="ZenFone Max M1 "/>
        <s v="ROG "/>
        <s v="Zenfone Selfie "/>
        <s v="Zenfone Live "/>
        <s v="Zenfone Zoom "/>
        <s v="C11 2021 "/>
        <s v="Narzo 30 5G "/>
        <s v="C20 "/>
        <s v="C21Y "/>
        <s v="C25s "/>
        <s v="8s 5G "/>
        <s v="C21 "/>
        <s v="Narzo 30 "/>
        <s v="Narzo 30A "/>
        <s v="8 5G "/>
        <s v="8 Pro "/>
        <s v="C15 "/>
        <n v="8"/>
        <s v="C12 "/>
        <s v="C11 "/>
        <n v="7"/>
        <s v="X7 5G "/>
        <s v="Narzo 30 Pro 5G "/>
        <s v="C3 "/>
        <s v="C15 Qualcomm Edition "/>
        <s v="3i "/>
        <s v="5 Pro "/>
        <s v="7i "/>
        <s v="Narzo 50i "/>
        <s v="Narzo 50A "/>
        <s v="X3 SuperZoom "/>
        <s v="X50 Pro 5G "/>
        <s v="X3 "/>
        <s v="GT 5G "/>
        <s v="X50 Pro "/>
        <s v="C2 "/>
        <n v="6"/>
        <s v="X7 Pro 5G "/>
        <s v="GT Master Edition "/>
        <s v="6i "/>
        <n v="1"/>
        <s v="X2 "/>
        <s v="5i "/>
        <s v="X "/>
        <s v="C25 "/>
        <s v="7 Pro "/>
        <s v="Narzo 20 Pro "/>
        <s v="Narzo 20A "/>
        <s v="Narzo 20 "/>
        <s v="Narzo 10A "/>
        <s v="Narzo 10 "/>
        <s v="6 Pro "/>
        <s v="U1 "/>
        <s v="X2 Pro "/>
        <s v="5s "/>
        <s v="Max "/>
        <s v="Max Pro "/>
        <s v="F8 Neo "/>
        <s v="F103 Pro "/>
        <s v="F205 Pro "/>
        <s v="A1 "/>
        <s v="S11 Lite "/>
        <s v="F11 "/>
        <s v="L800"/>
        <s v="Pioneer P5W "/>
        <s v="S96"/>
        <s v="L700"/>
        <s v="P5L "/>
        <s v="Pioneer P3 "/>
        <s v="P2S "/>
        <s v="P5 Mini "/>
        <s v="P5_W "/>
        <s v="F9 "/>
        <s v="X-1 "/>
        <s v="M5 Lite 4G "/>
        <s v="P7 "/>
        <s v="A1 Plus "/>
        <s v="Pioneer P4 "/>
        <s v="Pioneer P3S "/>
        <s v="X1s "/>
        <s v="F10 "/>
        <s v="F205 "/>
        <s v="A1 Lite "/>
        <s v="Elife S7 "/>
        <s v="Marathon M5 lite CDMA "/>
        <s v="Marathon "/>
        <s v="Marathon M3 "/>
        <s v="M7 Power "/>
        <s v="S10 Lite "/>
        <s v="S6S "/>
        <s v="M3 "/>
        <s v="S Plus "/>
        <s v="Elife E8 "/>
        <s v="F9 Plus "/>
        <s v="Pioneer P4S "/>
        <s v="Marathon M5 Lite "/>
        <s v="P7 Max "/>
        <s v="M7 "/>
        <s v="F103 3GB Version "/>
        <s v="S6 "/>
        <s v="S6 Pro "/>
        <s v="F103 "/>
        <s v="S11 "/>
        <s v="V4S "/>
        <s v="Marathon M5 Plus "/>
        <s v="Ctrl V5 "/>
        <s v="G3 "/>
        <s v="Elife E7 Mini "/>
        <s v="Ctrl V4S "/>
        <s v="M2 "/>
        <s v="Elife S5.1 "/>
        <s v="Elife E3 "/>
        <s v="Pioneer P2 "/>
        <s v="Pioneer P6 "/>
        <s v="105 DS 2020"/>
        <s v="TA-1010/105"/>
        <n v="105"/>
        <s v="110 TA-1302 DS"/>
        <s v="216 DS"/>
        <s v="150 DS 2020"/>
        <s v="150 TA-1235 DS"/>
        <s v="105 SS 2021"/>
        <s v="125 DS"/>
        <s v="5310ds"/>
        <s v="3310 DS 2020"/>
        <n v="3.4"/>
        <s v="125 TA-1253 DS"/>
        <s v="C20 Plus "/>
        <n v="5.4"/>
        <s v="TA-1174 / TA-1299"/>
        <n v="2.4"/>
        <s v="125 DS 2020"/>
        <s v="5310 TA-1212 DS"/>
        <s v="216 DS 2020"/>
        <s v="215 4G DS 2020"/>
        <s v="225 4g ds"/>
        <s v="225 4G DS 2020"/>
        <n v="2.2999999999999998"/>
        <s v="215 4G DS"/>
        <n v="9"/>
        <n v="150"/>
        <s v="105 DS"/>
        <n v="215"/>
        <n v="130"/>
        <s v="108 Dual SIM"/>
        <s v="107 Dual SIM"/>
        <s v="150/150 DS"/>
        <n v="3.2"/>
        <s v="5.1 Plus "/>
        <s v="Ta -1010/105"/>
        <n v="6.1"/>
        <n v="2.1"/>
        <n v="5"/>
        <n v="112"/>
        <n v="3.1"/>
        <n v="5.0999999999999996"/>
        <n v="220"/>
        <n v="2.2000000000000002"/>
        <s v="Lumia 920 "/>
        <s v="3.1 Plus "/>
        <s v="Asha 503 "/>
        <n v="110"/>
        <n v="225"/>
        <n v="106"/>
        <n v="8110"/>
        <s v="8 Sirocco "/>
        <s v="RM-1172 / Nokia 230 DS"/>
        <n v="5.3"/>
        <s v="Lumia 625 "/>
        <s v="6.1 Plus "/>
        <s v="Asha 311 "/>
        <n v="8.1"/>
        <n v="7.2"/>
        <n v="7.1"/>
        <s v="8110 4G"/>
        <s v="X2 Dual SIM "/>
        <s v="Lumia 510 "/>
        <s v="7 Plus "/>
        <s v="Asha 206"/>
        <n v="222"/>
        <n v="6.2"/>
        <n v="4.2"/>
        <s v="Asha 502 "/>
        <s v="XPlus "/>
        <n v="515"/>
        <s v="iPhone SE "/>
        <s v="iPhone XR "/>
        <s v="iPhone 12 Mini "/>
        <s v="iPhone 11 "/>
        <s v="iPhone 12 "/>
        <s v="iPhone 12 Pro "/>
        <s v="iPhone 11 Pro Max "/>
        <s v="iPhone 8 Plus "/>
        <s v="iPhone 11 Pro "/>
        <s v="iPhone XS "/>
        <s v="iPhone 8 "/>
        <s v="iPhone 6 Plus "/>
        <s v="iPhone XS Max "/>
        <s v="iPhone 7 Plus "/>
        <s v="iPhone 6s "/>
        <s v="iPhone 7 "/>
        <s v="iPhone 6 "/>
        <s v="iPhone 6s Plus "/>
        <s v="iPhone X "/>
        <s v="Galaxy F22 "/>
        <s v="Galaxy F12 "/>
        <s v="M31s "/>
        <s v="M02s "/>
        <s v="Galaxy M02 "/>
        <s v="Galaxy A12 "/>
        <s v="Galaxy A22 "/>
        <s v="Galaxy A22 5G "/>
        <s v="Galaxy M12 "/>
        <s v="M31 "/>
        <s v="M21 2021 Edition "/>
        <s v="Galaxy A21s "/>
        <s v="GALAXY M31S "/>
        <s v="Metro 313 Dual Sim"/>
        <s v="Galaxy M31 "/>
        <s v="Galaxy Z Flip3 5G "/>
        <s v="Galaxy M01 "/>
        <s v="Galaxy A03s "/>
        <s v="Galaxy F02s "/>
        <s v="Galaxy A72 "/>
        <s v="Galaxy M32 "/>
        <s v="Galaxy A51 "/>
        <s v="Galaxy F62 "/>
        <s v="Galaxy A52s 5G "/>
        <s v="Galaxy M11 "/>
        <s v="Galaxy S10 Lite "/>
        <s v="Galaxy F41 "/>
        <s v="Galaxy A52 "/>
        <s v="Galaxy A32 "/>
        <s v="Galaxy S10 "/>
        <s v="M01 core "/>
        <s v="GALAXY M51 "/>
        <s v="Galaxy Note 20 "/>
        <s v="Galaxy Note10 Lite "/>
        <s v="Galaxy A71 "/>
        <s v="Galaxy A70s "/>
        <s v="Galaxy Z Fold3 5G "/>
        <s v="Guru GT"/>
        <s v="Guru FM Plus"/>
        <s v="Galaxy A50s "/>
        <s v="Guru Plus B110"/>
        <s v="Galaxy S9 Plus "/>
        <s v="Metro 313"/>
        <s v="Galaxy A6 "/>
        <s v="Galaxy A6+ "/>
        <s v="Galaxy On7 "/>
        <s v="Galaxy A70 "/>
        <s v="Galaxy A31 "/>
        <s v="M21 2021 Edition"/>
        <s v="Galaxy Note 20 Ultra 5G "/>
        <s v="Galaxy M01s "/>
        <s v="Metro 350"/>
        <s v="Galaxy A20s "/>
        <s v="Galaxy J7 Prime "/>
        <s v="Galaxy S20 FE "/>
        <s v="Galaxy A30s "/>
        <s v="Galaxy A7 "/>
        <s v="Galaxy J2 Core "/>
        <s v="Galaxy J6 "/>
        <s v="Galaxy A20 "/>
        <s v="Galaxy A10s "/>
        <s v="Galaxy M21 "/>
        <s v="Galaxy J2 2018 "/>
        <s v="Galaxy J7 Nxt "/>
        <s v="Galaxy M30 "/>
        <s v="Galaxy M42 "/>
        <s v="Galaxy J7 Duo "/>
        <s v="Galaxy A9 "/>
        <s v="Galaxy J6 Plus "/>
        <s v="Galaxy Fold 2 "/>
        <s v="Galaxy J7 - 6 New 2016 Edition) "/>
        <s v="Galaxy S20 Ultra "/>
        <s v="Galaxy Note 9 "/>
        <s v="Galaxy A10 "/>
        <s v="Metro B313E Dual Sim - White"/>
        <s v="Galaxy M40 "/>
        <s v="Galaxy J2 "/>
        <s v="Galaxy A50 "/>
        <s v="B350"/>
        <s v="Galaxy J2-2017 "/>
        <s v="Galaxy Grand 2 "/>
        <s v="Galaxy S10 Plus "/>
        <s v="Galaxy J4 "/>
        <s v="Galaxy A30 "/>
        <s v="Galaxy J5 Prime "/>
        <s v="Galaxy S6 Edge "/>
        <s v="Galaxy S21 Ultra "/>
        <s v="Galaxy J8 "/>
        <s v="Galaxy A7-2017 "/>
        <s v="Galaxy J4 Plus "/>
        <s v="Galaxy A8 Plus "/>
        <s v="Galaxy A80 "/>
        <s v="Galaxy M30s "/>
        <s v="Galaxy S5 "/>
        <s v="Galaxy J7 Prime 2 "/>
        <s v="Galaxy S21 Plus "/>
        <s v="SAMSUNG Metro 350 Dual Sim"/>
        <s v="Galaxy S21 "/>
        <s v="Galaxy M42 5G "/>
        <s v="Galaxy On8 "/>
        <s v="Galaxy S20+ "/>
        <s v="Galaxy A2 Core "/>
        <s v="Galaxy M10 "/>
        <s v="M31 Prime "/>
        <s v="Galaxy Star 2 "/>
        <s v="B351E/Metro 350"/>
        <s v="Galaxy S9 "/>
        <s v="Galaxy A7 2016 Edition "/>
        <s v="Metro XL"/>
        <s v="Z2 "/>
        <s v="Galaxy M10S "/>
        <s v="Galaxy J1 Ace "/>
        <s v="Z1 "/>
        <s v="Galaxy M20 "/>
        <s v="Galaxy J5 "/>
        <s v="Galaxy On6 "/>
        <s v="Galaxy Note 5 "/>
        <s v="Galaxy S4 Mini "/>
        <s v="Galaxy A9 Pro "/>
        <s v="Galaxy J2 - 2016 "/>
        <s v="Galaxy J2 Pro "/>
        <s v="Galaxy Note 10 Plus "/>
        <s v="Galaxy S8 "/>
        <s v="Z4 "/>
        <s v="Galaxy Star Advance "/>
        <s v="Galaxy J1 "/>
        <s v="Galaxy S20 "/>
        <s v="Galaxy Alpha "/>
        <s v="Galaxy Core Prime G361 Dual Sim - White "/>
        <s v="Metro"/>
        <s v="Galaxy E7 "/>
        <s v="Galaxy Note 8 "/>
        <s v="Galaxy A5-2017 "/>
        <s v="Tizen Z3 "/>
        <s v="Galaxy On Nxt "/>
        <s v="Galaxy J2 Ace "/>
        <s v="Galaxy S4 "/>
        <s v="Galaxy Note 3 "/>
        <s v="Galaxy S Duos 3 "/>
        <s v="Galaxy A3 "/>
        <s v="Galaxy Note 3 Neo "/>
        <s v="Galaxy A8 "/>
        <s v="Metro B312E Dual Sim - White"/>
        <s v="Galaxy A5 2016 Edition "/>
        <s v="Galaxy J7 "/>
        <s v="Galaxy Core "/>
        <s v="Galaxy Note 10 "/>
        <s v="Galaxy Grand Neo "/>
        <s v="Galaxy Note 4 "/>
        <s v="On7 Pro "/>
        <s v="Galaxy S10e "/>
        <s v="Galaxy S7 Edge "/>
        <s v="Galaxy A8 Star "/>
        <s v="Galaxy S3 Neo "/>
        <s v="Galaxy C7 Pro "/>
        <s v="Galaxy Folder 2 "/>
        <s v="SM-B310EZDDINS"/>
        <s v="Galaxy J5 - 6 New 2016 Edition) "/>
        <s v="Metro 360"/>
        <s v="Z3 "/>
        <s v="Grand Prime 4G "/>
        <s v="Galaxy Ace NXT "/>
        <s v="Galaxy Core Prime "/>
        <s v="On5 Pro "/>
        <s v="Galaxy A5 "/>
        <s v="Galaxy Star "/>
        <s v="Galaxy Grand Neo Plus "/>
        <s v="Galaxy Note Edge "/>
        <s v="Galaxy S6 "/>
        <s v="Grand Prime "/>
        <s v="Galaxy S8 Plus "/>
        <s v="Rex 60"/>
        <s v="Galaxy S7 "/>
        <s v="Galaxy E5 "/>
        <s v="Galaxy Star Pro "/>
        <s v="Galaxy Trend "/>
        <s v="Sm-G361Hhadins "/>
        <s v="Galaxy Grand Quattro "/>
        <s v="Galaxy Grand I9082 "/>
        <s v="Galaxy Mega 5.8 "/>
        <s v="Galaxy Note 5 Dual "/>
        <s v="Galaxy Core 2 "/>
        <s v="Galaxy Pocket Neo "/>
        <s v="Galaxy S Duos 2 "/>
        <s v="Galaxy S4 Zoom "/>
        <s v="Galaxy Grand Prime 4g "/>
        <s v="S7 Edge "/>
        <s v="Galaxy S6 Edge+ "/>
        <s v="A6600d40 "/>
        <s v="K8 Plus "/>
        <s v="K3 Note "/>
        <s v="S930 "/>
        <s v="A269i "/>
        <s v="A7 "/>
        <s v="A5 "/>
        <s v="A2010 "/>
        <s v="Vibe Shot "/>
        <s v="A7700 "/>
        <s v="K8 Note "/>
        <s v="K9 "/>
        <s v="VIBE P1m "/>
        <s v="Z2 Plus "/>
        <s v="Vibe K5 Note "/>
        <s v="B "/>
        <s v="S850 "/>
        <s v="A6600 "/>
        <s v="A5000 "/>
        <s v="A6600 Plus "/>
        <s v="A536 "/>
        <s v="A7000 "/>
        <s v="K10 Note "/>
        <s v="A7000 Turbo "/>
        <s v="Vibe K5 Plus "/>
        <s v="K6 Note "/>
        <s v="K6 Power "/>
        <s v="X2-AP "/>
        <s v="K10 Plus "/>
        <s v="P770 "/>
        <s v="VIBE P1 "/>
        <s v="K4 Note "/>
        <s v="S660 "/>
        <s v="Vibe Z2 Pro "/>
        <s v="K9 Note "/>
        <s v="P780 "/>
        <s v="A850 "/>
        <s v="A390 "/>
        <s v="P2 "/>
        <s v="A328 "/>
        <s v="A6 Note "/>
        <s v="Vibe P1 Turbo "/>
        <s v="A1000 "/>
        <s v="A6000 Plus "/>
        <s v="S560 "/>
        <s v="Sisley S60 "/>
        <s v="P70 "/>
        <s v="A319 "/>
        <s v="S90 Or Sisley S90 "/>
        <s v="A6000 Shot "/>
        <s v="K3 Note Music "/>
        <s v="ZUK Z1 "/>
        <s v="E7 Power "/>
        <s v="G10 Power "/>
        <s v="G60 "/>
        <s v="G40 Fusion "/>
        <s v="2nd Generation "/>
        <s v="Edge 20 "/>
        <s v="G8 Power Lite "/>
        <s v="Edge 20 Fusion "/>
        <s v="X4"/>
        <s v="Razr 5G "/>
        <s v="E5"/>
        <s v="Razr "/>
        <s v="X Play"/>
        <s v="C Plus"/>
        <s v="G6"/>
        <s v="M"/>
        <s v="One Vision "/>
        <s v="G30 "/>
        <s v="G5"/>
        <s v="G9 Power "/>
        <s v="G 2nd Generation "/>
        <s v="One Fusion+ "/>
        <s v="G9 "/>
        <s v="E7 Plus "/>
        <s v="One Action "/>
        <s v="E 2nd Gen 3G "/>
        <s v="E6s"/>
        <s v="C"/>
        <s v="E5 Plus"/>
        <s v="Edge+ "/>
        <s v="G 3rd Generation "/>
        <s v="One Macro "/>
        <s v="G5s"/>
        <s v="X 2nd Generation "/>
        <s v="G7"/>
        <s v="One"/>
        <s v="Z2 Play"/>
        <s v="One Power "/>
        <s v="Quench X T3"/>
        <s v="G8 Plus"/>
        <s v="G"/>
        <s v="G6 Play"/>
        <s v="XT502"/>
        <s v="G6 Plus "/>
        <s v="G4 Plus"/>
        <s v="G7 Power"/>
        <s v="G4"/>
        <s v="Z Play"/>
        <s v="G5 Plus"/>
        <s v="Z2 Force"/>
        <s v="X3 Pro "/>
        <s v="M3 Pro 5G "/>
        <s v="M2 Reloaded "/>
        <s v="Y20G "/>
        <s v="Y21 "/>
        <s v="Y33s "/>
        <s v="Y20A "/>
        <s v="Y12s "/>
        <s v="Y20G 2021 "/>
        <s v="Y20A 2021 "/>
        <s v="Y73 "/>
        <s v="Y1s "/>
        <s v="Y12G "/>
        <s v="Y51A "/>
        <s v="Y72 5G "/>
        <s v="V21e "/>
        <s v="Y20 "/>
        <s v="V20 SE "/>
        <s v="Y11 "/>
        <s v="Y53s "/>
        <s v="X60 "/>
        <s v="V20 2021 "/>
        <s v="V21 5G "/>
        <s v="Y91i "/>
        <s v="Y31 "/>
        <s v="Y30 "/>
        <s v="V20 Pro "/>
        <s v="Mi 10 "/>
        <s v="Mi 10i "/>
        <s v="Mi 10T "/>
        <s v="Mi 11 Lite "/>
        <s v="Mi 11X "/>
        <s v="MI 11X 5G "/>
        <s v="Mi 11X Pro 5G "/>
        <s v="Mi A2 "/>
        <s v="Mi A3 "/>
        <s v="Mi Max 2 "/>
        <s v="MI3 "/>
        <s v="Redmi 5 "/>
        <s v="Redmi 6 "/>
        <s v="Redmi 6 Pro "/>
        <s v="Redmi 6A "/>
        <s v="Redmi 7 "/>
        <s v="Redmi 7A "/>
        <s v="Redmi 8 "/>
        <s v="Redmi 8A "/>
        <s v="Redmi 8A Dual "/>
        <s v="Redmi 9 "/>
        <s v="REDMI 9 Power "/>
        <s v="REDMI 9 Prime "/>
        <s v="Redmi 9A "/>
        <s v="REDMI 9i "/>
        <s v="Redmi K20 "/>
        <s v="Redmi K20 Pro "/>
        <s v="REDMI Note 10 Pro "/>
        <s v="REDMI Note 10S "/>
        <s v="Redmi Note 4 "/>
        <s v="Redmi Note 5 "/>
        <s v="Redmi Note 5 Pro "/>
        <s v="Redmi Note 6 Pro "/>
        <s v="Redmi Note 7 "/>
        <s v="Redmi Note 7 Pro "/>
        <s v="Redmi Note 7S "/>
        <s v="Redmi Note 8 "/>
        <s v="REDMI Note 9 "/>
        <s v="Redmi Note 9 Pro "/>
        <s v="Redmi Y1 "/>
        <s v="Redmi Y2 "/>
        <s v="Redmi Y3 "/>
        <s v="U11"/>
        <s v="U Ultra"/>
        <s v="Desire 630"/>
        <n v="10"/>
        <n v="628"/>
        <s v="Desire 626"/>
        <s v="Desire 828"/>
        <s v="Desire 826 DS"/>
        <s v="820 G+"/>
        <s v="Desire 326G DS"/>
        <s v="One E9+"/>
        <s v="626G Plus"/>
        <n v="826"/>
        <s v="526G Plus"/>
        <s v="820S"/>
        <s v="Desire 820"/>
        <s v="Desire 526G Plus"/>
        <s v="816G"/>
        <s v="620G"/>
        <s v="Desire 816G"/>
        <s v="Desire 616"/>
        <s v="Desire 516"/>
        <s v="One M8 "/>
        <s v="Desire 816  "/>
        <s v="Desire 210"/>
        <s v="Desire 700"/>
        <s v="One 802D"/>
        <s v="XR 20"/>
        <s v="A16"/>
        <s v="A55"/>
        <s v="F3 GT"/>
        <s v="M2 Pro"/>
        <s v="M2  "/>
        <s v="X2"/>
        <s v="X2 Special Edition"/>
        <s v="9i"/>
        <s v="C25Y "/>
        <s v="GT Neo 2"/>
        <s v="X7 Max"/>
        <s v="Galaxy F42 5G "/>
        <s v="Y21A"/>
        <s v="Y33T"/>
        <s v="Y21T"/>
        <s v="V23 5G"/>
        <s v="V23 Pro 5G"/>
        <s v="Y20 T"/>
        <s v="X70 Pro+"/>
        <s v="X70 Pro "/>
        <s v="X60 Pro"/>
        <s v="X50 Pro"/>
        <s v="X50  "/>
        <s v="U10"/>
        <s v="U12"/>
        <s v="S1"/>
        <s v="Z1x"/>
        <s v="S2"/>
        <s v="Z1 Pro"/>
        <s v="Y90"/>
        <s v="Y93"/>
        <s v="Y94"/>
        <s v="Y95"/>
        <s v="Y83"/>
        <s v="V9"/>
        <s v="X21"/>
        <s v="V9 Youth"/>
        <s v="V7+"/>
        <s v="Y69"/>
        <s v="Y83 Pro"/>
        <s v="V11 Pro"/>
        <s v="Y71i"/>
        <s v="V7  "/>
        <s v="Y11T Pro"/>
        <s v="11i 5G"/>
        <s v="11i Hypercharge 5G"/>
        <s v="Redmi Note 11T 5G"/>
        <s v="Note 10 lite"/>
        <s v="9A Sport"/>
        <s v="11 Lite NE"/>
        <s v="Hot 10 Play"/>
        <s v="Hot 11S"/>
        <s v="Hot 11"/>
        <s v="Hot 10S"/>
        <s v="Smart 5"/>
        <s v="Smart 6"/>
        <s v="Smart 7"/>
        <s v="Smart 8"/>
        <s v="Note 11 "/>
        <s v="Smart 5A"/>
        <s v="Smart HD 2021"/>
        <s v="Note 11S"/>
        <s v="Note 11"/>
        <s v="Note 10 Pro"/>
        <s v="Note 11S Free Fire Edition"/>
        <s v="Smart 4"/>
        <s v="Note 5"/>
        <s v="Smart 2"/>
        <s v="Hot 6 Pro"/>
        <s v="Hot 8"/>
        <s v="Smart 3 Plus"/>
        <s v="Note 5 Stylus"/>
        <s v="S5 Pro"/>
        <s v="S4"/>
        <s v="Note 7"/>
        <s v="Zero 8i"/>
        <s v="Hot 10"/>
        <s v="Smart 4 Plus"/>
        <s v="Note 10"/>
        <s v="Hot 9"/>
        <s v="Hot 9 Pro"/>
        <s v="Hot S3X"/>
        <s v="Note 4"/>
        <s v="Hot S3"/>
        <s v="S5 Lite"/>
        <s v="Hot 4 Pro"/>
        <s v="S5 "/>
        <s v="Hot 7"/>
        <s v="Zero 5"/>
        <s v="Zero 5 Pro"/>
        <s v="Hot 7 Pro"/>
        <s v="Reno7 Pro 5G"/>
        <s v="C31"/>
        <s v="A16k"/>
        <s v="iPhone 13 "/>
        <s v="iPhone 13 Pro Max"/>
        <s v="iPhone 13 Pro"/>
        <s v="iPhone 13 mini"/>
        <s v="Y75 5G"/>
        <s v="9 5G"/>
        <s v="9 Pro 5G"/>
        <s v="9 Pro+ 5G"/>
        <s v="9 5G SE"/>
        <s v="C35"/>
        <s v="M4 Pro"/>
        <s v="M4 Pro 5G"/>
        <s v="Galaxy S21 SE 5G"/>
        <s v="Galaxy F23 5G"/>
        <s v="Galaxy A03 Core"/>
        <s v="M52 5G"/>
      </sharedItems>
    </cacheField>
    <cacheField name="Color" numFmtId="0">
      <sharedItems count="603">
        <s v="Moonlight Black"/>
        <s v="Mint Cream"/>
        <s v="Electric Black"/>
        <s v="Deep Blue"/>
        <s v="Black"/>
        <s v="Blue"/>
        <s v="Flowing Silver"/>
        <s v="Crystal Blue"/>
        <s v="Ink Black"/>
        <s v="Lake Green"/>
        <s v="Mystery Black"/>
        <s v="Fantastic Purple"/>
        <s v="Matte Black"/>
        <s v="Moonlight Gold"/>
        <s v="Aurora"/>
        <s v="Stellar Black"/>
        <s v="Magic Blue"/>
        <s v="Starry Blue"/>
        <s v="Crystal Black"/>
        <s v="Metallic White"/>
        <s v="Fantasy White"/>
        <s v="Navy Blue"/>
        <s v="Fancy Blue"/>
        <s v="Astral Blue"/>
        <s v="Dynamic Black"/>
        <s v="Dynamic Orange"/>
        <s v="Mystery Blue"/>
        <s v="Fairy White"/>
        <s v="Fluid Black"/>
        <s v="Sky White"/>
        <s v="Midnight Black"/>
        <s v="Rainbow Silver"/>
        <s v="Auroral Blue"/>
        <s v="Crystal Silver"/>
        <s v="Space Silver"/>
        <s v="Fancy White"/>
        <s v="Midnight Blue"/>
        <s v="Glaring Gold"/>
        <s v="Starry Black"/>
        <s v="Red"/>
        <s v="JET BLACK"/>
        <s v="Luminous Black"/>
        <s v="Unicorn White"/>
        <s v="Prism Black"/>
        <s v="Piano Black"/>
        <s v="Classic Silver"/>
        <s v="Lightening Black"/>
        <s v="Marine Green"/>
        <s v="Bordeaux Red"/>
        <s v="Galactic Blue"/>
        <s v="Marble Green"/>
        <s v="Diamond Blue"/>
        <s v="Silky White"/>
        <s v="Starry Night"/>
        <s v="Space Purple"/>
        <s v="Dazzling White"/>
        <s v="Rose Gold"/>
        <s v="Gold"/>
        <s v="Blazing Blue"/>
        <s v="Purple"/>
        <s v="Champagne"/>
        <s v="Aurora Blue"/>
        <s v="Mist Black"/>
        <s v="Twilight Black"/>
        <s v="Stream White"/>
        <s v="Vanilla Mint"/>
        <s v="Green"/>
        <s v="Grey"/>
        <s v="Sunrise Red"/>
        <s v="Twilight Blue"/>
        <s v="Starry Purple"/>
        <s v="Diamond Red"/>
        <s v="Glaze Blue"/>
        <s v="Mirror Black"/>
        <s v="Jade Black"/>
        <s v="White"/>
        <s v="Stellar Purple"/>
        <s v="Fluorite Purple"/>
        <s v="Waterfall Grey"/>
        <s v="Aurora Green"/>
        <s v="Thunder Black"/>
        <s v="Jewelry White"/>
        <s v="Silver"/>
        <s v="Glacier Blue"/>
        <s v="Neon Purple"/>
        <s v="Majestic Gold"/>
        <s v="Ocean Green"/>
        <s v="Ocean Blue"/>
        <s v="Amazing Silver"/>
        <s v="Blue MB"/>
        <s v="Quantum Silver"/>
        <s v="Tornado Black"/>
        <s v=" Tornado Black"/>
        <s v="Just Black"/>
        <s v="Clearly White"/>
        <s v="Not Pink"/>
        <s v="Very Silver"/>
        <s v="Aurora Silver"/>
        <s v="Midnight Purple"/>
        <s v="Moroccan Blue"/>
        <s v="Smokey Gray"/>
        <s v="Black Blue"/>
        <s v="Thunder Blue"/>
        <s v="Platinum"/>
        <s v="Titan"/>
        <s v="Silver Titan"/>
        <s v="Platinum Grey"/>
        <s v="Brown"/>
        <s v="Ice"/>
        <s v="Black Titan"/>
        <s v="Aurora Gray"/>
        <s v="Laser Blue"/>
        <s v="Black &amp; Blue"/>
        <s v="Black Gold"/>
        <s v="Gold &amp; Black"/>
        <s v="Illusion Sky"/>
        <s v="Carbon"/>
        <s v="Genuine Leather Black"/>
        <s v="Titan Silver"/>
        <s v="Pink"/>
        <s v="Metallic Gray"/>
        <s v="Lavender Violet"/>
        <s v="Genuine Leather Brown"/>
        <s v="Meteor Silver"/>
        <s v="Silver Blue"/>
        <s v="Yellow"/>
        <s v="Rose Pink"/>
        <s v="Titanium"/>
        <s v="Aqua Blue"/>
        <s v="Orange"/>
        <s v="Cool Blue"/>
        <s v="Cool Grey"/>
        <s v="Racing Blue"/>
        <s v="Racing Silver"/>
        <s v="Cross Black"/>
        <s v="Cross Blue"/>
        <s v="Watery Grey"/>
        <s v="Watery Blue"/>
        <s v="Universe Blue"/>
        <s v="Universe Purple"/>
        <s v="Laser Black"/>
        <s v="Supersonic Black"/>
        <s v="Supersonic Blue"/>
        <s v="Infinite Black"/>
        <s v="Power Blue"/>
        <s v="Infinite Blue"/>
        <s v="Cyber Silver"/>
        <s v="Cyber Black"/>
        <s v="Power Silver"/>
        <s v="Rich Grey"/>
        <s v="Rich Green"/>
        <s v="Mist Blue"/>
        <s v="Nebula"/>
        <s v="Sword Black"/>
        <s v="Blade Silver"/>
        <s v="Frozen Blue"/>
        <s v="Chroma White"/>
        <s v="Fusion Green"/>
        <s v="Mint Green"/>
        <s v="Carbon Black"/>
        <s v="Oxygen Blue"/>
        <s v="Oxygen Green"/>
        <s v="Sparkling Blue"/>
        <s v="Rust Red"/>
        <s v="Arctic White"/>
        <s v="Dashing Blue"/>
        <s v="Moss Green"/>
        <s v="Crystal Green"/>
        <s v="Racing Yellow"/>
        <s v="Comet Blue"/>
        <s v="Mystic Black"/>
        <s v="Diamond Black"/>
        <s v="Cosmos Black"/>
        <s v="Eclipse Black"/>
        <s v="Comet White"/>
        <s v="Lunar White"/>
        <s v="Pearl White"/>
        <s v="Moonlight Silver"/>
        <s v="Space Blue"/>
        <s v="Pearl Green"/>
        <s v="Illuminating Yellow"/>
        <s v="Volcano Grey"/>
        <s v="Blazing Red"/>
        <s v="Fusion Blue"/>
        <s v="Mist White"/>
        <s v="Sun Kissed Leather"/>
        <s v="Black Ninja"/>
        <s v="White Knight"/>
        <s v="Glory Silver"/>
        <s v="Victory Blue"/>
        <s v="So White"/>
        <s v="That Green"/>
        <s v="That White"/>
        <s v="Lightning Red"/>
        <s v="So Blue"/>
        <s v="That Blue"/>
        <s v="Ambitious Black"/>
        <s v="Fiery Gold"/>
        <s v="Brave Blue"/>
        <s v="Lightning Blue"/>
        <s v="Solar Red"/>
        <s v="Pearl Blue"/>
        <s v="Diamond Sapphire"/>
        <s v="Diamond Ruby"/>
        <s v="Forest Green"/>
        <s v="Lightning Orange"/>
        <s v="Radiant Blue"/>
        <s v="Red Brick"/>
        <s v="Concrete"/>
        <s v="Garlic"/>
        <s v="Onion"/>
        <s v="Polar White"/>
        <s v="Neptune Blue"/>
        <s v="Super Polar White"/>
        <s v="Royal Blue"/>
        <s v="Dark Blue"/>
        <s v="Mocha Gold"/>
        <s v="Black and Gold"/>
        <s v="Latte Gold"/>
        <s v="Champagne Gold"/>
        <s v="Polar Gold"/>
        <s v="Fjord"/>
        <s v="Polar Night"/>
        <s v="Charcoal Grey"/>
        <s v="Nordic Blue"/>
        <s v="Sand"/>
        <s v="Dusk"/>
        <s v="Charcoal"/>
        <s v="Fjord Blue"/>
        <s v="Dusk Purple"/>
        <s v="Copper"/>
        <s v="Grey / Silver"/>
        <s v="Warm Red"/>
        <s v="Copper/Black"/>
        <s v="Blue &amp; Silver"/>
        <s v="Silver White"/>
        <s v="Black&amp;Blue"/>
        <s v="Cyan Green"/>
        <s v="Baltic"/>
        <s v="Iron"/>
        <s v="Steel"/>
        <s v="Pewter / White"/>
        <s v="Tempered Blue"/>
        <s v="CYAN"/>
        <s v="Dark Grey"/>
        <s v="Bright Green"/>
        <s v="White &amp; Copper"/>
        <s v="Pink Sand"/>
        <s v="Polished Copper"/>
        <s v="Copper White"/>
        <s v="Polished Blue"/>
        <s v="Bright Red"/>
        <s v="Black &amp; Copper"/>
        <s v="Coral"/>
        <s v="Pacific Blue"/>
        <s v="Midnight Green"/>
        <s v="Graphite"/>
        <s v="Space Grey"/>
        <s v="Space Gray"/>
        <s v="Denim Blue"/>
        <s v="Denim Black"/>
        <s v="Sky Blue"/>
        <s v="Sea Green"/>
        <s v="Mirage Blue"/>
        <s v="Celestial Black"/>
        <s v="Mint"/>
        <s v="Arctic blue"/>
        <s v="Mirage Black"/>
        <s v="Space Black"/>
        <s v="Cream"/>
        <s v="Awesome Black"/>
        <s v="Light Blue"/>
        <s v="Prism Crush Blue"/>
        <s v="Phantom Black"/>
        <s v="Laser Grey"/>
        <s v="Awesome White"/>
        <s v="Laser Green"/>
        <s v="Awesome Blue"/>
        <s v="Prism White"/>
        <s v="Violet"/>
        <s v="Awesome Violet"/>
        <s v="Mystic Bronze"/>
        <s v="Aura Black"/>
        <s v="Haze Crush Silver"/>
        <s v="Prism Crush Red"/>
        <s v="Iceberg blue"/>
        <s v="Metallic Blue"/>
        <s v="Prism Crush Violet"/>
        <s v="Diamond White"/>
        <s v="Mystic Blue"/>
        <s v="Prism Crush Black"/>
        <s v="Mystic Green"/>
        <s v="Cloud Navy"/>
        <s v="Cloud White"/>
        <s v="Prism Crush White"/>
        <s v="Gradation Blue"/>
        <s v="Prism Dot Black"/>
        <s v="Caviar Black"/>
        <s v="Cosmic Gray"/>
        <s v="Seawater Blue"/>
        <s v="Absolute black"/>
        <s v="Ceramic Black"/>
        <s v="Ceramic White"/>
        <s v="White Pearl"/>
        <s v="Black Sapphire"/>
        <s v="Gold Sand"/>
        <s v="Electric Blue"/>
        <s v="Angel Gold"/>
        <s v="Fusion Black"/>
        <s v="Shimmery White"/>
        <s v="Phantom Gray"/>
        <s v="Aura Glow"/>
        <s v="Prism Dot Gray"/>
        <s v="Cloud Blue"/>
        <s v="Dark Gray"/>
        <s v="Iris Charcoal"/>
        <s v="Phantom Violet"/>
        <s v="Stainless Black"/>
        <s v="Lemonade Blue"/>
        <s v="Metallic Copper"/>
        <s v="White Frost"/>
        <s v="Charcoal Black"/>
        <s v="Lavender Purple"/>
        <s v="Prism Crush Silver"/>
        <s v="Prism Blue"/>
        <s v="Burgundy Red"/>
        <s v="Ghost White"/>
        <s v="Cloud Pink"/>
        <s v="Coral Blue"/>
        <s v="Frosted Gold"/>
        <s v="Aura Red"/>
        <s v="Phantom White"/>
        <s v="Orchid Grey"/>
        <s v="Black Sky"/>
        <s v="Lilac Purple"/>
        <s v="Silver Titanium"/>
        <s v="Deep Black"/>
        <s v="Classic White"/>
        <s v="Gold Platinum"/>
        <s v="Polaris Blue"/>
        <s v="Copper Gold"/>
        <s v="Sunrise Gold"/>
        <s v="Alpine White"/>
        <s v="Chic White"/>
        <s v="Blue Coral"/>
        <s v="Aura White"/>
        <s v="Quartz Green"/>
        <s v="Phantom Silver"/>
        <s v="Pebble Blue"/>
        <s v="Black Onyx"/>
        <s v="Cloud Mint"/>
        <s v="Wine Red"/>
        <s v="Cloud Lavender"/>
        <s v="Cloud Red"/>
        <s v="Raven Black"/>
        <s v="Gradation Black"/>
        <s v="Cosmic Black"/>
        <s v="Noble Black"/>
        <s v="Frost White"/>
        <s v="Maple Gold"/>
        <s v="Marble White"/>
        <s v="Bronze Gold"/>
        <s v="Charcoal Gray"/>
        <s v="Blossom Pink"/>
        <s v="COCKTAIL ORANGE"/>
        <s v="Titan Gray"/>
        <s v="Metallic Silver"/>
        <s v="Pure White"/>
        <s v="Black Pearl"/>
        <s v="Pink Gold"/>
        <s v="Fine Gold"/>
        <s v="Venom Black"/>
        <s v="dark gold"/>
        <s v="Black/Tuxedo Black"/>
        <s v="Starry Night Black"/>
        <s v="Sprite"/>
        <s v="GREY/BLACK"/>
        <s v="Tahiti Blue"/>
        <s v="Aurora Grey"/>
        <s v="Frosted Champagne"/>
        <s v="Dynamic Gray"/>
        <s v="Coral Red"/>
        <s v="Breeze Blue"/>
        <s v="Frosted Emerald"/>
        <s v="Cyber Teal"/>
        <s v="Super Black"/>
        <s v="Electric Graphite"/>
        <s v="Polished Graphite"/>
        <s v="Frosted Pearl"/>
        <s v="Indigo Black"/>
        <s v="Sapphire Gradient"/>
        <s v="Dark Pearl"/>
        <s v="Volcanic Grey"/>
        <s v="Electric Violet"/>
        <s v="Pastel Sky"/>
        <s v="Moonlight White"/>
        <s v="Sapphire Blue"/>
        <s v="Misty Blue"/>
        <s v="Frosted Silver"/>
        <s v="Smoky Sangria"/>
        <s v="Ultra Violet"/>
        <s v="Lunar Gray"/>
        <s v="Sterling Blue"/>
        <s v="Rich Cranberry"/>
        <s v="Oxford Blue"/>
        <s v="Cosmic Blue"/>
        <s v="Bronze Gradient"/>
        <s v="Crystal Pink"/>
        <s v="Twilight Orange"/>
        <s v="Caribbean Blue"/>
        <s v="Metallic Sage"/>
        <s v="Lunar Grey"/>
        <s v="Black Leather"/>
        <s v="Graphite Black"/>
        <s v="Steel Blue"/>
        <s v="Power Black"/>
        <s v="Mostly Blue"/>
        <s v="Lime Green"/>
        <s v="Obsidian Black"/>
        <s v="Purist Blue"/>
        <s v="Midday Dream"/>
        <s v="Nebula Blue"/>
        <s v="Diamond Glow"/>
        <s v="Dawn White"/>
        <s v="Diamond Flare"/>
        <s v="Olive Black"/>
        <s v="Titanium Sapphire"/>
        <s v="Slate Gray"/>
        <s v="Prism Magic"/>
        <s v="Crystal Symphony"/>
        <s v="Sunset Jazz"/>
        <s v="Gravity Black"/>
        <s v="Agate Red"/>
        <s v="Deep Sea Blue"/>
        <s v="Sunset Melody"/>
        <s v="Sunset Dazzle"/>
        <s v="Dusk Blue"/>
        <s v="Fantastic Rainbow"/>
        <s v="Emerald Black"/>
        <s v="Aquamarine Green"/>
        <s v="Midnight Jazz"/>
        <s v="Shimmer Blue"/>
        <s v="Coral Green"/>
        <s v="Twilight Grey"/>
        <s v="Atlantic Blue"/>
        <s v="Pacific Sunrise"/>
        <s v="Lunar Silver"/>
        <s v="Jazz Blue"/>
        <s v="Tuscany Coral"/>
        <s v="Vinyl Black"/>
        <s v="Celestial Silver"/>
        <s v="Kind of Grey"/>
        <s v="More Than White"/>
        <s v="Metallic Grey"/>
        <s v="Lake Blue"/>
        <s v="Matte Gold"/>
        <s v="Onyx Black"/>
        <s v="Ruby Red"/>
        <s v="Sunset Red"/>
        <s v="Midnight Grey"/>
        <s v="Sea Blue"/>
        <s v="Sporty Orange"/>
        <s v="Electric Green"/>
        <s v="Fiery Red"/>
        <s v="Mighty Black"/>
        <s v="Sunrise Flare"/>
        <s v="Nature Green"/>
        <s v="SeaBlue"/>
        <s v="Flame Red"/>
        <s v="Dark Nebula"/>
        <s v="Dark Night"/>
        <s v="Cosmic Purple"/>
        <s v="Nebula Red"/>
        <s v="Astro Moonlight White"/>
        <s v="Pebble Grey"/>
        <s v="Glacier White"/>
        <s v="Bold Red"/>
        <s v="Elegant Blue"/>
        <s v="Prime Black"/>
        <s v="Brilliant Black"/>
        <s v="Sprinkle White"/>
        <s v="Carbon Grey"/>
        <s v="Topaz Gold"/>
        <s v="Sunset Blue"/>
        <s v="White Birch"/>
        <s v="Blue Lagoon"/>
        <s v="Milkyway Grey"/>
        <s v="Meteor Grey"/>
        <s v="Gold Sepia"/>
        <s v="Gold and Silver"/>
        <s v="Fervor Red"/>
        <s v="Santorini White"/>
        <s v="Saffron Grey"/>
        <s v="Glossy Black"/>
        <s v="Amber Gold"/>
        <s v="White  "/>
        <s v="Gunmetal Grey"/>
        <s v="Grey "/>
        <s v="Rainbow Blue"/>
        <s v="Predator Black"/>
        <s v="Gunmetal Silver"/>
        <s v="Armoured Edition"/>
        <s v="Two shades of black"/>
        <s v="Green and Greener"/>
        <s v="Out of Blue"/>
        <s v="Slate Blue"/>
        <s v="Pitch Black"/>
        <s v="Brick Red"/>
        <s v="Matrix Purple"/>
        <s v="Pheonix Red"/>
        <s v="Rosso Red"/>
        <s v="Daybreak Blue"/>
        <s v="Metal Grey"/>
        <s v="Neo Blue"/>
        <s v="Neo Black"/>
        <s v="Luna White "/>
        <s v="Voyager Grey"/>
        <s v="Mercury Silver"/>
        <s v="Asteroid Black"/>
        <s v="Awesome Mint"/>
        <s v="Phantom Green"/>
        <s v="Lavender  "/>
        <s v="Matte Aqua"/>
        <s v="Sunshine Gold"/>
        <s v="Stardust Black"/>
        <s v="Neon Spark"/>
        <s v="Enigma Black"/>
        <s v="Aurora Dawn"/>
        <s v="Alpha Grey"/>
        <s v="Frost Blue"/>
        <s v="Skyline Blue"/>
        <s v="Phantom Purple"/>
        <s v="Sonic Blue"/>
        <s v="Sonic Black"/>
        <s v="Nebula Purple"/>
        <s v="Dazzling Gold"/>
        <s v="Pearl Black"/>
        <s v="Energetic Blue"/>
        <s v="Celestial Magic"/>
        <s v="Stealth Black"/>
        <s v="Purple Mist"/>
        <s v="Pacific Pearl"/>
        <s v="Camo Green"/>
        <s v="Aquamarine Blue"/>
        <s v="Stardust White"/>
        <s v="Diamond Dazzle"/>
        <s v="Aegean Blue"/>
        <s v="Purple  "/>
        <s v="Morandi Green"/>
        <s v="Polar Black"/>
        <s v="Green Wave"/>
        <s v="Silver Wave"/>
        <s v="Emerald Green"/>
        <s v="Quetzal Cyan"/>
        <s v="Ocean Wave"/>
        <s v="Celestial Snow"/>
        <s v="Symphony Cyan"/>
        <s v="Haze Green"/>
        <s v="Glacier Green"/>
        <s v="Mithril Grey"/>
        <s v="Nordic Secret"/>
        <s v="Milan Black"/>
        <s v="Sandstone Black"/>
        <s v="Ice Blue"/>
        <s v="Sapphire Cyan"/>
        <s v="Bordeaux Red "/>
        <s v="Heart of Ocean"/>
        <s v="Silver Diamond"/>
        <s v="Topaz Blue"/>
        <s v="Moonlight Jade"/>
        <s v="Amber Red"/>
        <s v="Aether Black"/>
        <s v="Tradew Grey"/>
        <s v="Mocha Brown"/>
        <s v="City Blue"/>
        <s v="Serene Gold"/>
        <s v="Blush Gold"/>
        <s v="Magic Gold"/>
        <s v="Shark Grey"/>
        <s v="Quartz Black"/>
        <s v="Charcoal Blue"/>
        <s v="Black Diamond"/>
        <s v="Berlin Gray"/>
        <s v="Twilight Purple"/>
        <s v="Bolivia Blue"/>
        <s v="Bronze Gold Black"/>
        <s v="Startrails Blue"/>
        <s v="Shadow Grey"/>
        <s v="Royal Gold"/>
        <s v="Alpine Green"/>
        <s v="Sierra Blue"/>
        <s v="Starlight Black"/>
        <s v="Glowing Galaxy"/>
        <s v="Meteor Black"/>
        <s v="Stargaze White"/>
        <s v="Sunrise Blue "/>
        <s v="Azure Glow"/>
        <s v="Starry Glow"/>
        <s v="Glowing Green"/>
        <s v="Glowing Black"/>
        <s v="Blazing Black"/>
        <s v="Icy Blue"/>
        <s v="Slate Black"/>
      </sharedItems>
    </cacheField>
    <cacheField name="Memory" numFmtId="0">
      <sharedItems count="24">
        <s v="4 GB"/>
        <s v="6 GB"/>
        <s v="3 GB"/>
        <s v="8 GB"/>
        <s v="2 GB"/>
        <s v="12 GB"/>
        <s v="1 GB"/>
        <s v="512 MB"/>
        <s v="1.5 GB"/>
        <s v="768 MB"/>
        <s v="8 MB"/>
        <s v="64 MB"/>
        <s v="4 MB"/>
        <s v="32 MB"/>
        <s v="16 MB"/>
        <s v="4GB"/>
        <s v="153 MB"/>
        <s v="128 MB"/>
        <s v="2 MB"/>
        <s v="10 MB"/>
        <s v="46 MB"/>
        <s v="16 GB"/>
        <s v="100 MB"/>
        <s v="30 MB"/>
      </sharedItems>
    </cacheField>
    <cacheField name="Storage" numFmtId="0">
      <sharedItems count="25">
        <s v="64 GB"/>
        <s v="128 GB"/>
        <s v="32 GB"/>
        <s v="256 GB"/>
        <s v="16 GB"/>
        <s v="8 GB"/>
        <s v="4 GB"/>
        <s v="512 GB"/>
        <s v="16 MB"/>
        <s v="128 MB"/>
        <s v="2 MB"/>
        <s v="4 MB"/>
        <s v="Expandable Upto 32 GB"/>
        <s v="8 MB"/>
        <s v="Expandable Upto 16 GB"/>
        <s v="10 MB"/>
        <s v="256 MB"/>
        <s v="140 MB"/>
        <s v="64 MB"/>
        <s v="153 MB"/>
        <s v="512 MB"/>
        <s v="1 TB"/>
        <s v="100 MB"/>
        <s v="129 GB"/>
        <s v="130 GB"/>
      </sharedItems>
    </cacheField>
    <cacheField name="Rating" numFmtId="0">
      <sharedItems containsSemiMixedTypes="0" containsString="0" containsNumber="1" minValue="2.2999999999999998" maxValue="5"/>
    </cacheField>
    <cacheField name="Selling Price" numFmtId="0">
      <sharedItems containsSemiMixedTypes="0" containsString="0" containsNumber="1" containsInteger="1" minValue="1000" maxValue="179900"/>
    </cacheField>
    <cacheField name="Original Price" numFmtId="0">
      <sharedItems containsSemiMixedTypes="0" containsString="0" containsNumber="1" containsInteger="1" minValue="1000" maxValue="189999"/>
    </cacheField>
    <cacheField name="Margin" numFmtId="0">
      <sharedItems containsSemiMixedTypes="0" containsString="0" containsNumber="1" containsInteger="1" minValue="-8000" maxValue="75000"/>
    </cacheField>
    <cacheField name="Margin%" numFmtId="9">
      <sharedItems containsSemiMixedTypes="0" containsString="0" containsNumber="1" minValue="-1.6032064128256514" maxValue="0.70610305152576291"/>
    </cacheField>
    <cacheField name="Value for money (VFM) score" numFmtId="0">
      <sharedItems containsSemiMixedTypes="0" containsString="0" containsNumber="1" minValue="2.000013333422223E-2" maxValue="4.3"/>
    </cacheField>
    <cacheField name="Price Segment" numFmtId="0">
      <sharedItems/>
    </cacheField>
    <cacheField name="Rating Segment" numFmtId="0">
      <sharedItems count="4">
        <s v="Good"/>
        <s v="Average"/>
        <s v="Excellent"/>
        <s v="Poor"/>
      </sharedItems>
    </cacheField>
  </cacheFields>
  <extLst>
    <ext xmlns:x14="http://schemas.microsoft.com/office/spreadsheetml/2009/9/main" uri="{725AE2AE-9491-48be-B2B4-4EB974FC3084}">
      <x14:pivotCacheDefinition pivotCacheId="18313701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97">
  <r>
    <x v="0"/>
    <x v="0"/>
    <x v="0"/>
    <x v="0"/>
    <x v="0"/>
    <n v="4.5"/>
    <n v="11990"/>
    <n v="15990"/>
    <n v="4000"/>
    <n v="0.25015634771732331"/>
    <n v="0.37531276063386154"/>
    <s v="Budget"/>
    <x v="0"/>
  </r>
  <r>
    <x v="0"/>
    <x v="0"/>
    <x v="1"/>
    <x v="0"/>
    <x v="0"/>
    <n v="4.5"/>
    <n v="11990"/>
    <n v="15990"/>
    <n v="4000"/>
    <n v="0.25015634771732331"/>
    <n v="0.37531276063386154"/>
    <s v="Budget"/>
    <x v="0"/>
  </r>
  <r>
    <x v="0"/>
    <x v="0"/>
    <x v="0"/>
    <x v="1"/>
    <x v="1"/>
    <n v="4.3"/>
    <n v="13990"/>
    <n v="17990"/>
    <n v="4000"/>
    <n v="0.22234574763757642"/>
    <n v="0.30736240171551105"/>
    <s v="Budget"/>
    <x v="0"/>
  </r>
  <r>
    <x v="0"/>
    <x v="0"/>
    <x v="1"/>
    <x v="1"/>
    <x v="1"/>
    <n v="4.3"/>
    <n v="13990"/>
    <n v="17990"/>
    <n v="4000"/>
    <n v="0.22234574763757642"/>
    <n v="0.30736240171551105"/>
    <s v="Budget"/>
    <x v="0"/>
  </r>
  <r>
    <x v="0"/>
    <x v="0"/>
    <x v="2"/>
    <x v="0"/>
    <x v="0"/>
    <n v="4.5"/>
    <n v="11990"/>
    <n v="15990"/>
    <n v="4000"/>
    <n v="0.25015634771732331"/>
    <n v="0.37531276063386154"/>
    <s v="Budget"/>
    <x v="0"/>
  </r>
  <r>
    <x v="0"/>
    <x v="0"/>
    <x v="2"/>
    <x v="1"/>
    <x v="1"/>
    <n v="4.3"/>
    <n v="13990"/>
    <n v="17990"/>
    <n v="4000"/>
    <n v="0.22234574763757642"/>
    <n v="0.30736240171551105"/>
    <s v="Budget"/>
    <x v="0"/>
  </r>
  <r>
    <x v="0"/>
    <x v="1"/>
    <x v="3"/>
    <x v="0"/>
    <x v="0"/>
    <n v="4.4000000000000004"/>
    <n v="10490"/>
    <n v="11990"/>
    <n v="1500"/>
    <n v="0.12510425354462051"/>
    <n v="0.41944709246901818"/>
    <s v="Budget"/>
    <x v="0"/>
  </r>
  <r>
    <x v="0"/>
    <x v="1"/>
    <x v="4"/>
    <x v="2"/>
    <x v="2"/>
    <n v="4.4000000000000004"/>
    <n v="9490"/>
    <n v="10990"/>
    <n v="1500"/>
    <n v="0.13648771610555049"/>
    <n v="0.46364594309799789"/>
    <s v="Budget"/>
    <x v="0"/>
  </r>
  <r>
    <x v="0"/>
    <x v="1"/>
    <x v="5"/>
    <x v="2"/>
    <x v="2"/>
    <n v="4.4000000000000004"/>
    <n v="9490"/>
    <n v="10990"/>
    <n v="1500"/>
    <n v="0.13648771610555049"/>
    <n v="0.46364594309799789"/>
    <s v="Budget"/>
    <x v="0"/>
  </r>
  <r>
    <x v="0"/>
    <x v="1"/>
    <x v="6"/>
    <x v="2"/>
    <x v="2"/>
    <n v="4.4000000000000004"/>
    <n v="9490"/>
    <n v="10990"/>
    <n v="1500"/>
    <n v="0.13648771610555049"/>
    <n v="0.46364594309799789"/>
    <s v="Budget"/>
    <x v="0"/>
  </r>
  <r>
    <x v="0"/>
    <x v="1"/>
    <x v="3"/>
    <x v="2"/>
    <x v="2"/>
    <n v="4.4000000000000004"/>
    <n v="9490"/>
    <n v="10990"/>
    <n v="1500"/>
    <n v="0.13648771610555049"/>
    <n v="0.46364594309799789"/>
    <s v="Budget"/>
    <x v="0"/>
  </r>
  <r>
    <x v="0"/>
    <x v="1"/>
    <x v="6"/>
    <x v="0"/>
    <x v="0"/>
    <n v="4.4000000000000004"/>
    <n v="10490"/>
    <n v="11990"/>
    <n v="1500"/>
    <n v="0.12510425354462051"/>
    <n v="0.41944709246901818"/>
    <s v="Budget"/>
    <x v="0"/>
  </r>
  <r>
    <x v="0"/>
    <x v="2"/>
    <x v="7"/>
    <x v="1"/>
    <x v="1"/>
    <n v="4.3"/>
    <n v="15990"/>
    <n v="16990"/>
    <n v="1000"/>
    <n v="5.885815185403178E-2"/>
    <n v="0.26891807379612259"/>
    <s v="Mid Range"/>
    <x v="0"/>
  </r>
  <r>
    <x v="0"/>
    <x v="2"/>
    <x v="8"/>
    <x v="1"/>
    <x v="1"/>
    <n v="4.3"/>
    <n v="15990"/>
    <n v="16990"/>
    <n v="1000"/>
    <n v="5.885815185403178E-2"/>
    <n v="0.26891807379612259"/>
    <s v="Mid Range"/>
    <x v="0"/>
  </r>
  <r>
    <x v="0"/>
    <x v="1"/>
    <x v="5"/>
    <x v="0"/>
    <x v="0"/>
    <n v="4.4000000000000004"/>
    <n v="10490"/>
    <n v="11990"/>
    <n v="1500"/>
    <n v="0.12510425354462051"/>
    <n v="0.41944709246901818"/>
    <s v="Budget"/>
    <x v="0"/>
  </r>
  <r>
    <x v="0"/>
    <x v="2"/>
    <x v="7"/>
    <x v="3"/>
    <x v="1"/>
    <n v="4.3"/>
    <n v="17990"/>
    <n v="18990"/>
    <n v="1000"/>
    <n v="5.2659294365455502E-2"/>
    <n v="0.23902167871039465"/>
    <s v="Mid Range"/>
    <x v="0"/>
  </r>
  <r>
    <x v="0"/>
    <x v="2"/>
    <x v="8"/>
    <x v="3"/>
    <x v="1"/>
    <n v="4.3"/>
    <n v="17990"/>
    <n v="18990"/>
    <n v="1000"/>
    <n v="5.2659294365455502E-2"/>
    <n v="0.23902167871039465"/>
    <s v="Mid Range"/>
    <x v="0"/>
  </r>
  <r>
    <x v="0"/>
    <x v="3"/>
    <x v="0"/>
    <x v="2"/>
    <x v="2"/>
    <n v="4.3"/>
    <n v="10490"/>
    <n v="12990"/>
    <n v="2500"/>
    <n v="0.19245573518090839"/>
    <n v="0.40991420400381312"/>
    <s v="Budget"/>
    <x v="0"/>
  </r>
  <r>
    <x v="0"/>
    <x v="4"/>
    <x v="9"/>
    <x v="0"/>
    <x v="0"/>
    <n v="4.3"/>
    <n v="11960"/>
    <n v="12990"/>
    <n v="1030"/>
    <n v="7.9291762894534254E-2"/>
    <n v="0.35953177257525082"/>
    <s v="Budget"/>
    <x v="0"/>
  </r>
  <r>
    <x v="0"/>
    <x v="4"/>
    <x v="10"/>
    <x v="0"/>
    <x v="0"/>
    <n v="4.3"/>
    <n v="11779"/>
    <n v="11919"/>
    <n v="140"/>
    <n v="1.1745951841597449E-2"/>
    <n v="0.36505645640546736"/>
    <s v="Budget"/>
    <x v="0"/>
  </r>
  <r>
    <x v="0"/>
    <x v="5"/>
    <x v="11"/>
    <x v="1"/>
    <x v="1"/>
    <n v="4.3"/>
    <n v="18979"/>
    <n v="18979"/>
    <n v="0"/>
    <n v="0"/>
    <n v="0.22656620475262132"/>
    <s v="Mid Range"/>
    <x v="0"/>
  </r>
  <r>
    <x v="0"/>
    <x v="6"/>
    <x v="6"/>
    <x v="4"/>
    <x v="2"/>
    <n v="4.2"/>
    <n v="8990"/>
    <n v="10990"/>
    <n v="2000"/>
    <n v="0.18198362147406733"/>
    <n v="0.46718576195773087"/>
    <s v="Budget"/>
    <x v="0"/>
  </r>
  <r>
    <x v="0"/>
    <x v="7"/>
    <x v="12"/>
    <x v="3"/>
    <x v="1"/>
    <n v="4.3"/>
    <n v="19990"/>
    <n v="25990"/>
    <n v="6000"/>
    <n v="0.2308580223162755"/>
    <n v="0.21510755377688845"/>
    <s v="Mid Range"/>
    <x v="0"/>
  </r>
  <r>
    <x v="0"/>
    <x v="8"/>
    <x v="13"/>
    <x v="0"/>
    <x v="1"/>
    <n v="4.3"/>
    <n v="15990"/>
    <n v="15990"/>
    <n v="0"/>
    <n v="0"/>
    <n v="0.26891807379612259"/>
    <s v="Mid Range"/>
    <x v="0"/>
  </r>
  <r>
    <x v="0"/>
    <x v="8"/>
    <x v="13"/>
    <x v="0"/>
    <x v="0"/>
    <n v="4.3"/>
    <n v="14990"/>
    <n v="14990"/>
    <n v="0"/>
    <n v="0"/>
    <n v="0.28685790527018012"/>
    <s v="Budget"/>
    <x v="0"/>
  </r>
  <r>
    <x v="0"/>
    <x v="9"/>
    <x v="14"/>
    <x v="3"/>
    <x v="1"/>
    <n v="4.3"/>
    <n v="29990"/>
    <n v="35990"/>
    <n v="6000"/>
    <n v="0.16671297582661851"/>
    <n v="0.14338112704234743"/>
    <s v="Mid Range"/>
    <x v="0"/>
  </r>
  <r>
    <x v="0"/>
    <x v="9"/>
    <x v="15"/>
    <x v="3"/>
    <x v="1"/>
    <n v="4.3"/>
    <n v="29990"/>
    <n v="35990"/>
    <n v="6000"/>
    <n v="0.16671297582661851"/>
    <n v="0.14338112704234743"/>
    <s v="Mid Range"/>
    <x v="0"/>
  </r>
  <r>
    <x v="0"/>
    <x v="7"/>
    <x v="16"/>
    <x v="3"/>
    <x v="1"/>
    <n v="4.3"/>
    <n v="19990"/>
    <n v="25990"/>
    <n v="6000"/>
    <n v="0.2308580223162755"/>
    <n v="0.21510755377688845"/>
    <s v="Mid Range"/>
    <x v="0"/>
  </r>
  <r>
    <x v="0"/>
    <x v="8"/>
    <x v="17"/>
    <x v="0"/>
    <x v="0"/>
    <n v="4.3"/>
    <n v="14990"/>
    <n v="14990"/>
    <n v="0"/>
    <n v="0"/>
    <n v="0.28685790527018012"/>
    <s v="Budget"/>
    <x v="0"/>
  </r>
  <r>
    <x v="0"/>
    <x v="8"/>
    <x v="17"/>
    <x v="0"/>
    <x v="1"/>
    <n v="4.3"/>
    <n v="15990"/>
    <n v="15990"/>
    <n v="0"/>
    <n v="0"/>
    <n v="0.26891807379612259"/>
    <s v="Mid Range"/>
    <x v="0"/>
  </r>
  <r>
    <x v="0"/>
    <x v="8"/>
    <x v="13"/>
    <x v="1"/>
    <x v="1"/>
    <n v="4.3"/>
    <n v="16990"/>
    <n v="17990"/>
    <n v="1000"/>
    <n v="5.5586436909394105E-2"/>
    <n v="0.25309005297233667"/>
    <s v="Mid Range"/>
    <x v="0"/>
  </r>
  <r>
    <x v="0"/>
    <x v="8"/>
    <x v="17"/>
    <x v="1"/>
    <x v="1"/>
    <n v="4.3"/>
    <n v="16990"/>
    <n v="17990"/>
    <n v="1000"/>
    <n v="5.5586436909394105E-2"/>
    <n v="0.25309005297233667"/>
    <s v="Mid Range"/>
    <x v="0"/>
  </r>
  <r>
    <x v="0"/>
    <x v="8"/>
    <x v="18"/>
    <x v="0"/>
    <x v="0"/>
    <n v="4.3"/>
    <n v="14990"/>
    <n v="14990"/>
    <n v="0"/>
    <n v="0"/>
    <n v="0.28685790527018012"/>
    <s v="Budget"/>
    <x v="0"/>
  </r>
  <r>
    <x v="0"/>
    <x v="7"/>
    <x v="19"/>
    <x v="3"/>
    <x v="1"/>
    <n v="4.3"/>
    <n v="19990"/>
    <n v="25990"/>
    <n v="6000"/>
    <n v="0.2308580223162755"/>
    <n v="0.21510755377688845"/>
    <s v="Mid Range"/>
    <x v="0"/>
  </r>
  <r>
    <x v="0"/>
    <x v="4"/>
    <x v="20"/>
    <x v="0"/>
    <x v="0"/>
    <n v="4.3"/>
    <n v="12199"/>
    <n v="12319"/>
    <n v="120"/>
    <n v="9.7410504099358711E-3"/>
    <n v="0.35248790884498732"/>
    <s v="Budget"/>
    <x v="0"/>
  </r>
  <r>
    <x v="0"/>
    <x v="10"/>
    <x v="21"/>
    <x v="3"/>
    <x v="1"/>
    <n v="4.3"/>
    <n v="21990"/>
    <n v="21990"/>
    <n v="0"/>
    <n v="0"/>
    <n v="0.19554342883128695"/>
    <s v="Mid Range"/>
    <x v="0"/>
  </r>
  <r>
    <x v="0"/>
    <x v="0"/>
    <x v="22"/>
    <x v="1"/>
    <x v="1"/>
    <n v="4.3"/>
    <n v="15999"/>
    <n v="15999"/>
    <n v="0"/>
    <n v="0"/>
    <n v="0.26876679792487029"/>
    <s v="Mid Range"/>
    <x v="0"/>
  </r>
  <r>
    <x v="0"/>
    <x v="6"/>
    <x v="3"/>
    <x v="4"/>
    <x v="2"/>
    <n v="4.2"/>
    <n v="8990"/>
    <n v="10990"/>
    <n v="2000"/>
    <n v="0.18198362147406733"/>
    <n v="0.46718576195773087"/>
    <s v="Budget"/>
    <x v="0"/>
  </r>
  <r>
    <x v="0"/>
    <x v="8"/>
    <x v="18"/>
    <x v="0"/>
    <x v="1"/>
    <n v="4.3"/>
    <n v="15990"/>
    <n v="15990"/>
    <n v="0"/>
    <n v="0"/>
    <n v="0.26891807379612259"/>
    <s v="Mid Range"/>
    <x v="0"/>
  </r>
  <r>
    <x v="0"/>
    <x v="11"/>
    <x v="23"/>
    <x v="3"/>
    <x v="1"/>
    <n v="4.4000000000000004"/>
    <n v="35990"/>
    <n v="38990"/>
    <n v="3000"/>
    <n v="7.6942805847653242E-2"/>
    <n v="0.12225618227285358"/>
    <s v="Mid Range"/>
    <x v="0"/>
  </r>
  <r>
    <x v="0"/>
    <x v="12"/>
    <x v="24"/>
    <x v="2"/>
    <x v="2"/>
    <n v="4.3"/>
    <n v="10990"/>
    <n v="12990"/>
    <n v="2000"/>
    <n v="0.15396458814472672"/>
    <n v="0.39126478616924476"/>
    <s v="Budget"/>
    <x v="0"/>
  </r>
  <r>
    <x v="0"/>
    <x v="10"/>
    <x v="25"/>
    <x v="1"/>
    <x v="1"/>
    <n v="4.2"/>
    <n v="16990"/>
    <n v="20990"/>
    <n v="4000"/>
    <n v="0.19056693663649357"/>
    <n v="0.24720423778693348"/>
    <s v="Mid Range"/>
    <x v="0"/>
  </r>
  <r>
    <x v="0"/>
    <x v="12"/>
    <x v="26"/>
    <x v="2"/>
    <x v="2"/>
    <n v="4.3"/>
    <n v="10990"/>
    <n v="12990"/>
    <n v="2000"/>
    <n v="0.15396458814472672"/>
    <n v="0.39126478616924476"/>
    <s v="Budget"/>
    <x v="0"/>
  </r>
  <r>
    <x v="0"/>
    <x v="0"/>
    <x v="27"/>
    <x v="0"/>
    <x v="0"/>
    <n v="4.5"/>
    <n v="13499"/>
    <n v="13499"/>
    <n v="0"/>
    <n v="0"/>
    <n v="0.33335802652048296"/>
    <s v="Budget"/>
    <x v="0"/>
  </r>
  <r>
    <x v="0"/>
    <x v="0"/>
    <x v="27"/>
    <x v="1"/>
    <x v="1"/>
    <n v="4.3"/>
    <n v="15999"/>
    <n v="15999"/>
    <n v="0"/>
    <n v="0"/>
    <n v="0.26876679792487029"/>
    <s v="Mid Range"/>
    <x v="0"/>
  </r>
  <r>
    <x v="0"/>
    <x v="13"/>
    <x v="28"/>
    <x v="1"/>
    <x v="1"/>
    <n v="4.3"/>
    <n v="18380"/>
    <n v="18380"/>
    <n v="0"/>
    <n v="0"/>
    <n v="0.23394994559303589"/>
    <s v="Mid Range"/>
    <x v="0"/>
  </r>
  <r>
    <x v="0"/>
    <x v="14"/>
    <x v="15"/>
    <x v="5"/>
    <x v="3"/>
    <n v="4.4000000000000004"/>
    <n v="39990"/>
    <n v="46990"/>
    <n v="7000"/>
    <n v="0.14896786550329857"/>
    <n v="0.11002750687671919"/>
    <s v="Mid Range"/>
    <x v="0"/>
  </r>
  <r>
    <x v="0"/>
    <x v="8"/>
    <x v="18"/>
    <x v="1"/>
    <x v="1"/>
    <n v="4.3"/>
    <n v="16990"/>
    <n v="17990"/>
    <n v="1000"/>
    <n v="5.5586436909394105E-2"/>
    <n v="0.25309005297233667"/>
    <s v="Mid Range"/>
    <x v="0"/>
  </r>
  <r>
    <x v="0"/>
    <x v="15"/>
    <x v="29"/>
    <x v="1"/>
    <x v="3"/>
    <n v="4.4000000000000004"/>
    <n v="19990"/>
    <n v="19990"/>
    <n v="0"/>
    <n v="0"/>
    <n v="0.22011005502751377"/>
    <s v="Mid Range"/>
    <x v="0"/>
  </r>
  <r>
    <x v="0"/>
    <x v="15"/>
    <x v="9"/>
    <x v="1"/>
    <x v="3"/>
    <n v="4.4000000000000004"/>
    <n v="19990"/>
    <n v="19990"/>
    <n v="0"/>
    <n v="0"/>
    <n v="0.22011005502751377"/>
    <s v="Mid Range"/>
    <x v="0"/>
  </r>
  <r>
    <x v="0"/>
    <x v="16"/>
    <x v="30"/>
    <x v="3"/>
    <x v="3"/>
    <n v="4.4000000000000004"/>
    <n v="26798"/>
    <n v="28989"/>
    <n v="2191"/>
    <n v="7.5580392562696191E-2"/>
    <n v="0.16419135756399733"/>
    <s v="Mid Range"/>
    <x v="0"/>
  </r>
  <r>
    <x v="0"/>
    <x v="10"/>
    <x v="21"/>
    <x v="1"/>
    <x v="1"/>
    <n v="4.2"/>
    <n v="16990"/>
    <n v="20990"/>
    <n v="4000"/>
    <n v="0.19056693663649357"/>
    <n v="0.24720423778693348"/>
    <s v="Mid Range"/>
    <x v="0"/>
  </r>
  <r>
    <x v="0"/>
    <x v="17"/>
    <x v="24"/>
    <x v="0"/>
    <x v="0"/>
    <n v="4.3"/>
    <n v="12990"/>
    <n v="13990"/>
    <n v="1000"/>
    <n v="7.147962830593281E-2"/>
    <n v="0.33102386451116245"/>
    <s v="Budget"/>
    <x v="0"/>
  </r>
  <r>
    <x v="0"/>
    <x v="17"/>
    <x v="31"/>
    <x v="0"/>
    <x v="0"/>
    <n v="4.3"/>
    <n v="12990"/>
    <n v="13990"/>
    <n v="1000"/>
    <n v="7.147962830593281E-2"/>
    <n v="0.33102386451116245"/>
    <s v="Budget"/>
    <x v="0"/>
  </r>
  <r>
    <x v="0"/>
    <x v="16"/>
    <x v="32"/>
    <x v="3"/>
    <x v="3"/>
    <n v="4.4000000000000004"/>
    <n v="27990"/>
    <n v="35990"/>
    <n v="8000"/>
    <n v="0.22228396776882467"/>
    <n v="0.15719899964272957"/>
    <s v="Mid Range"/>
    <x v="0"/>
  </r>
  <r>
    <x v="0"/>
    <x v="18"/>
    <x v="33"/>
    <x v="3"/>
    <x v="1"/>
    <n v="4.3"/>
    <n v="21990"/>
    <n v="23990"/>
    <n v="2000"/>
    <n v="8.3368070029178828E-2"/>
    <n v="0.19554342883128695"/>
    <s v="Mid Range"/>
    <x v="0"/>
  </r>
  <r>
    <x v="0"/>
    <x v="18"/>
    <x v="11"/>
    <x v="3"/>
    <x v="3"/>
    <n v="4.3"/>
    <n v="23490"/>
    <n v="25990"/>
    <n v="2500"/>
    <n v="9.6190842631781459E-2"/>
    <n v="0.18305661983822902"/>
    <s v="Mid Range"/>
    <x v="0"/>
  </r>
  <r>
    <x v="0"/>
    <x v="19"/>
    <x v="34"/>
    <x v="3"/>
    <x v="1"/>
    <n v="4.3"/>
    <n v="25990"/>
    <n v="29990"/>
    <n v="4000"/>
    <n v="0.13337779259753252"/>
    <n v="0.16544824932666408"/>
    <s v="Mid Range"/>
    <x v="0"/>
  </r>
  <r>
    <x v="0"/>
    <x v="19"/>
    <x v="28"/>
    <x v="3"/>
    <x v="1"/>
    <n v="4.3"/>
    <n v="25990"/>
    <n v="29990"/>
    <n v="4000"/>
    <n v="0.13337779259753252"/>
    <n v="0.16544824932666408"/>
    <s v="Mid Range"/>
    <x v="0"/>
  </r>
  <r>
    <x v="0"/>
    <x v="17"/>
    <x v="35"/>
    <x v="0"/>
    <x v="0"/>
    <n v="4.3"/>
    <n v="12889"/>
    <n v="12989"/>
    <n v="100"/>
    <n v="7.6988220802217261E-3"/>
    <n v="0.33361781363953757"/>
    <s v="Budget"/>
    <x v="0"/>
  </r>
  <r>
    <x v="0"/>
    <x v="18"/>
    <x v="28"/>
    <x v="3"/>
    <x v="1"/>
    <n v="4.3"/>
    <n v="21990"/>
    <n v="23990"/>
    <n v="2000"/>
    <n v="8.3368070029178828E-2"/>
    <n v="0.19554342883128695"/>
    <s v="Mid Range"/>
    <x v="0"/>
  </r>
  <r>
    <x v="0"/>
    <x v="18"/>
    <x v="33"/>
    <x v="3"/>
    <x v="3"/>
    <n v="4.3"/>
    <n v="23490"/>
    <n v="25990"/>
    <n v="2500"/>
    <n v="9.6190842631781459E-2"/>
    <n v="0.18305661983822902"/>
    <s v="Mid Range"/>
    <x v="0"/>
  </r>
  <r>
    <x v="0"/>
    <x v="18"/>
    <x v="28"/>
    <x v="3"/>
    <x v="3"/>
    <n v="4.3"/>
    <n v="23490"/>
    <n v="25990"/>
    <n v="2500"/>
    <n v="9.6190842631781459E-2"/>
    <n v="0.18305661983822902"/>
    <s v="Mid Range"/>
    <x v="0"/>
  </r>
  <r>
    <x v="0"/>
    <x v="18"/>
    <x v="11"/>
    <x v="3"/>
    <x v="1"/>
    <n v="4.3"/>
    <n v="21990"/>
    <n v="23990"/>
    <n v="2000"/>
    <n v="8.3368070029178828E-2"/>
    <n v="0.19554342883128695"/>
    <s v="Mid Range"/>
    <x v="0"/>
  </r>
  <r>
    <x v="0"/>
    <x v="0"/>
    <x v="22"/>
    <x v="0"/>
    <x v="0"/>
    <n v="4.5"/>
    <n v="13499"/>
    <n v="13499"/>
    <n v="0"/>
    <n v="0"/>
    <n v="0.33335802652048296"/>
    <s v="Budget"/>
    <x v="0"/>
  </r>
  <r>
    <x v="0"/>
    <x v="20"/>
    <x v="36"/>
    <x v="1"/>
    <x v="1"/>
    <n v="4.2"/>
    <n v="19990"/>
    <n v="20990"/>
    <n v="1000"/>
    <n v="4.7641734159123393E-2"/>
    <n v="0.21010505252626313"/>
    <s v="Mid Range"/>
    <x v="0"/>
  </r>
  <r>
    <x v="0"/>
    <x v="12"/>
    <x v="26"/>
    <x v="4"/>
    <x v="2"/>
    <n v="4"/>
    <n v="9989"/>
    <n v="9989"/>
    <n v="0"/>
    <n v="0"/>
    <n v="0.40044048453298625"/>
    <s v="Budget"/>
    <x v="1"/>
  </r>
  <r>
    <x v="0"/>
    <x v="16"/>
    <x v="32"/>
    <x v="3"/>
    <x v="1"/>
    <n v="4.4000000000000004"/>
    <n v="24989"/>
    <n v="24989"/>
    <n v="0"/>
    <n v="0"/>
    <n v="0.176077474088599"/>
    <s v="Mid Range"/>
    <x v="0"/>
  </r>
  <r>
    <x v="0"/>
    <x v="21"/>
    <x v="37"/>
    <x v="0"/>
    <x v="0"/>
    <n v="4.4000000000000004"/>
    <n v="10990"/>
    <n v="18990"/>
    <n v="8000"/>
    <n v="0.42127435492364401"/>
    <n v="0.40036396724294815"/>
    <s v="Budget"/>
    <x v="0"/>
  </r>
  <r>
    <x v="0"/>
    <x v="12"/>
    <x v="31"/>
    <x v="2"/>
    <x v="2"/>
    <n v="4.3"/>
    <n v="11249"/>
    <n v="11249"/>
    <n v="0"/>
    <n v="0"/>
    <n v="0.38225620055116005"/>
    <s v="Budget"/>
    <x v="0"/>
  </r>
  <r>
    <x v="0"/>
    <x v="11"/>
    <x v="38"/>
    <x v="3"/>
    <x v="1"/>
    <n v="4.4000000000000004"/>
    <n v="35990"/>
    <n v="38990"/>
    <n v="3000"/>
    <n v="7.6942805847653242E-2"/>
    <n v="0.12225618227285358"/>
    <s v="Mid Range"/>
    <x v="0"/>
  </r>
  <r>
    <x v="0"/>
    <x v="22"/>
    <x v="39"/>
    <x v="1"/>
    <x v="0"/>
    <n v="4.4000000000000004"/>
    <n v="24990"/>
    <n v="24990"/>
    <n v="0"/>
    <n v="0"/>
    <n v="0.17607042817126853"/>
    <s v="Mid Range"/>
    <x v="0"/>
  </r>
  <r>
    <x v="0"/>
    <x v="23"/>
    <x v="5"/>
    <x v="4"/>
    <x v="2"/>
    <n v="4.3"/>
    <n v="8990"/>
    <n v="12990"/>
    <n v="4000"/>
    <n v="0.30792917628945343"/>
    <n v="0.47830923248053392"/>
    <s v="Budget"/>
    <x v="0"/>
  </r>
  <r>
    <x v="0"/>
    <x v="24"/>
    <x v="40"/>
    <x v="3"/>
    <x v="1"/>
    <n v="4.4000000000000004"/>
    <n v="29999"/>
    <n v="29999"/>
    <n v="0"/>
    <n v="0"/>
    <n v="0.14667155571852394"/>
    <s v="Mid Range"/>
    <x v="0"/>
  </r>
  <r>
    <x v="0"/>
    <x v="25"/>
    <x v="41"/>
    <x v="3"/>
    <x v="3"/>
    <n v="4.5"/>
    <n v="29489"/>
    <n v="29489"/>
    <n v="0"/>
    <n v="0"/>
    <n v="0.1525992743056733"/>
    <s v="Mid Range"/>
    <x v="0"/>
  </r>
  <r>
    <x v="0"/>
    <x v="14"/>
    <x v="14"/>
    <x v="5"/>
    <x v="3"/>
    <n v="4.4000000000000004"/>
    <n v="39990"/>
    <n v="46990"/>
    <n v="7000"/>
    <n v="0.14896786550329857"/>
    <n v="0.11002750687671919"/>
    <s v="Mid Range"/>
    <x v="0"/>
  </r>
  <r>
    <x v="0"/>
    <x v="26"/>
    <x v="42"/>
    <x v="0"/>
    <x v="1"/>
    <n v="4.4000000000000004"/>
    <n v="15990"/>
    <n v="20990"/>
    <n v="5000"/>
    <n v="0.23820867079561697"/>
    <n v="0.27517198248905567"/>
    <s v="Mid Range"/>
    <x v="0"/>
  </r>
  <r>
    <x v="0"/>
    <x v="20"/>
    <x v="43"/>
    <x v="1"/>
    <x v="1"/>
    <n v="4.2"/>
    <n v="19990"/>
    <n v="20990"/>
    <n v="1000"/>
    <n v="4.7641734159123393E-2"/>
    <n v="0.21010505252626313"/>
    <s v="Mid Range"/>
    <x v="0"/>
  </r>
  <r>
    <x v="0"/>
    <x v="27"/>
    <x v="44"/>
    <x v="1"/>
    <x v="0"/>
    <n v="4.3"/>
    <n v="13990"/>
    <n v="20990"/>
    <n v="7000"/>
    <n v="0.33349213911386372"/>
    <n v="0.30736240171551105"/>
    <s v="Budget"/>
    <x v="0"/>
  </r>
  <r>
    <x v="0"/>
    <x v="10"/>
    <x v="45"/>
    <x v="1"/>
    <x v="1"/>
    <n v="4.2"/>
    <n v="20999"/>
    <n v="20999"/>
    <n v="0"/>
    <n v="0"/>
    <n v="0.20000952426306015"/>
    <s v="Mid Range"/>
    <x v="0"/>
  </r>
  <r>
    <x v="0"/>
    <x v="26"/>
    <x v="46"/>
    <x v="0"/>
    <x v="1"/>
    <n v="4.4000000000000004"/>
    <n v="15990"/>
    <n v="20990"/>
    <n v="5000"/>
    <n v="0.23820867079561697"/>
    <n v="0.27517198248905567"/>
    <s v="Mid Range"/>
    <x v="0"/>
  </r>
  <r>
    <x v="0"/>
    <x v="16"/>
    <x v="29"/>
    <x v="3"/>
    <x v="1"/>
    <n v="4.4000000000000004"/>
    <n v="24719"/>
    <n v="25489"/>
    <n v="770"/>
    <n v="3.0209109812075797E-2"/>
    <n v="0.17800072818479715"/>
    <s v="Mid Range"/>
    <x v="0"/>
  </r>
  <r>
    <x v="0"/>
    <x v="16"/>
    <x v="30"/>
    <x v="3"/>
    <x v="1"/>
    <n v="4.4000000000000004"/>
    <n v="24768"/>
    <n v="24990"/>
    <n v="222"/>
    <n v="8.8835534213685466E-3"/>
    <n v="0.17764857881136953"/>
    <s v="Mid Range"/>
    <x v="0"/>
  </r>
  <r>
    <x v="0"/>
    <x v="28"/>
    <x v="47"/>
    <x v="0"/>
    <x v="1"/>
    <n v="4.3"/>
    <n v="14990"/>
    <n v="18990"/>
    <n v="4000"/>
    <n v="0.21063717746182201"/>
    <n v="0.28685790527018012"/>
    <s v="Budget"/>
    <x v="0"/>
  </r>
  <r>
    <x v="0"/>
    <x v="29"/>
    <x v="48"/>
    <x v="3"/>
    <x v="3"/>
    <n v="4.5999999999999996"/>
    <n v="60990"/>
    <n v="60990"/>
    <n v="0"/>
    <n v="0"/>
    <n v="7.5422200360714856E-2"/>
    <s v="Premium"/>
    <x v="2"/>
  </r>
  <r>
    <x v="0"/>
    <x v="30"/>
    <x v="49"/>
    <x v="3"/>
    <x v="1"/>
    <n v="4.4000000000000004"/>
    <n v="34990"/>
    <n v="37990"/>
    <n v="3000"/>
    <n v="7.8968149513029745E-2"/>
    <n v="0.12575021434695627"/>
    <s v="Mid Range"/>
    <x v="0"/>
  </r>
  <r>
    <x v="0"/>
    <x v="31"/>
    <x v="50"/>
    <x v="1"/>
    <x v="1"/>
    <n v="4.4000000000000004"/>
    <n v="17990"/>
    <n v="23990"/>
    <n v="6000"/>
    <n v="0.25010421008753647"/>
    <n v="0.24458032240133409"/>
    <s v="Mid Range"/>
    <x v="0"/>
  </r>
  <r>
    <x v="0"/>
    <x v="32"/>
    <x v="51"/>
    <x v="0"/>
    <x v="0"/>
    <n v="4.4000000000000004"/>
    <n v="15990"/>
    <n v="15990"/>
    <n v="0"/>
    <n v="0"/>
    <n v="0.27517198248905567"/>
    <s v="Mid Range"/>
    <x v="0"/>
  </r>
  <r>
    <x v="0"/>
    <x v="33"/>
    <x v="52"/>
    <x v="3"/>
    <x v="1"/>
    <n v="4.4000000000000004"/>
    <n v="34990"/>
    <n v="37990"/>
    <n v="3000"/>
    <n v="7.8968149513029745E-2"/>
    <n v="0.12575021434695627"/>
    <s v="Mid Range"/>
    <x v="0"/>
  </r>
  <r>
    <x v="0"/>
    <x v="33"/>
    <x v="53"/>
    <x v="3"/>
    <x v="1"/>
    <n v="4.4000000000000004"/>
    <n v="34990"/>
    <n v="37990"/>
    <n v="3000"/>
    <n v="7.8968149513029745E-2"/>
    <n v="0.12575021434695627"/>
    <s v="Mid Range"/>
    <x v="0"/>
  </r>
  <r>
    <x v="0"/>
    <x v="20"/>
    <x v="34"/>
    <x v="1"/>
    <x v="1"/>
    <n v="4.2"/>
    <n v="19990"/>
    <n v="20990"/>
    <n v="1000"/>
    <n v="4.7641734159123393E-2"/>
    <n v="0.21010505252626313"/>
    <s v="Mid Range"/>
    <x v="0"/>
  </r>
  <r>
    <x v="0"/>
    <x v="1"/>
    <x v="4"/>
    <x v="0"/>
    <x v="0"/>
    <n v="4.4000000000000004"/>
    <n v="10990"/>
    <n v="10990"/>
    <n v="0"/>
    <n v="0"/>
    <n v="0.40036396724294815"/>
    <s v="Budget"/>
    <x v="0"/>
  </r>
  <r>
    <x v="0"/>
    <x v="28"/>
    <x v="54"/>
    <x v="0"/>
    <x v="1"/>
    <n v="4.3"/>
    <n v="14990"/>
    <n v="18990"/>
    <n v="4000"/>
    <n v="0.21063717746182201"/>
    <n v="0.28685790527018012"/>
    <s v="Budget"/>
    <x v="0"/>
  </r>
  <r>
    <x v="0"/>
    <x v="15"/>
    <x v="29"/>
    <x v="3"/>
    <x v="1"/>
    <n v="4.4000000000000004"/>
    <n v="21990"/>
    <n v="28990"/>
    <n v="7000"/>
    <n v="0.24146257330113832"/>
    <n v="0.20009095043201458"/>
    <s v="Mid Range"/>
    <x v="0"/>
  </r>
  <r>
    <x v="0"/>
    <x v="34"/>
    <x v="55"/>
    <x v="2"/>
    <x v="0"/>
    <n v="4.4000000000000004"/>
    <n v="12990"/>
    <n v="14990"/>
    <n v="2000"/>
    <n v="0.13342228152101401"/>
    <n v="0.3387220939183988"/>
    <s v="Budget"/>
    <x v="0"/>
  </r>
  <r>
    <x v="0"/>
    <x v="35"/>
    <x v="56"/>
    <x v="0"/>
    <x v="0"/>
    <n v="4.3"/>
    <n v="17000"/>
    <n v="17000"/>
    <n v="0"/>
    <n v="0"/>
    <n v="0.25294117647058822"/>
    <s v="Mid Range"/>
    <x v="0"/>
  </r>
  <r>
    <x v="0"/>
    <x v="36"/>
    <x v="57"/>
    <x v="0"/>
    <x v="0"/>
    <n v="4"/>
    <n v="27500"/>
    <n v="27500"/>
    <n v="0"/>
    <n v="0"/>
    <n v="0.14545454545454545"/>
    <s v="Mid Range"/>
    <x v="1"/>
  </r>
  <r>
    <x v="0"/>
    <x v="27"/>
    <x v="44"/>
    <x v="0"/>
    <x v="0"/>
    <n v="4.4000000000000004"/>
    <n v="15000"/>
    <n v="15000"/>
    <n v="0"/>
    <n v="0"/>
    <n v="0.29333333333333339"/>
    <s v="Mid Range"/>
    <x v="0"/>
  </r>
  <r>
    <x v="0"/>
    <x v="37"/>
    <x v="5"/>
    <x v="0"/>
    <x v="0"/>
    <n v="4.3"/>
    <n v="15000"/>
    <n v="15000"/>
    <n v="0"/>
    <n v="0"/>
    <n v="0.28666666666666668"/>
    <s v="Mid Range"/>
    <x v="0"/>
  </r>
  <r>
    <x v="0"/>
    <x v="38"/>
    <x v="56"/>
    <x v="0"/>
    <x v="0"/>
    <n v="4.3"/>
    <n v="18000"/>
    <n v="18000"/>
    <n v="0"/>
    <n v="0"/>
    <n v="0.23888888888888887"/>
    <s v="Mid Range"/>
    <x v="0"/>
  </r>
  <r>
    <x v="0"/>
    <x v="26"/>
    <x v="58"/>
    <x v="0"/>
    <x v="1"/>
    <n v="4.4000000000000004"/>
    <n v="15990"/>
    <n v="20990"/>
    <n v="5000"/>
    <n v="0.23820867079561697"/>
    <n v="0.27517198248905567"/>
    <s v="Mid Range"/>
    <x v="0"/>
  </r>
  <r>
    <x v="0"/>
    <x v="39"/>
    <x v="59"/>
    <x v="0"/>
    <x v="0"/>
    <n v="4.3"/>
    <n v="15000"/>
    <n v="15000"/>
    <n v="0"/>
    <n v="0"/>
    <n v="0.28666666666666668"/>
    <s v="Mid Range"/>
    <x v="0"/>
  </r>
  <r>
    <x v="0"/>
    <x v="40"/>
    <x v="60"/>
    <x v="4"/>
    <x v="4"/>
    <n v="4.2"/>
    <n v="11000"/>
    <n v="11000"/>
    <n v="0"/>
    <n v="0"/>
    <n v="0.38181818181818183"/>
    <s v="Budget"/>
    <x v="0"/>
  </r>
  <r>
    <x v="0"/>
    <x v="41"/>
    <x v="61"/>
    <x v="1"/>
    <x v="0"/>
    <n v="4.3"/>
    <n v="23990"/>
    <n v="24667"/>
    <n v="677"/>
    <n v="2.7445575059796491E-2"/>
    <n v="0.17924135056273446"/>
    <s v="Mid Range"/>
    <x v="0"/>
  </r>
  <r>
    <x v="0"/>
    <x v="42"/>
    <x v="62"/>
    <x v="0"/>
    <x v="0"/>
    <n v="4.5"/>
    <n v="19000"/>
    <n v="19000"/>
    <n v="0"/>
    <n v="0"/>
    <n v="0.23684210526315788"/>
    <s v="Mid Range"/>
    <x v="0"/>
  </r>
  <r>
    <x v="0"/>
    <x v="25"/>
    <x v="29"/>
    <x v="3"/>
    <x v="3"/>
    <n v="4.5"/>
    <n v="29489"/>
    <n v="32990"/>
    <n v="3501"/>
    <n v="0.10612306759624128"/>
    <n v="0.1525992743056733"/>
    <s v="Mid Range"/>
    <x v="0"/>
  </r>
  <r>
    <x v="0"/>
    <x v="23"/>
    <x v="4"/>
    <x v="2"/>
    <x v="2"/>
    <n v="4.4000000000000004"/>
    <n v="9490"/>
    <n v="12990"/>
    <n v="3500"/>
    <n v="0.26943802925327176"/>
    <n v="0.46364594309799789"/>
    <s v="Budget"/>
    <x v="0"/>
  </r>
  <r>
    <x v="0"/>
    <x v="40"/>
    <x v="39"/>
    <x v="0"/>
    <x v="0"/>
    <n v="4.3"/>
    <n v="13990"/>
    <n v="13990"/>
    <n v="0"/>
    <n v="0"/>
    <n v="0.30736240171551105"/>
    <s v="Budget"/>
    <x v="0"/>
  </r>
  <r>
    <x v="0"/>
    <x v="22"/>
    <x v="4"/>
    <x v="0"/>
    <x v="2"/>
    <n v="4.4000000000000004"/>
    <n v="15500"/>
    <n v="15500"/>
    <n v="0"/>
    <n v="0"/>
    <n v="0.28387096774193549"/>
    <s v="Mid Range"/>
    <x v="0"/>
  </r>
  <r>
    <x v="0"/>
    <x v="43"/>
    <x v="63"/>
    <x v="1"/>
    <x v="1"/>
    <n v="4.3"/>
    <n v="17999"/>
    <n v="17999"/>
    <n v="0"/>
    <n v="0"/>
    <n v="0.23890216123117949"/>
    <s v="Mid Range"/>
    <x v="0"/>
  </r>
  <r>
    <x v="0"/>
    <x v="43"/>
    <x v="64"/>
    <x v="1"/>
    <x v="1"/>
    <n v="4.3"/>
    <n v="17999"/>
    <n v="17999"/>
    <n v="0"/>
    <n v="0"/>
    <n v="0.23890216123117949"/>
    <s v="Mid Range"/>
    <x v="0"/>
  </r>
  <r>
    <x v="0"/>
    <x v="44"/>
    <x v="4"/>
    <x v="2"/>
    <x v="4"/>
    <n v="4.4000000000000004"/>
    <n v="9940"/>
    <n v="9940"/>
    <n v="0"/>
    <n v="0"/>
    <n v="0.44265593561368216"/>
    <s v="Budget"/>
    <x v="0"/>
  </r>
  <r>
    <x v="0"/>
    <x v="23"/>
    <x v="4"/>
    <x v="4"/>
    <x v="2"/>
    <n v="4.3"/>
    <n v="12990"/>
    <n v="12990"/>
    <n v="0"/>
    <n v="0"/>
    <n v="0.33102386451116245"/>
    <s v="Budget"/>
    <x v="0"/>
  </r>
  <r>
    <x v="0"/>
    <x v="45"/>
    <x v="4"/>
    <x v="6"/>
    <x v="4"/>
    <n v="3.8"/>
    <n v="10000"/>
    <n v="10000"/>
    <n v="0"/>
    <n v="0"/>
    <n v="0.37999999999999995"/>
    <s v="Budget"/>
    <x v="1"/>
  </r>
  <r>
    <x v="0"/>
    <x v="23"/>
    <x v="57"/>
    <x v="0"/>
    <x v="0"/>
    <n v="4.4000000000000004"/>
    <n v="15726"/>
    <n v="15726"/>
    <n v="0"/>
    <n v="0"/>
    <n v="0.27979142820806313"/>
    <s v="Mid Range"/>
    <x v="0"/>
  </r>
  <r>
    <x v="0"/>
    <x v="38"/>
    <x v="57"/>
    <x v="0"/>
    <x v="0"/>
    <n v="4.3"/>
    <n v="18000"/>
    <n v="18000"/>
    <n v="0"/>
    <n v="0"/>
    <n v="0.23888888888888887"/>
    <s v="Mid Range"/>
    <x v="0"/>
  </r>
  <r>
    <x v="0"/>
    <x v="46"/>
    <x v="4"/>
    <x v="2"/>
    <x v="4"/>
    <n v="4.2"/>
    <n v="12500"/>
    <n v="12500"/>
    <n v="0"/>
    <n v="0"/>
    <n v="0.33600000000000002"/>
    <s v="Budget"/>
    <x v="0"/>
  </r>
  <r>
    <x v="0"/>
    <x v="46"/>
    <x v="57"/>
    <x v="2"/>
    <x v="4"/>
    <n v="4.2"/>
    <n v="12500"/>
    <n v="12500"/>
    <n v="0"/>
    <n v="0"/>
    <n v="0.33600000000000002"/>
    <s v="Budget"/>
    <x v="0"/>
  </r>
  <r>
    <x v="0"/>
    <x v="26"/>
    <x v="46"/>
    <x v="3"/>
    <x v="1"/>
    <n v="4.4000000000000004"/>
    <n v="18990"/>
    <n v="22990"/>
    <n v="4000"/>
    <n v="0.17398869073510223"/>
    <n v="0.23170089520800424"/>
    <s v="Mid Range"/>
    <x v="0"/>
  </r>
  <r>
    <x v="0"/>
    <x v="26"/>
    <x v="58"/>
    <x v="3"/>
    <x v="1"/>
    <n v="4.4000000000000004"/>
    <n v="18990"/>
    <n v="22990"/>
    <n v="4000"/>
    <n v="0.17398869073510223"/>
    <n v="0.23170089520800424"/>
    <s v="Mid Range"/>
    <x v="0"/>
  </r>
  <r>
    <x v="0"/>
    <x v="47"/>
    <x v="57"/>
    <x v="2"/>
    <x v="2"/>
    <n v="4.2"/>
    <n v="18000"/>
    <n v="18000"/>
    <n v="0"/>
    <n v="0"/>
    <n v="0.23333333333333334"/>
    <s v="Mid Range"/>
    <x v="0"/>
  </r>
  <r>
    <x v="0"/>
    <x v="4"/>
    <x v="10"/>
    <x v="1"/>
    <x v="1"/>
    <n v="4.3"/>
    <n v="13799"/>
    <n v="13799"/>
    <n v="0"/>
    <n v="0"/>
    <n v="0.31161678382491481"/>
    <s v="Budget"/>
    <x v="0"/>
  </r>
  <r>
    <x v="0"/>
    <x v="4"/>
    <x v="20"/>
    <x v="1"/>
    <x v="1"/>
    <n v="4.3"/>
    <n v="13899"/>
    <n v="13899"/>
    <n v="0"/>
    <n v="0"/>
    <n v="0.30937477516368084"/>
    <s v="Budget"/>
    <x v="0"/>
  </r>
  <r>
    <x v="0"/>
    <x v="28"/>
    <x v="47"/>
    <x v="3"/>
    <x v="1"/>
    <n v="4.3"/>
    <n v="15990"/>
    <n v="21990"/>
    <n v="6000"/>
    <n v="0.27285129604365621"/>
    <n v="0.26891807379612259"/>
    <s v="Mid Range"/>
    <x v="0"/>
  </r>
  <r>
    <x v="0"/>
    <x v="28"/>
    <x v="65"/>
    <x v="0"/>
    <x v="1"/>
    <n v="4.3"/>
    <n v="14990"/>
    <n v="18990"/>
    <n v="4000"/>
    <n v="0.21063717746182201"/>
    <n v="0.28685790527018012"/>
    <s v="Budget"/>
    <x v="0"/>
  </r>
  <r>
    <x v="0"/>
    <x v="15"/>
    <x v="9"/>
    <x v="3"/>
    <x v="1"/>
    <n v="4.4000000000000004"/>
    <n v="25889"/>
    <n v="25889"/>
    <n v="0"/>
    <n v="0"/>
    <n v="0.16995635211866045"/>
    <s v="Mid Range"/>
    <x v="0"/>
  </r>
  <r>
    <x v="0"/>
    <x v="23"/>
    <x v="39"/>
    <x v="4"/>
    <x v="2"/>
    <n v="4.3"/>
    <n v="12990"/>
    <n v="4990"/>
    <n v="-8000"/>
    <n v="-1.6032064128256514"/>
    <n v="0.33102386451116245"/>
    <s v="Budget"/>
    <x v="0"/>
  </r>
  <r>
    <x v="0"/>
    <x v="48"/>
    <x v="39"/>
    <x v="4"/>
    <x v="2"/>
    <n v="4.3"/>
    <n v="8490"/>
    <n v="13400"/>
    <n v="4910"/>
    <n v="0.36641791044776117"/>
    <n v="0.50647820965842172"/>
    <s v="Budget"/>
    <x v="0"/>
  </r>
  <r>
    <x v="0"/>
    <x v="23"/>
    <x v="66"/>
    <x v="0"/>
    <x v="0"/>
    <n v="4.4000000000000004"/>
    <n v="15677"/>
    <n v="15677"/>
    <n v="0"/>
    <n v="0"/>
    <n v="0.28066594373923581"/>
    <s v="Mid Range"/>
    <x v="0"/>
  </r>
  <r>
    <x v="0"/>
    <x v="49"/>
    <x v="67"/>
    <x v="4"/>
    <x v="4"/>
    <n v="4.2"/>
    <n v="10000"/>
    <n v="10000"/>
    <n v="0"/>
    <n v="0"/>
    <n v="0.42000000000000004"/>
    <s v="Budget"/>
    <x v="0"/>
  </r>
  <r>
    <x v="0"/>
    <x v="50"/>
    <x v="68"/>
    <x v="1"/>
    <x v="0"/>
    <n v="4.5"/>
    <n v="19990"/>
    <n v="25000"/>
    <n v="5010"/>
    <n v="0.20039999999999999"/>
    <n v="0.22511255627813909"/>
    <s v="Mid Range"/>
    <x v="0"/>
  </r>
  <r>
    <x v="0"/>
    <x v="39"/>
    <x v="39"/>
    <x v="2"/>
    <x v="2"/>
    <n v="4.3"/>
    <n v="12000"/>
    <n v="12000"/>
    <n v="0"/>
    <n v="0"/>
    <n v="0.35833333333333334"/>
    <s v="Budget"/>
    <x v="0"/>
  </r>
  <r>
    <x v="0"/>
    <x v="50"/>
    <x v="69"/>
    <x v="1"/>
    <x v="0"/>
    <n v="4.5"/>
    <n v="21150"/>
    <n v="21150"/>
    <n v="0"/>
    <n v="0"/>
    <n v="0.21276595744680851"/>
    <s v="Mid Range"/>
    <x v="0"/>
  </r>
  <r>
    <x v="0"/>
    <x v="40"/>
    <x v="60"/>
    <x v="2"/>
    <x v="2"/>
    <n v="4.4000000000000004"/>
    <n v="14995"/>
    <n v="14995"/>
    <n v="0"/>
    <n v="0"/>
    <n v="0.29343114371457152"/>
    <s v="Budget"/>
    <x v="0"/>
  </r>
  <r>
    <x v="0"/>
    <x v="39"/>
    <x v="39"/>
    <x v="4"/>
    <x v="4"/>
    <n v="4.4000000000000004"/>
    <n v="9500"/>
    <n v="9500"/>
    <n v="0"/>
    <n v="0"/>
    <n v="0.46315789473684216"/>
    <s v="Budget"/>
    <x v="0"/>
  </r>
  <r>
    <x v="0"/>
    <x v="50"/>
    <x v="70"/>
    <x v="1"/>
    <x v="0"/>
    <n v="4.5"/>
    <n v="21150"/>
    <n v="21150"/>
    <n v="0"/>
    <n v="0"/>
    <n v="0.21276595744680851"/>
    <s v="Mid Range"/>
    <x v="0"/>
  </r>
  <r>
    <x v="0"/>
    <x v="23"/>
    <x v="5"/>
    <x v="2"/>
    <x v="2"/>
    <n v="4.4000000000000004"/>
    <n v="13750"/>
    <n v="13750"/>
    <n v="0"/>
    <n v="0"/>
    <n v="0.32"/>
    <s v="Budget"/>
    <x v="0"/>
  </r>
  <r>
    <x v="0"/>
    <x v="23"/>
    <x v="39"/>
    <x v="2"/>
    <x v="2"/>
    <n v="4.4000000000000004"/>
    <n v="12990"/>
    <n v="12990"/>
    <n v="0"/>
    <n v="0"/>
    <n v="0.3387220939183988"/>
    <s v="Budget"/>
    <x v="0"/>
  </r>
  <r>
    <x v="0"/>
    <x v="39"/>
    <x v="59"/>
    <x v="2"/>
    <x v="2"/>
    <n v="4.3"/>
    <n v="12990"/>
    <n v="12990"/>
    <n v="0"/>
    <n v="0"/>
    <n v="0.33102386451116245"/>
    <s v="Budget"/>
    <x v="0"/>
  </r>
  <r>
    <x v="0"/>
    <x v="39"/>
    <x v="59"/>
    <x v="4"/>
    <x v="4"/>
    <n v="4.4000000000000004"/>
    <n v="9500"/>
    <n v="9500"/>
    <n v="0"/>
    <n v="0"/>
    <n v="0.46315789473684216"/>
    <s v="Budget"/>
    <x v="0"/>
  </r>
  <r>
    <x v="0"/>
    <x v="32"/>
    <x v="51"/>
    <x v="0"/>
    <x v="2"/>
    <n v="4.4000000000000004"/>
    <n v="15000"/>
    <n v="15000"/>
    <n v="0"/>
    <n v="0"/>
    <n v="0.29333333333333339"/>
    <s v="Mid Range"/>
    <x v="0"/>
  </r>
  <r>
    <x v="0"/>
    <x v="32"/>
    <x v="51"/>
    <x v="0"/>
    <x v="2"/>
    <n v="4.4000000000000004"/>
    <n v="15000"/>
    <n v="15000"/>
    <n v="0"/>
    <n v="0"/>
    <n v="0.29333333333333339"/>
    <s v="Mid Range"/>
    <x v="0"/>
  </r>
  <r>
    <x v="0"/>
    <x v="32"/>
    <x v="71"/>
    <x v="0"/>
    <x v="2"/>
    <n v="4.4000000000000004"/>
    <n v="13500"/>
    <n v="13500"/>
    <n v="0"/>
    <n v="0"/>
    <n v="0.32592592592592595"/>
    <s v="Budget"/>
    <x v="0"/>
  </r>
  <r>
    <x v="0"/>
    <x v="32"/>
    <x v="71"/>
    <x v="0"/>
    <x v="0"/>
    <n v="4.4000000000000004"/>
    <n v="15990"/>
    <n v="15990"/>
    <n v="0"/>
    <n v="0"/>
    <n v="0.27517198248905567"/>
    <s v="Mid Range"/>
    <x v="0"/>
  </r>
  <r>
    <x v="0"/>
    <x v="43"/>
    <x v="64"/>
    <x v="1"/>
    <x v="1"/>
    <n v="4.3"/>
    <n v="16990"/>
    <n v="19990"/>
    <n v="3000"/>
    <n v="0.15007503751875939"/>
    <n v="0.25309005297233667"/>
    <s v="Mid Range"/>
    <x v="0"/>
  </r>
  <r>
    <x v="0"/>
    <x v="3"/>
    <x v="1"/>
    <x v="2"/>
    <x v="2"/>
    <n v="4.3"/>
    <n v="10490"/>
    <n v="12990"/>
    <n v="2500"/>
    <n v="0.19245573518090839"/>
    <n v="0.40991420400381312"/>
    <s v="Budget"/>
    <x v="0"/>
  </r>
  <r>
    <x v="0"/>
    <x v="10"/>
    <x v="25"/>
    <x v="3"/>
    <x v="1"/>
    <n v="4.3"/>
    <n v="22990"/>
    <n v="22990"/>
    <n v="0"/>
    <n v="0"/>
    <n v="0.18703784254023487"/>
    <s v="Mid Range"/>
    <x v="0"/>
  </r>
  <r>
    <x v="0"/>
    <x v="10"/>
    <x v="45"/>
    <x v="3"/>
    <x v="1"/>
    <n v="4.3"/>
    <n v="22990"/>
    <n v="22990"/>
    <n v="0"/>
    <n v="0"/>
    <n v="0.18703784254023487"/>
    <s v="Mid Range"/>
    <x v="0"/>
  </r>
  <r>
    <x v="0"/>
    <x v="17"/>
    <x v="24"/>
    <x v="0"/>
    <x v="1"/>
    <n v="4.3"/>
    <n v="13489"/>
    <n v="13489"/>
    <n v="0"/>
    <n v="0"/>
    <n v="0.31877826377047969"/>
    <s v="Budget"/>
    <x v="0"/>
  </r>
  <r>
    <x v="0"/>
    <x v="12"/>
    <x v="24"/>
    <x v="4"/>
    <x v="2"/>
    <n v="4"/>
    <n v="8990"/>
    <n v="10990"/>
    <n v="2000"/>
    <n v="0.18198362147406733"/>
    <n v="0.44493882091212461"/>
    <s v="Budget"/>
    <x v="1"/>
  </r>
  <r>
    <x v="0"/>
    <x v="43"/>
    <x v="63"/>
    <x v="0"/>
    <x v="1"/>
    <n v="4.4000000000000004"/>
    <n v="14990"/>
    <n v="17990"/>
    <n v="3000"/>
    <n v="0.16675931072818231"/>
    <n v="0.29352901934623082"/>
    <s v="Budget"/>
    <x v="0"/>
  </r>
  <r>
    <x v="0"/>
    <x v="16"/>
    <x v="29"/>
    <x v="3"/>
    <x v="3"/>
    <n v="4.4000000000000004"/>
    <n v="27990"/>
    <n v="35990"/>
    <n v="8000"/>
    <n v="0.22228396776882467"/>
    <n v="0.15719899964272957"/>
    <s v="Mid Range"/>
    <x v="0"/>
  </r>
  <r>
    <x v="0"/>
    <x v="21"/>
    <x v="37"/>
    <x v="2"/>
    <x v="0"/>
    <n v="4.3"/>
    <n v="10990"/>
    <n v="16990"/>
    <n v="6000"/>
    <n v="0.35314891112419072"/>
    <n v="0.39126478616924476"/>
    <s v="Budget"/>
    <x v="0"/>
  </r>
  <r>
    <x v="0"/>
    <x v="48"/>
    <x v="4"/>
    <x v="4"/>
    <x v="2"/>
    <n v="4.3"/>
    <n v="7990"/>
    <n v="10990"/>
    <n v="3000"/>
    <n v="0.27297543221110099"/>
    <n v="0.53817271589486848"/>
    <s v="Budget"/>
    <x v="0"/>
  </r>
  <r>
    <x v="0"/>
    <x v="43"/>
    <x v="63"/>
    <x v="3"/>
    <x v="1"/>
    <n v="4.3"/>
    <n v="20990"/>
    <n v="20990"/>
    <n v="0"/>
    <n v="0"/>
    <n v="0.2048594568842306"/>
    <s v="Mid Range"/>
    <x v="0"/>
  </r>
  <r>
    <x v="0"/>
    <x v="43"/>
    <x v="64"/>
    <x v="3"/>
    <x v="1"/>
    <n v="4.3"/>
    <n v="20990"/>
    <n v="20990"/>
    <n v="0"/>
    <n v="0"/>
    <n v="0.2048594568842306"/>
    <s v="Mid Range"/>
    <x v="0"/>
  </r>
  <r>
    <x v="0"/>
    <x v="43"/>
    <x v="64"/>
    <x v="0"/>
    <x v="1"/>
    <n v="4.4000000000000004"/>
    <n v="14990"/>
    <n v="17990"/>
    <n v="3000"/>
    <n v="0.16675931072818231"/>
    <n v="0.29352901934623082"/>
    <s v="Budget"/>
    <x v="0"/>
  </r>
  <r>
    <x v="0"/>
    <x v="23"/>
    <x v="5"/>
    <x v="0"/>
    <x v="0"/>
    <n v="4.4000000000000004"/>
    <n v="10990"/>
    <n v="15990"/>
    <n v="5000"/>
    <n v="0.31269543464665417"/>
    <n v="0.40036396724294815"/>
    <s v="Budget"/>
    <x v="0"/>
  </r>
  <r>
    <x v="0"/>
    <x v="22"/>
    <x v="4"/>
    <x v="1"/>
    <x v="0"/>
    <n v="4.4000000000000004"/>
    <n v="14990"/>
    <n v="14990"/>
    <n v="0"/>
    <n v="0"/>
    <n v="0.29352901934623082"/>
    <s v="Budget"/>
    <x v="0"/>
  </r>
  <r>
    <x v="0"/>
    <x v="21"/>
    <x v="72"/>
    <x v="0"/>
    <x v="0"/>
    <n v="4.4000000000000004"/>
    <n v="10990"/>
    <n v="18990"/>
    <n v="8000"/>
    <n v="0.42127435492364401"/>
    <n v="0.40036396724294815"/>
    <s v="Budget"/>
    <x v="0"/>
  </r>
  <r>
    <x v="0"/>
    <x v="40"/>
    <x v="39"/>
    <x v="4"/>
    <x v="4"/>
    <n v="4.2"/>
    <n v="9990"/>
    <n v="9990"/>
    <n v="0"/>
    <n v="0"/>
    <n v="0.42042042042042044"/>
    <s v="Budget"/>
    <x v="0"/>
  </r>
  <r>
    <x v="0"/>
    <x v="39"/>
    <x v="39"/>
    <x v="0"/>
    <x v="0"/>
    <n v="4.3"/>
    <n v="13990"/>
    <n v="13990"/>
    <n v="0"/>
    <n v="0"/>
    <n v="0.30736240171551105"/>
    <s v="Budget"/>
    <x v="0"/>
  </r>
  <r>
    <x v="0"/>
    <x v="21"/>
    <x v="72"/>
    <x v="2"/>
    <x v="0"/>
    <n v="4.3"/>
    <n v="10990"/>
    <n v="16990"/>
    <n v="6000"/>
    <n v="0.35314891112419072"/>
    <n v="0.39126478616924476"/>
    <s v="Budget"/>
    <x v="0"/>
  </r>
  <r>
    <x v="0"/>
    <x v="34"/>
    <x v="73"/>
    <x v="2"/>
    <x v="0"/>
    <n v="4.4000000000000004"/>
    <n v="14990"/>
    <n v="14990"/>
    <n v="0"/>
    <n v="0"/>
    <n v="0.29352901934623082"/>
    <s v="Budget"/>
    <x v="0"/>
  </r>
  <r>
    <x v="0"/>
    <x v="40"/>
    <x v="60"/>
    <x v="0"/>
    <x v="0"/>
    <n v="4.3"/>
    <n v="16990"/>
    <n v="16990"/>
    <n v="0"/>
    <n v="0"/>
    <n v="0.25309005297233667"/>
    <s v="Mid Range"/>
    <x v="0"/>
  </r>
  <r>
    <x v="0"/>
    <x v="22"/>
    <x v="57"/>
    <x v="0"/>
    <x v="2"/>
    <n v="4.4000000000000004"/>
    <n v="19990"/>
    <n v="19990"/>
    <n v="0"/>
    <n v="0"/>
    <n v="0.22011005502751377"/>
    <s v="Mid Range"/>
    <x v="0"/>
  </r>
  <r>
    <x v="0"/>
    <x v="41"/>
    <x v="74"/>
    <x v="1"/>
    <x v="0"/>
    <n v="4.3"/>
    <n v="24990"/>
    <n v="24990"/>
    <n v="0"/>
    <n v="0"/>
    <n v="0.17206882753101241"/>
    <s v="Mid Range"/>
    <x v="0"/>
  </r>
  <r>
    <x v="0"/>
    <x v="51"/>
    <x v="57"/>
    <x v="2"/>
    <x v="4"/>
    <n v="4.4000000000000004"/>
    <n v="10990"/>
    <n v="10990"/>
    <n v="0"/>
    <n v="0"/>
    <n v="0.40036396724294815"/>
    <s v="Budget"/>
    <x v="0"/>
  </r>
  <r>
    <x v="0"/>
    <x v="45"/>
    <x v="75"/>
    <x v="6"/>
    <x v="4"/>
    <n v="3.8"/>
    <n v="8490"/>
    <n v="8490"/>
    <n v="0"/>
    <n v="0"/>
    <n v="0.44758539458186103"/>
    <s v="Budget"/>
    <x v="1"/>
  </r>
  <r>
    <x v="0"/>
    <x v="27"/>
    <x v="23"/>
    <x v="0"/>
    <x v="0"/>
    <n v="4.4000000000000004"/>
    <n v="14990"/>
    <n v="18990"/>
    <n v="4000"/>
    <n v="0.21063717746182201"/>
    <n v="0.29352901934623082"/>
    <s v="Budget"/>
    <x v="0"/>
  </r>
  <r>
    <x v="0"/>
    <x v="27"/>
    <x v="23"/>
    <x v="1"/>
    <x v="0"/>
    <n v="4.3"/>
    <n v="13990"/>
    <n v="20990"/>
    <n v="7000"/>
    <n v="0.33349213911386372"/>
    <n v="0.30736240171551105"/>
    <s v="Budget"/>
    <x v="0"/>
  </r>
  <r>
    <x v="0"/>
    <x v="41"/>
    <x v="74"/>
    <x v="3"/>
    <x v="1"/>
    <n v="4.2"/>
    <n v="30994"/>
    <n v="30994"/>
    <n v="0"/>
    <n v="0"/>
    <n v="0.13551009872878622"/>
    <s v="Mid Range"/>
    <x v="0"/>
  </r>
  <r>
    <x v="0"/>
    <x v="23"/>
    <x v="4"/>
    <x v="0"/>
    <x v="0"/>
    <n v="4.4000000000000004"/>
    <n v="10990"/>
    <n v="15990"/>
    <n v="5000"/>
    <n v="0.31269543464665417"/>
    <n v="0.40036396724294815"/>
    <s v="Budget"/>
    <x v="0"/>
  </r>
  <r>
    <x v="0"/>
    <x v="42"/>
    <x v="76"/>
    <x v="0"/>
    <x v="0"/>
    <n v="4.5"/>
    <n v="17890"/>
    <n v="21990"/>
    <n v="4100"/>
    <n v="0.18644838562983174"/>
    <n v="0.25153717160424821"/>
    <s v="Mid Range"/>
    <x v="0"/>
  </r>
  <r>
    <x v="0"/>
    <x v="38"/>
    <x v="4"/>
    <x v="0"/>
    <x v="0"/>
    <n v="4.3"/>
    <n v="20990"/>
    <n v="20990"/>
    <n v="0"/>
    <n v="0"/>
    <n v="0.2048594568842306"/>
    <s v="Mid Range"/>
    <x v="0"/>
  </r>
  <r>
    <x v="0"/>
    <x v="47"/>
    <x v="4"/>
    <x v="2"/>
    <x v="2"/>
    <n v="4.2"/>
    <n v="14990"/>
    <n v="14990"/>
    <n v="0"/>
    <n v="0"/>
    <n v="0.28018679119412943"/>
    <s v="Budget"/>
    <x v="0"/>
  </r>
  <r>
    <x v="0"/>
    <x v="52"/>
    <x v="50"/>
    <x v="0"/>
    <x v="1"/>
    <n v="4.4000000000000004"/>
    <n v="12990"/>
    <n v="16990"/>
    <n v="4000"/>
    <n v="0.23543260741612712"/>
    <n v="0.3387220939183988"/>
    <s v="Budget"/>
    <x v="0"/>
  </r>
  <r>
    <x v="0"/>
    <x v="52"/>
    <x v="77"/>
    <x v="0"/>
    <x v="1"/>
    <n v="4.4000000000000004"/>
    <n v="12990"/>
    <n v="16990"/>
    <n v="4000"/>
    <n v="0.23543260741612712"/>
    <n v="0.3387220939183988"/>
    <s v="Budget"/>
    <x v="0"/>
  </r>
  <r>
    <x v="0"/>
    <x v="53"/>
    <x v="4"/>
    <x v="1"/>
    <x v="0"/>
    <n v="4.3"/>
    <n v="22990"/>
    <n v="22990"/>
    <n v="0"/>
    <n v="0"/>
    <n v="0.18703784254023487"/>
    <s v="Mid Range"/>
    <x v="0"/>
  </r>
  <r>
    <x v="0"/>
    <x v="53"/>
    <x v="57"/>
    <x v="1"/>
    <x v="0"/>
    <n v="4.3"/>
    <n v="22990"/>
    <n v="22990"/>
    <n v="0"/>
    <n v="0"/>
    <n v="0.18703784254023487"/>
    <s v="Mid Range"/>
    <x v="0"/>
  </r>
  <r>
    <x v="0"/>
    <x v="53"/>
    <x v="4"/>
    <x v="0"/>
    <x v="0"/>
    <n v="4.3"/>
    <n v="30990"/>
    <n v="30990"/>
    <n v="0"/>
    <n v="0"/>
    <n v="0.13875443691513392"/>
    <s v="Mid Range"/>
    <x v="0"/>
  </r>
  <r>
    <x v="0"/>
    <x v="54"/>
    <x v="4"/>
    <x v="0"/>
    <x v="0"/>
    <n v="4.4000000000000004"/>
    <n v="22990"/>
    <n v="22990"/>
    <n v="0"/>
    <n v="0"/>
    <n v="0.19138755980861244"/>
    <s v="Mid Range"/>
    <x v="0"/>
  </r>
  <r>
    <x v="0"/>
    <x v="7"/>
    <x v="57"/>
    <x v="3"/>
    <x v="1"/>
    <n v="4.3"/>
    <n v="21999"/>
    <n v="21999"/>
    <n v="0"/>
    <n v="0"/>
    <n v="0.19546343015591616"/>
    <s v="Mid Range"/>
    <x v="0"/>
  </r>
  <r>
    <x v="0"/>
    <x v="55"/>
    <x v="4"/>
    <x v="0"/>
    <x v="0"/>
    <n v="4.4000000000000004"/>
    <n v="22990"/>
    <n v="22990"/>
    <n v="0"/>
    <n v="0"/>
    <n v="0.19138755980861244"/>
    <s v="Mid Range"/>
    <x v="0"/>
  </r>
  <r>
    <x v="0"/>
    <x v="30"/>
    <x v="53"/>
    <x v="3"/>
    <x v="1"/>
    <n v="4.4000000000000004"/>
    <n v="34990"/>
    <n v="37990"/>
    <n v="3000"/>
    <n v="7.8968149513029745E-2"/>
    <n v="0.12575021434695627"/>
    <s v="Mid Range"/>
    <x v="0"/>
  </r>
  <r>
    <x v="0"/>
    <x v="56"/>
    <x v="4"/>
    <x v="0"/>
    <x v="0"/>
    <n v="4.4000000000000004"/>
    <n v="22990"/>
    <n v="22990"/>
    <n v="0"/>
    <n v="0"/>
    <n v="0.19138755980861244"/>
    <s v="Mid Range"/>
    <x v="0"/>
  </r>
  <r>
    <x v="0"/>
    <x v="30"/>
    <x v="53"/>
    <x v="3"/>
    <x v="1"/>
    <n v="4.4000000000000004"/>
    <n v="34990"/>
    <n v="37990"/>
    <n v="3000"/>
    <n v="7.8968149513029745E-2"/>
    <n v="0.12575021434695627"/>
    <s v="Mid Range"/>
    <x v="0"/>
  </r>
  <r>
    <x v="0"/>
    <x v="56"/>
    <x v="4"/>
    <x v="0"/>
    <x v="0"/>
    <n v="4.4000000000000004"/>
    <n v="22990"/>
    <n v="22990"/>
    <n v="0"/>
    <n v="0"/>
    <n v="0.19138755980861244"/>
    <s v="Mid Range"/>
    <x v="0"/>
  </r>
  <r>
    <x v="0"/>
    <x v="53"/>
    <x v="57"/>
    <x v="0"/>
    <x v="0"/>
    <n v="4.3"/>
    <n v="12990"/>
    <n v="12990"/>
    <n v="0"/>
    <n v="0"/>
    <n v="0.33102386451116245"/>
    <s v="Budget"/>
    <x v="0"/>
  </r>
  <r>
    <x v="0"/>
    <x v="57"/>
    <x v="78"/>
    <x v="1"/>
    <x v="1"/>
    <n v="4.5"/>
    <n v="14990"/>
    <n v="29990"/>
    <n v="15000"/>
    <n v="0.50016672224074687"/>
    <n v="0.30020013342228152"/>
    <s v="Budget"/>
    <x v="0"/>
  </r>
  <r>
    <x v="0"/>
    <x v="57"/>
    <x v="79"/>
    <x v="1"/>
    <x v="1"/>
    <n v="4.5"/>
    <n v="17990"/>
    <n v="29990"/>
    <n v="12000"/>
    <n v="0.40013337779259756"/>
    <n v="0.25013896609227348"/>
    <s v="Mid Range"/>
    <x v="0"/>
  </r>
  <r>
    <x v="0"/>
    <x v="58"/>
    <x v="75"/>
    <x v="6"/>
    <x v="4"/>
    <n v="3"/>
    <n v="21452"/>
    <n v="21452"/>
    <n v="0"/>
    <n v="0"/>
    <n v="0.13984710050344956"/>
    <s v="Mid Range"/>
    <x v="3"/>
  </r>
  <r>
    <x v="0"/>
    <x v="31"/>
    <x v="77"/>
    <x v="1"/>
    <x v="1"/>
    <n v="4.4000000000000004"/>
    <n v="17990"/>
    <n v="23990"/>
    <n v="6000"/>
    <n v="0.25010421008753647"/>
    <n v="0.24458032240133409"/>
    <s v="Mid Range"/>
    <x v="0"/>
  </r>
  <r>
    <x v="0"/>
    <x v="31"/>
    <x v="77"/>
    <x v="0"/>
    <x v="1"/>
    <n v="4.4000000000000004"/>
    <n v="13990"/>
    <n v="21990"/>
    <n v="8000"/>
    <n v="0.36380172805820826"/>
    <n v="0.31451036454610443"/>
    <s v="Budget"/>
    <x v="0"/>
  </r>
  <r>
    <x v="0"/>
    <x v="28"/>
    <x v="65"/>
    <x v="3"/>
    <x v="1"/>
    <n v="4.3"/>
    <n v="15990"/>
    <n v="21990"/>
    <n v="6000"/>
    <n v="0.27285129604365621"/>
    <n v="0.26891807379612259"/>
    <s v="Mid Range"/>
    <x v="0"/>
  </r>
  <r>
    <x v="0"/>
    <x v="58"/>
    <x v="4"/>
    <x v="6"/>
    <x v="4"/>
    <n v="3"/>
    <n v="24990"/>
    <n v="24990"/>
    <n v="0"/>
    <n v="0"/>
    <n v="0.12004801920768308"/>
    <s v="Mid Range"/>
    <x v="3"/>
  </r>
  <r>
    <x v="0"/>
    <x v="57"/>
    <x v="80"/>
    <x v="1"/>
    <x v="0"/>
    <n v="4.5"/>
    <n v="16990"/>
    <n v="28990"/>
    <n v="12000"/>
    <n v="0.41393583994480854"/>
    <n v="0.26486168334314297"/>
    <s v="Mid Range"/>
    <x v="0"/>
  </r>
  <r>
    <x v="0"/>
    <x v="57"/>
    <x v="79"/>
    <x v="1"/>
    <x v="0"/>
    <n v="4.5"/>
    <n v="16890"/>
    <n v="28990"/>
    <n v="12100"/>
    <n v="0.41738530527768197"/>
    <n v="0.26642984014209592"/>
    <s v="Mid Range"/>
    <x v="0"/>
  </r>
  <r>
    <x v="0"/>
    <x v="41"/>
    <x v="61"/>
    <x v="3"/>
    <x v="1"/>
    <n v="4.2"/>
    <n v="29999"/>
    <n v="29999"/>
    <n v="0"/>
    <n v="0"/>
    <n v="0.14000466682222742"/>
    <s v="Mid Range"/>
    <x v="0"/>
  </r>
  <r>
    <x v="0"/>
    <x v="28"/>
    <x v="54"/>
    <x v="3"/>
    <x v="1"/>
    <n v="4.3"/>
    <n v="15990"/>
    <n v="21990"/>
    <n v="6000"/>
    <n v="0.27285129604365621"/>
    <n v="0.26891807379612259"/>
    <s v="Mid Range"/>
    <x v="0"/>
  </r>
  <r>
    <x v="0"/>
    <x v="17"/>
    <x v="35"/>
    <x v="0"/>
    <x v="1"/>
    <n v="4.3"/>
    <n v="13489"/>
    <n v="13489"/>
    <n v="0"/>
    <n v="0"/>
    <n v="0.31877826377047969"/>
    <s v="Budget"/>
    <x v="0"/>
  </r>
  <r>
    <x v="0"/>
    <x v="17"/>
    <x v="31"/>
    <x v="0"/>
    <x v="1"/>
    <n v="4.3"/>
    <n v="13489"/>
    <n v="13489"/>
    <n v="0"/>
    <n v="0"/>
    <n v="0.31877826377047969"/>
    <s v="Budget"/>
    <x v="0"/>
  </r>
  <r>
    <x v="0"/>
    <x v="51"/>
    <x v="5"/>
    <x v="2"/>
    <x v="4"/>
    <n v="4.4000000000000004"/>
    <n v="10990"/>
    <n v="10990"/>
    <n v="0"/>
    <n v="0"/>
    <n v="0.40036396724294815"/>
    <s v="Budget"/>
    <x v="0"/>
  </r>
  <r>
    <x v="0"/>
    <x v="59"/>
    <x v="4"/>
    <x v="2"/>
    <x v="2"/>
    <n v="4.3"/>
    <n v="17990"/>
    <n v="17990"/>
    <n v="0"/>
    <n v="0"/>
    <n v="0.23902167871039465"/>
    <s v="Mid Range"/>
    <x v="0"/>
  </r>
  <r>
    <x v="0"/>
    <x v="59"/>
    <x v="57"/>
    <x v="2"/>
    <x v="2"/>
    <n v="4.3"/>
    <n v="17990"/>
    <n v="17990"/>
    <n v="0"/>
    <n v="0"/>
    <n v="0.23902167871039465"/>
    <s v="Mid Range"/>
    <x v="0"/>
  </r>
  <r>
    <x v="0"/>
    <x v="31"/>
    <x v="81"/>
    <x v="1"/>
    <x v="1"/>
    <n v="4.4000000000000004"/>
    <n v="17990"/>
    <n v="23990"/>
    <n v="6000"/>
    <n v="0.25010421008753647"/>
    <n v="0.24458032240133409"/>
    <s v="Mid Range"/>
    <x v="0"/>
  </r>
  <r>
    <x v="0"/>
    <x v="60"/>
    <x v="4"/>
    <x v="0"/>
    <x v="0"/>
    <n v="4.4000000000000004"/>
    <n v="22990"/>
    <n v="22990"/>
    <n v="0"/>
    <n v="0"/>
    <n v="0.19138755980861244"/>
    <s v="Mid Range"/>
    <x v="0"/>
  </r>
  <r>
    <x v="0"/>
    <x v="60"/>
    <x v="39"/>
    <x v="0"/>
    <x v="0"/>
    <n v="4.4000000000000004"/>
    <n v="22990"/>
    <n v="22990"/>
    <n v="0"/>
    <n v="0"/>
    <n v="0.19138755980861244"/>
    <s v="Mid Range"/>
    <x v="0"/>
  </r>
  <r>
    <x v="0"/>
    <x v="60"/>
    <x v="82"/>
    <x v="0"/>
    <x v="0"/>
    <n v="4.4000000000000004"/>
    <n v="22990"/>
    <n v="22990"/>
    <n v="0"/>
    <n v="0"/>
    <n v="0.19138755980861244"/>
    <s v="Mid Range"/>
    <x v="0"/>
  </r>
  <r>
    <x v="0"/>
    <x v="29"/>
    <x v="83"/>
    <x v="3"/>
    <x v="3"/>
    <n v="4.5999999999999996"/>
    <n v="60990"/>
    <n v="60990"/>
    <n v="0"/>
    <n v="0"/>
    <n v="7.5422200360714856E-2"/>
    <s v="Premium"/>
    <x v="2"/>
  </r>
  <r>
    <x v="0"/>
    <x v="61"/>
    <x v="4"/>
    <x v="6"/>
    <x v="4"/>
    <n v="3.8"/>
    <n v="4999"/>
    <n v="7856"/>
    <n v="2857"/>
    <n v="0.36367107942973526"/>
    <n v="0.76015203040608115"/>
    <s v="Budget"/>
    <x v="1"/>
  </r>
  <r>
    <x v="0"/>
    <x v="60"/>
    <x v="39"/>
    <x v="1"/>
    <x v="1"/>
    <n v="4.5"/>
    <n v="27990"/>
    <n v="27990"/>
    <n v="0"/>
    <n v="0"/>
    <n v="0.16077170418006431"/>
    <s v="Mid Range"/>
    <x v="0"/>
  </r>
  <r>
    <x v="0"/>
    <x v="62"/>
    <x v="57"/>
    <x v="2"/>
    <x v="4"/>
    <n v="4.0999999999999996"/>
    <n v="15739"/>
    <n v="15739"/>
    <n v="0"/>
    <n v="0"/>
    <n v="0.26049939640383757"/>
    <s v="Mid Range"/>
    <x v="0"/>
  </r>
  <r>
    <x v="0"/>
    <x v="63"/>
    <x v="41"/>
    <x v="3"/>
    <x v="3"/>
    <n v="4.4000000000000004"/>
    <n v="38990"/>
    <n v="39990"/>
    <n v="1000"/>
    <n v="2.5006251562890724E-2"/>
    <n v="0.1128494485765581"/>
    <s v="Mid Range"/>
    <x v="0"/>
  </r>
  <r>
    <x v="0"/>
    <x v="60"/>
    <x v="4"/>
    <x v="1"/>
    <x v="1"/>
    <n v="4.5"/>
    <n v="27990"/>
    <n v="27990"/>
    <n v="0"/>
    <n v="0"/>
    <n v="0.16077170418006431"/>
    <s v="Mid Range"/>
    <x v="0"/>
  </r>
  <r>
    <x v="0"/>
    <x v="61"/>
    <x v="75"/>
    <x v="6"/>
    <x v="4"/>
    <n v="3.8"/>
    <n v="4999"/>
    <n v="7490"/>
    <n v="2491"/>
    <n v="0.33257676902536715"/>
    <n v="0.76015203040608115"/>
    <s v="Budget"/>
    <x v="1"/>
  </r>
  <r>
    <x v="0"/>
    <x v="64"/>
    <x v="84"/>
    <x v="3"/>
    <x v="1"/>
    <n v="3.7"/>
    <n v="38999"/>
    <n v="38999"/>
    <n v="0"/>
    <n v="0"/>
    <n v="9.4874227544296016E-2"/>
    <s v="Mid Range"/>
    <x v="1"/>
  </r>
  <r>
    <x v="0"/>
    <x v="12"/>
    <x v="31"/>
    <x v="4"/>
    <x v="2"/>
    <n v="4"/>
    <n v="9490"/>
    <n v="9500"/>
    <n v="10"/>
    <n v="1.0526315789473684E-3"/>
    <n v="0.42149631190727083"/>
    <s v="Budget"/>
    <x v="1"/>
  </r>
  <r>
    <x v="0"/>
    <x v="26"/>
    <x v="42"/>
    <x v="3"/>
    <x v="1"/>
    <n v="4.4000000000000004"/>
    <n v="18990"/>
    <n v="22990"/>
    <n v="4000"/>
    <n v="0.17398869073510223"/>
    <n v="0.23170089520800424"/>
    <s v="Mid Range"/>
    <x v="0"/>
  </r>
  <r>
    <x v="0"/>
    <x v="65"/>
    <x v="40"/>
    <x v="1"/>
    <x v="1"/>
    <n v="4.5"/>
    <n v="38990"/>
    <n v="41990"/>
    <n v="3000"/>
    <n v="7.1445582281495598E-2"/>
    <n v="0.11541420877147987"/>
    <s v="Mid Range"/>
    <x v="0"/>
  </r>
  <r>
    <x v="0"/>
    <x v="31"/>
    <x v="50"/>
    <x v="0"/>
    <x v="1"/>
    <n v="4.4000000000000004"/>
    <n v="13990"/>
    <n v="21990"/>
    <n v="8000"/>
    <n v="0.36380172805820826"/>
    <n v="0.31451036454610443"/>
    <s v="Budget"/>
    <x v="0"/>
  </r>
  <r>
    <x v="0"/>
    <x v="14"/>
    <x v="85"/>
    <x v="5"/>
    <x v="3"/>
    <n v="4.4000000000000004"/>
    <n v="41990"/>
    <n v="45990"/>
    <n v="4000"/>
    <n v="8.6975429441182861E-2"/>
    <n v="0.10478685401286021"/>
    <s v="Mid Range"/>
    <x v="0"/>
  </r>
  <r>
    <x v="0"/>
    <x v="49"/>
    <x v="4"/>
    <x v="4"/>
    <x v="4"/>
    <n v="4.2"/>
    <n v="9990"/>
    <n v="9990"/>
    <n v="0"/>
    <n v="0"/>
    <n v="0.42042042042042044"/>
    <s v="Budget"/>
    <x v="0"/>
  </r>
  <r>
    <x v="0"/>
    <x v="66"/>
    <x v="67"/>
    <x v="2"/>
    <x v="2"/>
    <n v="4.2"/>
    <n v="12990"/>
    <n v="12990"/>
    <n v="0"/>
    <n v="0"/>
    <n v="0.32332563510392609"/>
    <s v="Budget"/>
    <x v="0"/>
  </r>
  <r>
    <x v="0"/>
    <x v="36"/>
    <x v="56"/>
    <x v="0"/>
    <x v="0"/>
    <n v="4"/>
    <n v="24900"/>
    <n v="24900"/>
    <n v="0"/>
    <n v="0"/>
    <n v="0.1606425702811245"/>
    <s v="Mid Range"/>
    <x v="1"/>
  </r>
  <r>
    <x v="0"/>
    <x v="40"/>
    <x v="4"/>
    <x v="2"/>
    <x v="2"/>
    <n v="4.4000000000000004"/>
    <n v="13490"/>
    <n v="13490"/>
    <n v="0"/>
    <n v="0"/>
    <n v="0.32616753150481836"/>
    <s v="Budget"/>
    <x v="0"/>
  </r>
  <r>
    <x v="0"/>
    <x v="57"/>
    <x v="80"/>
    <x v="1"/>
    <x v="1"/>
    <n v="4.5"/>
    <n v="17990"/>
    <n v="29990"/>
    <n v="12000"/>
    <n v="0.40013337779259756"/>
    <n v="0.25013896609227348"/>
    <s v="Mid Range"/>
    <x v="0"/>
  </r>
  <r>
    <x v="0"/>
    <x v="66"/>
    <x v="67"/>
    <x v="0"/>
    <x v="0"/>
    <n v="4.3"/>
    <n v="18990"/>
    <n v="18990"/>
    <n v="0"/>
    <n v="0"/>
    <n v="0.22643496577145866"/>
    <s v="Mid Range"/>
    <x v="0"/>
  </r>
  <r>
    <x v="0"/>
    <x v="66"/>
    <x v="56"/>
    <x v="0"/>
    <x v="0"/>
    <n v="4.3"/>
    <n v="18990"/>
    <n v="18990"/>
    <n v="0"/>
    <n v="0"/>
    <n v="0.22643496577145866"/>
    <s v="Mid Range"/>
    <x v="0"/>
  </r>
  <r>
    <x v="0"/>
    <x v="66"/>
    <x v="57"/>
    <x v="0"/>
    <x v="0"/>
    <n v="4.3"/>
    <n v="18990"/>
    <n v="18990"/>
    <n v="0"/>
    <n v="0"/>
    <n v="0.22643496577145866"/>
    <s v="Mid Range"/>
    <x v="0"/>
  </r>
  <r>
    <x v="0"/>
    <x v="65"/>
    <x v="86"/>
    <x v="1"/>
    <x v="1"/>
    <n v="4.5"/>
    <n v="38990"/>
    <n v="41990"/>
    <n v="3000"/>
    <n v="7.1445582281495598E-2"/>
    <n v="0.11541420877147987"/>
    <s v="Mid Range"/>
    <x v="0"/>
  </r>
  <r>
    <x v="0"/>
    <x v="65"/>
    <x v="40"/>
    <x v="3"/>
    <x v="3"/>
    <n v="4.4000000000000004"/>
    <n v="41990"/>
    <n v="55990"/>
    <n v="14000"/>
    <n v="0.25004465083050542"/>
    <n v="0.10478685401286021"/>
    <s v="Mid Range"/>
    <x v="0"/>
  </r>
  <r>
    <x v="0"/>
    <x v="65"/>
    <x v="86"/>
    <x v="3"/>
    <x v="3"/>
    <n v="4.4000000000000004"/>
    <n v="41990"/>
    <n v="55990"/>
    <n v="14000"/>
    <n v="0.25004465083050542"/>
    <n v="0.10478685401286021"/>
    <s v="Mid Range"/>
    <x v="0"/>
  </r>
  <r>
    <x v="0"/>
    <x v="49"/>
    <x v="57"/>
    <x v="4"/>
    <x v="4"/>
    <n v="4.2"/>
    <n v="9990"/>
    <n v="9990"/>
    <n v="0"/>
    <n v="0"/>
    <n v="0.42042042042042044"/>
    <s v="Budget"/>
    <x v="0"/>
  </r>
  <r>
    <x v="0"/>
    <x v="63"/>
    <x v="87"/>
    <x v="3"/>
    <x v="3"/>
    <n v="4.4000000000000004"/>
    <n v="38990"/>
    <n v="39990"/>
    <n v="1000"/>
    <n v="2.5006251562890724E-2"/>
    <n v="0.1128494485765581"/>
    <s v="Mid Range"/>
    <x v="0"/>
  </r>
  <r>
    <x v="0"/>
    <x v="67"/>
    <x v="75"/>
    <x v="4"/>
    <x v="4"/>
    <n v="3.1"/>
    <n v="9990"/>
    <n v="9990"/>
    <n v="0"/>
    <n v="0"/>
    <n v="0.31031031031031031"/>
    <s v="Budget"/>
    <x v="3"/>
  </r>
  <r>
    <x v="0"/>
    <x v="50"/>
    <x v="70"/>
    <x v="1"/>
    <x v="1"/>
    <n v="4.5"/>
    <n v="21990"/>
    <n v="27990"/>
    <n v="6000"/>
    <n v="0.21436227224008575"/>
    <n v="0.20463847203274216"/>
    <s v="Mid Range"/>
    <x v="0"/>
  </r>
  <r>
    <x v="1"/>
    <x v="68"/>
    <x v="88"/>
    <x v="1"/>
    <x v="1"/>
    <n v="4.7"/>
    <n v="56990"/>
    <n v="56990"/>
    <n v="0"/>
    <n v="0"/>
    <n v="8.2470608878750656E-2"/>
    <s v="Premium"/>
    <x v="2"/>
  </r>
  <r>
    <x v="1"/>
    <x v="69"/>
    <x v="5"/>
    <x v="2"/>
    <x v="2"/>
    <n v="3.9"/>
    <n v="12999"/>
    <n v="12999"/>
    <n v="0"/>
    <n v="0"/>
    <n v="0.30002307869836142"/>
    <s v="Budget"/>
    <x v="1"/>
  </r>
  <r>
    <x v="1"/>
    <x v="69"/>
    <x v="5"/>
    <x v="0"/>
    <x v="1"/>
    <n v="3.9"/>
    <n v="16999"/>
    <n v="16999"/>
    <n v="0"/>
    <n v="0"/>
    <n v="0.22942526030942997"/>
    <s v="Mid Range"/>
    <x v="1"/>
  </r>
  <r>
    <x v="1"/>
    <x v="69"/>
    <x v="5"/>
    <x v="0"/>
    <x v="1"/>
    <n v="3.9"/>
    <n v="17999"/>
    <n v="17999"/>
    <n v="0"/>
    <n v="0"/>
    <n v="0.21667870437246511"/>
    <s v="Mid Range"/>
    <x v="1"/>
  </r>
  <r>
    <x v="1"/>
    <x v="69"/>
    <x v="89"/>
    <x v="2"/>
    <x v="2"/>
    <n v="3.9"/>
    <n v="13999"/>
    <n v="13999"/>
    <n v="0"/>
    <n v="0"/>
    <n v="0.27859132795199659"/>
    <s v="Budget"/>
    <x v="1"/>
  </r>
  <r>
    <x v="2"/>
    <x v="70"/>
    <x v="90"/>
    <x v="3"/>
    <x v="1"/>
    <n v="4.4000000000000004"/>
    <n v="34990"/>
    <n v="37990"/>
    <n v="3000"/>
    <n v="7.8968149513029745E-2"/>
    <n v="0.12575021434695627"/>
    <s v="Mid Range"/>
    <x v="0"/>
  </r>
  <r>
    <x v="2"/>
    <x v="70"/>
    <x v="91"/>
    <x v="3"/>
    <x v="1"/>
    <n v="4.4000000000000004"/>
    <n v="34990"/>
    <n v="37990"/>
    <n v="3000"/>
    <n v="7.8968149513029745E-2"/>
    <n v="0.12575021434695627"/>
    <s v="Mid Range"/>
    <x v="0"/>
  </r>
  <r>
    <x v="2"/>
    <x v="70"/>
    <x v="90"/>
    <x v="3"/>
    <x v="3"/>
    <n v="4.4000000000000004"/>
    <n v="37990"/>
    <n v="40990"/>
    <n v="3000"/>
    <n v="7.3188582581117351E-2"/>
    <n v="0.11581995261911029"/>
    <s v="Mid Range"/>
    <x v="0"/>
  </r>
  <r>
    <x v="2"/>
    <x v="70"/>
    <x v="91"/>
    <x v="3"/>
    <x v="3"/>
    <n v="4.4000000000000004"/>
    <n v="37990"/>
    <n v="40990"/>
    <n v="3000"/>
    <n v="7.3188582581117351E-2"/>
    <n v="0.11581995261911029"/>
    <s v="Mid Range"/>
    <x v="0"/>
  </r>
  <r>
    <x v="2"/>
    <x v="70"/>
    <x v="92"/>
    <x v="5"/>
    <x v="3"/>
    <n v="4.4000000000000004"/>
    <n v="39990"/>
    <n v="46990"/>
    <n v="7000"/>
    <n v="0.14896786550329857"/>
    <n v="0.11002750687671919"/>
    <s v="Mid Range"/>
    <x v="0"/>
  </r>
  <r>
    <x v="3"/>
    <x v="71"/>
    <x v="93"/>
    <x v="1"/>
    <x v="1"/>
    <n v="4.5"/>
    <n v="31999"/>
    <n v="31999"/>
    <n v="0"/>
    <n v="0"/>
    <n v="0.1406293946685834"/>
    <s v="Mid Range"/>
    <x v="0"/>
  </r>
  <r>
    <x v="3"/>
    <x v="72"/>
    <x v="94"/>
    <x v="0"/>
    <x v="0"/>
    <n v="4.5"/>
    <n v="44999"/>
    <n v="44999"/>
    <n v="0"/>
    <n v="0"/>
    <n v="0.10000222227160603"/>
    <s v="Mid Range"/>
    <x v="0"/>
  </r>
  <r>
    <x v="3"/>
    <x v="70"/>
    <x v="93"/>
    <x v="0"/>
    <x v="0"/>
    <n v="4.5"/>
    <n v="69999"/>
    <n v="69999"/>
    <n v="0"/>
    <n v="0"/>
    <n v="6.428663266618094E-2"/>
    <s v="Premium"/>
    <x v="0"/>
  </r>
  <r>
    <x v="3"/>
    <x v="72"/>
    <x v="93"/>
    <x v="0"/>
    <x v="0"/>
    <n v="4.5"/>
    <n v="44999"/>
    <n v="44999"/>
    <n v="0"/>
    <n v="0"/>
    <n v="0.10000222227160603"/>
    <s v="Mid Range"/>
    <x v="0"/>
  </r>
  <r>
    <x v="3"/>
    <x v="70"/>
    <x v="94"/>
    <x v="0"/>
    <x v="0"/>
    <n v="4.5"/>
    <n v="71000"/>
    <n v="71000"/>
    <n v="0"/>
    <n v="0"/>
    <n v="6.3380281690140858E-2"/>
    <s v="Premium"/>
    <x v="0"/>
  </r>
  <r>
    <x v="3"/>
    <x v="70"/>
    <x v="95"/>
    <x v="0"/>
    <x v="0"/>
    <n v="4.5"/>
    <n v="71000"/>
    <n v="71000"/>
    <n v="0"/>
    <n v="0"/>
    <n v="6.3380281690140858E-2"/>
    <s v="Premium"/>
    <x v="0"/>
  </r>
  <r>
    <x v="3"/>
    <x v="70"/>
    <x v="95"/>
    <x v="0"/>
    <x v="1"/>
    <n v="4.5"/>
    <n v="80000"/>
    <n v="80000"/>
    <n v="0"/>
    <n v="0"/>
    <n v="5.6250000000000001E-2"/>
    <s v="Premium"/>
    <x v="0"/>
  </r>
  <r>
    <x v="3"/>
    <x v="73"/>
    <x v="95"/>
    <x v="0"/>
    <x v="0"/>
    <n v="4.5999999999999996"/>
    <n v="83000"/>
    <n v="83000"/>
    <n v="0"/>
    <n v="0"/>
    <n v="5.5421686746987948E-2"/>
    <s v="Premium"/>
    <x v="2"/>
  </r>
  <r>
    <x v="3"/>
    <x v="73"/>
    <x v="93"/>
    <x v="0"/>
    <x v="0"/>
    <n v="4.5999999999999996"/>
    <n v="83000"/>
    <n v="83000"/>
    <n v="0"/>
    <n v="0"/>
    <n v="5.5421686746987948E-2"/>
    <s v="Premium"/>
    <x v="2"/>
  </r>
  <r>
    <x v="3"/>
    <x v="73"/>
    <x v="94"/>
    <x v="0"/>
    <x v="1"/>
    <n v="4.5999999999999996"/>
    <n v="92000"/>
    <n v="92000"/>
    <n v="0"/>
    <n v="0"/>
    <n v="4.9999999999999996E-2"/>
    <s v="Premium"/>
    <x v="2"/>
  </r>
  <r>
    <x v="3"/>
    <x v="70"/>
    <x v="93"/>
    <x v="0"/>
    <x v="1"/>
    <n v="4.5"/>
    <n v="80000"/>
    <n v="80000"/>
    <n v="0"/>
    <n v="0"/>
    <n v="5.6250000000000001E-2"/>
    <s v="Premium"/>
    <x v="0"/>
  </r>
  <r>
    <x v="3"/>
    <x v="70"/>
    <x v="94"/>
    <x v="0"/>
    <x v="1"/>
    <n v="4.5"/>
    <n v="80000"/>
    <n v="80000"/>
    <n v="0"/>
    <n v="0"/>
    <n v="5.6250000000000001E-2"/>
    <s v="Premium"/>
    <x v="0"/>
  </r>
  <r>
    <x v="3"/>
    <x v="73"/>
    <x v="93"/>
    <x v="0"/>
    <x v="1"/>
    <n v="4.5999999999999996"/>
    <n v="92000"/>
    <n v="92000"/>
    <n v="0"/>
    <n v="0"/>
    <n v="4.9999999999999996E-2"/>
    <s v="Premium"/>
    <x v="2"/>
  </r>
  <r>
    <x v="3"/>
    <x v="73"/>
    <x v="94"/>
    <x v="0"/>
    <x v="0"/>
    <n v="4.5999999999999996"/>
    <n v="83000"/>
    <n v="83000"/>
    <n v="0"/>
    <n v="0"/>
    <n v="5.5421686746987948E-2"/>
    <s v="Premium"/>
    <x v="2"/>
  </r>
  <r>
    <x v="3"/>
    <x v="74"/>
    <x v="94"/>
    <x v="0"/>
    <x v="0"/>
    <n v="4.5"/>
    <n v="39999"/>
    <n v="39999"/>
    <n v="0"/>
    <n v="0"/>
    <n v="0.11250281257031426"/>
    <s v="Mid Range"/>
    <x v="0"/>
  </r>
  <r>
    <x v="3"/>
    <x v="75"/>
    <x v="96"/>
    <x v="0"/>
    <x v="1"/>
    <n v="4.5"/>
    <n v="76000"/>
    <n v="76000"/>
    <n v="0"/>
    <n v="0"/>
    <n v="5.921052631578947E-2"/>
    <s v="Premium"/>
    <x v="0"/>
  </r>
  <r>
    <x v="3"/>
    <x v="76"/>
    <x v="93"/>
    <x v="0"/>
    <x v="1"/>
    <n v="4.5999999999999996"/>
    <n v="82000"/>
    <n v="82000"/>
    <n v="0"/>
    <n v="0"/>
    <n v="5.609756097560975E-2"/>
    <s v="Premium"/>
    <x v="2"/>
  </r>
  <r>
    <x v="3"/>
    <x v="77"/>
    <x v="93"/>
    <x v="0"/>
    <x v="0"/>
    <n v="4.5999999999999996"/>
    <n v="61000"/>
    <n v="61000"/>
    <n v="0"/>
    <n v="0"/>
    <n v="7.5409836065573776E-2"/>
    <s v="Premium"/>
    <x v="2"/>
  </r>
  <r>
    <x v="3"/>
    <x v="73"/>
    <x v="95"/>
    <x v="0"/>
    <x v="1"/>
    <n v="4.5999999999999996"/>
    <n v="92000"/>
    <n v="92000"/>
    <n v="0"/>
    <n v="0"/>
    <n v="4.9999999999999996E-2"/>
    <s v="Premium"/>
    <x v="2"/>
  </r>
  <r>
    <x v="3"/>
    <x v="77"/>
    <x v="94"/>
    <x v="0"/>
    <x v="1"/>
    <n v="4.5999999999999996"/>
    <n v="70000"/>
    <n v="70000"/>
    <n v="0"/>
    <n v="0"/>
    <n v="6.5714285714285711E-2"/>
    <s v="Premium"/>
    <x v="2"/>
  </r>
  <r>
    <x v="3"/>
    <x v="78"/>
    <x v="4"/>
    <x v="0"/>
    <x v="1"/>
    <n v="4.4000000000000004"/>
    <n v="66000"/>
    <n v="66000"/>
    <n v="0"/>
    <n v="0"/>
    <n v="6.6666666666666666E-2"/>
    <s v="Premium"/>
    <x v="0"/>
  </r>
  <r>
    <x v="3"/>
    <x v="79"/>
    <x v="82"/>
    <x v="0"/>
    <x v="2"/>
    <n v="4.4000000000000004"/>
    <n v="57000"/>
    <n v="57000"/>
    <n v="0"/>
    <n v="0"/>
    <n v="7.7192982456140355E-2"/>
    <s v="Premium"/>
    <x v="0"/>
  </r>
  <r>
    <x v="3"/>
    <x v="77"/>
    <x v="93"/>
    <x v="0"/>
    <x v="1"/>
    <n v="4.5999999999999996"/>
    <n v="70000"/>
    <n v="70000"/>
    <n v="0"/>
    <n v="0"/>
    <n v="6.5714285714285711E-2"/>
    <s v="Premium"/>
    <x v="2"/>
  </r>
  <r>
    <x v="3"/>
    <x v="74"/>
    <x v="93"/>
    <x v="0"/>
    <x v="0"/>
    <n v="4.5"/>
    <n v="39999"/>
    <n v="39999"/>
    <n v="0"/>
    <n v="0"/>
    <n v="0.11250281257031426"/>
    <s v="Mid Range"/>
    <x v="0"/>
  </r>
  <r>
    <x v="4"/>
    <x v="80"/>
    <x v="4"/>
    <x v="2"/>
    <x v="2"/>
    <n v="4"/>
    <n v="7690"/>
    <n v="7799"/>
    <n v="109"/>
    <n v="1.3976150788562637E-2"/>
    <n v="0.52015604681404415"/>
    <s v="Budget"/>
    <x v="1"/>
  </r>
  <r>
    <x v="4"/>
    <x v="81"/>
    <x v="97"/>
    <x v="1"/>
    <x v="1"/>
    <n v="4.4000000000000004"/>
    <n v="44990"/>
    <n v="55000"/>
    <n v="10010"/>
    <n v="0.182"/>
    <n v="9.7799511002444994E-2"/>
    <s v="Mid Range"/>
    <x v="0"/>
  </r>
  <r>
    <x v="4"/>
    <x v="82"/>
    <x v="5"/>
    <x v="2"/>
    <x v="0"/>
    <n v="4"/>
    <n v="9990"/>
    <n v="9990"/>
    <n v="0"/>
    <n v="0"/>
    <n v="0.40040040040040042"/>
    <s v="Budget"/>
    <x v="1"/>
  </r>
  <r>
    <x v="4"/>
    <x v="83"/>
    <x v="75"/>
    <x v="6"/>
    <x v="5"/>
    <n v="4.2"/>
    <n v="15532"/>
    <n v="15532"/>
    <n v="0"/>
    <n v="0"/>
    <n v="0.27040947720834407"/>
    <s v="Mid Range"/>
    <x v="0"/>
  </r>
  <r>
    <x v="4"/>
    <x v="84"/>
    <x v="36"/>
    <x v="0"/>
    <x v="0"/>
    <n v="4"/>
    <n v="9999"/>
    <n v="9999"/>
    <n v="0"/>
    <n v="0"/>
    <n v="0.40004000400040007"/>
    <s v="Budget"/>
    <x v="1"/>
  </r>
  <r>
    <x v="4"/>
    <x v="85"/>
    <x v="36"/>
    <x v="0"/>
    <x v="1"/>
    <n v="4.0999999999999996"/>
    <n v="10999"/>
    <n v="10999"/>
    <n v="0"/>
    <n v="0"/>
    <n v="0.37276116010546406"/>
    <s v="Budget"/>
    <x v="0"/>
  </r>
  <r>
    <x v="4"/>
    <x v="86"/>
    <x v="67"/>
    <x v="2"/>
    <x v="0"/>
    <n v="3.9"/>
    <n v="10990"/>
    <n v="14000"/>
    <n v="3010"/>
    <n v="0.215"/>
    <n v="0.35486806187443132"/>
    <s v="Budget"/>
    <x v="1"/>
  </r>
  <r>
    <x v="4"/>
    <x v="81"/>
    <x v="4"/>
    <x v="1"/>
    <x v="1"/>
    <n v="4.4000000000000004"/>
    <n v="44990"/>
    <n v="55000"/>
    <n v="10010"/>
    <n v="0.182"/>
    <n v="9.7799511002444994E-2"/>
    <s v="Mid Range"/>
    <x v="0"/>
  </r>
  <r>
    <x v="4"/>
    <x v="84"/>
    <x v="36"/>
    <x v="0"/>
    <x v="0"/>
    <n v="4"/>
    <n v="9999"/>
    <n v="9999"/>
    <n v="0"/>
    <n v="0"/>
    <n v="0.40004000400040007"/>
    <s v="Budget"/>
    <x v="1"/>
  </r>
  <r>
    <x v="4"/>
    <x v="87"/>
    <x v="98"/>
    <x v="0"/>
    <x v="0"/>
    <n v="3.8"/>
    <n v="14999"/>
    <n v="14999"/>
    <n v="0"/>
    <n v="0"/>
    <n v="0.25335022334822321"/>
    <s v="Budget"/>
    <x v="1"/>
  </r>
  <r>
    <x v="4"/>
    <x v="87"/>
    <x v="36"/>
    <x v="0"/>
    <x v="0"/>
    <n v="3.8"/>
    <n v="13775"/>
    <n v="14500"/>
    <n v="725"/>
    <n v="0.05"/>
    <n v="0.27586206896551724"/>
    <s v="Budget"/>
    <x v="1"/>
  </r>
  <r>
    <x v="4"/>
    <x v="88"/>
    <x v="99"/>
    <x v="4"/>
    <x v="4"/>
    <n v="4.0999999999999996"/>
    <n v="5899"/>
    <n v="7833"/>
    <n v="1934"/>
    <n v="0.2469041235797268"/>
    <n v="0.69503305645024571"/>
    <s v="Budget"/>
    <x v="0"/>
  </r>
  <r>
    <x v="4"/>
    <x v="89"/>
    <x v="4"/>
    <x v="4"/>
    <x v="4"/>
    <n v="4"/>
    <n v="7999"/>
    <n v="7999"/>
    <n v="0"/>
    <n v="0"/>
    <n v="0.50006250781347672"/>
    <s v="Budget"/>
    <x v="1"/>
  </r>
  <r>
    <x v="4"/>
    <x v="90"/>
    <x v="100"/>
    <x v="2"/>
    <x v="2"/>
    <n v="3.9"/>
    <n v="6999"/>
    <n v="9999"/>
    <n v="3000"/>
    <n v="0.30003000300030003"/>
    <n v="0.55722246035147871"/>
    <s v="Budget"/>
    <x v="1"/>
  </r>
  <r>
    <x v="4"/>
    <x v="87"/>
    <x v="98"/>
    <x v="0"/>
    <x v="0"/>
    <n v="3.8"/>
    <n v="13998"/>
    <n v="13998"/>
    <n v="0"/>
    <n v="0"/>
    <n v="0.27146735247892556"/>
    <s v="Budget"/>
    <x v="1"/>
  </r>
  <r>
    <x v="4"/>
    <x v="91"/>
    <x v="101"/>
    <x v="4"/>
    <x v="4"/>
    <n v="4"/>
    <n v="7799"/>
    <n v="7799"/>
    <n v="0"/>
    <n v="0"/>
    <n v="0.51288626747018851"/>
    <s v="Budget"/>
    <x v="1"/>
  </r>
  <r>
    <x v="4"/>
    <x v="92"/>
    <x v="16"/>
    <x v="0"/>
    <x v="0"/>
    <n v="4"/>
    <n v="10499"/>
    <n v="10499"/>
    <n v="0"/>
    <n v="0"/>
    <n v="0.38098866558719874"/>
    <s v="Budget"/>
    <x v="1"/>
  </r>
  <r>
    <x v="4"/>
    <x v="93"/>
    <x v="4"/>
    <x v="0"/>
    <x v="0"/>
    <n v="4"/>
    <n v="24000"/>
    <n v="24000"/>
    <n v="0"/>
    <n v="0"/>
    <n v="0.16666666666666666"/>
    <s v="Mid Range"/>
    <x v="1"/>
  </r>
  <r>
    <x v="4"/>
    <x v="94"/>
    <x v="4"/>
    <x v="2"/>
    <x v="2"/>
    <n v="3.7"/>
    <n v="7299"/>
    <n v="7299"/>
    <n v="0"/>
    <n v="0"/>
    <n v="0.50691875599397185"/>
    <s v="Budget"/>
    <x v="1"/>
  </r>
  <r>
    <x v="4"/>
    <x v="95"/>
    <x v="102"/>
    <x v="2"/>
    <x v="2"/>
    <n v="3.9"/>
    <n v="8399"/>
    <n v="8399"/>
    <n v="0"/>
    <n v="0"/>
    <n v="0.46434099297535419"/>
    <s v="Budget"/>
    <x v="1"/>
  </r>
  <r>
    <x v="4"/>
    <x v="96"/>
    <x v="102"/>
    <x v="0"/>
    <x v="0"/>
    <n v="3.8"/>
    <n v="12950"/>
    <n v="12950"/>
    <n v="0"/>
    <n v="0"/>
    <n v="0.29343629343629346"/>
    <s v="Budget"/>
    <x v="1"/>
  </r>
  <r>
    <x v="4"/>
    <x v="97"/>
    <x v="103"/>
    <x v="1"/>
    <x v="1"/>
    <n v="4.4000000000000004"/>
    <n v="55000"/>
    <n v="55000"/>
    <n v="0"/>
    <n v="0"/>
    <n v="0.08"/>
    <s v="Premium"/>
    <x v="0"/>
  </r>
  <r>
    <x v="4"/>
    <x v="98"/>
    <x v="104"/>
    <x v="4"/>
    <x v="4"/>
    <n v="4.0999999999999996"/>
    <n v="12999"/>
    <n v="12999"/>
    <n v="0"/>
    <n v="0"/>
    <n v="0.31540887760596964"/>
    <s v="Budget"/>
    <x v="0"/>
  </r>
  <r>
    <x v="4"/>
    <x v="86"/>
    <x v="66"/>
    <x v="2"/>
    <x v="0"/>
    <n v="3.9"/>
    <n v="10990"/>
    <n v="14000"/>
    <n v="3010"/>
    <n v="0.215"/>
    <n v="0.35486806187443132"/>
    <s v="Budget"/>
    <x v="1"/>
  </r>
  <r>
    <x v="4"/>
    <x v="99"/>
    <x v="105"/>
    <x v="6"/>
    <x v="5"/>
    <n v="3.4"/>
    <n v="5000"/>
    <n v="11500"/>
    <n v="6500"/>
    <n v="0.56521739130434778"/>
    <n v="0.67999999999999994"/>
    <s v="Budget"/>
    <x v="3"/>
  </r>
  <r>
    <x v="4"/>
    <x v="96"/>
    <x v="79"/>
    <x v="0"/>
    <x v="0"/>
    <n v="3.8"/>
    <n v="12790"/>
    <n v="12790"/>
    <n v="0"/>
    <n v="0"/>
    <n v="0.2971071149335418"/>
    <s v="Budget"/>
    <x v="1"/>
  </r>
  <r>
    <x v="4"/>
    <x v="100"/>
    <x v="82"/>
    <x v="0"/>
    <x v="0"/>
    <n v="4.2"/>
    <n v="29199"/>
    <n v="29199"/>
    <n v="0"/>
    <n v="0"/>
    <n v="0.14384054248433165"/>
    <s v="Mid Range"/>
    <x v="0"/>
  </r>
  <r>
    <x v="4"/>
    <x v="101"/>
    <x v="4"/>
    <x v="1"/>
    <x v="1"/>
    <n v="4.4000000000000004"/>
    <n v="27990"/>
    <n v="70000"/>
    <n v="42010"/>
    <n v="0.60014285714285709"/>
    <n v="0.15719899964272957"/>
    <s v="Mid Range"/>
    <x v="0"/>
  </r>
  <r>
    <x v="4"/>
    <x v="102"/>
    <x v="106"/>
    <x v="1"/>
    <x v="1"/>
    <n v="4.4000000000000004"/>
    <n v="60000"/>
    <n v="60000"/>
    <n v="0"/>
    <n v="0"/>
    <n v="7.3333333333333348E-2"/>
    <s v="Premium"/>
    <x v="0"/>
  </r>
  <r>
    <x v="4"/>
    <x v="103"/>
    <x v="107"/>
    <x v="4"/>
    <x v="4"/>
    <n v="4"/>
    <n v="9990"/>
    <n v="9990"/>
    <n v="0"/>
    <n v="0"/>
    <n v="0.40040040040040042"/>
    <s v="Budget"/>
    <x v="1"/>
  </r>
  <r>
    <x v="4"/>
    <x v="104"/>
    <x v="75"/>
    <x v="4"/>
    <x v="4"/>
    <n v="4.5"/>
    <n v="26299"/>
    <n v="26299"/>
    <n v="0"/>
    <n v="0"/>
    <n v="0.17110916764896003"/>
    <s v="Mid Range"/>
    <x v="0"/>
  </r>
  <r>
    <x v="4"/>
    <x v="105"/>
    <x v="4"/>
    <x v="0"/>
    <x v="0"/>
    <n v="4.4000000000000004"/>
    <n v="50000"/>
    <n v="50000"/>
    <n v="0"/>
    <n v="0"/>
    <n v="8.8000000000000009E-2"/>
    <s v="Premium"/>
    <x v="0"/>
  </r>
  <r>
    <x v="4"/>
    <x v="105"/>
    <x v="103"/>
    <x v="0"/>
    <x v="0"/>
    <n v="4.4000000000000004"/>
    <n v="50000"/>
    <n v="50000"/>
    <n v="0"/>
    <n v="0"/>
    <n v="8.8000000000000009E-2"/>
    <s v="Premium"/>
    <x v="0"/>
  </r>
  <r>
    <x v="3"/>
    <x v="106"/>
    <x v="108"/>
    <x v="4"/>
    <x v="4"/>
    <n v="4.3"/>
    <n v="25990"/>
    <n v="25990"/>
    <n v="0"/>
    <n v="0"/>
    <n v="0.16544824932666408"/>
    <s v="Mid Range"/>
    <x v="0"/>
  </r>
  <r>
    <x v="4"/>
    <x v="107"/>
    <x v="82"/>
    <x v="0"/>
    <x v="2"/>
    <n v="4"/>
    <n v="52990"/>
    <n v="52990"/>
    <n v="0"/>
    <n v="0"/>
    <n v="7.5485940743536512E-2"/>
    <s v="Premium"/>
    <x v="1"/>
  </r>
  <r>
    <x v="4"/>
    <x v="108"/>
    <x v="103"/>
    <x v="0"/>
    <x v="0"/>
    <n v="3.9"/>
    <n v="19990"/>
    <n v="19990"/>
    <n v="0"/>
    <n v="0"/>
    <n v="0.19509754877438718"/>
    <s v="Mid Range"/>
    <x v="1"/>
  </r>
  <r>
    <x v="4"/>
    <x v="109"/>
    <x v="109"/>
    <x v="6"/>
    <x v="5"/>
    <n v="3.7"/>
    <n v="12500"/>
    <n v="12500"/>
    <n v="0"/>
    <n v="0"/>
    <n v="0.29600000000000004"/>
    <s v="Budget"/>
    <x v="1"/>
  </r>
  <r>
    <x v="4"/>
    <x v="110"/>
    <x v="97"/>
    <x v="1"/>
    <x v="1"/>
    <n v="4.2"/>
    <n v="29999"/>
    <n v="29999"/>
    <n v="0"/>
    <n v="0"/>
    <n v="0.14000466682222742"/>
    <s v="Mid Range"/>
    <x v="0"/>
  </r>
  <r>
    <x v="4"/>
    <x v="111"/>
    <x v="16"/>
    <x v="0"/>
    <x v="1"/>
    <n v="3.8"/>
    <n v="9499"/>
    <n v="18000"/>
    <n v="8501"/>
    <n v="0.4722777777777778"/>
    <n v="0.40004210969575743"/>
    <s v="Budget"/>
    <x v="1"/>
  </r>
  <r>
    <x v="4"/>
    <x v="92"/>
    <x v="16"/>
    <x v="0"/>
    <x v="0"/>
    <n v="4"/>
    <n v="8499"/>
    <n v="16000"/>
    <n v="7501"/>
    <n v="0.46881250000000002"/>
    <n v="0.4706436051300153"/>
    <s v="Budget"/>
    <x v="1"/>
  </r>
  <r>
    <x v="4"/>
    <x v="112"/>
    <x v="110"/>
    <x v="3"/>
    <x v="1"/>
    <n v="4.2"/>
    <n v="29999"/>
    <n v="80000"/>
    <n v="50001"/>
    <n v="0.62501249999999997"/>
    <n v="0.14000466682222742"/>
    <s v="Mid Range"/>
    <x v="0"/>
  </r>
  <r>
    <x v="4"/>
    <x v="113"/>
    <x v="111"/>
    <x v="1"/>
    <x v="1"/>
    <n v="3.7"/>
    <n v="10499"/>
    <n v="20000"/>
    <n v="9501"/>
    <n v="0.47504999999999997"/>
    <n v="0.3524145156681589"/>
    <s v="Budget"/>
    <x v="1"/>
  </r>
  <r>
    <x v="4"/>
    <x v="97"/>
    <x v="4"/>
    <x v="1"/>
    <x v="1"/>
    <n v="4.4000000000000004"/>
    <n v="55000"/>
    <n v="55000"/>
    <n v="0"/>
    <n v="0"/>
    <n v="0.08"/>
    <s v="Premium"/>
    <x v="0"/>
  </r>
  <r>
    <x v="4"/>
    <x v="114"/>
    <x v="4"/>
    <x v="6"/>
    <x v="6"/>
    <n v="4"/>
    <n v="12791"/>
    <n v="12791"/>
    <n v="0"/>
    <n v="0"/>
    <n v="0.31271988116644511"/>
    <s v="Budget"/>
    <x v="1"/>
  </r>
  <r>
    <x v="4"/>
    <x v="115"/>
    <x v="75"/>
    <x v="7"/>
    <x v="6"/>
    <n v="3.7"/>
    <n v="8800"/>
    <n v="8800"/>
    <n v="0"/>
    <n v="0"/>
    <n v="0.42045454545454547"/>
    <s v="Budget"/>
    <x v="1"/>
  </r>
  <r>
    <x v="4"/>
    <x v="116"/>
    <x v="112"/>
    <x v="4"/>
    <x v="4"/>
    <n v="3.8"/>
    <n v="5699"/>
    <n v="5699"/>
    <n v="0"/>
    <n v="0"/>
    <n v="0.66678364625372866"/>
    <s v="Budget"/>
    <x v="1"/>
  </r>
  <r>
    <x v="4"/>
    <x v="117"/>
    <x v="104"/>
    <x v="2"/>
    <x v="4"/>
    <n v="4.5"/>
    <n v="42021"/>
    <n v="42021"/>
    <n v="0"/>
    <n v="0"/>
    <n v="0.10708931248661384"/>
    <s v="Mid Range"/>
    <x v="0"/>
  </r>
  <r>
    <x v="4"/>
    <x v="118"/>
    <x v="4"/>
    <x v="7"/>
    <x v="6"/>
    <n v="4.5"/>
    <n v="10199"/>
    <n v="10199"/>
    <n v="0"/>
    <n v="0"/>
    <n v="0.4412197274242573"/>
    <s v="Budget"/>
    <x v="0"/>
  </r>
  <r>
    <x v="4"/>
    <x v="95"/>
    <x v="79"/>
    <x v="2"/>
    <x v="2"/>
    <n v="3.9"/>
    <n v="9999"/>
    <n v="9999"/>
    <n v="0"/>
    <n v="0"/>
    <n v="0.39003900390038998"/>
    <s v="Budget"/>
    <x v="1"/>
  </r>
  <r>
    <x v="4"/>
    <x v="119"/>
    <x v="82"/>
    <x v="0"/>
    <x v="1"/>
    <n v="4.3"/>
    <n v="29999"/>
    <n v="29999"/>
    <n v="0"/>
    <n v="0"/>
    <n v="0.14333811127037566"/>
    <s v="Mid Range"/>
    <x v="0"/>
  </r>
  <r>
    <x v="4"/>
    <x v="119"/>
    <x v="4"/>
    <x v="0"/>
    <x v="1"/>
    <n v="4.3"/>
    <n v="29999"/>
    <n v="29999"/>
    <n v="0"/>
    <n v="0"/>
    <n v="0.14333811127037566"/>
    <s v="Mid Range"/>
    <x v="0"/>
  </r>
  <r>
    <x v="4"/>
    <x v="120"/>
    <x v="113"/>
    <x v="4"/>
    <x v="4"/>
    <n v="4.5"/>
    <n v="31971"/>
    <n v="31971"/>
    <n v="0"/>
    <n v="0"/>
    <n v="0.14075255700478559"/>
    <s v="Mid Range"/>
    <x v="0"/>
  </r>
  <r>
    <x v="4"/>
    <x v="121"/>
    <x v="4"/>
    <x v="2"/>
    <x v="2"/>
    <n v="3.8"/>
    <n v="20000"/>
    <n v="20000"/>
    <n v="0"/>
    <n v="0"/>
    <n v="0.18999999999999997"/>
    <s v="Mid Range"/>
    <x v="1"/>
  </r>
  <r>
    <x v="4"/>
    <x v="122"/>
    <x v="103"/>
    <x v="2"/>
    <x v="2"/>
    <n v="4"/>
    <n v="16990"/>
    <n v="16990"/>
    <n v="0"/>
    <n v="0"/>
    <n v="0.23543260741612712"/>
    <s v="Mid Range"/>
    <x v="1"/>
  </r>
  <r>
    <x v="4"/>
    <x v="123"/>
    <x v="4"/>
    <x v="0"/>
    <x v="0"/>
    <n v="4.2"/>
    <n v="22990"/>
    <n v="55000"/>
    <n v="32010"/>
    <n v="0.58199999999999996"/>
    <n v="0.18268812527185735"/>
    <s v="Mid Range"/>
    <x v="0"/>
  </r>
  <r>
    <x v="4"/>
    <x v="124"/>
    <x v="104"/>
    <x v="4"/>
    <x v="4"/>
    <n v="4.0999999999999996"/>
    <n v="7499"/>
    <n v="7499"/>
    <n v="0"/>
    <n v="0"/>
    <n v="0.54673956527537004"/>
    <s v="Budget"/>
    <x v="0"/>
  </r>
  <r>
    <x v="4"/>
    <x v="124"/>
    <x v="114"/>
    <x v="4"/>
    <x v="4"/>
    <n v="4.0999999999999996"/>
    <n v="9990"/>
    <n v="9990"/>
    <n v="0"/>
    <n v="0"/>
    <n v="0.41041041041041038"/>
    <s v="Budget"/>
    <x v="0"/>
  </r>
  <r>
    <x v="4"/>
    <x v="112"/>
    <x v="115"/>
    <x v="3"/>
    <x v="1"/>
    <n v="4.2"/>
    <n v="29999"/>
    <n v="80000"/>
    <n v="50001"/>
    <n v="0.62501249999999997"/>
    <n v="0.14000466682222742"/>
    <s v="Mid Range"/>
    <x v="0"/>
  </r>
  <r>
    <x v="4"/>
    <x v="125"/>
    <x v="104"/>
    <x v="0"/>
    <x v="0"/>
    <n v="4.0999999999999996"/>
    <n v="30990"/>
    <n v="30990"/>
    <n v="0"/>
    <n v="0"/>
    <n v="0.13230074217489513"/>
    <s v="Mid Range"/>
    <x v="0"/>
  </r>
  <r>
    <x v="4"/>
    <x v="97"/>
    <x v="5"/>
    <x v="1"/>
    <x v="1"/>
    <n v="4.4000000000000004"/>
    <n v="55000"/>
    <n v="55000"/>
    <n v="0"/>
    <n v="0"/>
    <n v="0.08"/>
    <s v="Premium"/>
    <x v="0"/>
  </r>
  <r>
    <x v="4"/>
    <x v="126"/>
    <x v="113"/>
    <x v="4"/>
    <x v="4"/>
    <n v="4"/>
    <n v="6980"/>
    <n v="6980"/>
    <n v="0"/>
    <n v="0"/>
    <n v="0.57306590257879653"/>
    <s v="Budget"/>
    <x v="1"/>
  </r>
  <r>
    <x v="4"/>
    <x v="122"/>
    <x v="4"/>
    <x v="2"/>
    <x v="2"/>
    <n v="4"/>
    <n v="16990"/>
    <n v="16990"/>
    <n v="0"/>
    <n v="0"/>
    <n v="0.23543260741612712"/>
    <s v="Mid Range"/>
    <x v="1"/>
  </r>
  <r>
    <x v="4"/>
    <x v="122"/>
    <x v="57"/>
    <x v="2"/>
    <x v="2"/>
    <n v="4"/>
    <n v="16990"/>
    <n v="16990"/>
    <n v="0"/>
    <n v="0"/>
    <n v="0.23543260741612712"/>
    <s v="Mid Range"/>
    <x v="1"/>
  </r>
  <r>
    <x v="4"/>
    <x v="127"/>
    <x v="4"/>
    <x v="2"/>
    <x v="2"/>
    <n v="3.3"/>
    <n v="9990"/>
    <n v="9990"/>
    <n v="0"/>
    <n v="0"/>
    <n v="0.33033033033033032"/>
    <s v="Budget"/>
    <x v="3"/>
  </r>
  <r>
    <x v="4"/>
    <x v="128"/>
    <x v="4"/>
    <x v="4"/>
    <x v="4"/>
    <n v="4"/>
    <n v="8499"/>
    <n v="8499"/>
    <n v="0"/>
    <n v="0"/>
    <n v="0.4706436051300153"/>
    <s v="Budget"/>
    <x v="1"/>
  </r>
  <r>
    <x v="4"/>
    <x v="129"/>
    <x v="104"/>
    <x v="2"/>
    <x v="4"/>
    <n v="4.0999999999999996"/>
    <n v="14250"/>
    <n v="14250"/>
    <n v="0"/>
    <n v="0"/>
    <n v="0.28771929824561399"/>
    <s v="Budget"/>
    <x v="0"/>
  </r>
  <r>
    <x v="3"/>
    <x v="106"/>
    <x v="108"/>
    <x v="4"/>
    <x v="2"/>
    <n v="4.3"/>
    <n v="29990"/>
    <n v="29990"/>
    <n v="0"/>
    <n v="0"/>
    <n v="0.14338112704234743"/>
    <s v="Mid Range"/>
    <x v="0"/>
  </r>
  <r>
    <x v="3"/>
    <x v="106"/>
    <x v="116"/>
    <x v="4"/>
    <x v="4"/>
    <n v="4.3"/>
    <n v="25990"/>
    <n v="25990"/>
    <n v="0"/>
    <n v="0"/>
    <n v="0.16544824932666408"/>
    <s v="Mid Range"/>
    <x v="0"/>
  </r>
  <r>
    <x v="4"/>
    <x v="108"/>
    <x v="4"/>
    <x v="0"/>
    <x v="0"/>
    <n v="3.9"/>
    <n v="19990"/>
    <n v="19990"/>
    <n v="0"/>
    <n v="0"/>
    <n v="0.19509754877438718"/>
    <s v="Mid Range"/>
    <x v="1"/>
  </r>
  <r>
    <x v="4"/>
    <x v="130"/>
    <x v="104"/>
    <x v="8"/>
    <x v="5"/>
    <n v="4.0999999999999996"/>
    <n v="6590"/>
    <n v="6590"/>
    <n v="0"/>
    <n v="0"/>
    <n v="0.62215477996965096"/>
    <s v="Budget"/>
    <x v="0"/>
  </r>
  <r>
    <x v="4"/>
    <x v="131"/>
    <x v="75"/>
    <x v="6"/>
    <x v="5"/>
    <n v="3.8"/>
    <n v="15999"/>
    <n v="15999"/>
    <n v="0"/>
    <n v="0"/>
    <n v="0.23751484467779235"/>
    <s v="Mid Range"/>
    <x v="1"/>
  </r>
  <r>
    <x v="4"/>
    <x v="108"/>
    <x v="5"/>
    <x v="0"/>
    <x v="0"/>
    <n v="3.9"/>
    <n v="19990"/>
    <n v="19990"/>
    <n v="0"/>
    <n v="0"/>
    <n v="0.19509754877438718"/>
    <s v="Mid Range"/>
    <x v="1"/>
  </r>
  <r>
    <x v="4"/>
    <x v="132"/>
    <x v="39"/>
    <x v="2"/>
    <x v="2"/>
    <n v="4"/>
    <n v="35990"/>
    <n v="35990"/>
    <n v="0"/>
    <n v="0"/>
    <n v="0.11114198388441233"/>
    <s v="Mid Range"/>
    <x v="1"/>
  </r>
  <r>
    <x v="4"/>
    <x v="132"/>
    <x v="117"/>
    <x v="2"/>
    <x v="2"/>
    <n v="4"/>
    <n v="35990"/>
    <n v="35990"/>
    <n v="0"/>
    <n v="0"/>
    <n v="0.11114198388441233"/>
    <s v="Mid Range"/>
    <x v="1"/>
  </r>
  <r>
    <x v="4"/>
    <x v="98"/>
    <x v="107"/>
    <x v="4"/>
    <x v="4"/>
    <n v="4.0999999999999996"/>
    <n v="9999"/>
    <n v="9999"/>
    <n v="0"/>
    <n v="0"/>
    <n v="0.41004100410041"/>
    <s v="Budget"/>
    <x v="0"/>
  </r>
  <r>
    <x v="4"/>
    <x v="133"/>
    <x v="104"/>
    <x v="2"/>
    <x v="4"/>
    <n v="3.8"/>
    <n v="9990"/>
    <n v="9990"/>
    <n v="0"/>
    <n v="0"/>
    <n v="0.38038038038038036"/>
    <s v="Budget"/>
    <x v="1"/>
  </r>
  <r>
    <x v="3"/>
    <x v="106"/>
    <x v="75"/>
    <x v="4"/>
    <x v="4"/>
    <n v="4.5"/>
    <n v="25400"/>
    <n v="25400"/>
    <n v="0"/>
    <n v="0"/>
    <n v="0.17716535433070868"/>
    <s v="Mid Range"/>
    <x v="0"/>
  </r>
  <r>
    <x v="4"/>
    <x v="98"/>
    <x v="107"/>
    <x v="4"/>
    <x v="4"/>
    <n v="4.0999999999999996"/>
    <n v="8350"/>
    <n v="19000"/>
    <n v="10650"/>
    <n v="0.56052631578947365"/>
    <n v="0.49101796407185627"/>
    <s v="Budget"/>
    <x v="0"/>
  </r>
  <r>
    <x v="4"/>
    <x v="134"/>
    <x v="109"/>
    <x v="6"/>
    <x v="5"/>
    <n v="3.9"/>
    <n v="7000"/>
    <n v="17000"/>
    <n v="10000"/>
    <n v="0.58823529411764708"/>
    <n v="0.55714285714285716"/>
    <s v="Budget"/>
    <x v="1"/>
  </r>
  <r>
    <x v="4"/>
    <x v="135"/>
    <x v="104"/>
    <x v="6"/>
    <x v="4"/>
    <n v="3.6"/>
    <n v="7000"/>
    <n v="14990"/>
    <n v="7990"/>
    <n v="0.53302201467645094"/>
    <n v="0.51428571428571435"/>
    <s v="Budget"/>
    <x v="1"/>
  </r>
  <r>
    <x v="4"/>
    <x v="136"/>
    <x v="118"/>
    <x v="4"/>
    <x v="4"/>
    <n v="3.5"/>
    <n v="9999"/>
    <n v="9999"/>
    <n v="0"/>
    <n v="0"/>
    <n v="0.35003500350035005"/>
    <s v="Budget"/>
    <x v="3"/>
  </r>
  <r>
    <x v="4"/>
    <x v="137"/>
    <x v="4"/>
    <x v="7"/>
    <x v="6"/>
    <n v="3.9"/>
    <n v="6299"/>
    <n v="6299"/>
    <n v="0"/>
    <n v="0"/>
    <n v="0.61914589617399585"/>
    <s v="Budget"/>
    <x v="1"/>
  </r>
  <r>
    <x v="4"/>
    <x v="138"/>
    <x v="75"/>
    <x v="9"/>
    <x v="6"/>
    <n v="4"/>
    <n v="13299"/>
    <n v="13299"/>
    <n v="0"/>
    <n v="0"/>
    <n v="0.30077449432288139"/>
    <s v="Budget"/>
    <x v="1"/>
  </r>
  <r>
    <x v="4"/>
    <x v="100"/>
    <x v="119"/>
    <x v="0"/>
    <x v="0"/>
    <n v="4.2"/>
    <n v="31490"/>
    <n v="31490"/>
    <n v="0"/>
    <n v="0"/>
    <n v="0.13337567481740234"/>
    <s v="Mid Range"/>
    <x v="0"/>
  </r>
  <r>
    <x v="4"/>
    <x v="124"/>
    <x v="4"/>
    <x v="4"/>
    <x v="4"/>
    <n v="4.0999999999999996"/>
    <n v="9000"/>
    <n v="9000"/>
    <n v="0"/>
    <n v="0"/>
    <n v="0.45555555555555549"/>
    <s v="Budget"/>
    <x v="0"/>
  </r>
  <r>
    <x v="4"/>
    <x v="107"/>
    <x v="104"/>
    <x v="0"/>
    <x v="2"/>
    <n v="4"/>
    <n v="22999"/>
    <n v="22999"/>
    <n v="0"/>
    <n v="0"/>
    <n v="0.17392060524370626"/>
    <s v="Mid Range"/>
    <x v="1"/>
  </r>
  <r>
    <x v="4"/>
    <x v="95"/>
    <x v="106"/>
    <x v="2"/>
    <x v="2"/>
    <n v="3.9"/>
    <n v="8199"/>
    <n v="10999"/>
    <n v="2800"/>
    <n v="0.25456859714519503"/>
    <n v="0.47566776436150748"/>
    <s v="Budget"/>
    <x v="1"/>
  </r>
  <r>
    <x v="3"/>
    <x v="106"/>
    <x v="4"/>
    <x v="4"/>
    <x v="4"/>
    <n v="4.5"/>
    <n v="12000"/>
    <n v="29990"/>
    <n v="17990"/>
    <n v="0.5998666222074025"/>
    <n v="0.375"/>
    <s v="Budget"/>
    <x v="0"/>
  </r>
  <r>
    <x v="4"/>
    <x v="132"/>
    <x v="120"/>
    <x v="2"/>
    <x v="2"/>
    <n v="4"/>
    <n v="25999"/>
    <n v="25999"/>
    <n v="0"/>
    <n v="0"/>
    <n v="0.15385207123350897"/>
    <s v="Mid Range"/>
    <x v="1"/>
  </r>
  <r>
    <x v="4"/>
    <x v="123"/>
    <x v="75"/>
    <x v="0"/>
    <x v="0"/>
    <n v="4.2"/>
    <n v="24998"/>
    <n v="49999"/>
    <n v="25001"/>
    <n v="0.50003000060001201"/>
    <n v="0.16801344107528604"/>
    <s v="Mid Range"/>
    <x v="0"/>
  </r>
  <r>
    <x v="4"/>
    <x v="123"/>
    <x v="5"/>
    <x v="0"/>
    <x v="0"/>
    <n v="4.2"/>
    <n v="29790"/>
    <n v="29790"/>
    <n v="0"/>
    <n v="0"/>
    <n v="0.14098690835850958"/>
    <s v="Mid Range"/>
    <x v="0"/>
  </r>
  <r>
    <x v="4"/>
    <x v="107"/>
    <x v="57"/>
    <x v="0"/>
    <x v="2"/>
    <n v="4"/>
    <n v="25999"/>
    <n v="25999"/>
    <n v="0"/>
    <n v="0"/>
    <n v="0.15385207123350897"/>
    <s v="Mid Range"/>
    <x v="1"/>
  </r>
  <r>
    <x v="4"/>
    <x v="139"/>
    <x v="75"/>
    <x v="6"/>
    <x v="6"/>
    <n v="3.7"/>
    <n v="14162"/>
    <n v="14162"/>
    <n v="0"/>
    <n v="0"/>
    <n v="0.26126253354046042"/>
    <s v="Budget"/>
    <x v="1"/>
  </r>
  <r>
    <x v="4"/>
    <x v="140"/>
    <x v="109"/>
    <x v="6"/>
    <x v="5"/>
    <n v="4.0999999999999996"/>
    <n v="13990"/>
    <n v="13990"/>
    <n v="0"/>
    <n v="0"/>
    <n v="0.29306647605432451"/>
    <s v="Budget"/>
    <x v="0"/>
  </r>
  <r>
    <x v="4"/>
    <x v="127"/>
    <x v="99"/>
    <x v="2"/>
    <x v="2"/>
    <n v="3.3"/>
    <n v="16790"/>
    <n v="16790"/>
    <n v="0"/>
    <n v="0"/>
    <n v="0.19654556283502084"/>
    <s v="Mid Range"/>
    <x v="3"/>
  </r>
  <r>
    <x v="4"/>
    <x v="127"/>
    <x v="121"/>
    <x v="2"/>
    <x v="2"/>
    <n v="3.3"/>
    <n v="16996"/>
    <n v="16996"/>
    <n v="0"/>
    <n v="0"/>
    <n v="0.194163332548835"/>
    <s v="Mid Range"/>
    <x v="3"/>
  </r>
  <r>
    <x v="4"/>
    <x v="141"/>
    <x v="99"/>
    <x v="0"/>
    <x v="0"/>
    <n v="3.2"/>
    <n v="20998"/>
    <n v="20998"/>
    <n v="0"/>
    <n v="0"/>
    <n v="0.15239546623487954"/>
    <s v="Mid Range"/>
    <x v="3"/>
  </r>
  <r>
    <x v="4"/>
    <x v="141"/>
    <x v="121"/>
    <x v="0"/>
    <x v="0"/>
    <n v="3.2"/>
    <n v="21001"/>
    <n v="21001"/>
    <n v="0"/>
    <n v="0"/>
    <n v="0.15237369649064331"/>
    <s v="Mid Range"/>
    <x v="3"/>
  </r>
  <r>
    <x v="4"/>
    <x v="142"/>
    <x v="4"/>
    <x v="4"/>
    <x v="4"/>
    <n v="4"/>
    <n v="7990"/>
    <n v="7990"/>
    <n v="0"/>
    <n v="0"/>
    <n v="0.50062578222778475"/>
    <s v="Budget"/>
    <x v="1"/>
  </r>
  <r>
    <x v="4"/>
    <x v="141"/>
    <x v="4"/>
    <x v="0"/>
    <x v="0"/>
    <n v="3.2"/>
    <n v="11849"/>
    <n v="18990"/>
    <n v="7141"/>
    <n v="0.37604002106371776"/>
    <n v="0.2700649843868681"/>
    <s v="Budget"/>
    <x v="3"/>
  </r>
  <r>
    <x v="4"/>
    <x v="143"/>
    <x v="109"/>
    <x v="6"/>
    <x v="5"/>
    <n v="3.8"/>
    <n v="8000"/>
    <n v="8000"/>
    <n v="0"/>
    <n v="0"/>
    <n v="0.47499999999999998"/>
    <s v="Budget"/>
    <x v="1"/>
  </r>
  <r>
    <x v="4"/>
    <x v="143"/>
    <x v="113"/>
    <x v="6"/>
    <x v="5"/>
    <n v="3.8"/>
    <n v="8000"/>
    <n v="8000"/>
    <n v="0"/>
    <n v="0"/>
    <n v="0.47499999999999998"/>
    <s v="Budget"/>
    <x v="1"/>
  </r>
  <r>
    <x v="4"/>
    <x v="132"/>
    <x v="122"/>
    <x v="2"/>
    <x v="2"/>
    <n v="4"/>
    <n v="30600"/>
    <n v="30600"/>
    <n v="0"/>
    <n v="0"/>
    <n v="0.13071895424836602"/>
    <s v="Mid Range"/>
    <x v="1"/>
  </r>
  <r>
    <x v="5"/>
    <x v="144"/>
    <x v="4"/>
    <x v="3"/>
    <x v="1"/>
    <n v="4.3"/>
    <n v="49999"/>
    <n v="55999"/>
    <n v="6000"/>
    <n v="0.10714477044232933"/>
    <n v="8.600172003440068E-2"/>
    <s v="Mid Range"/>
    <x v="0"/>
  </r>
  <r>
    <x v="5"/>
    <x v="145"/>
    <x v="4"/>
    <x v="5"/>
    <x v="1"/>
    <n v="4.4000000000000004"/>
    <n v="49999"/>
    <n v="57999"/>
    <n v="8000"/>
    <n v="0.13793341264504561"/>
    <n v="8.8001760035200716E-2"/>
    <s v="Mid Range"/>
    <x v="0"/>
  </r>
  <r>
    <x v="5"/>
    <x v="146"/>
    <x v="67"/>
    <x v="0"/>
    <x v="0"/>
    <n v="4.3"/>
    <n v="15599"/>
    <n v="15599"/>
    <n v="0"/>
    <n v="0"/>
    <n v="0.27565869607026089"/>
    <s v="Mid Range"/>
    <x v="0"/>
  </r>
  <r>
    <x v="5"/>
    <x v="147"/>
    <x v="4"/>
    <x v="4"/>
    <x v="4"/>
    <n v="4.0999999999999996"/>
    <n v="7999"/>
    <n v="7999"/>
    <n v="0"/>
    <n v="0"/>
    <n v="0.51256407050881359"/>
    <s v="Budget"/>
    <x v="0"/>
  </r>
  <r>
    <x v="5"/>
    <x v="145"/>
    <x v="4"/>
    <x v="3"/>
    <x v="1"/>
    <n v="4.4000000000000004"/>
    <n v="46999"/>
    <n v="55999"/>
    <n v="9000"/>
    <n v="0.16071715566349398"/>
    <n v="9.3619013170492996E-2"/>
    <s v="Mid Range"/>
    <x v="0"/>
  </r>
  <r>
    <x v="5"/>
    <x v="148"/>
    <x v="5"/>
    <x v="2"/>
    <x v="2"/>
    <n v="4.3"/>
    <n v="12999"/>
    <n v="12999"/>
    <n v="0"/>
    <n v="0"/>
    <n v="0.33079467651357791"/>
    <s v="Budget"/>
    <x v="0"/>
  </r>
  <r>
    <x v="5"/>
    <x v="149"/>
    <x v="36"/>
    <x v="1"/>
    <x v="1"/>
    <n v="4.5"/>
    <n v="36299"/>
    <n v="36299"/>
    <n v="0"/>
    <n v="0"/>
    <n v="0.12397035731011874"/>
    <s v="Mid Range"/>
    <x v="0"/>
  </r>
  <r>
    <x v="5"/>
    <x v="146"/>
    <x v="5"/>
    <x v="0"/>
    <x v="0"/>
    <n v="4.3"/>
    <n v="15599"/>
    <n v="15599"/>
    <n v="0"/>
    <n v="0"/>
    <n v="0.27565869607026089"/>
    <s v="Mid Range"/>
    <x v="0"/>
  </r>
  <r>
    <x v="5"/>
    <x v="150"/>
    <x v="4"/>
    <x v="1"/>
    <x v="0"/>
    <n v="4.3"/>
    <n v="35999"/>
    <n v="35999"/>
    <n v="0"/>
    <n v="0"/>
    <n v="0.11944776243784549"/>
    <s v="Mid Range"/>
    <x v="0"/>
  </r>
  <r>
    <x v="5"/>
    <x v="146"/>
    <x v="4"/>
    <x v="0"/>
    <x v="0"/>
    <n v="4.3"/>
    <n v="15599"/>
    <n v="15599"/>
    <n v="0"/>
    <n v="0"/>
    <n v="0.27565869607026089"/>
    <s v="Mid Range"/>
    <x v="0"/>
  </r>
  <r>
    <x v="5"/>
    <x v="151"/>
    <x v="4"/>
    <x v="6"/>
    <x v="5"/>
    <n v="3.9"/>
    <n v="5299"/>
    <n v="5299"/>
    <n v="0"/>
    <n v="0"/>
    <n v="0.73598792224948095"/>
    <s v="Budget"/>
    <x v="1"/>
  </r>
  <r>
    <x v="5"/>
    <x v="148"/>
    <x v="4"/>
    <x v="0"/>
    <x v="0"/>
    <n v="4.3"/>
    <n v="14999"/>
    <n v="14999"/>
    <n v="0"/>
    <n v="0"/>
    <n v="0.28668577905193682"/>
    <s v="Budget"/>
    <x v="0"/>
  </r>
  <r>
    <x v="5"/>
    <x v="149"/>
    <x v="123"/>
    <x v="1"/>
    <x v="1"/>
    <n v="4.5"/>
    <n v="36299"/>
    <n v="36299"/>
    <n v="0"/>
    <n v="0"/>
    <n v="0.12397035731011874"/>
    <s v="Mid Range"/>
    <x v="0"/>
  </r>
  <r>
    <x v="5"/>
    <x v="152"/>
    <x v="57"/>
    <x v="4"/>
    <x v="2"/>
    <n v="3.7"/>
    <n v="6999"/>
    <n v="6999"/>
    <n v="0"/>
    <n v="0"/>
    <n v="0.52864694956422353"/>
    <s v="Budget"/>
    <x v="1"/>
  </r>
  <r>
    <x v="5"/>
    <x v="153"/>
    <x v="57"/>
    <x v="4"/>
    <x v="4"/>
    <n v="3.8"/>
    <n v="8999"/>
    <n v="8999"/>
    <n v="0"/>
    <n v="0"/>
    <n v="0.42226914101566843"/>
    <s v="Budget"/>
    <x v="1"/>
  </r>
  <r>
    <x v="5"/>
    <x v="154"/>
    <x v="39"/>
    <x v="6"/>
    <x v="5"/>
    <n v="3.7"/>
    <n v="5299"/>
    <n v="5299"/>
    <n v="0"/>
    <n v="0"/>
    <n v="0.69824495187771285"/>
    <s v="Budget"/>
    <x v="1"/>
  </r>
  <r>
    <x v="5"/>
    <x v="155"/>
    <x v="82"/>
    <x v="6"/>
    <x v="5"/>
    <n v="3.8"/>
    <n v="5299"/>
    <n v="5299"/>
    <n v="0"/>
    <n v="0"/>
    <n v="0.71711643706359685"/>
    <s v="Budget"/>
    <x v="1"/>
  </r>
  <r>
    <x v="5"/>
    <x v="148"/>
    <x v="82"/>
    <x v="0"/>
    <x v="0"/>
    <n v="4.3"/>
    <n v="14999"/>
    <n v="14999"/>
    <n v="0"/>
    <n v="0"/>
    <n v="0.28668577905193682"/>
    <s v="Budget"/>
    <x v="0"/>
  </r>
  <r>
    <x v="5"/>
    <x v="156"/>
    <x v="4"/>
    <x v="4"/>
    <x v="4"/>
    <n v="4.2"/>
    <n v="7199"/>
    <n v="7199"/>
    <n v="0"/>
    <n v="0"/>
    <n v="0.58341436310598704"/>
    <s v="Budget"/>
    <x v="0"/>
  </r>
  <r>
    <x v="5"/>
    <x v="148"/>
    <x v="4"/>
    <x v="2"/>
    <x v="2"/>
    <n v="4.3"/>
    <n v="12999"/>
    <n v="12999"/>
    <n v="0"/>
    <n v="0"/>
    <n v="0.33079467651357791"/>
    <s v="Budget"/>
    <x v="0"/>
  </r>
  <r>
    <x v="5"/>
    <x v="157"/>
    <x v="4"/>
    <x v="2"/>
    <x v="2"/>
    <n v="4.0999999999999996"/>
    <n v="10999"/>
    <n v="10999"/>
    <n v="0"/>
    <n v="0"/>
    <n v="0.37276116010546406"/>
    <s v="Budget"/>
    <x v="0"/>
  </r>
  <r>
    <x v="5"/>
    <x v="146"/>
    <x v="67"/>
    <x v="1"/>
    <x v="0"/>
    <n v="4.3"/>
    <n v="17999"/>
    <n v="17999"/>
    <n v="0"/>
    <n v="0"/>
    <n v="0.23890216123117949"/>
    <s v="Mid Range"/>
    <x v="0"/>
  </r>
  <r>
    <x v="5"/>
    <x v="150"/>
    <x v="82"/>
    <x v="1"/>
    <x v="1"/>
    <n v="4.3"/>
    <n v="38999"/>
    <n v="38999"/>
    <n v="0"/>
    <n v="0"/>
    <n v="0.11025923741634401"/>
    <s v="Mid Range"/>
    <x v="0"/>
  </r>
  <r>
    <x v="5"/>
    <x v="155"/>
    <x v="82"/>
    <x v="6"/>
    <x v="5"/>
    <n v="3.8"/>
    <n v="5699"/>
    <n v="5699"/>
    <n v="0"/>
    <n v="0"/>
    <n v="0.66678364625372866"/>
    <s v="Budget"/>
    <x v="1"/>
  </r>
  <r>
    <x v="5"/>
    <x v="158"/>
    <x v="4"/>
    <x v="3"/>
    <x v="1"/>
    <n v="4.5999999999999996"/>
    <n v="40999"/>
    <n v="40999"/>
    <n v="0"/>
    <n v="0"/>
    <n v="0.11219785848435326"/>
    <s v="Mid Range"/>
    <x v="2"/>
  </r>
  <r>
    <x v="5"/>
    <x v="155"/>
    <x v="4"/>
    <x v="4"/>
    <x v="4"/>
    <n v="3.8"/>
    <n v="8499"/>
    <n v="8499"/>
    <n v="0"/>
    <n v="0"/>
    <n v="0.44711142487351452"/>
    <s v="Budget"/>
    <x v="1"/>
  </r>
  <r>
    <x v="5"/>
    <x v="159"/>
    <x v="75"/>
    <x v="4"/>
    <x v="4"/>
    <n v="4"/>
    <n v="6999"/>
    <n v="6999"/>
    <n v="0"/>
    <n v="0"/>
    <n v="0.57151021574510652"/>
    <s v="Budget"/>
    <x v="1"/>
  </r>
  <r>
    <x v="5"/>
    <x v="144"/>
    <x v="4"/>
    <x v="5"/>
    <x v="3"/>
    <n v="4.5"/>
    <n v="57999"/>
    <n v="63999"/>
    <n v="6000"/>
    <n v="9.3751464866638545E-2"/>
    <n v="7.7587544612838164E-2"/>
    <s v="Premium"/>
    <x v="0"/>
  </r>
  <r>
    <x v="5"/>
    <x v="156"/>
    <x v="57"/>
    <x v="4"/>
    <x v="4"/>
    <n v="4.2"/>
    <n v="7199"/>
    <n v="7199"/>
    <n v="0"/>
    <n v="0"/>
    <n v="0.58341436310598704"/>
    <s v="Budget"/>
    <x v="0"/>
  </r>
  <r>
    <x v="5"/>
    <x v="160"/>
    <x v="5"/>
    <x v="2"/>
    <x v="2"/>
    <n v="4.3"/>
    <n v="15999"/>
    <n v="15999"/>
    <n v="0"/>
    <n v="0"/>
    <n v="0.26876679792487029"/>
    <s v="Mid Range"/>
    <x v="0"/>
  </r>
  <r>
    <x v="5"/>
    <x v="151"/>
    <x v="119"/>
    <x v="6"/>
    <x v="5"/>
    <n v="3.9"/>
    <n v="5299"/>
    <n v="5299"/>
    <n v="0"/>
    <n v="0"/>
    <n v="0.73598792224948095"/>
    <s v="Budget"/>
    <x v="1"/>
  </r>
  <r>
    <x v="5"/>
    <x v="154"/>
    <x v="75"/>
    <x v="6"/>
    <x v="5"/>
    <n v="3.7"/>
    <n v="5299"/>
    <n v="5299"/>
    <n v="0"/>
    <n v="0"/>
    <n v="0.69824495187771285"/>
    <s v="Budget"/>
    <x v="1"/>
  </r>
  <r>
    <x v="5"/>
    <x v="161"/>
    <x v="57"/>
    <x v="4"/>
    <x v="4"/>
    <n v="3.6"/>
    <n v="5840"/>
    <n v="5840"/>
    <n v="0"/>
    <n v="0"/>
    <n v="0.61643835616438358"/>
    <s v="Budget"/>
    <x v="1"/>
  </r>
  <r>
    <x v="5"/>
    <x v="145"/>
    <x v="4"/>
    <x v="5"/>
    <x v="3"/>
    <n v="4.4000000000000004"/>
    <n v="57999"/>
    <n v="65999"/>
    <n v="8000"/>
    <n v="0.1212139577872392"/>
    <n v="7.5863376954775089E-2"/>
    <s v="Premium"/>
    <x v="0"/>
  </r>
  <r>
    <x v="5"/>
    <x v="155"/>
    <x v="57"/>
    <x v="6"/>
    <x v="5"/>
    <n v="3.8"/>
    <n v="5699"/>
    <n v="5699"/>
    <n v="0"/>
    <n v="0"/>
    <n v="0.66678364625372866"/>
    <s v="Budget"/>
    <x v="1"/>
  </r>
  <r>
    <x v="5"/>
    <x v="162"/>
    <x v="39"/>
    <x v="6"/>
    <x v="5"/>
    <n v="3.8"/>
    <n v="6299"/>
    <n v="6299"/>
    <n v="0"/>
    <n v="0"/>
    <n v="0.60327036037466264"/>
    <s v="Budget"/>
    <x v="1"/>
  </r>
  <r>
    <x v="5"/>
    <x v="155"/>
    <x v="124"/>
    <x v="6"/>
    <x v="5"/>
    <n v="3.8"/>
    <n v="5699"/>
    <n v="5699"/>
    <n v="0"/>
    <n v="0"/>
    <n v="0.66678364625372866"/>
    <s v="Budget"/>
    <x v="1"/>
  </r>
  <r>
    <x v="5"/>
    <x v="163"/>
    <x v="75"/>
    <x v="4"/>
    <x v="4"/>
    <n v="3.7"/>
    <n v="4990"/>
    <n v="4990"/>
    <n v="0"/>
    <n v="0"/>
    <n v="0.7414829659318638"/>
    <s v="Budget"/>
    <x v="1"/>
  </r>
  <r>
    <x v="5"/>
    <x v="159"/>
    <x v="4"/>
    <x v="4"/>
    <x v="5"/>
    <n v="4"/>
    <n v="4990"/>
    <n v="4990"/>
    <n v="0"/>
    <n v="0"/>
    <n v="0.80160320641282568"/>
    <s v="Budget"/>
    <x v="1"/>
  </r>
  <r>
    <x v="5"/>
    <x v="154"/>
    <x v="125"/>
    <x v="6"/>
    <x v="5"/>
    <n v="3.7"/>
    <n v="5299"/>
    <n v="5299"/>
    <n v="0"/>
    <n v="0"/>
    <n v="0.69824495187771285"/>
    <s v="Budget"/>
    <x v="1"/>
  </r>
  <r>
    <x v="5"/>
    <x v="162"/>
    <x v="4"/>
    <x v="6"/>
    <x v="5"/>
    <n v="3.8"/>
    <n v="6299"/>
    <n v="6299"/>
    <n v="0"/>
    <n v="0"/>
    <n v="0.60327036037466264"/>
    <s v="Budget"/>
    <x v="1"/>
  </r>
  <r>
    <x v="5"/>
    <x v="162"/>
    <x v="75"/>
    <x v="6"/>
    <x v="5"/>
    <n v="3.8"/>
    <n v="6299"/>
    <n v="6299"/>
    <n v="0"/>
    <n v="0"/>
    <n v="0.60327036037466264"/>
    <s v="Budget"/>
    <x v="1"/>
  </r>
  <r>
    <x v="5"/>
    <x v="155"/>
    <x v="57"/>
    <x v="6"/>
    <x v="5"/>
    <n v="3.8"/>
    <n v="4649"/>
    <n v="4649"/>
    <n v="0"/>
    <n v="0"/>
    <n v="0.81738008173800814"/>
    <s v="Budget"/>
    <x v="1"/>
  </r>
  <r>
    <x v="5"/>
    <x v="144"/>
    <x v="75"/>
    <x v="5"/>
    <x v="3"/>
    <n v="4.5"/>
    <n v="57999"/>
    <n v="63999"/>
    <n v="6000"/>
    <n v="9.3751464866638545E-2"/>
    <n v="7.7587544612838164E-2"/>
    <s v="Premium"/>
    <x v="0"/>
  </r>
  <r>
    <x v="5"/>
    <x v="150"/>
    <x v="82"/>
    <x v="3"/>
    <x v="3"/>
    <n v="4.3"/>
    <n v="43999"/>
    <n v="43999"/>
    <n v="0"/>
    <n v="0"/>
    <n v="9.7729493852133004E-2"/>
    <s v="Mid Range"/>
    <x v="0"/>
  </r>
  <r>
    <x v="5"/>
    <x v="149"/>
    <x v="123"/>
    <x v="3"/>
    <x v="3"/>
    <n v="4.5"/>
    <n v="43999"/>
    <n v="43999"/>
    <n v="0"/>
    <n v="0"/>
    <n v="0.10227505170572058"/>
    <s v="Mid Range"/>
    <x v="0"/>
  </r>
  <r>
    <x v="5"/>
    <x v="150"/>
    <x v="82"/>
    <x v="1"/>
    <x v="0"/>
    <n v="4.3"/>
    <n v="35999"/>
    <n v="35999"/>
    <n v="0"/>
    <n v="0"/>
    <n v="0.11944776243784549"/>
    <s v="Mid Range"/>
    <x v="0"/>
  </r>
  <r>
    <x v="5"/>
    <x v="164"/>
    <x v="5"/>
    <x v="2"/>
    <x v="2"/>
    <n v="4.0999999999999996"/>
    <n v="14499"/>
    <n v="14499"/>
    <n v="0"/>
    <n v="0"/>
    <n v="0.28277812262914681"/>
    <s v="Budget"/>
    <x v="0"/>
  </r>
  <r>
    <x v="5"/>
    <x v="165"/>
    <x v="4"/>
    <x v="4"/>
    <x v="4"/>
    <n v="4.0999999999999996"/>
    <n v="6990"/>
    <n v="6990"/>
    <n v="0"/>
    <n v="0"/>
    <n v="0.58655221745350494"/>
    <s v="Budget"/>
    <x v="0"/>
  </r>
  <r>
    <x v="5"/>
    <x v="161"/>
    <x v="4"/>
    <x v="4"/>
    <x v="4"/>
    <n v="3.6"/>
    <n v="4999"/>
    <n v="4999"/>
    <n v="0"/>
    <n v="0"/>
    <n v="0.72014402880576123"/>
    <s v="Budget"/>
    <x v="1"/>
  </r>
  <r>
    <x v="5"/>
    <x v="146"/>
    <x v="5"/>
    <x v="1"/>
    <x v="0"/>
    <n v="4.3"/>
    <n v="17999"/>
    <n v="17999"/>
    <n v="0"/>
    <n v="0"/>
    <n v="0.23890216123117949"/>
    <s v="Mid Range"/>
    <x v="0"/>
  </r>
  <r>
    <x v="5"/>
    <x v="146"/>
    <x v="5"/>
    <x v="2"/>
    <x v="2"/>
    <n v="4.3"/>
    <n v="13199"/>
    <n v="13199"/>
    <n v="0"/>
    <n v="0"/>
    <n v="0.32578225623153267"/>
    <s v="Budget"/>
    <x v="0"/>
  </r>
  <r>
    <x v="5"/>
    <x v="166"/>
    <x v="82"/>
    <x v="6"/>
    <x v="5"/>
    <n v="3.6"/>
    <n v="4890"/>
    <n v="4890"/>
    <n v="0"/>
    <n v="0"/>
    <n v="0.73619631901840499"/>
    <s v="Budget"/>
    <x v="1"/>
  </r>
  <r>
    <x v="5"/>
    <x v="166"/>
    <x v="124"/>
    <x v="6"/>
    <x v="5"/>
    <n v="3.6"/>
    <n v="4890"/>
    <n v="4890"/>
    <n v="0"/>
    <n v="0"/>
    <n v="0.73619631901840499"/>
    <s v="Budget"/>
    <x v="1"/>
  </r>
  <r>
    <x v="5"/>
    <x v="159"/>
    <x v="4"/>
    <x v="4"/>
    <x v="4"/>
    <n v="4"/>
    <n v="4499"/>
    <n v="4499"/>
    <n v="0"/>
    <n v="0"/>
    <n v="0.88908646365859079"/>
    <s v="Budget"/>
    <x v="1"/>
  </r>
  <r>
    <x v="5"/>
    <x v="155"/>
    <x v="124"/>
    <x v="4"/>
    <x v="2"/>
    <n v="3.8"/>
    <n v="7300"/>
    <n v="7300"/>
    <n v="0"/>
    <n v="0"/>
    <n v="0.52054794520547942"/>
    <s v="Budget"/>
    <x v="1"/>
  </r>
  <r>
    <x v="5"/>
    <x v="155"/>
    <x v="5"/>
    <x v="4"/>
    <x v="2"/>
    <n v="3.8"/>
    <n v="7499"/>
    <n v="7499"/>
    <n v="0"/>
    <n v="0"/>
    <n v="0.50673423123083072"/>
    <s v="Budget"/>
    <x v="1"/>
  </r>
  <r>
    <x v="5"/>
    <x v="144"/>
    <x v="75"/>
    <x v="3"/>
    <x v="1"/>
    <n v="4.3"/>
    <n v="49999"/>
    <n v="55999"/>
    <n v="6000"/>
    <n v="0.10714477044232933"/>
    <n v="8.600172003440068E-2"/>
    <s v="Mid Range"/>
    <x v="0"/>
  </r>
  <r>
    <x v="5"/>
    <x v="167"/>
    <x v="4"/>
    <x v="0"/>
    <x v="0"/>
    <n v="4"/>
    <n v="9599"/>
    <n v="9599"/>
    <n v="0"/>
    <n v="0"/>
    <n v="0.41671007396603815"/>
    <s v="Budget"/>
    <x v="1"/>
  </r>
  <r>
    <x v="5"/>
    <x v="166"/>
    <x v="39"/>
    <x v="6"/>
    <x v="5"/>
    <n v="3.6"/>
    <n v="4890"/>
    <n v="4890"/>
    <n v="0"/>
    <n v="0"/>
    <n v="0.73619631901840499"/>
    <s v="Budget"/>
    <x v="1"/>
  </r>
  <r>
    <x v="5"/>
    <x v="148"/>
    <x v="82"/>
    <x v="2"/>
    <x v="2"/>
    <n v="4.3"/>
    <n v="12999"/>
    <n v="12999"/>
    <n v="0"/>
    <n v="0"/>
    <n v="0.33079467651357791"/>
    <s v="Budget"/>
    <x v="0"/>
  </r>
  <r>
    <x v="5"/>
    <x v="168"/>
    <x v="4"/>
    <x v="3"/>
    <x v="1"/>
    <n v="4.3"/>
    <n v="26499"/>
    <n v="83999"/>
    <n v="57500"/>
    <n v="0.68453195871379424"/>
    <n v="0.16227027434997546"/>
    <s v="Mid Range"/>
    <x v="0"/>
  </r>
  <r>
    <x v="5"/>
    <x v="167"/>
    <x v="4"/>
    <x v="2"/>
    <x v="2"/>
    <n v="4.2"/>
    <n v="9599"/>
    <n v="9599"/>
    <n v="0"/>
    <n v="0"/>
    <n v="0.43754557766434005"/>
    <s v="Budget"/>
    <x v="0"/>
  </r>
  <r>
    <x v="5"/>
    <x v="169"/>
    <x v="67"/>
    <x v="2"/>
    <x v="2"/>
    <n v="4"/>
    <n v="17999"/>
    <n v="17999"/>
    <n v="0"/>
    <n v="0"/>
    <n v="0.22223456858714374"/>
    <s v="Mid Range"/>
    <x v="1"/>
  </r>
  <r>
    <x v="5"/>
    <x v="166"/>
    <x v="57"/>
    <x v="6"/>
    <x v="5"/>
    <n v="3.6"/>
    <n v="4880"/>
    <n v="4880"/>
    <n v="0"/>
    <n v="0"/>
    <n v="0.73770491803278693"/>
    <s v="Budget"/>
    <x v="1"/>
  </r>
  <r>
    <x v="5"/>
    <x v="150"/>
    <x v="12"/>
    <x v="3"/>
    <x v="3"/>
    <n v="4.3"/>
    <n v="43999"/>
    <n v="43999"/>
    <n v="0"/>
    <n v="0"/>
    <n v="9.7729493852133004E-2"/>
    <s v="Mid Range"/>
    <x v="0"/>
  </r>
  <r>
    <x v="5"/>
    <x v="146"/>
    <x v="4"/>
    <x v="1"/>
    <x v="0"/>
    <n v="4.3"/>
    <n v="17999"/>
    <n v="17999"/>
    <n v="0"/>
    <n v="0"/>
    <n v="0.23890216123117949"/>
    <s v="Mid Range"/>
    <x v="0"/>
  </r>
  <r>
    <x v="5"/>
    <x v="146"/>
    <x v="5"/>
    <x v="0"/>
    <x v="0"/>
    <n v="4.3"/>
    <n v="15599"/>
    <n v="15599"/>
    <n v="0"/>
    <n v="0"/>
    <n v="0.27565869607026089"/>
    <s v="Mid Range"/>
    <x v="0"/>
  </r>
  <r>
    <x v="5"/>
    <x v="169"/>
    <x v="75"/>
    <x v="2"/>
    <x v="4"/>
    <n v="4"/>
    <n v="13999"/>
    <n v="13999"/>
    <n v="0"/>
    <n v="0"/>
    <n v="0.28573469533538115"/>
    <s v="Budget"/>
    <x v="1"/>
  </r>
  <r>
    <x v="5"/>
    <x v="169"/>
    <x v="4"/>
    <x v="2"/>
    <x v="4"/>
    <n v="4"/>
    <n v="9999"/>
    <n v="9999"/>
    <n v="0"/>
    <n v="0"/>
    <n v="0.40004000400040007"/>
    <s v="Budget"/>
    <x v="1"/>
  </r>
  <r>
    <x v="5"/>
    <x v="146"/>
    <x v="67"/>
    <x v="2"/>
    <x v="2"/>
    <n v="4.3"/>
    <n v="13199"/>
    <n v="13199"/>
    <n v="0"/>
    <n v="0"/>
    <n v="0.32578225623153267"/>
    <s v="Budget"/>
    <x v="0"/>
  </r>
  <r>
    <x v="5"/>
    <x v="169"/>
    <x v="57"/>
    <x v="2"/>
    <x v="4"/>
    <n v="4"/>
    <n v="9999"/>
    <n v="9999"/>
    <n v="0"/>
    <n v="0"/>
    <n v="0.40004000400040007"/>
    <s v="Budget"/>
    <x v="1"/>
  </r>
  <r>
    <x v="5"/>
    <x v="167"/>
    <x v="57"/>
    <x v="2"/>
    <x v="2"/>
    <n v="4.2"/>
    <n v="9599"/>
    <n v="9599"/>
    <n v="0"/>
    <n v="0"/>
    <n v="0.43754557766434005"/>
    <s v="Budget"/>
    <x v="0"/>
  </r>
  <r>
    <x v="5"/>
    <x v="169"/>
    <x v="119"/>
    <x v="2"/>
    <x v="2"/>
    <n v="4"/>
    <n v="17999"/>
    <n v="17999"/>
    <n v="0"/>
    <n v="0"/>
    <n v="0.22223456858714374"/>
    <s v="Mid Range"/>
    <x v="1"/>
  </r>
  <r>
    <x v="5"/>
    <x v="169"/>
    <x v="39"/>
    <x v="4"/>
    <x v="4"/>
    <n v="3.9"/>
    <n v="15999"/>
    <n v="15999"/>
    <n v="0"/>
    <n v="0"/>
    <n v="0.24376523532720795"/>
    <s v="Mid Range"/>
    <x v="1"/>
  </r>
  <r>
    <x v="5"/>
    <x v="169"/>
    <x v="75"/>
    <x v="4"/>
    <x v="4"/>
    <n v="3.9"/>
    <n v="15999"/>
    <n v="15999"/>
    <n v="0"/>
    <n v="0"/>
    <n v="0.24376523532720795"/>
    <s v="Mid Range"/>
    <x v="1"/>
  </r>
  <r>
    <x v="5"/>
    <x v="157"/>
    <x v="126"/>
    <x v="2"/>
    <x v="2"/>
    <n v="4.0999999999999996"/>
    <n v="10999"/>
    <n v="10999"/>
    <n v="0"/>
    <n v="0"/>
    <n v="0.37276116010546406"/>
    <s v="Budget"/>
    <x v="0"/>
  </r>
  <r>
    <x v="5"/>
    <x v="148"/>
    <x v="5"/>
    <x v="0"/>
    <x v="0"/>
    <n v="4.3"/>
    <n v="14999"/>
    <n v="14999"/>
    <n v="0"/>
    <n v="0"/>
    <n v="0.28668577905193682"/>
    <s v="Budget"/>
    <x v="0"/>
  </r>
  <r>
    <x v="5"/>
    <x v="157"/>
    <x v="57"/>
    <x v="2"/>
    <x v="2"/>
    <n v="4.0999999999999996"/>
    <n v="10999"/>
    <n v="10999"/>
    <n v="0"/>
    <n v="0"/>
    <n v="0.37276116010546406"/>
    <s v="Budget"/>
    <x v="0"/>
  </r>
  <r>
    <x v="5"/>
    <x v="160"/>
    <x v="127"/>
    <x v="1"/>
    <x v="0"/>
    <n v="4.3"/>
    <n v="19999"/>
    <n v="19999"/>
    <n v="0"/>
    <n v="0"/>
    <n v="0.21501075053752686"/>
    <s v="Mid Range"/>
    <x v="0"/>
  </r>
  <r>
    <x v="5"/>
    <x v="150"/>
    <x v="4"/>
    <x v="3"/>
    <x v="3"/>
    <n v="4.3"/>
    <n v="43999"/>
    <n v="43999"/>
    <n v="0"/>
    <n v="0"/>
    <n v="9.7729493852133004E-2"/>
    <s v="Mid Range"/>
    <x v="0"/>
  </r>
  <r>
    <x v="5"/>
    <x v="165"/>
    <x v="75"/>
    <x v="4"/>
    <x v="4"/>
    <n v="4.0999999999999996"/>
    <n v="7499"/>
    <n v="7499"/>
    <n v="0"/>
    <n v="0"/>
    <n v="0.54673956527537004"/>
    <s v="Budget"/>
    <x v="0"/>
  </r>
  <r>
    <x v="5"/>
    <x v="149"/>
    <x v="36"/>
    <x v="3"/>
    <x v="3"/>
    <n v="4.5"/>
    <n v="43999"/>
    <n v="43999"/>
    <n v="0"/>
    <n v="0"/>
    <n v="0.10227505170572058"/>
    <s v="Mid Range"/>
    <x v="0"/>
  </r>
  <r>
    <x v="5"/>
    <x v="150"/>
    <x v="4"/>
    <x v="1"/>
    <x v="1"/>
    <n v="4.3"/>
    <n v="38999"/>
    <n v="38999"/>
    <n v="0"/>
    <n v="0"/>
    <n v="0.11025923741634401"/>
    <s v="Mid Range"/>
    <x v="0"/>
  </r>
  <r>
    <x v="5"/>
    <x v="165"/>
    <x v="4"/>
    <x v="4"/>
    <x v="2"/>
    <n v="4.0999999999999996"/>
    <n v="8499"/>
    <n v="8499"/>
    <n v="0"/>
    <n v="0"/>
    <n v="0.4824096952582656"/>
    <s v="Budget"/>
    <x v="0"/>
  </r>
  <r>
    <x v="5"/>
    <x v="169"/>
    <x v="59"/>
    <x v="2"/>
    <x v="4"/>
    <n v="4"/>
    <n v="13999"/>
    <n v="13999"/>
    <n v="0"/>
    <n v="0"/>
    <n v="0.28573469533538115"/>
    <s v="Budget"/>
    <x v="1"/>
  </r>
  <r>
    <x v="5"/>
    <x v="160"/>
    <x v="5"/>
    <x v="0"/>
    <x v="0"/>
    <n v="4.3"/>
    <n v="17999"/>
    <n v="17999"/>
    <n v="0"/>
    <n v="0"/>
    <n v="0.23890216123117949"/>
    <s v="Mid Range"/>
    <x v="0"/>
  </r>
  <r>
    <x v="5"/>
    <x v="160"/>
    <x v="127"/>
    <x v="2"/>
    <x v="2"/>
    <n v="4.3"/>
    <n v="15999"/>
    <n v="15999"/>
    <n v="0"/>
    <n v="0"/>
    <n v="0.26876679792487029"/>
    <s v="Mid Range"/>
    <x v="0"/>
  </r>
  <r>
    <x v="5"/>
    <x v="158"/>
    <x v="4"/>
    <x v="5"/>
    <x v="7"/>
    <n v="4.5999999999999996"/>
    <n v="62999"/>
    <n v="62999"/>
    <n v="0"/>
    <n v="0"/>
    <n v="7.3017032016381198E-2"/>
    <s v="Premium"/>
    <x v="2"/>
  </r>
  <r>
    <x v="5"/>
    <x v="164"/>
    <x v="4"/>
    <x v="2"/>
    <x v="2"/>
    <n v="4.0999999999999996"/>
    <n v="7990"/>
    <n v="7990"/>
    <n v="0"/>
    <n v="0"/>
    <n v="0.51314142678347929"/>
    <s v="Budget"/>
    <x v="0"/>
  </r>
  <r>
    <x v="5"/>
    <x v="155"/>
    <x v="67"/>
    <x v="4"/>
    <x v="2"/>
    <n v="3.8"/>
    <n v="6999"/>
    <n v="6999"/>
    <n v="0"/>
    <n v="0"/>
    <n v="0.54293470495785112"/>
    <s v="Budget"/>
    <x v="1"/>
  </r>
  <r>
    <x v="5"/>
    <x v="149"/>
    <x v="36"/>
    <x v="1"/>
    <x v="0"/>
    <n v="4.5"/>
    <n v="32999"/>
    <n v="32999"/>
    <n v="0"/>
    <n v="0"/>
    <n v="0.13636776872026427"/>
    <s v="Mid Range"/>
    <x v="0"/>
  </r>
  <r>
    <x v="5"/>
    <x v="146"/>
    <x v="4"/>
    <x v="2"/>
    <x v="2"/>
    <n v="4.3"/>
    <n v="13199"/>
    <n v="13199"/>
    <n v="0"/>
    <n v="0"/>
    <n v="0.32578225623153267"/>
    <s v="Budget"/>
    <x v="0"/>
  </r>
  <r>
    <x v="5"/>
    <x v="160"/>
    <x v="5"/>
    <x v="1"/>
    <x v="0"/>
    <n v="4.3"/>
    <n v="19999"/>
    <n v="19999"/>
    <n v="0"/>
    <n v="0"/>
    <n v="0.21501075053752686"/>
    <s v="Mid Range"/>
    <x v="0"/>
  </r>
  <r>
    <x v="5"/>
    <x v="169"/>
    <x v="57"/>
    <x v="4"/>
    <x v="4"/>
    <n v="3.9"/>
    <n v="15999"/>
    <n v="15999"/>
    <n v="0"/>
    <n v="0"/>
    <n v="0.24376523532720795"/>
    <s v="Mid Range"/>
    <x v="1"/>
  </r>
  <r>
    <x v="5"/>
    <x v="160"/>
    <x v="127"/>
    <x v="0"/>
    <x v="0"/>
    <n v="4.3"/>
    <n v="17999"/>
    <n v="17999"/>
    <n v="0"/>
    <n v="0"/>
    <n v="0.23890216123117949"/>
    <s v="Mid Range"/>
    <x v="0"/>
  </r>
  <r>
    <x v="5"/>
    <x v="170"/>
    <x v="119"/>
    <x v="4"/>
    <x v="4"/>
    <n v="4"/>
    <n v="7999"/>
    <n v="7999"/>
    <n v="0"/>
    <n v="0"/>
    <n v="0.50006250781347672"/>
    <s v="Budget"/>
    <x v="1"/>
  </r>
  <r>
    <x v="5"/>
    <x v="169"/>
    <x v="128"/>
    <x v="2"/>
    <x v="2"/>
    <n v="4"/>
    <n v="11999"/>
    <n v="11999"/>
    <n v="0"/>
    <n v="0"/>
    <n v="0.33336111342611879"/>
    <s v="Budget"/>
    <x v="1"/>
  </r>
  <r>
    <x v="5"/>
    <x v="171"/>
    <x v="75"/>
    <x v="0"/>
    <x v="0"/>
    <n v="3.6"/>
    <n v="37999"/>
    <n v="37999"/>
    <n v="0"/>
    <n v="0"/>
    <n v="9.4739335245664358E-2"/>
    <s v="Mid Range"/>
    <x v="1"/>
  </r>
  <r>
    <x v="5"/>
    <x v="171"/>
    <x v="4"/>
    <x v="0"/>
    <x v="1"/>
    <n v="3.6"/>
    <n v="37999"/>
    <n v="37999"/>
    <n v="0"/>
    <n v="0"/>
    <n v="9.4739335245664358E-2"/>
    <s v="Mid Range"/>
    <x v="1"/>
  </r>
  <r>
    <x v="5"/>
    <x v="169"/>
    <x v="57"/>
    <x v="2"/>
    <x v="2"/>
    <n v="4"/>
    <n v="7990"/>
    <n v="7990"/>
    <n v="0"/>
    <n v="0"/>
    <n v="0.50062578222778475"/>
    <s v="Budget"/>
    <x v="1"/>
  </r>
  <r>
    <x v="5"/>
    <x v="169"/>
    <x v="39"/>
    <x v="2"/>
    <x v="2"/>
    <n v="4"/>
    <n v="11999"/>
    <n v="11999"/>
    <n v="0"/>
    <n v="0"/>
    <n v="0.33336111342611879"/>
    <s v="Budget"/>
    <x v="1"/>
  </r>
  <r>
    <x v="5"/>
    <x v="165"/>
    <x v="5"/>
    <x v="4"/>
    <x v="2"/>
    <n v="4.0999999999999996"/>
    <n v="7699"/>
    <n v="7699"/>
    <n v="0"/>
    <n v="0"/>
    <n v="0.532536693077023"/>
    <s v="Budget"/>
    <x v="0"/>
  </r>
  <r>
    <x v="5"/>
    <x v="169"/>
    <x v="82"/>
    <x v="4"/>
    <x v="4"/>
    <n v="3.9"/>
    <n v="8499"/>
    <n v="8499"/>
    <n v="0"/>
    <n v="0"/>
    <n v="0.45887751500176494"/>
    <s v="Budget"/>
    <x v="1"/>
  </r>
  <r>
    <x v="5"/>
    <x v="164"/>
    <x v="129"/>
    <x v="2"/>
    <x v="2"/>
    <n v="4.0999999999999996"/>
    <n v="8690"/>
    <n v="8690"/>
    <n v="0"/>
    <n v="0"/>
    <n v="0.47180667433831985"/>
    <s v="Budget"/>
    <x v="0"/>
  </r>
  <r>
    <x v="5"/>
    <x v="161"/>
    <x v="39"/>
    <x v="4"/>
    <x v="4"/>
    <n v="3.6"/>
    <n v="5990"/>
    <n v="5990"/>
    <n v="0"/>
    <n v="0"/>
    <n v="0.60100166944908173"/>
    <s v="Budget"/>
    <x v="1"/>
  </r>
  <r>
    <x v="5"/>
    <x v="169"/>
    <x v="75"/>
    <x v="2"/>
    <x v="2"/>
    <n v="4"/>
    <n v="14500"/>
    <n v="14500"/>
    <n v="0"/>
    <n v="0"/>
    <n v="0.27586206896551724"/>
    <s v="Budget"/>
    <x v="1"/>
  </r>
  <r>
    <x v="5"/>
    <x v="169"/>
    <x v="82"/>
    <x v="2"/>
    <x v="4"/>
    <n v="4"/>
    <n v="6749"/>
    <n v="6749"/>
    <n v="0"/>
    <n v="0"/>
    <n v="0.59268039709586595"/>
    <s v="Budget"/>
    <x v="1"/>
  </r>
  <r>
    <x v="5"/>
    <x v="165"/>
    <x v="4"/>
    <x v="4"/>
    <x v="2"/>
    <n v="4.0999999999999996"/>
    <n v="6999"/>
    <n v="6999"/>
    <n v="0"/>
    <n v="0"/>
    <n v="0.58579797113873411"/>
    <s v="Budget"/>
    <x v="0"/>
  </r>
  <r>
    <x v="5"/>
    <x v="169"/>
    <x v="119"/>
    <x v="2"/>
    <x v="4"/>
    <n v="4"/>
    <n v="12490"/>
    <n v="12490"/>
    <n v="0"/>
    <n v="0"/>
    <n v="0.32025620496397117"/>
    <s v="Budget"/>
    <x v="1"/>
  </r>
  <r>
    <x v="5"/>
    <x v="170"/>
    <x v="57"/>
    <x v="4"/>
    <x v="4"/>
    <n v="4"/>
    <n v="7668"/>
    <n v="7668"/>
    <n v="0"/>
    <n v="0"/>
    <n v="0.52164840897235265"/>
    <s v="Budget"/>
    <x v="1"/>
  </r>
  <r>
    <x v="6"/>
    <x v="172"/>
    <x v="130"/>
    <x v="0"/>
    <x v="0"/>
    <n v="4.2"/>
    <n v="8799"/>
    <n v="9999"/>
    <n v="1200"/>
    <n v="0.12001200120012001"/>
    <n v="0.47732696897374705"/>
    <s v="Budget"/>
    <x v="0"/>
  </r>
  <r>
    <x v="6"/>
    <x v="172"/>
    <x v="130"/>
    <x v="4"/>
    <x v="2"/>
    <n v="4.3"/>
    <n v="7299"/>
    <n v="7999"/>
    <n v="700"/>
    <n v="8.7510938867358418E-2"/>
    <n v="0.58912179750650773"/>
    <s v="Budget"/>
    <x v="0"/>
  </r>
  <r>
    <x v="6"/>
    <x v="172"/>
    <x v="131"/>
    <x v="4"/>
    <x v="2"/>
    <n v="4.3"/>
    <n v="7299"/>
    <n v="7999"/>
    <n v="700"/>
    <n v="8.7510938867358418E-2"/>
    <n v="0.58912179750650773"/>
    <s v="Budget"/>
    <x v="0"/>
  </r>
  <r>
    <x v="6"/>
    <x v="173"/>
    <x v="132"/>
    <x v="0"/>
    <x v="0"/>
    <n v="4.4000000000000004"/>
    <n v="14999"/>
    <n v="15999"/>
    <n v="1000"/>
    <n v="6.2503906494155881E-2"/>
    <n v="0.29335289019267952"/>
    <s v="Budget"/>
    <x v="0"/>
  </r>
  <r>
    <x v="6"/>
    <x v="173"/>
    <x v="133"/>
    <x v="0"/>
    <x v="0"/>
    <n v="4.4000000000000004"/>
    <n v="14999"/>
    <n v="15999"/>
    <n v="1000"/>
    <n v="6.2503906494155881E-2"/>
    <n v="0.29335289019267952"/>
    <s v="Budget"/>
    <x v="0"/>
  </r>
  <r>
    <x v="6"/>
    <x v="174"/>
    <x v="130"/>
    <x v="4"/>
    <x v="2"/>
    <n v="4.4000000000000004"/>
    <n v="7499"/>
    <n v="7999"/>
    <n v="500"/>
    <n v="6.250781347668459E-2"/>
    <n v="0.58674489931990936"/>
    <s v="Budget"/>
    <x v="0"/>
  </r>
  <r>
    <x v="6"/>
    <x v="174"/>
    <x v="131"/>
    <x v="4"/>
    <x v="2"/>
    <n v="4.4000000000000004"/>
    <n v="7499"/>
    <n v="7999"/>
    <n v="500"/>
    <n v="6.250781347668459E-2"/>
    <n v="0.58674489931990936"/>
    <s v="Budget"/>
    <x v="0"/>
  </r>
  <r>
    <x v="6"/>
    <x v="175"/>
    <x v="134"/>
    <x v="0"/>
    <x v="0"/>
    <n v="4.4000000000000004"/>
    <n v="9999"/>
    <n v="10999"/>
    <n v="1000"/>
    <n v="9.0917356123283929E-2"/>
    <n v="0.44004400440044006"/>
    <s v="Budget"/>
    <x v="0"/>
  </r>
  <r>
    <x v="6"/>
    <x v="175"/>
    <x v="135"/>
    <x v="0"/>
    <x v="0"/>
    <n v="4.4000000000000004"/>
    <n v="9999"/>
    <n v="10999"/>
    <n v="1000"/>
    <n v="9.0917356123283929E-2"/>
    <n v="0.44004400440044006"/>
    <s v="Budget"/>
    <x v="0"/>
  </r>
  <r>
    <x v="6"/>
    <x v="172"/>
    <x v="131"/>
    <x v="0"/>
    <x v="0"/>
    <n v="4.2"/>
    <n v="8799"/>
    <n v="9999"/>
    <n v="1200"/>
    <n v="0.12001200120012001"/>
    <n v="0.47732696897374705"/>
    <s v="Budget"/>
    <x v="0"/>
  </r>
  <r>
    <x v="6"/>
    <x v="176"/>
    <x v="136"/>
    <x v="0"/>
    <x v="1"/>
    <n v="4.4000000000000004"/>
    <n v="11999"/>
    <n v="11999"/>
    <n v="0"/>
    <n v="0"/>
    <n v="0.36669722476873073"/>
    <s v="Budget"/>
    <x v="0"/>
  </r>
  <r>
    <x v="6"/>
    <x v="176"/>
    <x v="136"/>
    <x v="0"/>
    <x v="0"/>
    <n v="4.4000000000000004"/>
    <n v="10999"/>
    <n v="10999"/>
    <n v="0"/>
    <n v="0"/>
    <n v="0.40003636694244932"/>
    <s v="Budget"/>
    <x v="0"/>
  </r>
  <r>
    <x v="6"/>
    <x v="176"/>
    <x v="137"/>
    <x v="0"/>
    <x v="1"/>
    <n v="4.4000000000000004"/>
    <n v="11999"/>
    <n v="11999"/>
    <n v="0"/>
    <n v="0"/>
    <n v="0.36669722476873073"/>
    <s v="Budget"/>
    <x v="0"/>
  </r>
  <r>
    <x v="6"/>
    <x v="176"/>
    <x v="137"/>
    <x v="0"/>
    <x v="0"/>
    <n v="4.4000000000000004"/>
    <n v="10999"/>
    <n v="10999"/>
    <n v="0"/>
    <n v="0"/>
    <n v="0.40003636694244932"/>
    <s v="Budget"/>
    <x v="0"/>
  </r>
  <r>
    <x v="6"/>
    <x v="177"/>
    <x v="138"/>
    <x v="1"/>
    <x v="1"/>
    <n v="4.5"/>
    <n v="17999"/>
    <n v="20999"/>
    <n v="3000"/>
    <n v="0.14286394590218582"/>
    <n v="0.25001388966053667"/>
    <s v="Mid Range"/>
    <x v="0"/>
  </r>
  <r>
    <x v="6"/>
    <x v="177"/>
    <x v="139"/>
    <x v="1"/>
    <x v="1"/>
    <n v="4.5"/>
    <n v="17999"/>
    <n v="20999"/>
    <n v="3000"/>
    <n v="0.14286394590218582"/>
    <n v="0.25001388966053667"/>
    <s v="Mid Range"/>
    <x v="0"/>
  </r>
  <r>
    <x v="6"/>
    <x v="178"/>
    <x v="134"/>
    <x v="0"/>
    <x v="0"/>
    <n v="4.4000000000000004"/>
    <n v="9999"/>
    <n v="10999"/>
    <n v="1000"/>
    <n v="9.0917356123283929E-2"/>
    <n v="0.44004400440044006"/>
    <s v="Budget"/>
    <x v="0"/>
  </r>
  <r>
    <x v="6"/>
    <x v="178"/>
    <x v="135"/>
    <x v="0"/>
    <x v="0"/>
    <n v="4.4000000000000004"/>
    <n v="9999"/>
    <n v="10999"/>
    <n v="1000"/>
    <n v="9.0917356123283929E-2"/>
    <n v="0.44004400440044006"/>
    <s v="Budget"/>
    <x v="0"/>
  </r>
  <r>
    <x v="6"/>
    <x v="178"/>
    <x v="134"/>
    <x v="2"/>
    <x v="2"/>
    <n v="4.4000000000000004"/>
    <n v="8999"/>
    <n v="9999"/>
    <n v="1000"/>
    <n v="0.1000100010001"/>
    <n v="0.48894321591287931"/>
    <s v="Budget"/>
    <x v="0"/>
  </r>
  <r>
    <x v="6"/>
    <x v="178"/>
    <x v="135"/>
    <x v="2"/>
    <x v="2"/>
    <n v="4.4000000000000004"/>
    <n v="8999"/>
    <n v="9999"/>
    <n v="1000"/>
    <n v="0.1000100010001"/>
    <n v="0.48894321591287931"/>
    <s v="Budget"/>
    <x v="0"/>
  </r>
  <r>
    <x v="6"/>
    <x v="173"/>
    <x v="132"/>
    <x v="1"/>
    <x v="1"/>
    <n v="4.3"/>
    <n v="16999"/>
    <n v="17999"/>
    <n v="1000"/>
    <n v="5.5558642146785936E-2"/>
    <n v="0.25295605623860223"/>
    <s v="Mid Range"/>
    <x v="0"/>
  </r>
  <r>
    <x v="6"/>
    <x v="173"/>
    <x v="133"/>
    <x v="1"/>
    <x v="1"/>
    <n v="4.3"/>
    <n v="16999"/>
    <n v="17999"/>
    <n v="1000"/>
    <n v="5.5558642146785936E-2"/>
    <n v="0.25295605623860223"/>
    <s v="Mid Range"/>
    <x v="0"/>
  </r>
  <r>
    <x v="6"/>
    <x v="179"/>
    <x v="133"/>
    <x v="1"/>
    <x v="0"/>
    <n v="4.3"/>
    <n v="14499"/>
    <n v="15999"/>
    <n v="1500"/>
    <n v="9.3755859741233821E-2"/>
    <n v="0.29657217739154423"/>
    <s v="Budget"/>
    <x v="0"/>
  </r>
  <r>
    <x v="6"/>
    <x v="179"/>
    <x v="132"/>
    <x v="1"/>
    <x v="0"/>
    <n v="4.3"/>
    <n v="14499"/>
    <n v="15999"/>
    <n v="1500"/>
    <n v="9.3755859741233821E-2"/>
    <n v="0.29657217739154423"/>
    <s v="Budget"/>
    <x v="0"/>
  </r>
  <r>
    <x v="6"/>
    <x v="179"/>
    <x v="132"/>
    <x v="0"/>
    <x v="0"/>
    <n v="4.3"/>
    <n v="13499"/>
    <n v="14999"/>
    <n v="1500"/>
    <n v="0.10000666711114074"/>
    <n v="0.31854211423068374"/>
    <s v="Budget"/>
    <x v="0"/>
  </r>
  <r>
    <x v="6"/>
    <x v="179"/>
    <x v="133"/>
    <x v="0"/>
    <x v="0"/>
    <n v="4.3"/>
    <n v="13499"/>
    <n v="14999"/>
    <n v="1500"/>
    <n v="0.10000666711114074"/>
    <n v="0.31854211423068374"/>
    <s v="Budget"/>
    <x v="0"/>
  </r>
  <r>
    <x v="6"/>
    <x v="180"/>
    <x v="140"/>
    <x v="2"/>
    <x v="2"/>
    <n v="4.3"/>
    <n v="8999"/>
    <n v="9999"/>
    <n v="1000"/>
    <n v="0.1000100010001"/>
    <n v="0.47783087009667735"/>
    <s v="Budget"/>
    <x v="0"/>
  </r>
  <r>
    <x v="6"/>
    <x v="179"/>
    <x v="132"/>
    <x v="1"/>
    <x v="1"/>
    <n v="4.3"/>
    <n v="15499"/>
    <n v="16999"/>
    <n v="1500"/>
    <n v="8.8240484734396135E-2"/>
    <n v="0.27743725401638814"/>
    <s v="Mid Range"/>
    <x v="0"/>
  </r>
  <r>
    <x v="6"/>
    <x v="179"/>
    <x v="133"/>
    <x v="1"/>
    <x v="1"/>
    <n v="4.3"/>
    <n v="15499"/>
    <n v="16999"/>
    <n v="1500"/>
    <n v="8.8240484734396135E-2"/>
    <n v="0.27743725401638814"/>
    <s v="Mid Range"/>
    <x v="0"/>
  </r>
  <r>
    <x v="6"/>
    <x v="181"/>
    <x v="141"/>
    <x v="0"/>
    <x v="1"/>
    <n v="4.3"/>
    <n v="16499"/>
    <n v="16999"/>
    <n v="500"/>
    <n v="2.9413494911465381E-2"/>
    <n v="0.26062185587005271"/>
    <s v="Mid Range"/>
    <x v="0"/>
  </r>
  <r>
    <x v="6"/>
    <x v="181"/>
    <x v="142"/>
    <x v="0"/>
    <x v="0"/>
    <n v="4.3"/>
    <n v="15499"/>
    <n v="15999"/>
    <n v="500"/>
    <n v="3.125195324707794E-2"/>
    <n v="0.27743725401638814"/>
    <s v="Mid Range"/>
    <x v="0"/>
  </r>
  <r>
    <x v="6"/>
    <x v="181"/>
    <x v="141"/>
    <x v="0"/>
    <x v="0"/>
    <n v="4.3"/>
    <n v="15499"/>
    <n v="15999"/>
    <n v="500"/>
    <n v="3.125195324707794E-2"/>
    <n v="0.27743725401638814"/>
    <s v="Mid Range"/>
    <x v="0"/>
  </r>
  <r>
    <x v="6"/>
    <x v="182"/>
    <x v="143"/>
    <x v="3"/>
    <x v="1"/>
    <n v="4.4000000000000004"/>
    <n v="19999"/>
    <n v="21999"/>
    <n v="2000"/>
    <n v="9.0913223328333112E-2"/>
    <n v="0.22001100055002751"/>
    <s v="Mid Range"/>
    <x v="0"/>
  </r>
  <r>
    <x v="6"/>
    <x v="181"/>
    <x v="142"/>
    <x v="3"/>
    <x v="1"/>
    <n v="4.3"/>
    <n v="18499"/>
    <n v="18999"/>
    <n v="500"/>
    <n v="2.6317174588136219E-2"/>
    <n v="0.2324449970268663"/>
    <s v="Mid Range"/>
    <x v="0"/>
  </r>
  <r>
    <x v="6"/>
    <x v="181"/>
    <x v="141"/>
    <x v="3"/>
    <x v="1"/>
    <n v="4.3"/>
    <n v="18499"/>
    <n v="18999"/>
    <n v="500"/>
    <n v="2.6317174588136219E-2"/>
    <n v="0.2324449970268663"/>
    <s v="Mid Range"/>
    <x v="0"/>
  </r>
  <r>
    <x v="6"/>
    <x v="181"/>
    <x v="142"/>
    <x v="0"/>
    <x v="1"/>
    <n v="4.3"/>
    <n v="16499"/>
    <n v="16999"/>
    <n v="500"/>
    <n v="2.9413494911465381E-2"/>
    <n v="0.26062185587005271"/>
    <s v="Mid Range"/>
    <x v="0"/>
  </r>
  <r>
    <x v="6"/>
    <x v="183"/>
    <x v="144"/>
    <x v="2"/>
    <x v="2"/>
    <n v="4.3"/>
    <n v="9999"/>
    <n v="11999"/>
    <n v="2000"/>
    <n v="0.16668055671305942"/>
    <n v="0.43004300430043002"/>
    <s v="Budget"/>
    <x v="0"/>
  </r>
  <r>
    <x v="6"/>
    <x v="182"/>
    <x v="143"/>
    <x v="1"/>
    <x v="1"/>
    <n v="4.3"/>
    <n v="17999"/>
    <n v="19999"/>
    <n v="2000"/>
    <n v="0.10000500025001251"/>
    <n v="0.23890216123117949"/>
    <s v="Mid Range"/>
    <x v="0"/>
  </r>
  <r>
    <x v="6"/>
    <x v="182"/>
    <x v="145"/>
    <x v="3"/>
    <x v="1"/>
    <n v="4.4000000000000004"/>
    <n v="19999"/>
    <n v="21999"/>
    <n v="2000"/>
    <n v="9.0913223328333112E-2"/>
    <n v="0.22001100055002751"/>
    <s v="Mid Range"/>
    <x v="0"/>
  </r>
  <r>
    <x v="6"/>
    <x v="184"/>
    <x v="146"/>
    <x v="1"/>
    <x v="1"/>
    <n v="4.3"/>
    <n v="16999"/>
    <n v="17999"/>
    <n v="1000"/>
    <n v="5.5558642146785936E-2"/>
    <n v="0.25295605623860223"/>
    <s v="Mid Range"/>
    <x v="0"/>
  </r>
  <r>
    <x v="6"/>
    <x v="184"/>
    <x v="147"/>
    <x v="1"/>
    <x v="1"/>
    <n v="4.3"/>
    <n v="16999"/>
    <n v="17999"/>
    <n v="1000"/>
    <n v="5.5558642146785936E-2"/>
    <n v="0.25295605623860223"/>
    <s v="Mid Range"/>
    <x v="0"/>
  </r>
  <r>
    <x v="6"/>
    <x v="184"/>
    <x v="147"/>
    <x v="3"/>
    <x v="1"/>
    <n v="4.3"/>
    <n v="17999"/>
    <n v="18999"/>
    <n v="1000"/>
    <n v="5.2634349176272438E-2"/>
    <n v="0.23890216123117949"/>
    <s v="Mid Range"/>
    <x v="0"/>
  </r>
  <r>
    <x v="6"/>
    <x v="184"/>
    <x v="147"/>
    <x v="0"/>
    <x v="1"/>
    <n v="4.3"/>
    <n v="15999"/>
    <n v="16999"/>
    <n v="1000"/>
    <n v="5.8826989822930761E-2"/>
    <n v="0.26876679792487029"/>
    <s v="Mid Range"/>
    <x v="0"/>
  </r>
  <r>
    <x v="6"/>
    <x v="184"/>
    <x v="146"/>
    <x v="3"/>
    <x v="1"/>
    <n v="4.3"/>
    <n v="17999"/>
    <n v="18999"/>
    <n v="1000"/>
    <n v="5.2634349176272438E-2"/>
    <n v="0.23890216123117949"/>
    <s v="Mid Range"/>
    <x v="0"/>
  </r>
  <r>
    <x v="6"/>
    <x v="185"/>
    <x v="148"/>
    <x v="2"/>
    <x v="2"/>
    <n v="4.4000000000000004"/>
    <n v="8999"/>
    <n v="10999"/>
    <n v="2000"/>
    <n v="0.18183471224656786"/>
    <n v="0.48894321591287931"/>
    <s v="Budget"/>
    <x v="0"/>
  </r>
  <r>
    <x v="6"/>
    <x v="185"/>
    <x v="144"/>
    <x v="2"/>
    <x v="2"/>
    <n v="4.4000000000000004"/>
    <n v="8999"/>
    <n v="10999"/>
    <n v="2000"/>
    <n v="0.18183471224656786"/>
    <n v="0.48894321591287931"/>
    <s v="Budget"/>
    <x v="0"/>
  </r>
  <r>
    <x v="6"/>
    <x v="186"/>
    <x v="149"/>
    <x v="4"/>
    <x v="2"/>
    <n v="4.4000000000000004"/>
    <n v="7499"/>
    <n v="8999"/>
    <n v="1500"/>
    <n v="0.166685187243027"/>
    <n v="0.58674489931990936"/>
    <s v="Budget"/>
    <x v="0"/>
  </r>
  <r>
    <x v="6"/>
    <x v="186"/>
    <x v="150"/>
    <x v="4"/>
    <x v="2"/>
    <n v="4.4000000000000004"/>
    <n v="7499"/>
    <n v="8999"/>
    <n v="1500"/>
    <n v="0.166685187243027"/>
    <n v="0.58674489931990936"/>
    <s v="Budget"/>
    <x v="0"/>
  </r>
  <r>
    <x v="6"/>
    <x v="187"/>
    <x v="151"/>
    <x v="1"/>
    <x v="0"/>
    <n v="4.3"/>
    <n v="14999"/>
    <n v="17999"/>
    <n v="3000"/>
    <n v="0.16667592644035781"/>
    <n v="0.28668577905193682"/>
    <s v="Budget"/>
    <x v="0"/>
  </r>
  <r>
    <x v="6"/>
    <x v="188"/>
    <x v="152"/>
    <x v="3"/>
    <x v="1"/>
    <n v="4.3"/>
    <n v="21999"/>
    <n v="23999"/>
    <n v="2000"/>
    <n v="8.3336805700237507E-2"/>
    <n v="0.19546343015591616"/>
    <s v="Mid Range"/>
    <x v="0"/>
  </r>
  <r>
    <x v="6"/>
    <x v="188"/>
    <x v="34"/>
    <x v="1"/>
    <x v="1"/>
    <n v="4.3"/>
    <n v="19999"/>
    <n v="21999"/>
    <n v="2000"/>
    <n v="9.0913223328333112E-2"/>
    <n v="0.21501075053752686"/>
    <s v="Mid Range"/>
    <x v="0"/>
  </r>
  <r>
    <x v="6"/>
    <x v="188"/>
    <x v="34"/>
    <x v="3"/>
    <x v="1"/>
    <n v="4.3"/>
    <n v="21999"/>
    <n v="23999"/>
    <n v="2000"/>
    <n v="8.3336805700237507E-2"/>
    <n v="0.19546343015591616"/>
    <s v="Mid Range"/>
    <x v="0"/>
  </r>
  <r>
    <x v="6"/>
    <x v="188"/>
    <x v="152"/>
    <x v="1"/>
    <x v="1"/>
    <n v="4.3"/>
    <n v="19999"/>
    <n v="21999"/>
    <n v="2000"/>
    <n v="9.0913223328333112E-2"/>
    <n v="0.21501075053752686"/>
    <s v="Mid Range"/>
    <x v="0"/>
  </r>
  <r>
    <x v="6"/>
    <x v="189"/>
    <x v="153"/>
    <x v="1"/>
    <x v="0"/>
    <n v="4.3"/>
    <n v="16999"/>
    <n v="18999"/>
    <n v="2000"/>
    <n v="0.10526869835254488"/>
    <n v="0.25295605623860223"/>
    <s v="Mid Range"/>
    <x v="0"/>
  </r>
  <r>
    <x v="6"/>
    <x v="189"/>
    <x v="154"/>
    <x v="1"/>
    <x v="0"/>
    <n v="4.3"/>
    <n v="16999"/>
    <n v="18999"/>
    <n v="2000"/>
    <n v="0.10526869835254488"/>
    <n v="0.25295605623860223"/>
    <s v="Mid Range"/>
    <x v="0"/>
  </r>
  <r>
    <x v="6"/>
    <x v="190"/>
    <x v="155"/>
    <x v="2"/>
    <x v="2"/>
    <n v="4.4000000000000004"/>
    <n v="9999"/>
    <n v="9999"/>
    <n v="0"/>
    <n v="0"/>
    <n v="0.44004400440044006"/>
    <s v="Budget"/>
    <x v="0"/>
  </r>
  <r>
    <x v="6"/>
    <x v="191"/>
    <x v="148"/>
    <x v="2"/>
    <x v="2"/>
    <n v="4.3"/>
    <n v="11999"/>
    <n v="11999"/>
    <n v="0"/>
    <n v="0"/>
    <n v="0.35836319693307778"/>
    <s v="Budget"/>
    <x v="0"/>
  </r>
  <r>
    <x v="6"/>
    <x v="191"/>
    <x v="144"/>
    <x v="0"/>
    <x v="0"/>
    <n v="4.4000000000000004"/>
    <n v="12999"/>
    <n v="12999"/>
    <n v="0"/>
    <n v="0"/>
    <n v="0.33848757596738216"/>
    <s v="Budget"/>
    <x v="0"/>
  </r>
  <r>
    <x v="6"/>
    <x v="191"/>
    <x v="148"/>
    <x v="0"/>
    <x v="0"/>
    <n v="4.4000000000000004"/>
    <n v="12999"/>
    <n v="12999"/>
    <n v="0"/>
    <n v="0"/>
    <n v="0.33848757596738216"/>
    <s v="Budget"/>
    <x v="0"/>
  </r>
  <r>
    <x v="6"/>
    <x v="189"/>
    <x v="154"/>
    <x v="3"/>
    <x v="1"/>
    <n v="4.3"/>
    <n v="19999"/>
    <n v="21999"/>
    <n v="2000"/>
    <n v="9.0913223328333112E-2"/>
    <n v="0.21501075053752686"/>
    <s v="Mid Range"/>
    <x v="0"/>
  </r>
  <r>
    <x v="6"/>
    <x v="189"/>
    <x v="153"/>
    <x v="3"/>
    <x v="1"/>
    <n v="4.3"/>
    <n v="19999"/>
    <n v="21999"/>
    <n v="2000"/>
    <n v="9.0913223328333112E-2"/>
    <n v="0.21501075053752686"/>
    <s v="Mid Range"/>
    <x v="0"/>
  </r>
  <r>
    <x v="6"/>
    <x v="192"/>
    <x v="51"/>
    <x v="0"/>
    <x v="0"/>
    <n v="4.4000000000000004"/>
    <n v="10499"/>
    <n v="10999"/>
    <n v="500"/>
    <n v="4.5458678061641965E-2"/>
    <n v="0.41908753214591871"/>
    <s v="Budget"/>
    <x v="0"/>
  </r>
  <r>
    <x v="6"/>
    <x v="193"/>
    <x v="156"/>
    <x v="3"/>
    <x v="1"/>
    <n v="4.5"/>
    <n v="16999"/>
    <n v="16999"/>
    <n v="0"/>
    <n v="0"/>
    <n v="0.26472145420318843"/>
    <s v="Mid Range"/>
    <x v="0"/>
  </r>
  <r>
    <x v="6"/>
    <x v="194"/>
    <x v="157"/>
    <x v="0"/>
    <x v="0"/>
    <n v="4.3"/>
    <n v="13999"/>
    <n v="13999"/>
    <n v="0"/>
    <n v="0"/>
    <n v="0.30716479748553466"/>
    <s v="Budget"/>
    <x v="0"/>
  </r>
  <r>
    <x v="6"/>
    <x v="195"/>
    <x v="158"/>
    <x v="4"/>
    <x v="2"/>
    <n v="4.4000000000000004"/>
    <n v="7499"/>
    <n v="7999"/>
    <n v="500"/>
    <n v="6.250781347668459E-2"/>
    <n v="0.58674489931990936"/>
    <s v="Budget"/>
    <x v="0"/>
  </r>
  <r>
    <x v="6"/>
    <x v="195"/>
    <x v="159"/>
    <x v="4"/>
    <x v="2"/>
    <n v="4.4000000000000004"/>
    <n v="7499"/>
    <n v="7999"/>
    <n v="500"/>
    <n v="6.250781347668459E-2"/>
    <n v="0.58674489931990936"/>
    <s v="Budget"/>
    <x v="0"/>
  </r>
  <r>
    <x v="6"/>
    <x v="196"/>
    <x v="160"/>
    <x v="0"/>
    <x v="2"/>
    <n v="4.4000000000000004"/>
    <n v="12499"/>
    <n v="13999"/>
    <n v="1500"/>
    <n v="0.10715051075076791"/>
    <n v="0.35202816225298028"/>
    <s v="Budget"/>
    <x v="0"/>
  </r>
  <r>
    <x v="6"/>
    <x v="196"/>
    <x v="161"/>
    <x v="0"/>
    <x v="0"/>
    <n v="4.4000000000000004"/>
    <n v="11499"/>
    <n v="12999"/>
    <n v="1500"/>
    <n v="0.11539349180706208"/>
    <n v="0.38264196886685803"/>
    <s v="Budget"/>
    <x v="0"/>
  </r>
  <r>
    <x v="6"/>
    <x v="196"/>
    <x v="160"/>
    <x v="0"/>
    <x v="0"/>
    <n v="4.4000000000000004"/>
    <n v="11499"/>
    <n v="12999"/>
    <n v="1500"/>
    <n v="0.11539349180706208"/>
    <n v="0.38264196886685803"/>
    <s v="Budget"/>
    <x v="0"/>
  </r>
  <r>
    <x v="6"/>
    <x v="196"/>
    <x v="161"/>
    <x v="0"/>
    <x v="1"/>
    <n v="4.4000000000000004"/>
    <n v="12499"/>
    <n v="13999"/>
    <n v="1500"/>
    <n v="0.10715051075076791"/>
    <n v="0.35202816225298028"/>
    <s v="Budget"/>
    <x v="0"/>
  </r>
  <r>
    <x v="6"/>
    <x v="192"/>
    <x v="51"/>
    <x v="2"/>
    <x v="2"/>
    <n v="4.4000000000000004"/>
    <n v="8499"/>
    <n v="8999"/>
    <n v="500"/>
    <n v="5.5561729081009002E-2"/>
    <n v="0.51770796564301691"/>
    <s v="Budget"/>
    <x v="0"/>
  </r>
  <r>
    <x v="6"/>
    <x v="194"/>
    <x v="157"/>
    <x v="0"/>
    <x v="1"/>
    <n v="4.3"/>
    <n v="14999"/>
    <n v="14999"/>
    <n v="0"/>
    <n v="0"/>
    <n v="0.28668577905193682"/>
    <s v="Budget"/>
    <x v="0"/>
  </r>
  <r>
    <x v="6"/>
    <x v="193"/>
    <x v="162"/>
    <x v="1"/>
    <x v="0"/>
    <n v="4.5"/>
    <n v="14999"/>
    <n v="15999"/>
    <n v="1000"/>
    <n v="6.2503906494155881E-2"/>
    <n v="0.30002000133342221"/>
    <s v="Budget"/>
    <x v="0"/>
  </r>
  <r>
    <x v="6"/>
    <x v="192"/>
    <x v="71"/>
    <x v="0"/>
    <x v="0"/>
    <n v="4.4000000000000004"/>
    <n v="10499"/>
    <n v="10999"/>
    <n v="500"/>
    <n v="4.5458678061641965E-2"/>
    <n v="0.41908753214591871"/>
    <s v="Budget"/>
    <x v="0"/>
  </r>
  <r>
    <x v="6"/>
    <x v="197"/>
    <x v="83"/>
    <x v="3"/>
    <x v="1"/>
    <n v="4.3"/>
    <n v="27999"/>
    <n v="29999"/>
    <n v="2000"/>
    <n v="6.6668888962965439E-2"/>
    <n v="0.15357691346119504"/>
    <s v="Mid Range"/>
    <x v="0"/>
  </r>
  <r>
    <x v="6"/>
    <x v="198"/>
    <x v="163"/>
    <x v="5"/>
    <x v="3"/>
    <n v="4.3"/>
    <n v="47999"/>
    <n v="47999"/>
    <n v="0"/>
    <n v="0"/>
    <n v="8.9585199691660233E-2"/>
    <s v="Mid Range"/>
    <x v="0"/>
  </r>
  <r>
    <x v="6"/>
    <x v="199"/>
    <x v="164"/>
    <x v="1"/>
    <x v="1"/>
    <n v="4.4000000000000004"/>
    <n v="24999"/>
    <n v="26999"/>
    <n v="2000"/>
    <n v="7.4076817659913335E-2"/>
    <n v="0.17600704028161127"/>
    <s v="Mid Range"/>
    <x v="0"/>
  </r>
  <r>
    <x v="6"/>
    <x v="200"/>
    <x v="165"/>
    <x v="3"/>
    <x v="1"/>
    <n v="4.3"/>
    <n v="37999"/>
    <n v="40999"/>
    <n v="3000"/>
    <n v="7.3172516402839088E-2"/>
    <n v="0.11316087265454354"/>
    <s v="Mid Range"/>
    <x v="0"/>
  </r>
  <r>
    <x v="6"/>
    <x v="201"/>
    <x v="163"/>
    <x v="3"/>
    <x v="1"/>
    <n v="4.3"/>
    <n v="41999"/>
    <n v="41999"/>
    <n v="0"/>
    <n v="0"/>
    <n v="0.1023833900807162"/>
    <s v="Mid Range"/>
    <x v="0"/>
  </r>
  <r>
    <x v="6"/>
    <x v="201"/>
    <x v="166"/>
    <x v="5"/>
    <x v="3"/>
    <n v="4.3"/>
    <n v="47999"/>
    <n v="47999"/>
    <n v="0"/>
    <n v="0"/>
    <n v="8.9585199691660233E-2"/>
    <s v="Mid Range"/>
    <x v="0"/>
  </r>
  <r>
    <x v="6"/>
    <x v="201"/>
    <x v="166"/>
    <x v="3"/>
    <x v="1"/>
    <n v="4.3"/>
    <n v="41999"/>
    <n v="41999"/>
    <n v="0"/>
    <n v="0"/>
    <n v="0.1023833900807162"/>
    <s v="Mid Range"/>
    <x v="0"/>
  </r>
  <r>
    <x v="6"/>
    <x v="193"/>
    <x v="162"/>
    <x v="3"/>
    <x v="1"/>
    <n v="4.5"/>
    <n v="16999"/>
    <n v="17999"/>
    <n v="1000"/>
    <n v="5.5558642146785936E-2"/>
    <n v="0.26472145420318843"/>
    <s v="Mid Range"/>
    <x v="0"/>
  </r>
  <r>
    <x v="6"/>
    <x v="193"/>
    <x v="167"/>
    <x v="0"/>
    <x v="0"/>
    <n v="4.5"/>
    <n v="13999"/>
    <n v="14999"/>
    <n v="1000"/>
    <n v="6.6671111407427167E-2"/>
    <n v="0.32145153225230377"/>
    <s v="Budget"/>
    <x v="0"/>
  </r>
  <r>
    <x v="6"/>
    <x v="197"/>
    <x v="83"/>
    <x v="3"/>
    <x v="3"/>
    <n v="4.3"/>
    <n v="29999"/>
    <n v="31999"/>
    <n v="2000"/>
    <n v="6.250195318603706E-2"/>
    <n v="0.14333811127037566"/>
    <s v="Mid Range"/>
    <x v="0"/>
  </r>
  <r>
    <x v="6"/>
    <x v="202"/>
    <x v="51"/>
    <x v="4"/>
    <x v="4"/>
    <n v="4.4000000000000004"/>
    <n v="6499"/>
    <n v="6999"/>
    <n v="500"/>
    <n v="7.1438776968138301E-2"/>
    <n v="0.67702723495922457"/>
    <s v="Budget"/>
    <x v="0"/>
  </r>
  <r>
    <x v="6"/>
    <x v="200"/>
    <x v="168"/>
    <x v="5"/>
    <x v="3"/>
    <n v="4.3"/>
    <n v="41999"/>
    <n v="43999"/>
    <n v="2000"/>
    <n v="4.5455578535875812E-2"/>
    <n v="0.1023833900807162"/>
    <s v="Mid Range"/>
    <x v="0"/>
  </r>
  <r>
    <x v="6"/>
    <x v="203"/>
    <x v="169"/>
    <x v="1"/>
    <x v="0"/>
    <n v="4.4000000000000004"/>
    <n v="14999"/>
    <n v="17999"/>
    <n v="3000"/>
    <n v="0.16667592644035781"/>
    <n v="0.29335289019267952"/>
    <s v="Budget"/>
    <x v="0"/>
  </r>
  <r>
    <x v="6"/>
    <x v="199"/>
    <x v="164"/>
    <x v="3"/>
    <x v="1"/>
    <n v="4.4000000000000004"/>
    <n v="25999"/>
    <n v="27999"/>
    <n v="2000"/>
    <n v="7.1431122540090722E-2"/>
    <n v="0.16923727835685989"/>
    <s v="Mid Range"/>
    <x v="0"/>
  </r>
  <r>
    <x v="6"/>
    <x v="191"/>
    <x v="144"/>
    <x v="2"/>
    <x v="2"/>
    <n v="4.3"/>
    <n v="11999"/>
    <n v="11999"/>
    <n v="0"/>
    <n v="0"/>
    <n v="0.35836319693307778"/>
    <s v="Budget"/>
    <x v="0"/>
  </r>
  <r>
    <x v="6"/>
    <x v="203"/>
    <x v="169"/>
    <x v="3"/>
    <x v="1"/>
    <n v="4.4000000000000004"/>
    <n v="16999"/>
    <n v="17999"/>
    <n v="1000"/>
    <n v="5.5558642146785936E-2"/>
    <n v="0.25883875522089539"/>
    <s v="Mid Range"/>
    <x v="0"/>
  </r>
  <r>
    <x v="6"/>
    <x v="197"/>
    <x v="164"/>
    <x v="3"/>
    <x v="3"/>
    <n v="4.3"/>
    <n v="29999"/>
    <n v="31999"/>
    <n v="2000"/>
    <n v="6.250195318603706E-2"/>
    <n v="0.14333811127037566"/>
    <s v="Mid Range"/>
    <x v="0"/>
  </r>
  <r>
    <x v="6"/>
    <x v="197"/>
    <x v="164"/>
    <x v="5"/>
    <x v="3"/>
    <n v="4.2"/>
    <n v="32999"/>
    <n v="34999"/>
    <n v="2000"/>
    <n v="5.7144489842566933E-2"/>
    <n v="0.1272765841389133"/>
    <s v="Mid Range"/>
    <x v="0"/>
  </r>
  <r>
    <x v="6"/>
    <x v="197"/>
    <x v="83"/>
    <x v="5"/>
    <x v="3"/>
    <n v="4.2"/>
    <n v="32999"/>
    <n v="34999"/>
    <n v="2000"/>
    <n v="5.7144489842566933E-2"/>
    <n v="0.1272765841389133"/>
    <s v="Mid Range"/>
    <x v="0"/>
  </r>
  <r>
    <x v="6"/>
    <x v="204"/>
    <x v="170"/>
    <x v="3"/>
    <x v="1"/>
    <n v="4.3"/>
    <n v="29999"/>
    <n v="32999"/>
    <n v="3000"/>
    <n v="9.0911845813509501E-2"/>
    <n v="0.14333811127037566"/>
    <s v="Mid Range"/>
    <x v="0"/>
  </r>
  <r>
    <x v="6"/>
    <x v="202"/>
    <x v="171"/>
    <x v="4"/>
    <x v="2"/>
    <n v="4.4000000000000004"/>
    <n v="6999"/>
    <n v="7999"/>
    <n v="1000"/>
    <n v="0.12501562695336918"/>
    <n v="0.62866123731961721"/>
    <s v="Budget"/>
    <x v="0"/>
  </r>
  <r>
    <x v="6"/>
    <x v="197"/>
    <x v="164"/>
    <x v="3"/>
    <x v="3"/>
    <n v="4.3"/>
    <n v="29999"/>
    <n v="31999"/>
    <n v="2000"/>
    <n v="6.250195318603706E-2"/>
    <n v="0.14333811127037566"/>
    <s v="Mid Range"/>
    <x v="0"/>
  </r>
  <r>
    <x v="6"/>
    <x v="197"/>
    <x v="164"/>
    <x v="5"/>
    <x v="3"/>
    <n v="4.2"/>
    <n v="32999"/>
    <n v="34999"/>
    <n v="2000"/>
    <n v="5.7144489842566933E-2"/>
    <n v="0.1272765841389133"/>
    <s v="Mid Range"/>
    <x v="0"/>
  </r>
  <r>
    <x v="6"/>
    <x v="197"/>
    <x v="83"/>
    <x v="5"/>
    <x v="3"/>
    <n v="4.2"/>
    <n v="32999"/>
    <n v="34999"/>
    <n v="2000"/>
    <n v="5.7144489842566933E-2"/>
    <n v="0.1272765841389133"/>
    <s v="Mid Range"/>
    <x v="0"/>
  </r>
  <r>
    <x v="6"/>
    <x v="205"/>
    <x v="172"/>
    <x v="1"/>
    <x v="1"/>
    <n v="4.0999999999999996"/>
    <n v="25999"/>
    <n v="26999"/>
    <n v="1000"/>
    <n v="3.7038408829956668E-2"/>
    <n v="0.15769837301434669"/>
    <s v="Mid Range"/>
    <x v="0"/>
  </r>
  <r>
    <x v="6"/>
    <x v="206"/>
    <x v="173"/>
    <x v="1"/>
    <x v="0"/>
    <n v="4.4000000000000004"/>
    <n v="13999"/>
    <n v="15999"/>
    <n v="2000"/>
    <n v="0.12500781298831176"/>
    <n v="0.31430816486891927"/>
    <s v="Budget"/>
    <x v="0"/>
  </r>
  <r>
    <x v="6"/>
    <x v="203"/>
    <x v="174"/>
    <x v="1"/>
    <x v="0"/>
    <n v="4.4000000000000004"/>
    <n v="14999"/>
    <n v="17999"/>
    <n v="3000"/>
    <n v="0.16667592644035781"/>
    <n v="0.29335289019267952"/>
    <s v="Budget"/>
    <x v="0"/>
  </r>
  <r>
    <x v="6"/>
    <x v="207"/>
    <x v="171"/>
    <x v="1"/>
    <x v="1"/>
    <n v="4.3"/>
    <n v="10999"/>
    <n v="14990"/>
    <n v="3991"/>
    <n v="0.26624416277518348"/>
    <n v="0.39094463133012086"/>
    <s v="Budget"/>
    <x v="0"/>
  </r>
  <r>
    <x v="6"/>
    <x v="70"/>
    <x v="71"/>
    <x v="2"/>
    <x v="2"/>
    <n v="4.5"/>
    <n v="8499"/>
    <n v="10999"/>
    <n v="2500"/>
    <n v="0.22729339030820983"/>
    <n v="0.52947405577126716"/>
    <s v="Budget"/>
    <x v="0"/>
  </r>
  <r>
    <x v="6"/>
    <x v="206"/>
    <x v="175"/>
    <x v="0"/>
    <x v="0"/>
    <n v="4.4000000000000004"/>
    <n v="12999"/>
    <n v="14999"/>
    <n v="2000"/>
    <n v="0.13334222281485433"/>
    <n v="0.33848757596738216"/>
    <s v="Budget"/>
    <x v="0"/>
  </r>
  <r>
    <x v="6"/>
    <x v="208"/>
    <x v="176"/>
    <x v="0"/>
    <x v="0"/>
    <n v="4.5"/>
    <n v="17999"/>
    <n v="17999"/>
    <n v="0"/>
    <n v="0"/>
    <n v="0.25001388966053667"/>
    <s v="Mid Range"/>
    <x v="0"/>
  </r>
  <r>
    <x v="6"/>
    <x v="209"/>
    <x v="128"/>
    <x v="0"/>
    <x v="0"/>
    <n v="4.5"/>
    <n v="10999"/>
    <n v="10999"/>
    <n v="0"/>
    <n v="0"/>
    <n v="0.40912810255477766"/>
    <s v="Budget"/>
    <x v="0"/>
  </r>
  <r>
    <x v="6"/>
    <x v="207"/>
    <x v="4"/>
    <x v="0"/>
    <x v="0"/>
    <n v="4.4000000000000004"/>
    <n v="10990"/>
    <n v="14990"/>
    <n v="4000"/>
    <n v="0.26684456304202803"/>
    <n v="0.40036396724294815"/>
    <s v="Budget"/>
    <x v="0"/>
  </r>
  <r>
    <x v="6"/>
    <x v="207"/>
    <x v="177"/>
    <x v="1"/>
    <x v="1"/>
    <n v="4.3"/>
    <n v="10990"/>
    <n v="14990"/>
    <n v="4000"/>
    <n v="0.26684456304202803"/>
    <n v="0.39126478616924476"/>
    <s v="Budget"/>
    <x v="0"/>
  </r>
  <r>
    <x v="6"/>
    <x v="210"/>
    <x v="178"/>
    <x v="0"/>
    <x v="1"/>
    <n v="4.5"/>
    <n v="17999"/>
    <n v="17999"/>
    <n v="0"/>
    <n v="0"/>
    <n v="0.25001388966053667"/>
    <s v="Mid Range"/>
    <x v="0"/>
  </r>
  <r>
    <x v="6"/>
    <x v="195"/>
    <x v="158"/>
    <x v="4"/>
    <x v="2"/>
    <n v="4.3"/>
    <n v="7499"/>
    <n v="7999"/>
    <n v="500"/>
    <n v="6.250781347668459E-2"/>
    <n v="0.57340978797172948"/>
    <s v="Budget"/>
    <x v="0"/>
  </r>
  <r>
    <x v="6"/>
    <x v="195"/>
    <x v="159"/>
    <x v="4"/>
    <x v="2"/>
    <n v="4.3"/>
    <n v="7499"/>
    <n v="7999"/>
    <n v="500"/>
    <n v="6.250781347668459E-2"/>
    <n v="0.57340978797172948"/>
    <s v="Budget"/>
    <x v="0"/>
  </r>
  <r>
    <x v="6"/>
    <x v="196"/>
    <x v="160"/>
    <x v="0"/>
    <x v="1"/>
    <n v="4.3"/>
    <n v="12499"/>
    <n v="13999"/>
    <n v="1500"/>
    <n v="0.10715051075076791"/>
    <n v="0.34402752220177613"/>
    <s v="Budget"/>
    <x v="0"/>
  </r>
  <r>
    <x v="6"/>
    <x v="196"/>
    <x v="161"/>
    <x v="0"/>
    <x v="0"/>
    <n v="4.3"/>
    <n v="11499"/>
    <n v="12999"/>
    <n v="1500"/>
    <n v="0.11539349180706208"/>
    <n v="0.37394556048352029"/>
    <s v="Budget"/>
    <x v="0"/>
  </r>
  <r>
    <x v="6"/>
    <x v="196"/>
    <x v="160"/>
    <x v="0"/>
    <x v="0"/>
    <n v="4.3"/>
    <n v="11499"/>
    <n v="12999"/>
    <n v="1500"/>
    <n v="0.11539349180706208"/>
    <n v="0.37394556048352029"/>
    <s v="Budget"/>
    <x v="0"/>
  </r>
  <r>
    <x v="6"/>
    <x v="77"/>
    <x v="171"/>
    <x v="2"/>
    <x v="2"/>
    <n v="4.5"/>
    <n v="9990"/>
    <n v="9990"/>
    <n v="0"/>
    <n v="0"/>
    <n v="0.45045045045045046"/>
    <s v="Budget"/>
    <x v="0"/>
  </r>
  <r>
    <x v="6"/>
    <x v="77"/>
    <x v="71"/>
    <x v="2"/>
    <x v="2"/>
    <n v="4.5"/>
    <n v="9990"/>
    <n v="9990"/>
    <n v="0"/>
    <n v="0"/>
    <n v="0.45045045045045046"/>
    <s v="Budget"/>
    <x v="0"/>
  </r>
  <r>
    <x v="6"/>
    <x v="208"/>
    <x v="179"/>
    <x v="3"/>
    <x v="1"/>
    <n v="4.5"/>
    <n v="20999"/>
    <n v="20999"/>
    <n v="0"/>
    <n v="0"/>
    <n v="0.21429591885327873"/>
    <s v="Mid Range"/>
    <x v="0"/>
  </r>
  <r>
    <x v="6"/>
    <x v="210"/>
    <x v="178"/>
    <x v="3"/>
    <x v="1"/>
    <n v="4.5"/>
    <n v="20999"/>
    <n v="20999"/>
    <n v="0"/>
    <n v="0"/>
    <n v="0.21429591885327873"/>
    <s v="Mid Range"/>
    <x v="0"/>
  </r>
  <r>
    <x v="6"/>
    <x v="196"/>
    <x v="161"/>
    <x v="0"/>
    <x v="1"/>
    <n v="4.3"/>
    <n v="12499"/>
    <n v="13999"/>
    <n v="1500"/>
    <n v="0.10715051075076791"/>
    <n v="0.34402752220177613"/>
    <s v="Budget"/>
    <x v="0"/>
  </r>
  <r>
    <x v="6"/>
    <x v="180"/>
    <x v="111"/>
    <x v="0"/>
    <x v="0"/>
    <n v="4.3"/>
    <n v="10499"/>
    <n v="10999"/>
    <n v="500"/>
    <n v="4.5458678061641965E-2"/>
    <n v="0.40956281550623869"/>
    <s v="Budget"/>
    <x v="0"/>
  </r>
  <r>
    <x v="6"/>
    <x v="180"/>
    <x v="140"/>
    <x v="0"/>
    <x v="0"/>
    <n v="4.3"/>
    <n v="10499"/>
    <n v="10999"/>
    <n v="500"/>
    <n v="4.5458678061641965E-2"/>
    <n v="0.40956281550623869"/>
    <s v="Budget"/>
    <x v="0"/>
  </r>
  <r>
    <x v="6"/>
    <x v="180"/>
    <x v="111"/>
    <x v="2"/>
    <x v="2"/>
    <n v="4.3"/>
    <n v="8999"/>
    <n v="9999"/>
    <n v="1000"/>
    <n v="0.1000100010001"/>
    <n v="0.47783087009667735"/>
    <s v="Budget"/>
    <x v="0"/>
  </r>
  <r>
    <x v="6"/>
    <x v="183"/>
    <x v="148"/>
    <x v="0"/>
    <x v="0"/>
    <n v="4.4000000000000004"/>
    <n v="10999"/>
    <n v="12999"/>
    <n v="2000"/>
    <n v="0.15385798907608278"/>
    <n v="0.40003636694244932"/>
    <s v="Budget"/>
    <x v="0"/>
  </r>
  <r>
    <x v="6"/>
    <x v="183"/>
    <x v="144"/>
    <x v="0"/>
    <x v="0"/>
    <n v="4.4000000000000004"/>
    <n v="10999"/>
    <n v="12999"/>
    <n v="2000"/>
    <n v="0.15385798907608278"/>
    <n v="0.40003636694244932"/>
    <s v="Budget"/>
    <x v="0"/>
  </r>
  <r>
    <x v="6"/>
    <x v="182"/>
    <x v="145"/>
    <x v="1"/>
    <x v="1"/>
    <n v="4.3"/>
    <n v="17999"/>
    <n v="19999"/>
    <n v="2000"/>
    <n v="0.10000500025001251"/>
    <n v="0.23890216123117949"/>
    <s v="Mid Range"/>
    <x v="0"/>
  </r>
  <r>
    <x v="6"/>
    <x v="184"/>
    <x v="146"/>
    <x v="0"/>
    <x v="1"/>
    <n v="4.3"/>
    <n v="15999"/>
    <n v="16999"/>
    <n v="1000"/>
    <n v="5.8826989822930761E-2"/>
    <n v="0.26876679792487029"/>
    <s v="Mid Range"/>
    <x v="0"/>
  </r>
  <r>
    <x v="6"/>
    <x v="183"/>
    <x v="148"/>
    <x v="2"/>
    <x v="2"/>
    <n v="4.3"/>
    <n v="9999"/>
    <n v="11999"/>
    <n v="2000"/>
    <n v="0.16668055671305942"/>
    <n v="0.43004300430043002"/>
    <s v="Budget"/>
    <x v="0"/>
  </r>
  <r>
    <x v="6"/>
    <x v="182"/>
    <x v="180"/>
    <x v="3"/>
    <x v="1"/>
    <n v="4.4000000000000004"/>
    <n v="19999"/>
    <n v="21999"/>
    <n v="2000"/>
    <n v="9.0913223328333112E-2"/>
    <n v="0.22001100055002751"/>
    <s v="Mid Range"/>
    <x v="0"/>
  </r>
  <r>
    <x v="6"/>
    <x v="182"/>
    <x v="180"/>
    <x v="1"/>
    <x v="1"/>
    <n v="4.3"/>
    <n v="17999"/>
    <n v="19999"/>
    <n v="2000"/>
    <n v="0.10000500025001251"/>
    <n v="0.23890216123117949"/>
    <s v="Mid Range"/>
    <x v="0"/>
  </r>
  <r>
    <x v="6"/>
    <x v="211"/>
    <x v="136"/>
    <x v="0"/>
    <x v="0"/>
    <n v="4.4000000000000004"/>
    <n v="9999"/>
    <n v="10999"/>
    <n v="1000"/>
    <n v="9.0917356123283929E-2"/>
    <n v="0.44004400440044006"/>
    <s v="Budget"/>
    <x v="0"/>
  </r>
  <r>
    <x v="6"/>
    <x v="211"/>
    <x v="137"/>
    <x v="0"/>
    <x v="0"/>
    <n v="4.4000000000000004"/>
    <n v="9999"/>
    <n v="10999"/>
    <n v="1000"/>
    <n v="9.0917356123283929E-2"/>
    <n v="0.44004400440044006"/>
    <s v="Budget"/>
    <x v="0"/>
  </r>
  <r>
    <x v="6"/>
    <x v="190"/>
    <x v="181"/>
    <x v="0"/>
    <x v="0"/>
    <n v="4.4000000000000004"/>
    <n v="9999"/>
    <n v="9999"/>
    <n v="0"/>
    <n v="0"/>
    <n v="0.44004400440044006"/>
    <s v="Budget"/>
    <x v="0"/>
  </r>
  <r>
    <x v="6"/>
    <x v="190"/>
    <x v="181"/>
    <x v="2"/>
    <x v="2"/>
    <n v="4.4000000000000004"/>
    <n v="8999"/>
    <n v="8999"/>
    <n v="0"/>
    <n v="0"/>
    <n v="0.48894321591287931"/>
    <s v="Budget"/>
    <x v="0"/>
  </r>
  <r>
    <x v="6"/>
    <x v="190"/>
    <x v="155"/>
    <x v="0"/>
    <x v="0"/>
    <n v="4.4000000000000004"/>
    <n v="10999"/>
    <n v="10999"/>
    <n v="0"/>
    <n v="0"/>
    <n v="0.40003636694244932"/>
    <s v="Budget"/>
    <x v="0"/>
  </r>
  <r>
    <x v="6"/>
    <x v="190"/>
    <x v="182"/>
    <x v="2"/>
    <x v="2"/>
    <n v="4.4000000000000004"/>
    <n v="8999"/>
    <n v="8999"/>
    <n v="0"/>
    <n v="0"/>
    <n v="0.48894321591287931"/>
    <s v="Budget"/>
    <x v="0"/>
  </r>
  <r>
    <x v="6"/>
    <x v="211"/>
    <x v="137"/>
    <x v="0"/>
    <x v="1"/>
    <n v="4.4000000000000004"/>
    <n v="10999"/>
    <n v="11999"/>
    <n v="1000"/>
    <n v="8.3340278356529712E-2"/>
    <n v="0.40003636694244932"/>
    <s v="Budget"/>
    <x v="0"/>
  </r>
  <r>
    <x v="6"/>
    <x v="211"/>
    <x v="136"/>
    <x v="0"/>
    <x v="1"/>
    <n v="4.4000000000000004"/>
    <n v="10999"/>
    <n v="11999"/>
    <n v="1000"/>
    <n v="8.3340278356529712E-2"/>
    <n v="0.40003636694244932"/>
    <s v="Budget"/>
    <x v="0"/>
  </r>
  <r>
    <x v="6"/>
    <x v="193"/>
    <x v="167"/>
    <x v="1"/>
    <x v="0"/>
    <n v="4.5"/>
    <n v="14999"/>
    <n v="15999"/>
    <n v="1000"/>
    <n v="6.2503906494155881E-2"/>
    <n v="0.30002000133342221"/>
    <s v="Budget"/>
    <x v="0"/>
  </r>
  <r>
    <x v="6"/>
    <x v="185"/>
    <x v="148"/>
    <x v="0"/>
    <x v="0"/>
    <n v="4.4000000000000004"/>
    <n v="10999"/>
    <n v="10999"/>
    <n v="0"/>
    <n v="0"/>
    <n v="0.40003636694244932"/>
    <s v="Budget"/>
    <x v="0"/>
  </r>
  <r>
    <x v="6"/>
    <x v="194"/>
    <x v="183"/>
    <x v="0"/>
    <x v="0"/>
    <n v="4.3"/>
    <n v="13999"/>
    <n v="13999"/>
    <n v="0"/>
    <n v="0"/>
    <n v="0.30716479748553466"/>
    <s v="Budget"/>
    <x v="0"/>
  </r>
  <r>
    <x v="6"/>
    <x v="187"/>
    <x v="184"/>
    <x v="3"/>
    <x v="1"/>
    <n v="4.3"/>
    <n v="17999"/>
    <n v="20999"/>
    <n v="3000"/>
    <n v="0.14286394590218582"/>
    <n v="0.23890216123117949"/>
    <s v="Mid Range"/>
    <x v="0"/>
  </r>
  <r>
    <x v="6"/>
    <x v="193"/>
    <x v="156"/>
    <x v="1"/>
    <x v="0"/>
    <n v="4.5"/>
    <n v="14999"/>
    <n v="15999"/>
    <n v="1000"/>
    <n v="6.2503906494155881E-2"/>
    <n v="0.30002000133342221"/>
    <s v="Budget"/>
    <x v="0"/>
  </r>
  <r>
    <x v="6"/>
    <x v="192"/>
    <x v="171"/>
    <x v="0"/>
    <x v="0"/>
    <n v="4.4000000000000004"/>
    <n v="10499"/>
    <n v="10999"/>
    <n v="500"/>
    <n v="4.5458678061641965E-2"/>
    <n v="0.41908753214591871"/>
    <s v="Budget"/>
    <x v="0"/>
  </r>
  <r>
    <x v="6"/>
    <x v="192"/>
    <x v="71"/>
    <x v="2"/>
    <x v="2"/>
    <n v="4.4000000000000004"/>
    <n v="8499"/>
    <n v="8999"/>
    <n v="500"/>
    <n v="5.5561729081009002E-2"/>
    <n v="0.51770796564301691"/>
    <s v="Budget"/>
    <x v="0"/>
  </r>
  <r>
    <x v="6"/>
    <x v="193"/>
    <x v="167"/>
    <x v="3"/>
    <x v="1"/>
    <n v="4.5"/>
    <n v="16999"/>
    <n v="17999"/>
    <n v="1000"/>
    <n v="5.5558642146785936E-2"/>
    <n v="0.26472145420318843"/>
    <s v="Mid Range"/>
    <x v="0"/>
  </r>
  <r>
    <x v="6"/>
    <x v="185"/>
    <x v="144"/>
    <x v="0"/>
    <x v="0"/>
    <n v="4.4000000000000004"/>
    <n v="10999"/>
    <n v="10999"/>
    <n v="0"/>
    <n v="0"/>
    <n v="0.40003636694244932"/>
    <s v="Budget"/>
    <x v="0"/>
  </r>
  <r>
    <x v="6"/>
    <x v="187"/>
    <x v="184"/>
    <x v="1"/>
    <x v="0"/>
    <n v="4.3"/>
    <n v="14999"/>
    <n v="17999"/>
    <n v="3000"/>
    <n v="0.16667592644035781"/>
    <n v="0.28668577905193682"/>
    <s v="Budget"/>
    <x v="0"/>
  </r>
  <r>
    <x v="6"/>
    <x v="212"/>
    <x v="185"/>
    <x v="1"/>
    <x v="1"/>
    <n v="4.4000000000000004"/>
    <n v="19999"/>
    <n v="20999"/>
    <n v="1000"/>
    <n v="4.7621315300728606E-2"/>
    <n v="0.22001100055002751"/>
    <s v="Mid Range"/>
    <x v="0"/>
  </r>
  <r>
    <x v="6"/>
    <x v="213"/>
    <x v="186"/>
    <x v="3"/>
    <x v="1"/>
    <n v="4.3"/>
    <n v="16999"/>
    <n v="18999"/>
    <n v="2000"/>
    <n v="0.10526869835254488"/>
    <n v="0.25295605623860223"/>
    <s v="Mid Range"/>
    <x v="0"/>
  </r>
  <r>
    <x v="6"/>
    <x v="213"/>
    <x v="187"/>
    <x v="1"/>
    <x v="0"/>
    <n v="4.3"/>
    <n v="14999"/>
    <n v="16999"/>
    <n v="2000"/>
    <n v="0.11765397964586152"/>
    <n v="0.28668577905193682"/>
    <s v="Budget"/>
    <x v="0"/>
  </r>
  <r>
    <x v="6"/>
    <x v="213"/>
    <x v="187"/>
    <x v="3"/>
    <x v="1"/>
    <n v="4.3"/>
    <n v="16999"/>
    <n v="18999"/>
    <n v="2000"/>
    <n v="0.10526869835254488"/>
    <n v="0.25295605623860223"/>
    <s v="Mid Range"/>
    <x v="0"/>
  </r>
  <r>
    <x v="6"/>
    <x v="194"/>
    <x v="183"/>
    <x v="0"/>
    <x v="1"/>
    <n v="4.3"/>
    <n v="14999"/>
    <n v="14999"/>
    <n v="0"/>
    <n v="0"/>
    <n v="0.28668577905193682"/>
    <s v="Budget"/>
    <x v="0"/>
  </r>
  <r>
    <x v="6"/>
    <x v="197"/>
    <x v="164"/>
    <x v="3"/>
    <x v="1"/>
    <n v="4.3"/>
    <n v="27999"/>
    <n v="29999"/>
    <n v="2000"/>
    <n v="6.6668888962965439E-2"/>
    <n v="0.15357691346119504"/>
    <s v="Mid Range"/>
    <x v="0"/>
  </r>
  <r>
    <x v="6"/>
    <x v="214"/>
    <x v="188"/>
    <x v="2"/>
    <x v="2"/>
    <n v="4.3"/>
    <n v="8499"/>
    <n v="10999"/>
    <n v="2500"/>
    <n v="0.22729339030820983"/>
    <n v="0.50594187551476644"/>
    <s v="Budget"/>
    <x v="0"/>
  </r>
  <r>
    <x v="6"/>
    <x v="215"/>
    <x v="188"/>
    <x v="0"/>
    <x v="0"/>
    <n v="4.3"/>
    <n v="10499"/>
    <n v="12999"/>
    <n v="2500"/>
    <n v="0.19232248634510346"/>
    <n v="0.40956281550623869"/>
    <s v="Budget"/>
    <x v="0"/>
  </r>
  <r>
    <x v="6"/>
    <x v="215"/>
    <x v="189"/>
    <x v="0"/>
    <x v="0"/>
    <n v="4.3"/>
    <n v="10499"/>
    <n v="12999"/>
    <n v="2500"/>
    <n v="0.19232248634510346"/>
    <n v="0.40956281550623869"/>
    <s v="Budget"/>
    <x v="0"/>
  </r>
  <r>
    <x v="6"/>
    <x v="214"/>
    <x v="188"/>
    <x v="0"/>
    <x v="0"/>
    <n v="4.4000000000000004"/>
    <n v="9499"/>
    <n v="11999"/>
    <n v="2500"/>
    <n v="0.20835069589132427"/>
    <n v="0.46320665333192973"/>
    <s v="Budget"/>
    <x v="0"/>
  </r>
  <r>
    <x v="6"/>
    <x v="215"/>
    <x v="188"/>
    <x v="0"/>
    <x v="1"/>
    <n v="4.3"/>
    <n v="11499"/>
    <n v="13999"/>
    <n v="2500"/>
    <n v="0.1785841845846132"/>
    <n v="0.37394556048352029"/>
    <s v="Budget"/>
    <x v="0"/>
  </r>
  <r>
    <x v="6"/>
    <x v="216"/>
    <x v="190"/>
    <x v="0"/>
    <x v="0"/>
    <n v="4.5"/>
    <n v="9999"/>
    <n v="10999"/>
    <n v="1000"/>
    <n v="9.0917356123283929E-2"/>
    <n v="0.45004500450045004"/>
    <s v="Budget"/>
    <x v="0"/>
  </r>
  <r>
    <x v="6"/>
    <x v="217"/>
    <x v="191"/>
    <x v="0"/>
    <x v="1"/>
    <n v="4.5"/>
    <n v="11999"/>
    <n v="12999"/>
    <n v="1000"/>
    <n v="7.692899453804139E-2"/>
    <n v="0.37503125260438369"/>
    <s v="Budget"/>
    <x v="0"/>
  </r>
  <r>
    <x v="6"/>
    <x v="217"/>
    <x v="192"/>
    <x v="0"/>
    <x v="1"/>
    <n v="4.5"/>
    <n v="11999"/>
    <n v="12999"/>
    <n v="1000"/>
    <n v="7.692899453804139E-2"/>
    <n v="0.37503125260438369"/>
    <s v="Budget"/>
    <x v="0"/>
  </r>
  <r>
    <x v="6"/>
    <x v="215"/>
    <x v="189"/>
    <x v="0"/>
    <x v="1"/>
    <n v="4.3"/>
    <n v="11499"/>
    <n v="13999"/>
    <n v="2500"/>
    <n v="0.1785841845846132"/>
    <n v="0.37394556048352029"/>
    <s v="Budget"/>
    <x v="0"/>
  </r>
  <r>
    <x v="6"/>
    <x v="214"/>
    <x v="189"/>
    <x v="0"/>
    <x v="0"/>
    <n v="4.4000000000000004"/>
    <n v="9499"/>
    <n v="11999"/>
    <n v="2500"/>
    <n v="0.20835069589132427"/>
    <n v="0.46320665333192973"/>
    <s v="Budget"/>
    <x v="0"/>
  </r>
  <r>
    <x v="6"/>
    <x v="202"/>
    <x v="171"/>
    <x v="4"/>
    <x v="4"/>
    <n v="4.4000000000000004"/>
    <n v="6499"/>
    <n v="6999"/>
    <n v="500"/>
    <n v="7.1438776968138301E-2"/>
    <n v="0.67702723495922457"/>
    <s v="Budget"/>
    <x v="0"/>
  </r>
  <r>
    <x v="6"/>
    <x v="214"/>
    <x v="189"/>
    <x v="2"/>
    <x v="2"/>
    <n v="4.3"/>
    <n v="8499"/>
    <n v="10999"/>
    <n v="2500"/>
    <n v="0.22729339030820983"/>
    <n v="0.50594187551476644"/>
    <s v="Budget"/>
    <x v="0"/>
  </r>
  <r>
    <x v="6"/>
    <x v="218"/>
    <x v="193"/>
    <x v="3"/>
    <x v="1"/>
    <n v="4.4000000000000004"/>
    <n v="19999"/>
    <n v="19999"/>
    <n v="0"/>
    <n v="0"/>
    <n v="0.22001100055002751"/>
    <s v="Mid Range"/>
    <x v="0"/>
  </r>
  <r>
    <x v="6"/>
    <x v="216"/>
    <x v="194"/>
    <x v="2"/>
    <x v="2"/>
    <n v="4.5"/>
    <n v="8999"/>
    <n v="9999"/>
    <n v="1000"/>
    <n v="0.1000100010001"/>
    <n v="0.50005556172908106"/>
    <s v="Budget"/>
    <x v="0"/>
  </r>
  <r>
    <x v="6"/>
    <x v="203"/>
    <x v="174"/>
    <x v="1"/>
    <x v="1"/>
    <n v="4.4000000000000004"/>
    <n v="15999"/>
    <n v="16999"/>
    <n v="1000"/>
    <n v="5.8826989822930761E-2"/>
    <n v="0.27501718857428592"/>
    <s v="Mid Range"/>
    <x v="0"/>
  </r>
  <r>
    <x v="6"/>
    <x v="216"/>
    <x v="190"/>
    <x v="2"/>
    <x v="2"/>
    <n v="4.5"/>
    <n v="8999"/>
    <n v="9999"/>
    <n v="1000"/>
    <n v="0.1000100010001"/>
    <n v="0.50005556172908106"/>
    <s v="Budget"/>
    <x v="0"/>
  </r>
  <r>
    <x v="6"/>
    <x v="217"/>
    <x v="195"/>
    <x v="0"/>
    <x v="1"/>
    <n v="4.5"/>
    <n v="11999"/>
    <n v="12999"/>
    <n v="1000"/>
    <n v="7.692899453804139E-2"/>
    <n v="0.37503125260438369"/>
    <s v="Budget"/>
    <x v="0"/>
  </r>
  <r>
    <x v="6"/>
    <x v="203"/>
    <x v="169"/>
    <x v="0"/>
    <x v="0"/>
    <n v="4.4000000000000004"/>
    <n v="13999"/>
    <n v="14999"/>
    <n v="1000"/>
    <n v="6.6671111407427167E-2"/>
    <n v="0.31430816486891927"/>
    <s v="Budget"/>
    <x v="0"/>
  </r>
  <r>
    <x v="6"/>
    <x v="219"/>
    <x v="196"/>
    <x v="2"/>
    <x v="2"/>
    <n v="4.4000000000000004"/>
    <n v="8285"/>
    <n v="8285"/>
    <n v="0"/>
    <n v="0"/>
    <n v="0.53108026554013277"/>
    <s v="Budget"/>
    <x v="0"/>
  </r>
  <r>
    <x v="6"/>
    <x v="219"/>
    <x v="197"/>
    <x v="2"/>
    <x v="2"/>
    <n v="4.4000000000000004"/>
    <n v="8490"/>
    <n v="8490"/>
    <n v="0"/>
    <n v="0"/>
    <n v="0.51825677267373382"/>
    <s v="Budget"/>
    <x v="0"/>
  </r>
  <r>
    <x v="6"/>
    <x v="203"/>
    <x v="174"/>
    <x v="3"/>
    <x v="1"/>
    <n v="4.4000000000000004"/>
    <n v="16999"/>
    <n v="17999"/>
    <n v="1000"/>
    <n v="5.5558642146785936E-2"/>
    <n v="0.25883875522089539"/>
    <s v="Mid Range"/>
    <x v="0"/>
  </r>
  <r>
    <x v="6"/>
    <x v="220"/>
    <x v="175"/>
    <x v="3"/>
    <x v="1"/>
    <n v="4.5"/>
    <n v="31999"/>
    <n v="31999"/>
    <n v="0"/>
    <n v="0"/>
    <n v="0.1406293946685834"/>
    <s v="Mid Range"/>
    <x v="0"/>
  </r>
  <r>
    <x v="6"/>
    <x v="203"/>
    <x v="174"/>
    <x v="0"/>
    <x v="0"/>
    <n v="4.4000000000000004"/>
    <n v="13999"/>
    <n v="14999"/>
    <n v="1000"/>
    <n v="6.6671111407427167E-2"/>
    <n v="0.31430816486891927"/>
    <s v="Budget"/>
    <x v="0"/>
  </r>
  <r>
    <x v="6"/>
    <x v="219"/>
    <x v="198"/>
    <x v="0"/>
    <x v="0"/>
    <n v="4.4000000000000004"/>
    <n v="9999"/>
    <n v="15499"/>
    <n v="5500"/>
    <n v="0.35486160397444999"/>
    <n v="0.44004400440044006"/>
    <s v="Budget"/>
    <x v="0"/>
  </r>
  <r>
    <x v="6"/>
    <x v="218"/>
    <x v="199"/>
    <x v="1"/>
    <x v="0"/>
    <n v="4.4000000000000004"/>
    <n v="17999"/>
    <n v="17999"/>
    <n v="0"/>
    <n v="0"/>
    <n v="0.24445802544585812"/>
    <s v="Mid Range"/>
    <x v="0"/>
  </r>
  <r>
    <x v="6"/>
    <x v="207"/>
    <x v="200"/>
    <x v="1"/>
    <x v="1"/>
    <n v="4.3"/>
    <n v="12799"/>
    <n v="12799"/>
    <n v="0"/>
    <n v="0"/>
    <n v="0.33596374716774746"/>
    <s v="Budget"/>
    <x v="0"/>
  </r>
  <r>
    <x v="6"/>
    <x v="219"/>
    <x v="197"/>
    <x v="0"/>
    <x v="0"/>
    <n v="4.4000000000000004"/>
    <n v="11990"/>
    <n v="15499"/>
    <n v="3509"/>
    <n v="0.22640170333569909"/>
    <n v="0.36697247706422026"/>
    <s v="Budget"/>
    <x v="0"/>
  </r>
  <r>
    <x v="6"/>
    <x v="221"/>
    <x v="7"/>
    <x v="0"/>
    <x v="1"/>
    <n v="4.5"/>
    <n v="11999"/>
    <n v="12999"/>
    <n v="1000"/>
    <n v="7.692899453804139E-2"/>
    <n v="0.37503125260438369"/>
    <s v="Budget"/>
    <x v="0"/>
  </r>
  <r>
    <x v="6"/>
    <x v="190"/>
    <x v="182"/>
    <x v="0"/>
    <x v="0"/>
    <n v="4.4000000000000004"/>
    <n v="10999"/>
    <n v="10999"/>
    <n v="0"/>
    <n v="0"/>
    <n v="0.40003636694244932"/>
    <s v="Budget"/>
    <x v="0"/>
  </r>
  <r>
    <x v="6"/>
    <x v="199"/>
    <x v="83"/>
    <x v="3"/>
    <x v="1"/>
    <n v="4.4000000000000004"/>
    <n v="25999"/>
    <n v="27999"/>
    <n v="2000"/>
    <n v="7.1431122540090722E-2"/>
    <n v="0.16923727835685989"/>
    <s v="Mid Range"/>
    <x v="0"/>
  </r>
  <r>
    <x v="6"/>
    <x v="219"/>
    <x v="197"/>
    <x v="2"/>
    <x v="0"/>
    <n v="4.4000000000000004"/>
    <n v="11999"/>
    <n v="11999"/>
    <n v="0"/>
    <n v="0"/>
    <n v="0.36669722476873073"/>
    <s v="Budget"/>
    <x v="0"/>
  </r>
  <r>
    <x v="6"/>
    <x v="77"/>
    <x v="51"/>
    <x v="0"/>
    <x v="0"/>
    <n v="4.4000000000000004"/>
    <n v="11990"/>
    <n v="11990"/>
    <n v="0"/>
    <n v="0"/>
    <n v="0.36697247706422026"/>
    <s v="Budget"/>
    <x v="0"/>
  </r>
  <r>
    <x v="6"/>
    <x v="207"/>
    <x v="71"/>
    <x v="0"/>
    <x v="0"/>
    <n v="4.4000000000000004"/>
    <n v="9490"/>
    <n v="9490"/>
    <n v="0"/>
    <n v="0"/>
    <n v="0.46364594309799789"/>
    <s v="Budget"/>
    <x v="0"/>
  </r>
  <r>
    <x v="6"/>
    <x v="218"/>
    <x v="193"/>
    <x v="1"/>
    <x v="0"/>
    <n v="4.4000000000000004"/>
    <n v="17999"/>
    <n v="17999"/>
    <n v="0"/>
    <n v="0"/>
    <n v="0.24445802544585812"/>
    <s v="Mid Range"/>
    <x v="0"/>
  </r>
  <r>
    <x v="6"/>
    <x v="208"/>
    <x v="179"/>
    <x v="0"/>
    <x v="0"/>
    <n v="4.5"/>
    <n v="17999"/>
    <n v="17999"/>
    <n v="0"/>
    <n v="0"/>
    <n v="0.25001388966053667"/>
    <s v="Mid Range"/>
    <x v="0"/>
  </r>
  <r>
    <x v="6"/>
    <x v="208"/>
    <x v="201"/>
    <x v="0"/>
    <x v="0"/>
    <n v="4.5"/>
    <n v="17999"/>
    <n v="17999"/>
    <n v="0"/>
    <n v="0"/>
    <n v="0.25001388966053667"/>
    <s v="Mid Range"/>
    <x v="0"/>
  </r>
  <r>
    <x v="6"/>
    <x v="218"/>
    <x v="199"/>
    <x v="3"/>
    <x v="1"/>
    <n v="4.4000000000000004"/>
    <n v="19999"/>
    <n v="19999"/>
    <n v="0"/>
    <n v="0"/>
    <n v="0.22001100055002751"/>
    <s v="Mid Range"/>
    <x v="0"/>
  </r>
  <r>
    <x v="6"/>
    <x v="202"/>
    <x v="51"/>
    <x v="2"/>
    <x v="2"/>
    <n v="4.4000000000000004"/>
    <n v="7499"/>
    <n v="8999"/>
    <n v="1500"/>
    <n v="0.166685187243027"/>
    <n v="0.58674489931990936"/>
    <s v="Budget"/>
    <x v="0"/>
  </r>
  <r>
    <x v="6"/>
    <x v="202"/>
    <x v="202"/>
    <x v="2"/>
    <x v="2"/>
    <n v="4.4000000000000004"/>
    <n v="7499"/>
    <n v="8999"/>
    <n v="1500"/>
    <n v="0.166685187243027"/>
    <n v="0.58674489931990936"/>
    <s v="Budget"/>
    <x v="0"/>
  </r>
  <r>
    <x v="6"/>
    <x v="202"/>
    <x v="203"/>
    <x v="2"/>
    <x v="2"/>
    <n v="4.4000000000000004"/>
    <n v="7499"/>
    <n v="8999"/>
    <n v="1500"/>
    <n v="0.166685187243027"/>
    <n v="0.58674489931990936"/>
    <s v="Budget"/>
    <x v="0"/>
  </r>
  <r>
    <x v="6"/>
    <x v="209"/>
    <x v="204"/>
    <x v="0"/>
    <x v="0"/>
    <n v="4.5"/>
    <n v="10999"/>
    <n v="10999"/>
    <n v="0"/>
    <n v="0"/>
    <n v="0.40912810255477766"/>
    <s v="Budget"/>
    <x v="0"/>
  </r>
  <r>
    <x v="6"/>
    <x v="208"/>
    <x v="201"/>
    <x v="1"/>
    <x v="1"/>
    <n v="4.5"/>
    <n v="19999"/>
    <n v="19999"/>
    <n v="0"/>
    <n v="0"/>
    <n v="0.2250112505625281"/>
    <s v="Mid Range"/>
    <x v="0"/>
  </r>
  <r>
    <x v="6"/>
    <x v="218"/>
    <x v="193"/>
    <x v="1"/>
    <x v="1"/>
    <n v="4.4000000000000004"/>
    <n v="18999"/>
    <n v="18999"/>
    <n v="0"/>
    <n v="0"/>
    <n v="0.23159113637559872"/>
    <s v="Mid Range"/>
    <x v="0"/>
  </r>
  <r>
    <x v="6"/>
    <x v="218"/>
    <x v="205"/>
    <x v="1"/>
    <x v="1"/>
    <n v="4.4000000000000004"/>
    <n v="18999"/>
    <n v="18999"/>
    <n v="0"/>
    <n v="0"/>
    <n v="0.23159113637559872"/>
    <s v="Mid Range"/>
    <x v="0"/>
  </r>
  <r>
    <x v="6"/>
    <x v="208"/>
    <x v="176"/>
    <x v="3"/>
    <x v="1"/>
    <n v="4.5"/>
    <n v="20999"/>
    <n v="20999"/>
    <n v="0"/>
    <n v="0"/>
    <n v="0.21429591885327873"/>
    <s v="Mid Range"/>
    <x v="0"/>
  </r>
  <r>
    <x v="6"/>
    <x v="218"/>
    <x v="205"/>
    <x v="3"/>
    <x v="1"/>
    <n v="4.4000000000000004"/>
    <n v="19499"/>
    <n v="19499"/>
    <n v="0"/>
    <n v="0"/>
    <n v="0.22565259756910613"/>
    <s v="Mid Range"/>
    <x v="0"/>
  </r>
  <r>
    <x v="6"/>
    <x v="206"/>
    <x v="173"/>
    <x v="0"/>
    <x v="0"/>
    <n v="4.4000000000000004"/>
    <n v="12999"/>
    <n v="14999"/>
    <n v="2000"/>
    <n v="0.13334222281485433"/>
    <n v="0.33848757596738216"/>
    <s v="Budget"/>
    <x v="0"/>
  </r>
  <r>
    <x v="6"/>
    <x v="218"/>
    <x v="199"/>
    <x v="1"/>
    <x v="1"/>
    <n v="4.4000000000000004"/>
    <n v="18999"/>
    <n v="18999"/>
    <n v="0"/>
    <n v="0"/>
    <n v="0.23159113637559872"/>
    <s v="Mid Range"/>
    <x v="0"/>
  </r>
  <r>
    <x v="6"/>
    <x v="70"/>
    <x v="206"/>
    <x v="2"/>
    <x v="0"/>
    <n v="4.5"/>
    <n v="9499"/>
    <n v="11999"/>
    <n v="2500"/>
    <n v="0.20835069589132427"/>
    <n v="0.47373407727129169"/>
    <s v="Budget"/>
    <x v="0"/>
  </r>
  <r>
    <x v="6"/>
    <x v="199"/>
    <x v="83"/>
    <x v="1"/>
    <x v="1"/>
    <n v="4.4000000000000004"/>
    <n v="24999"/>
    <n v="26999"/>
    <n v="2000"/>
    <n v="7.4076817659913335E-2"/>
    <n v="0.17600704028161127"/>
    <s v="Mid Range"/>
    <x v="0"/>
  </r>
  <r>
    <x v="6"/>
    <x v="208"/>
    <x v="176"/>
    <x v="3"/>
    <x v="3"/>
    <n v="4.5"/>
    <n v="24999"/>
    <n v="24999"/>
    <n v="0"/>
    <n v="0"/>
    <n v="0.18000720028801154"/>
    <s v="Mid Range"/>
    <x v="0"/>
  </r>
  <r>
    <x v="6"/>
    <x v="208"/>
    <x v="176"/>
    <x v="1"/>
    <x v="1"/>
    <n v="4.5"/>
    <n v="19999"/>
    <n v="19999"/>
    <n v="0"/>
    <n v="0"/>
    <n v="0.2250112505625281"/>
    <s v="Mid Range"/>
    <x v="0"/>
  </r>
  <r>
    <x v="6"/>
    <x v="208"/>
    <x v="201"/>
    <x v="3"/>
    <x v="1"/>
    <n v="4.5"/>
    <n v="20999"/>
    <n v="20999"/>
    <n v="0"/>
    <n v="0"/>
    <n v="0.21429591885327873"/>
    <s v="Mid Range"/>
    <x v="0"/>
  </r>
  <r>
    <x v="6"/>
    <x v="208"/>
    <x v="179"/>
    <x v="1"/>
    <x v="1"/>
    <n v="4.5"/>
    <n v="19999"/>
    <n v="19999"/>
    <n v="0"/>
    <n v="0"/>
    <n v="0.2250112505625281"/>
    <s v="Mid Range"/>
    <x v="0"/>
  </r>
  <r>
    <x v="6"/>
    <x v="208"/>
    <x v="201"/>
    <x v="3"/>
    <x v="3"/>
    <n v="4.5"/>
    <n v="24999"/>
    <n v="24999"/>
    <n v="0"/>
    <n v="0"/>
    <n v="0.18000720028801154"/>
    <s v="Mid Range"/>
    <x v="0"/>
  </r>
  <r>
    <x v="6"/>
    <x v="209"/>
    <x v="204"/>
    <x v="0"/>
    <x v="1"/>
    <n v="4.5"/>
    <n v="11999"/>
    <n v="11999"/>
    <n v="0"/>
    <n v="0"/>
    <n v="0.37503125260438369"/>
    <s v="Budget"/>
    <x v="0"/>
  </r>
  <r>
    <x v="6"/>
    <x v="220"/>
    <x v="207"/>
    <x v="5"/>
    <x v="3"/>
    <n v="4.5999999999999996"/>
    <n v="36999"/>
    <n v="36999"/>
    <n v="0"/>
    <n v="0"/>
    <n v="0.12432768453201438"/>
    <s v="Mid Range"/>
    <x v="2"/>
  </r>
  <r>
    <x v="6"/>
    <x v="220"/>
    <x v="208"/>
    <x v="5"/>
    <x v="3"/>
    <n v="4.5999999999999996"/>
    <n v="36999"/>
    <n v="36999"/>
    <n v="0"/>
    <n v="0"/>
    <n v="0.12432768453201438"/>
    <s v="Mid Range"/>
    <x v="2"/>
  </r>
  <r>
    <x v="6"/>
    <x v="209"/>
    <x v="128"/>
    <x v="0"/>
    <x v="1"/>
    <n v="4.5"/>
    <n v="11999"/>
    <n v="11999"/>
    <n v="0"/>
    <n v="0"/>
    <n v="0.37503125260438369"/>
    <s v="Budget"/>
    <x v="0"/>
  </r>
  <r>
    <x v="6"/>
    <x v="70"/>
    <x v="24"/>
    <x v="0"/>
    <x v="0"/>
    <n v="4.4000000000000004"/>
    <n v="10499"/>
    <n v="12999"/>
    <n v="2500"/>
    <n v="0.19232248634510346"/>
    <n v="0.41908753214591871"/>
    <s v="Budget"/>
    <x v="0"/>
  </r>
  <r>
    <x v="6"/>
    <x v="70"/>
    <x v="4"/>
    <x v="2"/>
    <x v="2"/>
    <n v="4.5"/>
    <n v="8499"/>
    <n v="10999"/>
    <n v="2500"/>
    <n v="0.22729339030820983"/>
    <n v="0.52947405577126716"/>
    <s v="Budget"/>
    <x v="0"/>
  </r>
  <r>
    <x v="6"/>
    <x v="70"/>
    <x v="4"/>
    <x v="0"/>
    <x v="0"/>
    <n v="4.4000000000000004"/>
    <n v="10499"/>
    <n v="12999"/>
    <n v="2500"/>
    <n v="0.19232248634510346"/>
    <n v="0.41908753214591871"/>
    <s v="Budget"/>
    <x v="0"/>
  </r>
  <r>
    <x v="6"/>
    <x v="70"/>
    <x v="24"/>
    <x v="2"/>
    <x v="0"/>
    <n v="4.5"/>
    <n v="9499"/>
    <n v="11999"/>
    <n v="2500"/>
    <n v="0.20835069589132427"/>
    <n v="0.47373407727129169"/>
    <s v="Budget"/>
    <x v="0"/>
  </r>
  <r>
    <x v="6"/>
    <x v="70"/>
    <x v="71"/>
    <x v="0"/>
    <x v="0"/>
    <n v="4.4000000000000004"/>
    <n v="9499"/>
    <n v="12999"/>
    <n v="3500"/>
    <n v="0.26925148088314488"/>
    <n v="0.46320665333192973"/>
    <s v="Budget"/>
    <x v="0"/>
  </r>
  <r>
    <x v="6"/>
    <x v="70"/>
    <x v="206"/>
    <x v="0"/>
    <x v="0"/>
    <n v="4.4000000000000004"/>
    <n v="10499"/>
    <n v="12999"/>
    <n v="2500"/>
    <n v="0.19232248634510346"/>
    <n v="0.41908753214591871"/>
    <s v="Budget"/>
    <x v="0"/>
  </r>
  <r>
    <x v="6"/>
    <x v="70"/>
    <x v="24"/>
    <x v="2"/>
    <x v="2"/>
    <n v="4.5"/>
    <n v="8499"/>
    <n v="10999"/>
    <n v="2500"/>
    <n v="0.22729339030820983"/>
    <n v="0.52947405577126716"/>
    <s v="Budget"/>
    <x v="0"/>
  </r>
  <r>
    <x v="6"/>
    <x v="216"/>
    <x v="194"/>
    <x v="0"/>
    <x v="0"/>
    <n v="4.5"/>
    <n v="9999"/>
    <n v="10999"/>
    <n v="1000"/>
    <n v="9.0917356123283929E-2"/>
    <n v="0.45004500450045004"/>
    <s v="Budget"/>
    <x v="0"/>
  </r>
  <r>
    <x v="6"/>
    <x v="210"/>
    <x v="209"/>
    <x v="3"/>
    <x v="1"/>
    <n v="4.5"/>
    <n v="20999"/>
    <n v="20999"/>
    <n v="0"/>
    <n v="0"/>
    <n v="0.21429591885327873"/>
    <s v="Mid Range"/>
    <x v="0"/>
  </r>
  <r>
    <x v="6"/>
    <x v="210"/>
    <x v="210"/>
    <x v="3"/>
    <x v="1"/>
    <n v="4.5"/>
    <n v="20999"/>
    <n v="20999"/>
    <n v="0"/>
    <n v="0"/>
    <n v="0.21429591885327873"/>
    <s v="Mid Range"/>
    <x v="0"/>
  </r>
  <r>
    <x v="6"/>
    <x v="210"/>
    <x v="211"/>
    <x v="0"/>
    <x v="1"/>
    <n v="4.5"/>
    <n v="17999"/>
    <n v="17999"/>
    <n v="0"/>
    <n v="0"/>
    <n v="0.25001388966053667"/>
    <s v="Mid Range"/>
    <x v="0"/>
  </r>
  <r>
    <x v="6"/>
    <x v="220"/>
    <x v="175"/>
    <x v="5"/>
    <x v="3"/>
    <n v="4.5999999999999996"/>
    <n v="35999"/>
    <n v="35999"/>
    <n v="0"/>
    <n v="0"/>
    <n v="0.12778132725909053"/>
    <s v="Mid Range"/>
    <x v="2"/>
  </r>
  <r>
    <x v="6"/>
    <x v="220"/>
    <x v="212"/>
    <x v="5"/>
    <x v="3"/>
    <n v="4.5999999999999996"/>
    <n v="35999"/>
    <n v="35999"/>
    <n v="0"/>
    <n v="0"/>
    <n v="0.12778132725909053"/>
    <s v="Mid Range"/>
    <x v="2"/>
  </r>
  <r>
    <x v="6"/>
    <x v="220"/>
    <x v="212"/>
    <x v="3"/>
    <x v="1"/>
    <n v="4.5"/>
    <n v="31999"/>
    <n v="31999"/>
    <n v="0"/>
    <n v="0"/>
    <n v="0.1406293946685834"/>
    <s v="Mid Range"/>
    <x v="0"/>
  </r>
  <r>
    <x v="6"/>
    <x v="195"/>
    <x v="158"/>
    <x v="0"/>
    <x v="0"/>
    <n v="4.3"/>
    <n v="8999"/>
    <n v="9999"/>
    <n v="1000"/>
    <n v="0.1000100010001"/>
    <n v="0.47783087009667735"/>
    <s v="Budget"/>
    <x v="0"/>
  </r>
  <r>
    <x v="6"/>
    <x v="195"/>
    <x v="159"/>
    <x v="0"/>
    <x v="0"/>
    <n v="4.3"/>
    <n v="8999"/>
    <n v="9999"/>
    <n v="1000"/>
    <n v="0.1000100010001"/>
    <n v="0.47783087009667735"/>
    <s v="Budget"/>
    <x v="0"/>
  </r>
  <r>
    <x v="6"/>
    <x v="77"/>
    <x v="171"/>
    <x v="0"/>
    <x v="0"/>
    <n v="4.4000000000000004"/>
    <n v="11990"/>
    <n v="11990"/>
    <n v="0"/>
    <n v="0"/>
    <n v="0.36697247706422026"/>
    <s v="Budget"/>
    <x v="0"/>
  </r>
  <r>
    <x v="6"/>
    <x v="219"/>
    <x v="198"/>
    <x v="2"/>
    <x v="0"/>
    <n v="4.4000000000000004"/>
    <n v="9999"/>
    <n v="11999"/>
    <n v="2000"/>
    <n v="0.16668055671305942"/>
    <n v="0.44004400440044006"/>
    <s v="Budget"/>
    <x v="0"/>
  </r>
  <r>
    <x v="6"/>
    <x v="208"/>
    <x v="179"/>
    <x v="3"/>
    <x v="3"/>
    <n v="4.5"/>
    <n v="24999"/>
    <n v="24999"/>
    <n v="0"/>
    <n v="0"/>
    <n v="0.18000720028801154"/>
    <s v="Mid Range"/>
    <x v="0"/>
  </r>
  <r>
    <x v="6"/>
    <x v="207"/>
    <x v="82"/>
    <x v="0"/>
    <x v="0"/>
    <n v="4.4000000000000004"/>
    <n v="11490"/>
    <n v="12990"/>
    <n v="1500"/>
    <n v="0.11547344110854503"/>
    <n v="0.38294168842471715"/>
    <s v="Budget"/>
    <x v="0"/>
  </r>
  <r>
    <x v="6"/>
    <x v="70"/>
    <x v="206"/>
    <x v="2"/>
    <x v="2"/>
    <n v="4.5"/>
    <n v="8499"/>
    <n v="10999"/>
    <n v="2500"/>
    <n v="0.22729339030820983"/>
    <n v="0.52947405577126716"/>
    <s v="Budget"/>
    <x v="0"/>
  </r>
  <r>
    <x v="6"/>
    <x v="70"/>
    <x v="206"/>
    <x v="2"/>
    <x v="2"/>
    <n v="4.5"/>
    <n v="8499"/>
    <n v="10999"/>
    <n v="2500"/>
    <n v="0.22729339030820983"/>
    <n v="0.52947405577126716"/>
    <s v="Budget"/>
    <x v="0"/>
  </r>
  <r>
    <x v="6"/>
    <x v="206"/>
    <x v="175"/>
    <x v="1"/>
    <x v="0"/>
    <n v="4.4000000000000004"/>
    <n v="13999"/>
    <n v="15999"/>
    <n v="2000"/>
    <n v="0.12500781298831176"/>
    <n v="0.31430816486891927"/>
    <s v="Budget"/>
    <x v="0"/>
  </r>
  <r>
    <x v="6"/>
    <x v="210"/>
    <x v="213"/>
    <x v="3"/>
    <x v="1"/>
    <n v="4.5"/>
    <n v="21999"/>
    <n v="21999"/>
    <n v="0"/>
    <n v="0"/>
    <n v="0.20455475248874949"/>
    <s v="Mid Range"/>
    <x v="0"/>
  </r>
  <r>
    <x v="6"/>
    <x v="210"/>
    <x v="210"/>
    <x v="3"/>
    <x v="1"/>
    <n v="4.5"/>
    <n v="20999"/>
    <n v="20999"/>
    <n v="0"/>
    <n v="0"/>
    <n v="0.21429591885327873"/>
    <s v="Mid Range"/>
    <x v="0"/>
  </r>
  <r>
    <x v="6"/>
    <x v="210"/>
    <x v="211"/>
    <x v="3"/>
    <x v="1"/>
    <n v="4.5"/>
    <n v="20999"/>
    <n v="20999"/>
    <n v="0"/>
    <n v="0"/>
    <n v="0.21429591885327873"/>
    <s v="Mid Range"/>
    <x v="0"/>
  </r>
  <r>
    <x v="7"/>
    <x v="222"/>
    <x v="214"/>
    <x v="4"/>
    <x v="2"/>
    <n v="4.0999999999999996"/>
    <n v="6299"/>
    <n v="7990"/>
    <n v="1691"/>
    <n v="0.211639549436796"/>
    <n v="0.65089696777266226"/>
    <s v="Budget"/>
    <x v="0"/>
  </r>
  <r>
    <x v="7"/>
    <x v="222"/>
    <x v="4"/>
    <x v="4"/>
    <x v="2"/>
    <n v="4.0999999999999996"/>
    <n v="6299"/>
    <n v="7990"/>
    <n v="1691"/>
    <n v="0.211639549436796"/>
    <n v="0.65089696777266226"/>
    <s v="Budget"/>
    <x v="0"/>
  </r>
  <r>
    <x v="7"/>
    <x v="222"/>
    <x v="39"/>
    <x v="4"/>
    <x v="2"/>
    <n v="4.0999999999999996"/>
    <n v="6299"/>
    <n v="7990"/>
    <n v="1691"/>
    <n v="0.211639549436796"/>
    <n v="0.65089696777266226"/>
    <s v="Budget"/>
    <x v="0"/>
  </r>
  <r>
    <x v="7"/>
    <x v="223"/>
    <x v="5"/>
    <x v="2"/>
    <x v="2"/>
    <n v="3.8"/>
    <n v="7299"/>
    <n v="9999"/>
    <n v="2700"/>
    <n v="0.27002700270027002"/>
    <n v="0.52061926291272775"/>
    <s v="Budget"/>
    <x v="1"/>
  </r>
  <r>
    <x v="7"/>
    <x v="223"/>
    <x v="39"/>
    <x v="2"/>
    <x v="2"/>
    <n v="3.8"/>
    <n v="7299"/>
    <n v="9999"/>
    <n v="2700"/>
    <n v="0.27002700270027002"/>
    <n v="0.52061926291272775"/>
    <s v="Budget"/>
    <x v="1"/>
  </r>
  <r>
    <x v="7"/>
    <x v="223"/>
    <x v="4"/>
    <x v="2"/>
    <x v="2"/>
    <n v="3.8"/>
    <n v="7299"/>
    <n v="9999"/>
    <n v="2700"/>
    <n v="0.27002700270027002"/>
    <n v="0.52061926291272775"/>
    <s v="Budget"/>
    <x v="1"/>
  </r>
  <r>
    <x v="7"/>
    <x v="224"/>
    <x v="4"/>
    <x v="4"/>
    <x v="2"/>
    <n v="3.9"/>
    <n v="6499"/>
    <n v="6499"/>
    <n v="0"/>
    <n v="0"/>
    <n v="0.60009232189567618"/>
    <s v="Budget"/>
    <x v="1"/>
  </r>
  <r>
    <x v="7"/>
    <x v="225"/>
    <x v="75"/>
    <x v="2"/>
    <x v="4"/>
    <n v="3.9"/>
    <n v="8999"/>
    <n v="8999"/>
    <n v="0"/>
    <n v="0"/>
    <n v="0.43338148683187022"/>
    <s v="Budget"/>
    <x v="1"/>
  </r>
  <r>
    <x v="7"/>
    <x v="226"/>
    <x v="60"/>
    <x v="4"/>
    <x v="4"/>
    <n v="4.0999999999999996"/>
    <n v="6990"/>
    <n v="6990"/>
    <n v="0"/>
    <n v="0"/>
    <n v="0.58655221745350494"/>
    <s v="Budget"/>
    <x v="0"/>
  </r>
  <r>
    <x v="7"/>
    <x v="227"/>
    <x v="67"/>
    <x v="0"/>
    <x v="0"/>
    <n v="4"/>
    <n v="21499"/>
    <n v="21499"/>
    <n v="0"/>
    <n v="0"/>
    <n v="0.18605516535652822"/>
    <s v="Mid Range"/>
    <x v="1"/>
  </r>
  <r>
    <x v="7"/>
    <x v="228"/>
    <x v="215"/>
    <x v="0"/>
    <x v="2"/>
    <n v="4"/>
    <n v="8750"/>
    <n v="8750"/>
    <n v="0"/>
    <n v="0"/>
    <n v="0.45714285714285713"/>
    <s v="Budget"/>
    <x v="1"/>
  </r>
  <r>
    <x v="7"/>
    <x v="228"/>
    <x v="4"/>
    <x v="0"/>
    <x v="2"/>
    <n v="4"/>
    <n v="8690"/>
    <n v="8690"/>
    <n v="0"/>
    <n v="0"/>
    <n v="0.46029919447640966"/>
    <s v="Budget"/>
    <x v="1"/>
  </r>
  <r>
    <x v="7"/>
    <x v="224"/>
    <x v="5"/>
    <x v="4"/>
    <x v="2"/>
    <n v="3.9"/>
    <n v="5499"/>
    <n v="5499"/>
    <n v="0"/>
    <n v="0"/>
    <n v="0.70921985815602828"/>
    <s v="Budget"/>
    <x v="1"/>
  </r>
  <r>
    <x v="7"/>
    <x v="224"/>
    <x v="39"/>
    <x v="4"/>
    <x v="2"/>
    <n v="3.9"/>
    <n v="5666"/>
    <n v="5666"/>
    <n v="0"/>
    <n v="0"/>
    <n v="0.68831627250264726"/>
    <s v="Budget"/>
    <x v="1"/>
  </r>
  <r>
    <x v="7"/>
    <x v="229"/>
    <x v="5"/>
    <x v="2"/>
    <x v="2"/>
    <n v="4"/>
    <n v="6490"/>
    <n v="6490"/>
    <n v="0"/>
    <n v="0"/>
    <n v="0.6163328197226503"/>
    <s v="Budget"/>
    <x v="1"/>
  </r>
  <r>
    <x v="7"/>
    <x v="229"/>
    <x v="4"/>
    <x v="2"/>
    <x v="2"/>
    <n v="4"/>
    <n v="6899"/>
    <n v="6950"/>
    <n v="51"/>
    <n v="7.3381294964028777E-3"/>
    <n v="0.57979417306856074"/>
    <s v="Budget"/>
    <x v="1"/>
  </r>
  <r>
    <x v="7"/>
    <x v="230"/>
    <x v="4"/>
    <x v="10"/>
    <x v="8"/>
    <n v="4"/>
    <n v="2199"/>
    <n v="2199"/>
    <n v="0"/>
    <n v="0"/>
    <n v="1.8190086402910413"/>
    <s v="Budget"/>
    <x v="1"/>
  </r>
  <r>
    <x v="7"/>
    <x v="230"/>
    <x v="4"/>
    <x v="10"/>
    <x v="8"/>
    <n v="4"/>
    <n v="2199"/>
    <n v="2199"/>
    <n v="0"/>
    <n v="0"/>
    <n v="1.8190086402910413"/>
    <s v="Budget"/>
    <x v="1"/>
  </r>
  <r>
    <x v="7"/>
    <x v="231"/>
    <x v="39"/>
    <x v="6"/>
    <x v="4"/>
    <n v="3.1"/>
    <n v="4150"/>
    <n v="7250"/>
    <n v="3100"/>
    <n v="0.42758620689655175"/>
    <n v="0.74698795180722888"/>
    <s v="Budget"/>
    <x v="3"/>
  </r>
  <r>
    <x v="7"/>
    <x v="232"/>
    <x v="4"/>
    <x v="11"/>
    <x v="9"/>
    <n v="3.9"/>
    <n v="3150"/>
    <n v="3150"/>
    <n v="0"/>
    <n v="0"/>
    <n v="1.2380952380952379"/>
    <s v="Budget"/>
    <x v="1"/>
  </r>
  <r>
    <x v="7"/>
    <x v="233"/>
    <x v="4"/>
    <x v="10"/>
    <x v="8"/>
    <n v="3.9"/>
    <n v="1890"/>
    <n v="1890"/>
    <n v="0"/>
    <n v="0"/>
    <n v="2.0634920634920633"/>
    <s v="Budget"/>
    <x v="1"/>
  </r>
  <r>
    <x v="7"/>
    <x v="234"/>
    <x v="57"/>
    <x v="6"/>
    <x v="4"/>
    <n v="3.7"/>
    <n v="4290"/>
    <n v="4290"/>
    <n v="0"/>
    <n v="0"/>
    <n v="0.86247086247086246"/>
    <s v="Budget"/>
    <x v="1"/>
  </r>
  <r>
    <x v="7"/>
    <x v="235"/>
    <x v="75"/>
    <x v="7"/>
    <x v="6"/>
    <n v="3.6"/>
    <n v="2350"/>
    <n v="7996"/>
    <n v="5646"/>
    <n v="0.70610305152576291"/>
    <n v="1.5319148936170215"/>
    <s v="Budget"/>
    <x v="1"/>
  </r>
  <r>
    <x v="7"/>
    <x v="232"/>
    <x v="4"/>
    <x v="11"/>
    <x v="9"/>
    <n v="3.9"/>
    <n v="2490"/>
    <n v="2490"/>
    <n v="0"/>
    <n v="0"/>
    <n v="1.5662650602409638"/>
    <s v="Budget"/>
    <x v="1"/>
  </r>
  <r>
    <x v="7"/>
    <x v="234"/>
    <x v="4"/>
    <x v="6"/>
    <x v="4"/>
    <n v="3.7"/>
    <n v="3990"/>
    <n v="3990"/>
    <n v="0"/>
    <n v="0"/>
    <n v="0.92731829573934843"/>
    <s v="Budget"/>
    <x v="1"/>
  </r>
  <r>
    <x v="7"/>
    <x v="234"/>
    <x v="75"/>
    <x v="6"/>
    <x v="4"/>
    <n v="3.7"/>
    <n v="5199"/>
    <n v="5199"/>
    <n v="0"/>
    <n v="0"/>
    <n v="0.71167532217734186"/>
    <s v="Budget"/>
    <x v="1"/>
  </r>
  <r>
    <x v="7"/>
    <x v="236"/>
    <x v="4"/>
    <x v="7"/>
    <x v="6"/>
    <n v="3.6"/>
    <n v="2450"/>
    <n v="2450"/>
    <n v="0"/>
    <n v="0"/>
    <n v="1.4693877551020409"/>
    <s v="Budget"/>
    <x v="1"/>
  </r>
  <r>
    <x v="7"/>
    <x v="237"/>
    <x v="4"/>
    <x v="6"/>
    <x v="5"/>
    <n v="3.8"/>
    <n v="3490"/>
    <n v="3490"/>
    <n v="0"/>
    <n v="0"/>
    <n v="1.0888252148997133"/>
    <s v="Budget"/>
    <x v="1"/>
  </r>
  <r>
    <x v="7"/>
    <x v="237"/>
    <x v="39"/>
    <x v="6"/>
    <x v="5"/>
    <n v="3.8"/>
    <n v="3990"/>
    <n v="3990"/>
    <n v="0"/>
    <n v="0"/>
    <n v="0.95238095238095233"/>
    <s v="Budget"/>
    <x v="1"/>
  </r>
  <r>
    <x v="7"/>
    <x v="238"/>
    <x v="5"/>
    <x v="6"/>
    <x v="4"/>
    <n v="3.8"/>
    <n v="4190"/>
    <n v="7238"/>
    <n v="3048"/>
    <n v="0.4211108040895275"/>
    <n v="0.90692124105011929"/>
    <s v="Budget"/>
    <x v="1"/>
  </r>
  <r>
    <x v="7"/>
    <x v="233"/>
    <x v="4"/>
    <x v="10"/>
    <x v="8"/>
    <n v="3.9"/>
    <n v="1099"/>
    <n v="1099"/>
    <n v="0"/>
    <n v="0"/>
    <n v="3.5486806187443132"/>
    <s v="Budget"/>
    <x v="1"/>
  </r>
  <r>
    <x v="7"/>
    <x v="239"/>
    <x v="4"/>
    <x v="2"/>
    <x v="2"/>
    <n v="4.2"/>
    <n v="7900"/>
    <n v="7900"/>
    <n v="0"/>
    <n v="0"/>
    <n v="0.53164556962025322"/>
    <s v="Budget"/>
    <x v="0"/>
  </r>
  <r>
    <x v="7"/>
    <x v="239"/>
    <x v="60"/>
    <x v="2"/>
    <x v="2"/>
    <n v="4.2"/>
    <n v="7900"/>
    <n v="7900"/>
    <n v="0"/>
    <n v="0"/>
    <n v="0.53164556962025322"/>
    <s v="Budget"/>
    <x v="0"/>
  </r>
  <r>
    <x v="7"/>
    <x v="232"/>
    <x v="4"/>
    <x v="10"/>
    <x v="8"/>
    <n v="3.7"/>
    <n v="1099"/>
    <n v="1999"/>
    <n v="900"/>
    <n v="0.45022511255627812"/>
    <n v="3.3666969972702456"/>
    <s v="Budget"/>
    <x v="1"/>
  </r>
  <r>
    <x v="7"/>
    <x v="238"/>
    <x v="57"/>
    <x v="6"/>
    <x v="4"/>
    <n v="3.8"/>
    <n v="4190"/>
    <n v="4190"/>
    <n v="0"/>
    <n v="0"/>
    <n v="0.90692124105011929"/>
    <s v="Budget"/>
    <x v="1"/>
  </r>
  <r>
    <x v="7"/>
    <x v="240"/>
    <x v="4"/>
    <x v="4"/>
    <x v="4"/>
    <n v="4"/>
    <n v="4650"/>
    <n v="4650"/>
    <n v="0"/>
    <n v="0"/>
    <n v="0.86021505376344087"/>
    <s v="Budget"/>
    <x v="1"/>
  </r>
  <r>
    <x v="7"/>
    <x v="226"/>
    <x v="4"/>
    <x v="4"/>
    <x v="4"/>
    <n v="4.0999999999999996"/>
    <n v="6990"/>
    <n v="6990"/>
    <n v="0"/>
    <n v="0"/>
    <n v="0.58655221745350494"/>
    <s v="Budget"/>
    <x v="0"/>
  </r>
  <r>
    <x v="7"/>
    <x v="241"/>
    <x v="5"/>
    <x v="2"/>
    <x v="2"/>
    <n v="4.0999999999999996"/>
    <n v="7290"/>
    <n v="7290"/>
    <n v="0"/>
    <n v="0"/>
    <n v="0.56241426611796974"/>
    <s v="Budget"/>
    <x v="0"/>
  </r>
  <r>
    <x v="7"/>
    <x v="228"/>
    <x v="57"/>
    <x v="0"/>
    <x v="2"/>
    <n v="4"/>
    <n v="15490"/>
    <n v="15490"/>
    <n v="0"/>
    <n v="0"/>
    <n v="0.25823111684958039"/>
    <s v="Mid Range"/>
    <x v="1"/>
  </r>
  <r>
    <x v="7"/>
    <x v="225"/>
    <x v="67"/>
    <x v="2"/>
    <x v="4"/>
    <n v="3.9"/>
    <n v="5290"/>
    <n v="5290"/>
    <n v="0"/>
    <n v="0"/>
    <n v="0.73724007561436666"/>
    <s v="Budget"/>
    <x v="1"/>
  </r>
  <r>
    <x v="7"/>
    <x v="225"/>
    <x v="57"/>
    <x v="2"/>
    <x v="4"/>
    <n v="3.9"/>
    <n v="5290"/>
    <n v="5290"/>
    <n v="0"/>
    <n v="0"/>
    <n v="0.73724007561436666"/>
    <s v="Budget"/>
    <x v="1"/>
  </r>
  <r>
    <x v="7"/>
    <x v="242"/>
    <x v="67"/>
    <x v="4"/>
    <x v="4"/>
    <n v="3.8"/>
    <n v="4750"/>
    <n v="4750"/>
    <n v="0"/>
    <n v="0"/>
    <n v="0.79999999999999993"/>
    <s v="Budget"/>
    <x v="1"/>
  </r>
  <r>
    <x v="7"/>
    <x v="242"/>
    <x v="57"/>
    <x v="4"/>
    <x v="4"/>
    <n v="3.8"/>
    <n v="4450"/>
    <n v="4450"/>
    <n v="0"/>
    <n v="0"/>
    <n v="0.8539325842696629"/>
    <s v="Budget"/>
    <x v="1"/>
  </r>
  <r>
    <x v="7"/>
    <x v="242"/>
    <x v="75"/>
    <x v="4"/>
    <x v="4"/>
    <n v="3.8"/>
    <n v="4990"/>
    <n v="4990"/>
    <n v="0"/>
    <n v="0"/>
    <n v="0.76152304609218435"/>
    <s v="Budget"/>
    <x v="1"/>
  </r>
  <r>
    <x v="7"/>
    <x v="238"/>
    <x v="4"/>
    <x v="6"/>
    <x v="4"/>
    <n v="3.8"/>
    <n v="2799"/>
    <n v="2799"/>
    <n v="0"/>
    <n v="0"/>
    <n v="1.3576277241872097"/>
    <s v="Budget"/>
    <x v="1"/>
  </r>
  <r>
    <x v="7"/>
    <x v="243"/>
    <x v="4"/>
    <x v="0"/>
    <x v="0"/>
    <n v="4.0999999999999996"/>
    <n v="16499"/>
    <n v="16499"/>
    <n v="0"/>
    <n v="0"/>
    <n v="0.2484999090853991"/>
    <s v="Mid Range"/>
    <x v="0"/>
  </r>
  <r>
    <x v="7"/>
    <x v="243"/>
    <x v="216"/>
    <x v="0"/>
    <x v="0"/>
    <n v="4.0999999999999996"/>
    <n v="10499"/>
    <n v="10499"/>
    <n v="0"/>
    <n v="0"/>
    <n v="0.3905133822268787"/>
    <s v="Budget"/>
    <x v="0"/>
  </r>
  <r>
    <x v="7"/>
    <x v="244"/>
    <x v="4"/>
    <x v="6"/>
    <x v="5"/>
    <n v="3.8"/>
    <n v="7150"/>
    <n v="7150"/>
    <n v="0"/>
    <n v="0"/>
    <n v="0.53146853146853146"/>
    <s v="Budget"/>
    <x v="1"/>
  </r>
  <r>
    <x v="7"/>
    <x v="245"/>
    <x v="57"/>
    <x v="6"/>
    <x v="4"/>
    <n v="3.8"/>
    <n v="4999"/>
    <n v="4999"/>
    <n v="0"/>
    <n v="0"/>
    <n v="0.76015203040608115"/>
    <s v="Budget"/>
    <x v="1"/>
  </r>
  <r>
    <x v="7"/>
    <x v="237"/>
    <x v="75"/>
    <x v="6"/>
    <x v="5"/>
    <n v="3.8"/>
    <n v="2999"/>
    <n v="2999"/>
    <n v="0"/>
    <n v="0"/>
    <n v="1.2670890296765589"/>
    <s v="Budget"/>
    <x v="1"/>
  </r>
  <r>
    <x v="7"/>
    <x v="246"/>
    <x v="4"/>
    <x v="2"/>
    <x v="4"/>
    <n v="4"/>
    <n v="6475"/>
    <n v="6475"/>
    <n v="0"/>
    <n v="0"/>
    <n v="0.61776061776061775"/>
    <s v="Budget"/>
    <x v="1"/>
  </r>
  <r>
    <x v="7"/>
    <x v="247"/>
    <x v="5"/>
    <x v="2"/>
    <x v="2"/>
    <n v="4.0999999999999996"/>
    <n v="7990"/>
    <n v="7990"/>
    <n v="0"/>
    <n v="0"/>
    <n v="0.51314142678347929"/>
    <s v="Budget"/>
    <x v="0"/>
  </r>
  <r>
    <x v="7"/>
    <x v="248"/>
    <x v="4"/>
    <x v="4"/>
    <x v="4"/>
    <n v="4"/>
    <n v="8479"/>
    <n v="8479"/>
    <n v="0"/>
    <n v="0"/>
    <n v="0.47175374454534735"/>
    <s v="Budget"/>
    <x v="1"/>
  </r>
  <r>
    <x v="7"/>
    <x v="248"/>
    <x v="217"/>
    <x v="4"/>
    <x v="4"/>
    <n v="4"/>
    <n v="8479"/>
    <n v="8479"/>
    <n v="0"/>
    <n v="0"/>
    <n v="0.47175374454534735"/>
    <s v="Budget"/>
    <x v="1"/>
  </r>
  <r>
    <x v="7"/>
    <x v="249"/>
    <x v="57"/>
    <x v="2"/>
    <x v="2"/>
    <n v="3.9"/>
    <n v="11499"/>
    <n v="11499"/>
    <n v="0"/>
    <n v="0"/>
    <n v="0.33915992695016955"/>
    <s v="Budget"/>
    <x v="1"/>
  </r>
  <r>
    <x v="7"/>
    <x v="249"/>
    <x v="4"/>
    <x v="2"/>
    <x v="2"/>
    <n v="3.9"/>
    <n v="11499"/>
    <n v="11499"/>
    <n v="0"/>
    <n v="0"/>
    <n v="0.33915992695016955"/>
    <s v="Budget"/>
    <x v="1"/>
  </r>
  <r>
    <x v="7"/>
    <x v="226"/>
    <x v="5"/>
    <x v="4"/>
    <x v="4"/>
    <n v="4.0999999999999996"/>
    <n v="6990"/>
    <n v="6990"/>
    <n v="0"/>
    <n v="0"/>
    <n v="0.58655221745350494"/>
    <s v="Budget"/>
    <x v="0"/>
  </r>
  <r>
    <x v="7"/>
    <x v="246"/>
    <x v="57"/>
    <x v="2"/>
    <x v="4"/>
    <n v="4"/>
    <n v="6450"/>
    <n v="6450"/>
    <n v="0"/>
    <n v="0"/>
    <n v="0.62015503875968991"/>
    <s v="Budget"/>
    <x v="1"/>
  </r>
  <r>
    <x v="7"/>
    <x v="236"/>
    <x v="75"/>
    <x v="7"/>
    <x v="6"/>
    <n v="3.6"/>
    <n v="2650"/>
    <n v="2650"/>
    <n v="0"/>
    <n v="0"/>
    <n v="1.358490566037736"/>
    <s v="Budget"/>
    <x v="1"/>
  </r>
  <r>
    <x v="7"/>
    <x v="250"/>
    <x v="4"/>
    <x v="4"/>
    <x v="4"/>
    <n v="4.0999999999999996"/>
    <n v="15999"/>
    <n v="15999"/>
    <n v="0"/>
    <n v="0"/>
    <n v="0.25626601662603909"/>
    <s v="Mid Range"/>
    <x v="0"/>
  </r>
  <r>
    <x v="7"/>
    <x v="244"/>
    <x v="75"/>
    <x v="6"/>
    <x v="5"/>
    <n v="3.8"/>
    <n v="4850"/>
    <n v="4850"/>
    <n v="0"/>
    <n v="0"/>
    <n v="0.78350515463917525"/>
    <s v="Budget"/>
    <x v="1"/>
  </r>
  <r>
    <x v="7"/>
    <x v="234"/>
    <x v="125"/>
    <x v="6"/>
    <x v="4"/>
    <n v="3.7"/>
    <n v="3990"/>
    <n v="7999"/>
    <n v="4009"/>
    <n v="0.50118764845605701"/>
    <n v="0.92731829573934843"/>
    <s v="Budget"/>
    <x v="1"/>
  </r>
  <r>
    <x v="7"/>
    <x v="240"/>
    <x v="57"/>
    <x v="4"/>
    <x v="4"/>
    <n v="4"/>
    <n v="5149"/>
    <n v="5149"/>
    <n v="0"/>
    <n v="0"/>
    <n v="0.77684987376189552"/>
    <s v="Budget"/>
    <x v="1"/>
  </r>
  <r>
    <x v="7"/>
    <x v="251"/>
    <x v="57"/>
    <x v="2"/>
    <x v="2"/>
    <n v="3.9"/>
    <n v="13649"/>
    <n v="13649"/>
    <n v="0"/>
    <n v="0"/>
    <n v="0.28573521869734048"/>
    <s v="Budget"/>
    <x v="1"/>
  </r>
  <r>
    <x v="7"/>
    <x v="252"/>
    <x v="67"/>
    <x v="4"/>
    <x v="4"/>
    <n v="4.4000000000000004"/>
    <n v="11999"/>
    <n v="11999"/>
    <n v="0"/>
    <n v="0"/>
    <n v="0.36669722476873073"/>
    <s v="Budget"/>
    <x v="0"/>
  </r>
  <r>
    <x v="7"/>
    <x v="253"/>
    <x v="75"/>
    <x v="6"/>
    <x v="5"/>
    <n v="3.8"/>
    <n v="9599"/>
    <n v="9599"/>
    <n v="0"/>
    <n v="0"/>
    <n v="0.3958745702677362"/>
    <s v="Budget"/>
    <x v="1"/>
  </r>
  <r>
    <x v="7"/>
    <x v="254"/>
    <x v="57"/>
    <x v="0"/>
    <x v="0"/>
    <n v="4.0999999999999996"/>
    <n v="15399"/>
    <n v="15399"/>
    <n v="0"/>
    <n v="0"/>
    <n v="0.26625105526332876"/>
    <s v="Mid Range"/>
    <x v="0"/>
  </r>
  <r>
    <x v="7"/>
    <x v="255"/>
    <x v="57"/>
    <x v="0"/>
    <x v="2"/>
    <n v="3.9"/>
    <n v="6399"/>
    <n v="6399"/>
    <n v="0"/>
    <n v="0"/>
    <n v="0.60947022972339426"/>
    <s v="Budget"/>
    <x v="1"/>
  </r>
  <r>
    <x v="7"/>
    <x v="256"/>
    <x v="216"/>
    <x v="2"/>
    <x v="2"/>
    <n v="4"/>
    <n v="15999"/>
    <n v="15999"/>
    <n v="0"/>
    <n v="0"/>
    <n v="0.25001562597662352"/>
    <s v="Mid Range"/>
    <x v="1"/>
  </r>
  <r>
    <x v="7"/>
    <x v="257"/>
    <x v="4"/>
    <x v="6"/>
    <x v="5"/>
    <n v="4.0999999999999996"/>
    <n v="9599"/>
    <n v="9599"/>
    <n v="0"/>
    <n v="0"/>
    <n v="0.42712782581518904"/>
    <s v="Budget"/>
    <x v="0"/>
  </r>
  <r>
    <x v="7"/>
    <x v="256"/>
    <x v="218"/>
    <x v="2"/>
    <x v="2"/>
    <n v="4"/>
    <n v="15999"/>
    <n v="15999"/>
    <n v="0"/>
    <n v="0"/>
    <n v="0.25001562597662352"/>
    <s v="Mid Range"/>
    <x v="1"/>
  </r>
  <r>
    <x v="7"/>
    <x v="258"/>
    <x v="57"/>
    <x v="2"/>
    <x v="4"/>
    <n v="3.7"/>
    <n v="7350"/>
    <n v="18279"/>
    <n v="10929"/>
    <n v="0.59789922862301004"/>
    <n v="0.50340136054421769"/>
    <s v="Budget"/>
    <x v="1"/>
  </r>
  <r>
    <x v="7"/>
    <x v="259"/>
    <x v="57"/>
    <x v="2"/>
    <x v="0"/>
    <n v="3.9"/>
    <n v="8990"/>
    <n v="8990"/>
    <n v="0"/>
    <n v="0"/>
    <n v="0.43381535038932145"/>
    <s v="Budget"/>
    <x v="1"/>
  </r>
  <r>
    <x v="7"/>
    <x v="260"/>
    <x v="5"/>
    <x v="2"/>
    <x v="2"/>
    <n v="4.0999999999999996"/>
    <n v="9490"/>
    <n v="9490"/>
    <n v="0"/>
    <n v="0"/>
    <n v="0.43203371970495252"/>
    <s v="Budget"/>
    <x v="0"/>
  </r>
  <r>
    <x v="7"/>
    <x v="260"/>
    <x v="4"/>
    <x v="2"/>
    <x v="2"/>
    <n v="4.0999999999999996"/>
    <n v="9490"/>
    <n v="9490"/>
    <n v="0"/>
    <n v="0"/>
    <n v="0.43203371970495252"/>
    <s v="Budget"/>
    <x v="0"/>
  </r>
  <r>
    <x v="7"/>
    <x v="254"/>
    <x v="4"/>
    <x v="0"/>
    <x v="0"/>
    <n v="4.0999999999999996"/>
    <n v="7899"/>
    <n v="7899"/>
    <n v="0"/>
    <n v="0"/>
    <n v="0.5190530446892011"/>
    <s v="Budget"/>
    <x v="0"/>
  </r>
  <r>
    <x v="7"/>
    <x v="261"/>
    <x v="4"/>
    <x v="6"/>
    <x v="5"/>
    <n v="3.5"/>
    <n v="3999"/>
    <n v="3999"/>
    <n v="0"/>
    <n v="0"/>
    <n v="0.8752188047011753"/>
    <s v="Budget"/>
    <x v="3"/>
  </r>
  <r>
    <x v="7"/>
    <x v="262"/>
    <x v="57"/>
    <x v="2"/>
    <x v="2"/>
    <n v="3.8"/>
    <n v="5990"/>
    <n v="5990"/>
    <n v="0"/>
    <n v="0"/>
    <n v="0.63439065108514181"/>
    <s v="Budget"/>
    <x v="1"/>
  </r>
  <r>
    <x v="7"/>
    <x v="254"/>
    <x v="5"/>
    <x v="0"/>
    <x v="0"/>
    <n v="4.0999999999999996"/>
    <n v="9250"/>
    <n v="9250"/>
    <n v="0"/>
    <n v="0"/>
    <n v="0.44324324324324321"/>
    <s v="Budget"/>
    <x v="0"/>
  </r>
  <r>
    <x v="7"/>
    <x v="239"/>
    <x v="5"/>
    <x v="2"/>
    <x v="2"/>
    <n v="4.2"/>
    <n v="7900"/>
    <n v="7900"/>
    <n v="0"/>
    <n v="0"/>
    <n v="0.53164556962025322"/>
    <s v="Budget"/>
    <x v="0"/>
  </r>
  <r>
    <x v="7"/>
    <x v="263"/>
    <x v="57"/>
    <x v="2"/>
    <x v="2"/>
    <n v="3.9"/>
    <n v="5999"/>
    <n v="5999"/>
    <n v="0"/>
    <n v="0"/>
    <n v="0.6501083513918986"/>
    <s v="Budget"/>
    <x v="1"/>
  </r>
  <r>
    <x v="7"/>
    <x v="243"/>
    <x v="57"/>
    <x v="0"/>
    <x v="0"/>
    <n v="4.0999999999999996"/>
    <n v="10499"/>
    <n v="10499"/>
    <n v="0"/>
    <n v="0"/>
    <n v="0.3905133822268787"/>
    <s v="Budget"/>
    <x v="0"/>
  </r>
  <r>
    <x v="7"/>
    <x v="258"/>
    <x v="75"/>
    <x v="2"/>
    <x v="4"/>
    <n v="3.7"/>
    <n v="5555"/>
    <n v="5555"/>
    <n v="0"/>
    <n v="0"/>
    <n v="0.66606660666066608"/>
    <s v="Budget"/>
    <x v="1"/>
  </r>
  <r>
    <x v="7"/>
    <x v="227"/>
    <x v="57"/>
    <x v="0"/>
    <x v="0"/>
    <n v="4"/>
    <n v="7675"/>
    <n v="8999"/>
    <n v="1324"/>
    <n v="0.14712745860651183"/>
    <n v="0.52117263843648209"/>
    <s v="Budget"/>
    <x v="1"/>
  </r>
  <r>
    <x v="7"/>
    <x v="227"/>
    <x v="4"/>
    <x v="0"/>
    <x v="0"/>
    <n v="4"/>
    <n v="7899"/>
    <n v="7899"/>
    <n v="0"/>
    <n v="0"/>
    <n v="0.50639321433092799"/>
    <s v="Budget"/>
    <x v="1"/>
  </r>
  <r>
    <x v="7"/>
    <x v="264"/>
    <x v="57"/>
    <x v="1"/>
    <x v="0"/>
    <n v="2.7"/>
    <n v="9290"/>
    <n v="9290"/>
    <n v="0"/>
    <n v="0"/>
    <n v="0.29063509149623257"/>
    <s v="Budget"/>
    <x v="3"/>
  </r>
  <r>
    <x v="7"/>
    <x v="263"/>
    <x v="67"/>
    <x v="2"/>
    <x v="2"/>
    <n v="3.9"/>
    <n v="5950"/>
    <n v="5950"/>
    <n v="0"/>
    <n v="0"/>
    <n v="0.65546218487394958"/>
    <s v="Budget"/>
    <x v="1"/>
  </r>
  <r>
    <x v="7"/>
    <x v="265"/>
    <x v="75"/>
    <x v="2"/>
    <x v="4"/>
    <n v="3.5"/>
    <n v="6598"/>
    <n v="6598"/>
    <n v="0"/>
    <n v="0"/>
    <n v="0.53046377690209146"/>
    <s v="Budget"/>
    <x v="3"/>
  </r>
  <r>
    <x v="7"/>
    <x v="266"/>
    <x v="82"/>
    <x v="2"/>
    <x v="2"/>
    <n v="3.8"/>
    <n v="7999"/>
    <n v="7999"/>
    <n v="0"/>
    <n v="0"/>
    <n v="0.47505938242280282"/>
    <s v="Budget"/>
    <x v="1"/>
  </r>
  <r>
    <x v="7"/>
    <x v="267"/>
    <x v="57"/>
    <x v="0"/>
    <x v="0"/>
    <n v="3.6"/>
    <n v="7997"/>
    <n v="7997"/>
    <n v="0"/>
    <n v="0"/>
    <n v="0.45016881330498937"/>
    <s v="Budget"/>
    <x v="1"/>
  </r>
  <r>
    <x v="7"/>
    <x v="268"/>
    <x v="176"/>
    <x v="4"/>
    <x v="4"/>
    <n v="4"/>
    <n v="4489"/>
    <n v="9999"/>
    <n v="5510"/>
    <n v="0.55105510551055104"/>
    <n v="0.89106705279572296"/>
    <s v="Budget"/>
    <x v="1"/>
  </r>
  <r>
    <x v="7"/>
    <x v="269"/>
    <x v="214"/>
    <x v="0"/>
    <x v="0"/>
    <n v="2.8"/>
    <n v="8539"/>
    <n v="8549"/>
    <n v="10"/>
    <n v="1.1697274535033338E-3"/>
    <n v="0.32790724909239954"/>
    <s v="Budget"/>
    <x v="3"/>
  </r>
  <r>
    <x v="7"/>
    <x v="269"/>
    <x v="57"/>
    <x v="0"/>
    <x v="0"/>
    <n v="2.8"/>
    <n v="8389"/>
    <n v="8389"/>
    <n v="0"/>
    <n v="0"/>
    <n v="0.33377041363690541"/>
    <s v="Budget"/>
    <x v="3"/>
  </r>
  <r>
    <x v="7"/>
    <x v="270"/>
    <x v="4"/>
    <x v="6"/>
    <x v="5"/>
    <n v="3.5"/>
    <n v="3499"/>
    <n v="3499"/>
    <n v="0"/>
    <n v="0"/>
    <n v="1.0002857959416975"/>
    <s v="Budget"/>
    <x v="3"/>
  </r>
  <r>
    <x v="7"/>
    <x v="267"/>
    <x v="56"/>
    <x v="0"/>
    <x v="2"/>
    <n v="3.6"/>
    <n v="8000"/>
    <n v="8000"/>
    <n v="0"/>
    <n v="0"/>
    <n v="0.45"/>
    <s v="Budget"/>
    <x v="1"/>
  </r>
  <r>
    <x v="7"/>
    <x v="246"/>
    <x v="5"/>
    <x v="2"/>
    <x v="4"/>
    <n v="4"/>
    <n v="6999"/>
    <n v="6999"/>
    <n v="0"/>
    <n v="0"/>
    <n v="0.57151021574510652"/>
    <s v="Budget"/>
    <x v="1"/>
  </r>
  <r>
    <x v="7"/>
    <x v="271"/>
    <x v="219"/>
    <x v="2"/>
    <x v="0"/>
    <n v="4.0999999999999996"/>
    <n v="14999"/>
    <n v="14999"/>
    <n v="0"/>
    <n v="0"/>
    <n v="0.27335155677045131"/>
    <s v="Budget"/>
    <x v="0"/>
  </r>
  <r>
    <x v="7"/>
    <x v="247"/>
    <x v="4"/>
    <x v="2"/>
    <x v="2"/>
    <n v="4.0999999999999996"/>
    <n v="6660"/>
    <n v="7990"/>
    <n v="1330"/>
    <n v="0.16645807259073842"/>
    <n v="0.61561561561561562"/>
    <s v="Budget"/>
    <x v="0"/>
  </r>
  <r>
    <x v="7"/>
    <x v="271"/>
    <x v="220"/>
    <x v="2"/>
    <x v="0"/>
    <n v="4.0999999999999996"/>
    <n v="8499"/>
    <n v="28099"/>
    <n v="19600"/>
    <n v="0.69753372006121217"/>
    <n v="0.4824096952582656"/>
    <s v="Budget"/>
    <x v="0"/>
  </r>
  <r>
    <x v="7"/>
    <x v="272"/>
    <x v="75"/>
    <x v="3"/>
    <x v="10"/>
    <n v="3.8"/>
    <n v="4790"/>
    <n v="4790"/>
    <n v="0"/>
    <n v="0"/>
    <n v="0.79331941544885176"/>
    <s v="Budget"/>
    <x v="1"/>
  </r>
  <r>
    <x v="7"/>
    <x v="234"/>
    <x v="5"/>
    <x v="6"/>
    <x v="4"/>
    <n v="3.7"/>
    <n v="4899"/>
    <n v="8999"/>
    <n v="4100"/>
    <n v="0.45560617846427381"/>
    <n v="0.75525617472953666"/>
    <s v="Budget"/>
    <x v="1"/>
  </r>
  <r>
    <x v="7"/>
    <x v="268"/>
    <x v="4"/>
    <x v="4"/>
    <x v="4"/>
    <n v="4"/>
    <n v="4599"/>
    <n v="4599"/>
    <n v="0"/>
    <n v="0"/>
    <n v="0.86975429441182861"/>
    <s v="Budget"/>
    <x v="1"/>
  </r>
  <r>
    <x v="7"/>
    <x v="237"/>
    <x v="57"/>
    <x v="6"/>
    <x v="5"/>
    <n v="3.8"/>
    <n v="3599"/>
    <n v="3599"/>
    <n v="0"/>
    <n v="0"/>
    <n v="1.0558488469019172"/>
    <s v="Budget"/>
    <x v="1"/>
  </r>
  <r>
    <x v="7"/>
    <x v="237"/>
    <x v="5"/>
    <x v="6"/>
    <x v="5"/>
    <n v="3.8"/>
    <n v="3599"/>
    <n v="3599"/>
    <n v="0"/>
    <n v="0"/>
    <n v="1.0558488469019172"/>
    <s v="Budget"/>
    <x v="1"/>
  </r>
  <r>
    <x v="7"/>
    <x v="264"/>
    <x v="5"/>
    <x v="1"/>
    <x v="0"/>
    <n v="2.7"/>
    <n v="9964"/>
    <n v="9974"/>
    <n v="10"/>
    <n v="1.0026067776218166E-3"/>
    <n v="0.27097551184263352"/>
    <s v="Budget"/>
    <x v="3"/>
  </r>
  <r>
    <x v="7"/>
    <x v="234"/>
    <x v="39"/>
    <x v="6"/>
    <x v="4"/>
    <n v="3.7"/>
    <n v="9199"/>
    <n v="9199"/>
    <n v="0"/>
    <n v="0"/>
    <n v="0.40221763235134256"/>
    <s v="Budget"/>
    <x v="1"/>
  </r>
  <r>
    <x v="7"/>
    <x v="254"/>
    <x v="5"/>
    <x v="0"/>
    <x v="0"/>
    <n v="4.0999999999999996"/>
    <n v="7999"/>
    <n v="7999"/>
    <n v="0"/>
    <n v="0"/>
    <n v="0.51256407050881359"/>
    <s v="Budget"/>
    <x v="0"/>
  </r>
  <r>
    <x v="7"/>
    <x v="237"/>
    <x v="125"/>
    <x v="6"/>
    <x v="5"/>
    <n v="3.8"/>
    <n v="3490"/>
    <n v="5999"/>
    <n v="2509"/>
    <n v="0.41823637272878811"/>
    <n v="1.0888252148997133"/>
    <s v="Budget"/>
    <x v="1"/>
  </r>
  <r>
    <x v="7"/>
    <x v="271"/>
    <x v="219"/>
    <x v="2"/>
    <x v="0"/>
    <n v="4.0999999999999996"/>
    <n v="11999"/>
    <n v="11999"/>
    <n v="0"/>
    <n v="0"/>
    <n v="0.34169514126177181"/>
    <s v="Budget"/>
    <x v="0"/>
  </r>
  <r>
    <x v="7"/>
    <x v="273"/>
    <x v="4"/>
    <x v="6"/>
    <x v="6"/>
    <n v="2.8"/>
    <n v="10990"/>
    <n v="10990"/>
    <n v="0"/>
    <n v="0"/>
    <n v="0.25477707006369427"/>
    <s v="Budget"/>
    <x v="3"/>
  </r>
  <r>
    <x v="7"/>
    <x v="238"/>
    <x v="75"/>
    <x v="6"/>
    <x v="4"/>
    <n v="3.8"/>
    <n v="2799"/>
    <n v="2799"/>
    <n v="0"/>
    <n v="0"/>
    <n v="1.3576277241872097"/>
    <s v="Budget"/>
    <x v="1"/>
  </r>
  <r>
    <x v="7"/>
    <x v="265"/>
    <x v="4"/>
    <x v="2"/>
    <x v="4"/>
    <n v="3.5"/>
    <n v="7999"/>
    <n v="7999"/>
    <n v="0"/>
    <n v="0"/>
    <n v="0.43755469433679212"/>
    <s v="Budget"/>
    <x v="3"/>
  </r>
  <r>
    <x v="7"/>
    <x v="274"/>
    <x v="75"/>
    <x v="6"/>
    <x v="4"/>
    <n v="3.8"/>
    <n v="9999"/>
    <n v="9999"/>
    <n v="0"/>
    <n v="0"/>
    <n v="0.38003800380038"/>
    <s v="Budget"/>
    <x v="1"/>
  </r>
  <r>
    <x v="7"/>
    <x v="275"/>
    <x v="75"/>
    <x v="6"/>
    <x v="5"/>
    <n v="3.6"/>
    <n v="3999"/>
    <n v="3999"/>
    <n v="0"/>
    <n v="0"/>
    <n v="0.90022505626406601"/>
    <s v="Budget"/>
    <x v="1"/>
  </r>
  <r>
    <x v="7"/>
    <x v="276"/>
    <x v="75"/>
    <x v="6"/>
    <x v="6"/>
    <n v="4.2"/>
    <n v="11500"/>
    <n v="11500"/>
    <n v="0"/>
    <n v="0"/>
    <n v="0.36521739130434783"/>
    <s v="Budget"/>
    <x v="0"/>
  </r>
  <r>
    <x v="7"/>
    <x v="277"/>
    <x v="5"/>
    <x v="6"/>
    <x v="4"/>
    <n v="4.0999999999999996"/>
    <n v="9999"/>
    <n v="9999"/>
    <n v="0"/>
    <n v="0"/>
    <n v="0.41004100410041"/>
    <s v="Budget"/>
    <x v="0"/>
  </r>
  <r>
    <x v="7"/>
    <x v="245"/>
    <x v="67"/>
    <x v="6"/>
    <x v="4"/>
    <n v="3.8"/>
    <n v="3990"/>
    <n v="3990"/>
    <n v="0"/>
    <n v="0"/>
    <n v="0.95238095238095233"/>
    <s v="Budget"/>
    <x v="1"/>
  </r>
  <r>
    <x v="7"/>
    <x v="278"/>
    <x v="5"/>
    <x v="6"/>
    <x v="4"/>
    <n v="4.3"/>
    <n v="6500"/>
    <n v="6500"/>
    <n v="0"/>
    <n v="0"/>
    <n v="0.66153846153846152"/>
    <s v="Budget"/>
    <x v="0"/>
  </r>
  <r>
    <x v="7"/>
    <x v="278"/>
    <x v="75"/>
    <x v="6"/>
    <x v="4"/>
    <n v="4.3"/>
    <n v="4200"/>
    <n v="4200"/>
    <n v="0"/>
    <n v="0"/>
    <n v="1.0238095238095239"/>
    <s v="Budget"/>
    <x v="0"/>
  </r>
  <r>
    <x v="7"/>
    <x v="261"/>
    <x v="75"/>
    <x v="6"/>
    <x v="5"/>
    <n v="3.5"/>
    <n v="3499"/>
    <n v="3499"/>
    <n v="0"/>
    <n v="0"/>
    <n v="1.0002857959416975"/>
    <s v="Budget"/>
    <x v="3"/>
  </r>
  <r>
    <x v="7"/>
    <x v="279"/>
    <x v="4"/>
    <x v="7"/>
    <x v="6"/>
    <n v="3.6"/>
    <n v="2290"/>
    <n v="2290"/>
    <n v="0"/>
    <n v="0"/>
    <n v="1.5720524017467248"/>
    <s v="Budget"/>
    <x v="1"/>
  </r>
  <r>
    <x v="7"/>
    <x v="250"/>
    <x v="75"/>
    <x v="4"/>
    <x v="4"/>
    <n v="4.0999999999999996"/>
    <n v="15999"/>
    <n v="15999"/>
    <n v="0"/>
    <n v="0"/>
    <n v="0.25626601662603909"/>
    <s v="Mid Range"/>
    <x v="0"/>
  </r>
  <r>
    <x v="7"/>
    <x v="266"/>
    <x v="57"/>
    <x v="2"/>
    <x v="2"/>
    <n v="3.8"/>
    <n v="7999"/>
    <n v="20924"/>
    <n v="12925"/>
    <n v="0.61771171860064999"/>
    <n v="0.47505938242280282"/>
    <s v="Budget"/>
    <x v="1"/>
  </r>
  <r>
    <x v="7"/>
    <x v="258"/>
    <x v="215"/>
    <x v="2"/>
    <x v="4"/>
    <n v="3.7"/>
    <n v="8950"/>
    <n v="8950"/>
    <n v="0"/>
    <n v="0"/>
    <n v="0.41340782122905029"/>
    <s v="Budget"/>
    <x v="1"/>
  </r>
  <r>
    <x v="7"/>
    <x v="280"/>
    <x v="67"/>
    <x v="6"/>
    <x v="5"/>
    <n v="3.7"/>
    <n v="4150"/>
    <n v="4150"/>
    <n v="0"/>
    <n v="0"/>
    <n v="0.89156626506024095"/>
    <s v="Budget"/>
    <x v="1"/>
  </r>
  <r>
    <x v="7"/>
    <x v="279"/>
    <x v="75"/>
    <x v="7"/>
    <x v="6"/>
    <n v="3.6"/>
    <n v="3490"/>
    <n v="3490"/>
    <n v="0"/>
    <n v="0"/>
    <n v="1.0315186246418337"/>
    <s v="Budget"/>
    <x v="1"/>
  </r>
  <r>
    <x v="7"/>
    <x v="266"/>
    <x v="56"/>
    <x v="2"/>
    <x v="2"/>
    <n v="3.8"/>
    <n v="6600"/>
    <n v="6600"/>
    <n v="0"/>
    <n v="0"/>
    <n v="0.57575757575757569"/>
    <s v="Budget"/>
    <x v="1"/>
  </r>
  <r>
    <x v="8"/>
    <x v="281"/>
    <x v="4"/>
    <x v="12"/>
    <x v="11"/>
    <n v="4.2"/>
    <n v="1349"/>
    <n v="1599"/>
    <n v="250"/>
    <n v="0.15634771732332708"/>
    <n v="3.1134173461823575"/>
    <s v="Budget"/>
    <x v="0"/>
  </r>
  <r>
    <x v="8"/>
    <x v="282"/>
    <x v="4"/>
    <x v="12"/>
    <x v="11"/>
    <n v="4.2"/>
    <n v="1340"/>
    <n v="1340"/>
    <n v="0"/>
    <n v="0"/>
    <n v="3.1343283582089549"/>
    <s v="Budget"/>
    <x v="0"/>
  </r>
  <r>
    <x v="8"/>
    <x v="282"/>
    <x v="4"/>
    <x v="12"/>
    <x v="11"/>
    <n v="4.2"/>
    <n v="1332"/>
    <n v="1332"/>
    <n v="0"/>
    <n v="0"/>
    <n v="3.1531531531531534"/>
    <s v="Budget"/>
    <x v="0"/>
  </r>
  <r>
    <x v="8"/>
    <x v="283"/>
    <x v="4"/>
    <x v="13"/>
    <x v="10"/>
    <n v="4.0999999999999996"/>
    <n v="1344"/>
    <n v="1344"/>
    <n v="0"/>
    <n v="0"/>
    <n v="3.0505952380952377"/>
    <s v="Budget"/>
    <x v="0"/>
  </r>
  <r>
    <x v="8"/>
    <x v="281"/>
    <x v="4"/>
    <x v="12"/>
    <x v="11"/>
    <n v="4.2"/>
    <n v="1399"/>
    <n v="1599"/>
    <n v="200"/>
    <n v="0.12507817385866166"/>
    <n v="3.0021443888491781"/>
    <s v="Budget"/>
    <x v="0"/>
  </r>
  <r>
    <x v="8"/>
    <x v="284"/>
    <x v="4"/>
    <x v="12"/>
    <x v="11"/>
    <n v="4.0999999999999996"/>
    <n v="1695"/>
    <n v="1695"/>
    <n v="0"/>
    <n v="0"/>
    <n v="2.4188790560471976"/>
    <s v="Budget"/>
    <x v="0"/>
  </r>
  <r>
    <x v="8"/>
    <x v="285"/>
    <x v="4"/>
    <x v="14"/>
    <x v="10"/>
    <n v="4.2"/>
    <n v="2875"/>
    <n v="2999"/>
    <n v="124"/>
    <n v="4.1347115705235075E-2"/>
    <n v="1.4608695652173913"/>
    <s v="Budget"/>
    <x v="0"/>
  </r>
  <r>
    <x v="8"/>
    <x v="286"/>
    <x v="4"/>
    <x v="12"/>
    <x v="11"/>
    <n v="4.0999999999999996"/>
    <n v="2440"/>
    <n v="2510"/>
    <n v="70"/>
    <n v="2.7888446215139442E-2"/>
    <n v="1.6803278688524588"/>
    <s v="Budget"/>
    <x v="0"/>
  </r>
  <r>
    <x v="8"/>
    <x v="284"/>
    <x v="4"/>
    <x v="12"/>
    <x v="11"/>
    <n v="4.0999999999999996"/>
    <n v="1680"/>
    <n v="1762"/>
    <n v="82"/>
    <n v="4.6538024971623154E-2"/>
    <n v="2.4404761904761902"/>
    <s v="Budget"/>
    <x v="0"/>
  </r>
  <r>
    <x v="8"/>
    <x v="287"/>
    <x v="4"/>
    <x v="12"/>
    <x v="11"/>
    <n v="4.0999999999999996"/>
    <n v="2480"/>
    <n v="2599"/>
    <n v="119"/>
    <n v="4.5786841092727973E-2"/>
    <n v="1.6532258064516128"/>
    <s v="Budget"/>
    <x v="0"/>
  </r>
  <r>
    <x v="8"/>
    <x v="281"/>
    <x v="4"/>
    <x v="12"/>
    <x v="11"/>
    <n v="4.2"/>
    <n v="1490"/>
    <n v="1490"/>
    <n v="0"/>
    <n v="0"/>
    <n v="2.8187919463087252"/>
    <s v="Budget"/>
    <x v="0"/>
  </r>
  <r>
    <x v="8"/>
    <x v="288"/>
    <x v="4"/>
    <x v="12"/>
    <x v="11"/>
    <n v="4.2"/>
    <n v="1349"/>
    <n v="1349"/>
    <n v="0"/>
    <n v="0"/>
    <n v="3.1134173461823575"/>
    <s v="Budget"/>
    <x v="0"/>
  </r>
  <r>
    <x v="8"/>
    <x v="289"/>
    <x v="4"/>
    <x v="12"/>
    <x v="11"/>
    <n v="3.8"/>
    <n v="2249"/>
    <n v="2249"/>
    <n v="0"/>
    <n v="0"/>
    <n v="1.689639839928857"/>
    <s v="Budget"/>
    <x v="1"/>
  </r>
  <r>
    <x v="8"/>
    <x v="290"/>
    <x v="4"/>
    <x v="10"/>
    <x v="8"/>
    <n v="4.0999999999999996"/>
    <n v="3429"/>
    <n v="3445"/>
    <n v="16"/>
    <n v="4.6444121915820025E-3"/>
    <n v="1.1956838728492269"/>
    <s v="Budget"/>
    <x v="0"/>
  </r>
  <r>
    <x v="8"/>
    <x v="291"/>
    <x v="4"/>
    <x v="14"/>
    <x v="12"/>
    <n v="3.8"/>
    <n v="3886"/>
    <n v="3886"/>
    <n v="0"/>
    <n v="0"/>
    <n v="0.9778692743180647"/>
    <s v="Budget"/>
    <x v="1"/>
  </r>
  <r>
    <x v="8"/>
    <x v="292"/>
    <x v="221"/>
    <x v="0"/>
    <x v="0"/>
    <n v="3.9"/>
    <n v="11999"/>
    <n v="13999"/>
    <n v="2000"/>
    <n v="0.14286734766769055"/>
    <n v="0.32502708559046584"/>
    <s v="Budget"/>
    <x v="1"/>
  </r>
  <r>
    <x v="8"/>
    <x v="293"/>
    <x v="4"/>
    <x v="12"/>
    <x v="11"/>
    <n v="3.9"/>
    <n v="2142"/>
    <n v="2192"/>
    <n v="50"/>
    <n v="2.281021897810219E-2"/>
    <n v="1.8207282913165266"/>
    <s v="Budget"/>
    <x v="1"/>
  </r>
  <r>
    <x v="8"/>
    <x v="286"/>
    <x v="4"/>
    <x v="12"/>
    <x v="11"/>
    <n v="4.0999999999999996"/>
    <n v="2533"/>
    <n v="2643"/>
    <n v="110"/>
    <n v="4.161937192584185E-2"/>
    <n v="1.6186340307935254"/>
    <s v="Budget"/>
    <x v="0"/>
  </r>
  <r>
    <x v="8"/>
    <x v="284"/>
    <x v="4"/>
    <x v="12"/>
    <x v="11"/>
    <n v="4.0999999999999996"/>
    <n v="1680"/>
    <n v="1680"/>
    <n v="0"/>
    <n v="0"/>
    <n v="2.4404761904761902"/>
    <s v="Budget"/>
    <x v="0"/>
  </r>
  <r>
    <x v="8"/>
    <x v="291"/>
    <x v="4"/>
    <x v="14"/>
    <x v="12"/>
    <n v="3.8"/>
    <n v="3999"/>
    <n v="3999"/>
    <n v="0"/>
    <n v="0"/>
    <n v="0.95023755938984744"/>
    <s v="Budget"/>
    <x v="1"/>
  </r>
  <r>
    <x v="8"/>
    <x v="294"/>
    <x v="67"/>
    <x v="2"/>
    <x v="2"/>
    <n v="3.8"/>
    <n v="9999"/>
    <n v="11099"/>
    <n v="1100"/>
    <n v="9.9108027750247768E-2"/>
    <n v="0.38003800380038"/>
    <s v="Budget"/>
    <x v="1"/>
  </r>
  <r>
    <x v="8"/>
    <x v="295"/>
    <x v="222"/>
    <x v="1"/>
    <x v="0"/>
    <n v="3.9"/>
    <n v="14499"/>
    <n v="14499"/>
    <n v="0"/>
    <n v="0"/>
    <n v="0.26898406786674944"/>
    <s v="Budget"/>
    <x v="1"/>
  </r>
  <r>
    <x v="8"/>
    <x v="291"/>
    <x v="4"/>
    <x v="14"/>
    <x v="12"/>
    <n v="3.8"/>
    <n v="3974"/>
    <n v="4179"/>
    <n v="205"/>
    <n v="4.9054797798516389E-2"/>
    <n v="0.9562154001006542"/>
    <s v="Budget"/>
    <x v="1"/>
  </r>
  <r>
    <x v="8"/>
    <x v="296"/>
    <x v="4"/>
    <x v="12"/>
    <x v="11"/>
    <n v="4.2"/>
    <n v="1149"/>
    <n v="1149"/>
    <n v="0"/>
    <n v="0"/>
    <n v="3.6553524804177546"/>
    <s v="Budget"/>
    <x v="0"/>
  </r>
  <r>
    <x v="8"/>
    <x v="297"/>
    <x v="223"/>
    <x v="2"/>
    <x v="0"/>
    <n v="4"/>
    <n v="10399"/>
    <n v="11499"/>
    <n v="1100"/>
    <n v="9.5660492216714493E-2"/>
    <n v="0.3846523704202327"/>
    <s v="Budget"/>
    <x v="1"/>
  </r>
  <r>
    <x v="8"/>
    <x v="190"/>
    <x v="224"/>
    <x v="4"/>
    <x v="4"/>
    <n v="3.7"/>
    <n v="7290"/>
    <n v="7290"/>
    <n v="0"/>
    <n v="0"/>
    <n v="0.50754458161865579"/>
    <s v="Budget"/>
    <x v="1"/>
  </r>
  <r>
    <x v="8"/>
    <x v="294"/>
    <x v="67"/>
    <x v="4"/>
    <x v="2"/>
    <n v="4.4000000000000004"/>
    <n v="8999"/>
    <n v="10499"/>
    <n v="1500"/>
    <n v="0.14287074959519955"/>
    <n v="0.48894321591287931"/>
    <s v="Budget"/>
    <x v="0"/>
  </r>
  <r>
    <x v="8"/>
    <x v="294"/>
    <x v="5"/>
    <x v="2"/>
    <x v="2"/>
    <n v="3.8"/>
    <n v="9999"/>
    <n v="11099"/>
    <n v="1100"/>
    <n v="9.9108027750247768E-2"/>
    <n v="0.38003800380038"/>
    <s v="Budget"/>
    <x v="1"/>
  </r>
  <r>
    <x v="8"/>
    <x v="298"/>
    <x v="4"/>
    <x v="12"/>
    <x v="11"/>
    <n v="3.9"/>
    <n v="2349"/>
    <n v="2349"/>
    <n v="0"/>
    <n v="0"/>
    <n v="1.6602809706257982"/>
    <s v="Budget"/>
    <x v="1"/>
  </r>
  <r>
    <x v="8"/>
    <x v="294"/>
    <x v="5"/>
    <x v="4"/>
    <x v="2"/>
    <n v="4.4000000000000004"/>
    <n v="8999"/>
    <n v="10499"/>
    <n v="1500"/>
    <n v="0.14287074959519955"/>
    <n v="0.48894321591287931"/>
    <s v="Budget"/>
    <x v="0"/>
  </r>
  <r>
    <x v="8"/>
    <x v="299"/>
    <x v="4"/>
    <x v="10"/>
    <x v="8"/>
    <n v="4.2"/>
    <n v="3740"/>
    <n v="3740"/>
    <n v="0"/>
    <n v="0"/>
    <n v="1.1229946524064172"/>
    <s v="Budget"/>
    <x v="0"/>
  </r>
  <r>
    <x v="8"/>
    <x v="190"/>
    <x v="225"/>
    <x v="2"/>
    <x v="2"/>
    <n v="3.8"/>
    <n v="9999"/>
    <n v="9999"/>
    <n v="0"/>
    <n v="0"/>
    <n v="0.38003800380038"/>
    <s v="Budget"/>
    <x v="1"/>
  </r>
  <r>
    <x v="8"/>
    <x v="292"/>
    <x v="226"/>
    <x v="0"/>
    <x v="0"/>
    <n v="3.9"/>
    <n v="11999"/>
    <n v="13999"/>
    <n v="2000"/>
    <n v="0.14286734766769055"/>
    <n v="0.32502708559046584"/>
    <s v="Budget"/>
    <x v="1"/>
  </r>
  <r>
    <x v="8"/>
    <x v="292"/>
    <x v="227"/>
    <x v="0"/>
    <x v="0"/>
    <n v="3.9"/>
    <n v="11999"/>
    <n v="13999"/>
    <n v="2000"/>
    <n v="0.14286734766769055"/>
    <n v="0.32502708559046584"/>
    <s v="Budget"/>
    <x v="1"/>
  </r>
  <r>
    <x v="8"/>
    <x v="300"/>
    <x v="4"/>
    <x v="14"/>
    <x v="8"/>
    <n v="4.2"/>
    <n v="2499"/>
    <n v="2499"/>
    <n v="0"/>
    <n v="0"/>
    <n v="1.680672268907563"/>
    <s v="Budget"/>
    <x v="0"/>
  </r>
  <r>
    <x v="8"/>
    <x v="301"/>
    <x v="4"/>
    <x v="11"/>
    <x v="9"/>
    <n v="3.7"/>
    <n v="3162"/>
    <n v="3299"/>
    <n v="137"/>
    <n v="4.1527735677478021E-2"/>
    <n v="1.1701454775458571"/>
    <s v="Budget"/>
    <x v="1"/>
  </r>
  <r>
    <x v="8"/>
    <x v="302"/>
    <x v="4"/>
    <x v="11"/>
    <x v="9"/>
    <n v="3.7"/>
    <n v="3896"/>
    <n v="3999"/>
    <n v="103"/>
    <n v="2.5756439109777443E-2"/>
    <n v="0.9496919917864477"/>
    <s v="Budget"/>
    <x v="1"/>
  </r>
  <r>
    <x v="8"/>
    <x v="303"/>
    <x v="4"/>
    <x v="11"/>
    <x v="9"/>
    <n v="3.7"/>
    <n v="4399"/>
    <n v="4399"/>
    <n v="0"/>
    <n v="0"/>
    <n v="0.8411002500568312"/>
    <s v="Budget"/>
    <x v="1"/>
  </r>
  <r>
    <x v="8"/>
    <x v="300"/>
    <x v="4"/>
    <x v="14"/>
    <x v="8"/>
    <n v="4.2"/>
    <n v="2450"/>
    <n v="2450"/>
    <n v="0"/>
    <n v="0"/>
    <n v="1.7142857142857144"/>
    <s v="Budget"/>
    <x v="0"/>
  </r>
  <r>
    <x v="8"/>
    <x v="295"/>
    <x v="226"/>
    <x v="1"/>
    <x v="0"/>
    <n v="3.9"/>
    <n v="14499"/>
    <n v="18499"/>
    <n v="4000"/>
    <n v="0.21622790421103844"/>
    <n v="0.26898406786674944"/>
    <s v="Budget"/>
    <x v="1"/>
  </r>
  <r>
    <x v="8"/>
    <x v="304"/>
    <x v="227"/>
    <x v="4"/>
    <x v="2"/>
    <n v="4"/>
    <n v="9999"/>
    <n v="9999"/>
    <n v="0"/>
    <n v="0"/>
    <n v="0.40004000400040007"/>
    <s v="Budget"/>
    <x v="1"/>
  </r>
  <r>
    <x v="8"/>
    <x v="305"/>
    <x v="4"/>
    <x v="11"/>
    <x v="9"/>
    <n v="3.6"/>
    <n v="3220"/>
    <n v="3220"/>
    <n v="0"/>
    <n v="0"/>
    <n v="1.1180124223602483"/>
    <s v="Budget"/>
    <x v="1"/>
  </r>
  <r>
    <x v="8"/>
    <x v="306"/>
    <x v="5"/>
    <x v="1"/>
    <x v="1"/>
    <n v="3.8"/>
    <n v="56299"/>
    <n v="56299"/>
    <n v="0"/>
    <n v="0"/>
    <n v="6.7496758379367305E-2"/>
    <s v="Premium"/>
    <x v="1"/>
  </r>
  <r>
    <x v="8"/>
    <x v="295"/>
    <x v="226"/>
    <x v="0"/>
    <x v="0"/>
    <n v="3.9"/>
    <n v="12999"/>
    <n v="16799"/>
    <n v="3800"/>
    <n v="0.22620394071075658"/>
    <n v="0.30002307869836142"/>
    <s v="Budget"/>
    <x v="1"/>
  </r>
  <r>
    <x v="8"/>
    <x v="295"/>
    <x v="222"/>
    <x v="0"/>
    <x v="0"/>
    <n v="3.9"/>
    <n v="12999"/>
    <n v="16799"/>
    <n v="3800"/>
    <n v="0.22620394071075658"/>
    <n v="0.30002307869836142"/>
    <s v="Budget"/>
    <x v="1"/>
  </r>
  <r>
    <x v="8"/>
    <x v="288"/>
    <x v="4"/>
    <x v="12"/>
    <x v="11"/>
    <n v="4.2"/>
    <n v="1399"/>
    <n v="1399"/>
    <n v="0"/>
    <n v="0"/>
    <n v="3.0021443888491781"/>
    <s v="Budget"/>
    <x v="0"/>
  </r>
  <r>
    <x v="8"/>
    <x v="297"/>
    <x v="228"/>
    <x v="2"/>
    <x v="0"/>
    <n v="4"/>
    <n v="10399"/>
    <n v="11499"/>
    <n v="1100"/>
    <n v="9.5660492216714493E-2"/>
    <n v="0.3846523704202327"/>
    <s v="Budget"/>
    <x v="1"/>
  </r>
  <r>
    <x v="8"/>
    <x v="297"/>
    <x v="229"/>
    <x v="2"/>
    <x v="0"/>
    <n v="4"/>
    <n v="10399"/>
    <n v="11499"/>
    <n v="1100"/>
    <n v="9.5660492216714493E-2"/>
    <n v="0.3846523704202327"/>
    <s v="Budget"/>
    <x v="1"/>
  </r>
  <r>
    <x v="8"/>
    <x v="190"/>
    <x v="224"/>
    <x v="2"/>
    <x v="2"/>
    <n v="3.8"/>
    <n v="7499"/>
    <n v="9999"/>
    <n v="2500"/>
    <n v="0.25002500250025"/>
    <n v="0.50673423123083072"/>
    <s v="Budget"/>
    <x v="1"/>
  </r>
  <r>
    <x v="8"/>
    <x v="307"/>
    <x v="4"/>
    <x v="12"/>
    <x v="11"/>
    <n v="4.2"/>
    <n v="2000"/>
    <n v="2000"/>
    <n v="0"/>
    <n v="0"/>
    <n v="2.1"/>
    <s v="Budget"/>
    <x v="0"/>
  </r>
  <r>
    <x v="8"/>
    <x v="308"/>
    <x v="4"/>
    <x v="12"/>
    <x v="11"/>
    <n v="4.2"/>
    <n v="1400"/>
    <n v="1400"/>
    <n v="0"/>
    <n v="0"/>
    <n v="3"/>
    <s v="Budget"/>
    <x v="0"/>
  </r>
  <r>
    <x v="8"/>
    <x v="309"/>
    <x v="4"/>
    <x v="10"/>
    <x v="12"/>
    <n v="4.0999999999999996"/>
    <n v="2200"/>
    <n v="2200"/>
    <n v="0"/>
    <n v="0"/>
    <n v="1.8636363636363635"/>
    <s v="Budget"/>
    <x v="0"/>
  </r>
  <r>
    <x v="8"/>
    <x v="310"/>
    <x v="4"/>
    <x v="12"/>
    <x v="13"/>
    <n v="4.2"/>
    <n v="1600"/>
    <n v="1600"/>
    <n v="0"/>
    <n v="0"/>
    <n v="2.625"/>
    <s v="Budget"/>
    <x v="0"/>
  </r>
  <r>
    <x v="8"/>
    <x v="310"/>
    <x v="4"/>
    <x v="12"/>
    <x v="10"/>
    <n v="4.2"/>
    <n v="1600"/>
    <n v="1600"/>
    <n v="0"/>
    <n v="0"/>
    <n v="2.625"/>
    <s v="Budget"/>
    <x v="0"/>
  </r>
  <r>
    <x v="8"/>
    <x v="311"/>
    <x v="4"/>
    <x v="12"/>
    <x v="11"/>
    <n v="4.2"/>
    <n v="1900"/>
    <n v="1900"/>
    <n v="0"/>
    <n v="0"/>
    <n v="2.2105263157894739"/>
    <s v="Budget"/>
    <x v="0"/>
  </r>
  <r>
    <x v="8"/>
    <x v="312"/>
    <x v="4"/>
    <x v="12"/>
    <x v="14"/>
    <n v="4.2"/>
    <n v="1900"/>
    <n v="1900"/>
    <n v="0"/>
    <n v="0"/>
    <n v="2.2105263157894739"/>
    <s v="Budget"/>
    <x v="0"/>
  </r>
  <r>
    <x v="8"/>
    <x v="308"/>
    <x v="4"/>
    <x v="12"/>
    <x v="11"/>
    <n v="4.2"/>
    <n v="1660"/>
    <n v="1700"/>
    <n v="40"/>
    <n v="2.3529411764705882E-2"/>
    <n v="2.5301204819277112"/>
    <s v="Budget"/>
    <x v="0"/>
  </r>
  <r>
    <x v="8"/>
    <x v="190"/>
    <x v="225"/>
    <x v="4"/>
    <x v="4"/>
    <n v="3.7"/>
    <n v="7299"/>
    <n v="7299"/>
    <n v="0"/>
    <n v="0"/>
    <n v="0.50691875599397185"/>
    <s v="Budget"/>
    <x v="1"/>
  </r>
  <r>
    <x v="8"/>
    <x v="313"/>
    <x v="4"/>
    <x v="12"/>
    <x v="11"/>
    <n v="4.2"/>
    <n v="1500"/>
    <n v="1500"/>
    <n v="0"/>
    <n v="0"/>
    <n v="2.8"/>
    <s v="Budget"/>
    <x v="0"/>
  </r>
  <r>
    <x v="8"/>
    <x v="303"/>
    <x v="4"/>
    <x v="11"/>
    <x v="9"/>
    <n v="3.7"/>
    <n v="3899"/>
    <n v="4399"/>
    <n v="500"/>
    <n v="0.11366219595362582"/>
    <n v="0.94896127212105674"/>
    <s v="Budget"/>
    <x v="1"/>
  </r>
  <r>
    <x v="8"/>
    <x v="314"/>
    <x v="4"/>
    <x v="2"/>
    <x v="2"/>
    <n v="4.0999999999999996"/>
    <n v="10499"/>
    <n v="10999"/>
    <n v="500"/>
    <n v="4.5458678061641965E-2"/>
    <n v="0.3905133822268787"/>
    <s v="Budget"/>
    <x v="0"/>
  </r>
  <r>
    <x v="8"/>
    <x v="291"/>
    <x v="4"/>
    <x v="14"/>
    <x v="12"/>
    <n v="3.8"/>
    <n v="3499"/>
    <n v="3499"/>
    <n v="0"/>
    <n v="0"/>
    <n v="1.0860245784509861"/>
    <s v="Budget"/>
    <x v="1"/>
  </r>
  <r>
    <x v="8"/>
    <x v="315"/>
    <x v="4"/>
    <x v="2"/>
    <x v="2"/>
    <n v="4.3"/>
    <n v="13199"/>
    <n v="13199"/>
    <n v="0"/>
    <n v="0"/>
    <n v="0.32578225623153267"/>
    <s v="Budget"/>
    <x v="0"/>
  </r>
  <r>
    <x v="8"/>
    <x v="310"/>
    <x v="4"/>
    <x v="12"/>
    <x v="13"/>
    <n v="4.2"/>
    <n v="1625"/>
    <n v="1625"/>
    <n v="0"/>
    <n v="0"/>
    <n v="2.5846153846153848"/>
    <s v="Budget"/>
    <x v="0"/>
  </r>
  <r>
    <x v="8"/>
    <x v="316"/>
    <x v="4"/>
    <x v="12"/>
    <x v="11"/>
    <n v="4.2"/>
    <n v="1000"/>
    <n v="1000"/>
    <n v="0"/>
    <n v="0"/>
    <n v="4.2"/>
    <s v="Budget"/>
    <x v="0"/>
  </r>
  <r>
    <x v="8"/>
    <x v="283"/>
    <x v="4"/>
    <x v="12"/>
    <x v="11"/>
    <n v="4.3"/>
    <n v="1000"/>
    <n v="1000"/>
    <n v="0"/>
    <n v="0"/>
    <n v="4.3"/>
    <s v="Budget"/>
    <x v="0"/>
  </r>
  <r>
    <x v="8"/>
    <x v="312"/>
    <x v="4"/>
    <x v="12"/>
    <x v="14"/>
    <n v="4.2"/>
    <n v="1860"/>
    <n v="1860"/>
    <n v="0"/>
    <n v="0"/>
    <n v="2.2580645161290325"/>
    <s v="Budget"/>
    <x v="0"/>
  </r>
  <r>
    <x v="8"/>
    <x v="314"/>
    <x v="4"/>
    <x v="4"/>
    <x v="4"/>
    <n v="3.8"/>
    <n v="9999"/>
    <n v="9999"/>
    <n v="0"/>
    <n v="0"/>
    <n v="0.38003800380038"/>
    <s v="Budget"/>
    <x v="1"/>
  </r>
  <r>
    <x v="8"/>
    <x v="314"/>
    <x v="4"/>
    <x v="2"/>
    <x v="2"/>
    <n v="4.0999999999999996"/>
    <n v="11999"/>
    <n v="11999"/>
    <n v="0"/>
    <n v="0"/>
    <n v="0.34169514126177181"/>
    <s v="Budget"/>
    <x v="0"/>
  </r>
  <r>
    <x v="8"/>
    <x v="317"/>
    <x v="230"/>
    <x v="2"/>
    <x v="2"/>
    <n v="4.2"/>
    <n v="14927"/>
    <n v="14927"/>
    <n v="0"/>
    <n v="0"/>
    <n v="0.28136933074294906"/>
    <s v="Budget"/>
    <x v="0"/>
  </r>
  <r>
    <x v="8"/>
    <x v="318"/>
    <x v="4"/>
    <x v="6"/>
    <x v="5"/>
    <n v="4"/>
    <n v="6500"/>
    <n v="6500"/>
    <n v="0"/>
    <n v="0"/>
    <n v="0.61538461538461542"/>
    <s v="Budget"/>
    <x v="1"/>
  </r>
  <r>
    <x v="8"/>
    <x v="319"/>
    <x v="12"/>
    <x v="2"/>
    <x v="4"/>
    <n v="4.0999999999999996"/>
    <n v="12499"/>
    <n v="12499"/>
    <n v="0"/>
    <n v="0"/>
    <n v="0.32802624209936793"/>
    <s v="Budget"/>
    <x v="0"/>
  </r>
  <r>
    <x v="8"/>
    <x v="207"/>
    <x v="215"/>
    <x v="6"/>
    <x v="5"/>
    <n v="3.9"/>
    <n v="4800"/>
    <n v="4800"/>
    <n v="0"/>
    <n v="0"/>
    <n v="0.8125"/>
    <s v="Budget"/>
    <x v="1"/>
  </r>
  <r>
    <x v="8"/>
    <x v="318"/>
    <x v="231"/>
    <x v="6"/>
    <x v="5"/>
    <n v="4"/>
    <n v="7739"/>
    <n v="7739"/>
    <n v="0"/>
    <n v="0"/>
    <n v="0.51686264375242275"/>
    <s v="Budget"/>
    <x v="1"/>
  </r>
  <r>
    <x v="8"/>
    <x v="207"/>
    <x v="232"/>
    <x v="6"/>
    <x v="5"/>
    <n v="3.9"/>
    <n v="4672"/>
    <n v="4672"/>
    <n v="0"/>
    <n v="0"/>
    <n v="0.83476027397260266"/>
    <s v="Budget"/>
    <x v="1"/>
  </r>
  <r>
    <x v="8"/>
    <x v="317"/>
    <x v="57"/>
    <x v="0"/>
    <x v="0"/>
    <n v="4"/>
    <n v="18300"/>
    <n v="18300"/>
    <n v="0"/>
    <n v="0"/>
    <n v="0.21857923497267759"/>
    <s v="Mid Range"/>
    <x v="1"/>
  </r>
  <r>
    <x v="8"/>
    <x v="320"/>
    <x v="4"/>
    <x v="14"/>
    <x v="8"/>
    <n v="4.0999999999999996"/>
    <n v="3100"/>
    <n v="3100"/>
    <n v="0"/>
    <n v="0"/>
    <n v="1.32258064516129"/>
    <s v="Budget"/>
    <x v="0"/>
  </r>
  <r>
    <x v="8"/>
    <x v="203"/>
    <x v="12"/>
    <x v="2"/>
    <x v="2"/>
    <n v="3.9"/>
    <n v="13999"/>
    <n v="13999"/>
    <n v="0"/>
    <n v="0"/>
    <n v="0.27859132795199659"/>
    <s v="Budget"/>
    <x v="1"/>
  </r>
  <r>
    <x v="8"/>
    <x v="77"/>
    <x v="233"/>
    <x v="6"/>
    <x v="5"/>
    <n v="3.8"/>
    <n v="7007"/>
    <n v="7007"/>
    <n v="0"/>
    <n v="0"/>
    <n v="0.54231482802911368"/>
    <s v="Budget"/>
    <x v="1"/>
  </r>
  <r>
    <x v="8"/>
    <x v="318"/>
    <x v="234"/>
    <x v="6"/>
    <x v="5"/>
    <n v="4"/>
    <n v="7712"/>
    <n v="7712"/>
    <n v="0"/>
    <n v="0"/>
    <n v="0.51867219917012453"/>
    <s v="Budget"/>
    <x v="1"/>
  </r>
  <r>
    <x v="8"/>
    <x v="321"/>
    <x v="4"/>
    <x v="4"/>
    <x v="4"/>
    <n v="3.9"/>
    <n v="9999"/>
    <n v="9999"/>
    <n v="0"/>
    <n v="0"/>
    <n v="0.39003900390038998"/>
    <s v="Budget"/>
    <x v="1"/>
  </r>
  <r>
    <x v="8"/>
    <x v="321"/>
    <x v="4"/>
    <x v="4"/>
    <x v="4"/>
    <n v="3.9"/>
    <n v="10000"/>
    <n v="10000"/>
    <n v="0"/>
    <n v="0"/>
    <n v="0.39"/>
    <s v="Budget"/>
    <x v="1"/>
  </r>
  <r>
    <x v="8"/>
    <x v="70"/>
    <x v="235"/>
    <x v="4"/>
    <x v="4"/>
    <n v="3.9"/>
    <n v="8588"/>
    <n v="8588"/>
    <n v="0"/>
    <n v="0"/>
    <n v="0.45412203074056823"/>
    <s v="Budget"/>
    <x v="1"/>
  </r>
  <r>
    <x v="8"/>
    <x v="322"/>
    <x v="236"/>
    <x v="2"/>
    <x v="2"/>
    <n v="4"/>
    <n v="16300"/>
    <n v="16300"/>
    <n v="0"/>
    <n v="0"/>
    <n v="0.245398773006135"/>
    <s v="Mid Range"/>
    <x v="1"/>
  </r>
  <r>
    <x v="8"/>
    <x v="304"/>
    <x v="225"/>
    <x v="4"/>
    <x v="2"/>
    <n v="4"/>
    <n v="9999"/>
    <n v="9999"/>
    <n v="0"/>
    <n v="0"/>
    <n v="0.40004000400040007"/>
    <s v="Budget"/>
    <x v="1"/>
  </r>
  <r>
    <x v="8"/>
    <x v="304"/>
    <x v="237"/>
    <x v="4"/>
    <x v="2"/>
    <n v="4"/>
    <n v="9999"/>
    <n v="9999"/>
    <n v="0"/>
    <n v="0"/>
    <n v="0.40004000400040007"/>
    <s v="Budget"/>
    <x v="1"/>
  </r>
  <r>
    <x v="8"/>
    <x v="311"/>
    <x v="4"/>
    <x v="12"/>
    <x v="11"/>
    <n v="4.2"/>
    <n v="2149"/>
    <n v="2149"/>
    <n v="0"/>
    <n v="0"/>
    <n v="1.9543973941368078"/>
    <s v="Budget"/>
    <x v="0"/>
  </r>
  <r>
    <x v="8"/>
    <x v="301"/>
    <x v="4"/>
    <x v="11"/>
    <x v="9"/>
    <n v="3.7"/>
    <n v="3599"/>
    <n v="3599"/>
    <n v="0"/>
    <n v="0"/>
    <n v="1.0280633509308141"/>
    <s v="Budget"/>
    <x v="1"/>
  </r>
  <r>
    <x v="8"/>
    <x v="313"/>
    <x v="4"/>
    <x v="12"/>
    <x v="11"/>
    <n v="4.2"/>
    <n v="2540"/>
    <n v="2540"/>
    <n v="0"/>
    <n v="0"/>
    <n v="1.6535433070866143"/>
    <s v="Budget"/>
    <x v="0"/>
  </r>
  <r>
    <x v="8"/>
    <x v="304"/>
    <x v="237"/>
    <x v="4"/>
    <x v="2"/>
    <n v="4"/>
    <n v="8449"/>
    <n v="8449"/>
    <n v="0"/>
    <n v="0"/>
    <n v="0.4734288081429755"/>
    <s v="Budget"/>
    <x v="1"/>
  </r>
  <r>
    <x v="8"/>
    <x v="323"/>
    <x v="4"/>
    <x v="10"/>
    <x v="10"/>
    <n v="4"/>
    <n v="2999"/>
    <n v="2999"/>
    <n v="0"/>
    <n v="0"/>
    <n v="1.3337779259753251"/>
    <s v="Budget"/>
    <x v="1"/>
  </r>
  <r>
    <x v="8"/>
    <x v="324"/>
    <x v="4"/>
    <x v="4"/>
    <x v="4"/>
    <n v="4"/>
    <n v="8599"/>
    <n v="8599"/>
    <n v="0"/>
    <n v="0"/>
    <n v="0.46517036864751715"/>
    <s v="Budget"/>
    <x v="1"/>
  </r>
  <r>
    <x v="8"/>
    <x v="317"/>
    <x v="57"/>
    <x v="2"/>
    <x v="2"/>
    <n v="4.2"/>
    <n v="17979"/>
    <n v="17979"/>
    <n v="0"/>
    <n v="0"/>
    <n v="0.23360587351910564"/>
    <s v="Mid Range"/>
    <x v="0"/>
  </r>
  <r>
    <x v="8"/>
    <x v="319"/>
    <x v="230"/>
    <x v="2"/>
    <x v="4"/>
    <n v="4.0999999999999996"/>
    <n v="15299"/>
    <n v="15299"/>
    <n v="0"/>
    <n v="0"/>
    <n v="0.26799137198509704"/>
    <s v="Mid Range"/>
    <x v="0"/>
  </r>
  <r>
    <x v="8"/>
    <x v="325"/>
    <x v="4"/>
    <x v="6"/>
    <x v="2"/>
    <n v="4.3"/>
    <n v="40699"/>
    <n v="40699"/>
    <n v="0"/>
    <n v="0"/>
    <n v="0.10565370156514901"/>
    <s v="Mid Range"/>
    <x v="0"/>
  </r>
  <r>
    <x v="8"/>
    <x v="326"/>
    <x v="227"/>
    <x v="2"/>
    <x v="2"/>
    <n v="4.2"/>
    <n v="7088"/>
    <n v="12799"/>
    <n v="5711"/>
    <n v="0.44620673490116414"/>
    <n v="0.59255079006772005"/>
    <s v="Budget"/>
    <x v="0"/>
  </r>
  <r>
    <x v="8"/>
    <x v="326"/>
    <x v="238"/>
    <x v="2"/>
    <x v="2"/>
    <n v="4.2"/>
    <n v="10440"/>
    <n v="10440"/>
    <n v="0"/>
    <n v="0"/>
    <n v="0.40229885057471265"/>
    <s v="Budget"/>
    <x v="0"/>
  </r>
  <r>
    <x v="8"/>
    <x v="327"/>
    <x v="75"/>
    <x v="7"/>
    <x v="12"/>
    <n v="3.8"/>
    <n v="7399"/>
    <n v="7399"/>
    <n v="0"/>
    <n v="0"/>
    <n v="0.51358291661035271"/>
    <s v="Budget"/>
    <x v="1"/>
  </r>
  <r>
    <x v="8"/>
    <x v="328"/>
    <x v="4"/>
    <x v="14"/>
    <x v="15"/>
    <n v="3.6"/>
    <n v="1599"/>
    <n v="1599"/>
    <n v="0"/>
    <n v="0"/>
    <n v="2.2514071294559099"/>
    <s v="Budget"/>
    <x v="1"/>
  </r>
  <r>
    <x v="8"/>
    <x v="329"/>
    <x v="4"/>
    <x v="10"/>
    <x v="12"/>
    <n v="4"/>
    <n v="3499"/>
    <n v="3499"/>
    <n v="0"/>
    <n v="0"/>
    <n v="1.1431837667905116"/>
    <s v="Budget"/>
    <x v="1"/>
  </r>
  <r>
    <x v="8"/>
    <x v="324"/>
    <x v="4"/>
    <x v="2"/>
    <x v="2"/>
    <n v="4"/>
    <n v="9599"/>
    <n v="9599"/>
    <n v="0"/>
    <n v="0"/>
    <n v="0.41671007396603815"/>
    <s v="Budget"/>
    <x v="1"/>
  </r>
  <r>
    <x v="8"/>
    <x v="317"/>
    <x v="239"/>
    <x v="2"/>
    <x v="2"/>
    <n v="4.2"/>
    <n v="17979"/>
    <n v="17979"/>
    <n v="0"/>
    <n v="0"/>
    <n v="0.23360587351910564"/>
    <s v="Mid Range"/>
    <x v="0"/>
  </r>
  <r>
    <x v="8"/>
    <x v="330"/>
    <x v="4"/>
    <x v="12"/>
    <x v="11"/>
    <n v="4.2"/>
    <n v="1560"/>
    <n v="1560"/>
    <n v="0"/>
    <n v="0"/>
    <n v="2.6923076923076925"/>
    <s v="Budget"/>
    <x v="0"/>
  </r>
  <r>
    <x v="8"/>
    <x v="324"/>
    <x v="240"/>
    <x v="2"/>
    <x v="2"/>
    <n v="4"/>
    <n v="9599"/>
    <n v="9599"/>
    <n v="0"/>
    <n v="0"/>
    <n v="0.41671007396603815"/>
    <s v="Budget"/>
    <x v="1"/>
  </r>
  <r>
    <x v="8"/>
    <x v="331"/>
    <x v="125"/>
    <x v="7"/>
    <x v="6"/>
    <n v="3.7"/>
    <n v="3400"/>
    <n v="8400"/>
    <n v="5000"/>
    <n v="0.59523809523809523"/>
    <n v="1.088235294117647"/>
    <s v="Budget"/>
    <x v="1"/>
  </r>
  <r>
    <x v="8"/>
    <x v="314"/>
    <x v="240"/>
    <x v="2"/>
    <x v="2"/>
    <n v="4.0999999999999996"/>
    <n v="12399"/>
    <n v="12399"/>
    <n v="0"/>
    <n v="0"/>
    <n v="0.33067182837325587"/>
    <s v="Budget"/>
    <x v="0"/>
  </r>
  <r>
    <x v="8"/>
    <x v="77"/>
    <x v="241"/>
    <x v="6"/>
    <x v="5"/>
    <n v="3.8"/>
    <n v="6295"/>
    <n v="6295"/>
    <n v="0"/>
    <n v="0"/>
    <n v="0.60365369340746622"/>
    <s v="Budget"/>
    <x v="1"/>
  </r>
  <r>
    <x v="8"/>
    <x v="315"/>
    <x v="75"/>
    <x v="2"/>
    <x v="2"/>
    <n v="4.3"/>
    <n v="13199"/>
    <n v="13199"/>
    <n v="0"/>
    <n v="0"/>
    <n v="0.32578225623153267"/>
    <s v="Budget"/>
    <x v="0"/>
  </r>
  <r>
    <x v="8"/>
    <x v="317"/>
    <x v="230"/>
    <x v="0"/>
    <x v="2"/>
    <n v="4"/>
    <n v="12999"/>
    <n v="19999"/>
    <n v="7000"/>
    <n v="0.35001750087504374"/>
    <n v="0.30771597815216556"/>
    <s v="Budget"/>
    <x v="1"/>
  </r>
  <r>
    <x v="8"/>
    <x v="317"/>
    <x v="75"/>
    <x v="0"/>
    <x v="2"/>
    <n v="4"/>
    <n v="17000"/>
    <n v="17000"/>
    <n v="0"/>
    <n v="0"/>
    <n v="0.23529411764705882"/>
    <s v="Mid Range"/>
    <x v="1"/>
  </r>
  <r>
    <x v="8"/>
    <x v="70"/>
    <x v="242"/>
    <x v="4"/>
    <x v="4"/>
    <n v="3.9"/>
    <n v="10899"/>
    <n v="10899"/>
    <n v="0"/>
    <n v="0"/>
    <n v="0.35783099366914395"/>
    <s v="Budget"/>
    <x v="1"/>
  </r>
  <r>
    <x v="8"/>
    <x v="70"/>
    <x v="12"/>
    <x v="4"/>
    <x v="4"/>
    <n v="3.9"/>
    <n v="5290"/>
    <n v="5290"/>
    <n v="0"/>
    <n v="0"/>
    <n v="0.73724007561436666"/>
    <s v="Budget"/>
    <x v="1"/>
  </r>
  <r>
    <x v="8"/>
    <x v="326"/>
    <x v="75"/>
    <x v="2"/>
    <x v="2"/>
    <n v="4.2"/>
    <n v="7399"/>
    <n v="7399"/>
    <n v="0"/>
    <n v="0"/>
    <n v="0.56764427625354774"/>
    <s v="Budget"/>
    <x v="0"/>
  </r>
  <r>
    <x v="8"/>
    <x v="332"/>
    <x v="4"/>
    <x v="1"/>
    <x v="1"/>
    <n v="4.3"/>
    <n v="29990"/>
    <n v="29990"/>
    <n v="0"/>
    <n v="0"/>
    <n v="0.14338112704234743"/>
    <s v="Mid Range"/>
    <x v="0"/>
  </r>
  <r>
    <x v="8"/>
    <x v="319"/>
    <x v="242"/>
    <x v="2"/>
    <x v="4"/>
    <n v="4.0999999999999996"/>
    <n v="16199"/>
    <n v="16199"/>
    <n v="0"/>
    <n v="0"/>
    <n v="0.25310204333600839"/>
    <s v="Mid Range"/>
    <x v="0"/>
  </r>
  <r>
    <x v="8"/>
    <x v="333"/>
    <x v="4"/>
    <x v="14"/>
    <x v="16"/>
    <n v="4"/>
    <n v="4196"/>
    <n v="4196"/>
    <n v="0"/>
    <n v="0"/>
    <n v="0.95328884652049573"/>
    <s v="Budget"/>
    <x v="1"/>
  </r>
  <r>
    <x v="8"/>
    <x v="203"/>
    <x v="82"/>
    <x v="2"/>
    <x v="2"/>
    <n v="3.9"/>
    <n v="7999"/>
    <n v="7999"/>
    <n v="0"/>
    <n v="0"/>
    <n v="0.48756094511813974"/>
    <s v="Budget"/>
    <x v="1"/>
  </r>
  <r>
    <x v="8"/>
    <x v="317"/>
    <x v="57"/>
    <x v="0"/>
    <x v="2"/>
    <n v="4"/>
    <n v="9500"/>
    <n v="9500"/>
    <n v="0"/>
    <n v="0"/>
    <n v="0.4210526315789474"/>
    <s v="Budget"/>
    <x v="1"/>
  </r>
  <r>
    <x v="8"/>
    <x v="334"/>
    <x v="225"/>
    <x v="1"/>
    <x v="0"/>
    <n v="3.7"/>
    <n v="12999"/>
    <n v="12999"/>
    <n v="0"/>
    <n v="0"/>
    <n v="0.28463727979075315"/>
    <s v="Budget"/>
    <x v="1"/>
  </r>
  <r>
    <x v="8"/>
    <x v="334"/>
    <x v="243"/>
    <x v="1"/>
    <x v="0"/>
    <n v="3.7"/>
    <n v="12999"/>
    <n v="12999"/>
    <n v="0"/>
    <n v="0"/>
    <n v="0.28463727979075315"/>
    <s v="Budget"/>
    <x v="1"/>
  </r>
  <r>
    <x v="8"/>
    <x v="335"/>
    <x v="75"/>
    <x v="7"/>
    <x v="5"/>
    <n v="4.0999999999999996"/>
    <n v="17599"/>
    <n v="17599"/>
    <n v="0"/>
    <n v="0"/>
    <n v="0.23296778226035569"/>
    <s v="Mid Range"/>
    <x v="0"/>
  </r>
  <r>
    <x v="8"/>
    <x v="321"/>
    <x v="4"/>
    <x v="2"/>
    <x v="2"/>
    <n v="4"/>
    <n v="6990"/>
    <n v="6990"/>
    <n v="0"/>
    <n v="0"/>
    <n v="0.57224606580829762"/>
    <s v="Budget"/>
    <x v="1"/>
  </r>
  <r>
    <x v="8"/>
    <x v="321"/>
    <x v="75"/>
    <x v="2"/>
    <x v="2"/>
    <n v="4"/>
    <n v="7490"/>
    <n v="13824"/>
    <n v="6334"/>
    <n v="0.45818865740740738"/>
    <n v="0.53404539385847793"/>
    <s v="Budget"/>
    <x v="1"/>
  </r>
  <r>
    <x v="8"/>
    <x v="336"/>
    <x v="5"/>
    <x v="1"/>
    <x v="0"/>
    <n v="4.0999999999999996"/>
    <n v="11990"/>
    <n v="16999"/>
    <n v="5009"/>
    <n v="0.29466439202306016"/>
    <n v="0.34195162635529602"/>
    <s v="Budget"/>
    <x v="0"/>
  </r>
  <r>
    <x v="8"/>
    <x v="337"/>
    <x v="244"/>
    <x v="7"/>
    <x v="17"/>
    <n v="4"/>
    <n v="5999"/>
    <n v="6879"/>
    <n v="880"/>
    <n v="0.12792557057711876"/>
    <n v="0.66677779629938327"/>
    <s v="Budget"/>
    <x v="1"/>
  </r>
  <r>
    <x v="8"/>
    <x v="338"/>
    <x v="5"/>
    <x v="0"/>
    <x v="0"/>
    <n v="4.3"/>
    <n v="28831"/>
    <n v="28831"/>
    <n v="0"/>
    <n v="0"/>
    <n v="0.14914501751586834"/>
    <s v="Mid Range"/>
    <x v="0"/>
  </r>
  <r>
    <x v="8"/>
    <x v="339"/>
    <x v="227"/>
    <x v="0"/>
    <x v="0"/>
    <n v="4.0999999999999996"/>
    <n v="19999"/>
    <n v="19999"/>
    <n v="0"/>
    <n v="0"/>
    <n v="0.20501025051252561"/>
    <s v="Mid Range"/>
    <x v="0"/>
  </r>
  <r>
    <x v="8"/>
    <x v="339"/>
    <x v="227"/>
    <x v="1"/>
    <x v="0"/>
    <n v="4.0999999999999996"/>
    <n v="20999"/>
    <n v="20999"/>
    <n v="0"/>
    <n v="0"/>
    <n v="0.19524739273298727"/>
    <s v="Mid Range"/>
    <x v="0"/>
  </r>
  <r>
    <x v="8"/>
    <x v="339"/>
    <x v="237"/>
    <x v="1"/>
    <x v="0"/>
    <n v="4.0999999999999996"/>
    <n v="20999"/>
    <n v="20999"/>
    <n v="0"/>
    <n v="0"/>
    <n v="0.19524739273298727"/>
    <s v="Mid Range"/>
    <x v="0"/>
  </r>
  <r>
    <x v="8"/>
    <x v="339"/>
    <x v="108"/>
    <x v="1"/>
    <x v="0"/>
    <n v="4.0999999999999996"/>
    <n v="20999"/>
    <n v="20999"/>
    <n v="0"/>
    <n v="0"/>
    <n v="0.19524739273298727"/>
    <s v="Mid Range"/>
    <x v="0"/>
  </r>
  <r>
    <x v="8"/>
    <x v="339"/>
    <x v="108"/>
    <x v="0"/>
    <x v="0"/>
    <n v="4.0999999999999996"/>
    <n v="19999"/>
    <n v="19999"/>
    <n v="0"/>
    <n v="0"/>
    <n v="0.20501025051252561"/>
    <s v="Mid Range"/>
    <x v="0"/>
  </r>
  <r>
    <x v="8"/>
    <x v="339"/>
    <x v="237"/>
    <x v="0"/>
    <x v="0"/>
    <n v="4.0999999999999996"/>
    <n v="19999"/>
    <n v="19999"/>
    <n v="0"/>
    <n v="0"/>
    <n v="0.20501025051252561"/>
    <s v="Mid Range"/>
    <x v="0"/>
  </r>
  <r>
    <x v="8"/>
    <x v="331"/>
    <x v="4"/>
    <x v="7"/>
    <x v="6"/>
    <n v="3.7"/>
    <n v="3000"/>
    <n v="8400"/>
    <n v="5400"/>
    <n v="0.6428571428571429"/>
    <n v="1.2333333333333334"/>
    <s v="Budget"/>
    <x v="1"/>
  </r>
  <r>
    <x v="8"/>
    <x v="319"/>
    <x v="82"/>
    <x v="2"/>
    <x v="4"/>
    <n v="4.0999999999999996"/>
    <n v="7139"/>
    <n v="7139"/>
    <n v="0"/>
    <n v="0"/>
    <n v="0.57431012746883314"/>
    <s v="Budget"/>
    <x v="0"/>
  </r>
  <r>
    <x v="8"/>
    <x v="322"/>
    <x v="57"/>
    <x v="2"/>
    <x v="2"/>
    <n v="4"/>
    <n v="7890"/>
    <n v="15999"/>
    <n v="8109"/>
    <n v="0.50684417776111002"/>
    <n v="0.5069708491761723"/>
    <s v="Budget"/>
    <x v="1"/>
  </r>
  <r>
    <x v="8"/>
    <x v="334"/>
    <x v="227"/>
    <x v="0"/>
    <x v="0"/>
    <n v="3.5"/>
    <n v="10999"/>
    <n v="10999"/>
    <n v="0"/>
    <n v="0"/>
    <n v="0.31821074643149377"/>
    <s v="Budget"/>
    <x v="3"/>
  </r>
  <r>
    <x v="8"/>
    <x v="340"/>
    <x v="5"/>
    <x v="0"/>
    <x v="0"/>
    <n v="4.0999999999999996"/>
    <n v="11199"/>
    <n v="11199"/>
    <n v="0"/>
    <n v="0"/>
    <n v="0.36610411643896773"/>
    <s v="Budget"/>
    <x v="0"/>
  </r>
  <r>
    <x v="8"/>
    <x v="319"/>
    <x v="82"/>
    <x v="4"/>
    <x v="4"/>
    <n v="4"/>
    <n v="6741"/>
    <n v="6741"/>
    <n v="0"/>
    <n v="0"/>
    <n v="0.59338377095386441"/>
    <s v="Budget"/>
    <x v="1"/>
  </r>
  <r>
    <x v="8"/>
    <x v="319"/>
    <x v="242"/>
    <x v="4"/>
    <x v="4"/>
    <n v="4"/>
    <n v="6400"/>
    <n v="6400"/>
    <n v="0"/>
    <n v="0"/>
    <n v="0.625"/>
    <s v="Budget"/>
    <x v="1"/>
  </r>
  <r>
    <x v="8"/>
    <x v="319"/>
    <x v="230"/>
    <x v="4"/>
    <x v="4"/>
    <n v="4"/>
    <n v="6999"/>
    <n v="14190"/>
    <n v="7191"/>
    <n v="0.50676532769556026"/>
    <n v="0.57151021574510652"/>
    <s v="Budget"/>
    <x v="1"/>
  </r>
  <r>
    <x v="8"/>
    <x v="314"/>
    <x v="240"/>
    <x v="4"/>
    <x v="4"/>
    <n v="3.8"/>
    <n v="10199"/>
    <n v="10199"/>
    <n v="0"/>
    <n v="0"/>
    <n v="0.37258554760270612"/>
    <s v="Budget"/>
    <x v="1"/>
  </r>
  <r>
    <x v="8"/>
    <x v="338"/>
    <x v="5"/>
    <x v="1"/>
    <x v="1"/>
    <n v="4.3"/>
    <n v="22999"/>
    <n v="35999"/>
    <n v="13000"/>
    <n v="0.36112114225395148"/>
    <n v="0.1869646506369842"/>
    <s v="Mid Range"/>
    <x v="0"/>
  </r>
  <r>
    <x v="8"/>
    <x v="341"/>
    <x v="4"/>
    <x v="7"/>
    <x v="6"/>
    <n v="3.7"/>
    <n v="6699"/>
    <n v="6699"/>
    <n v="0"/>
    <n v="0"/>
    <n v="0.55232124197641441"/>
    <s v="Budget"/>
    <x v="1"/>
  </r>
  <r>
    <x v="8"/>
    <x v="342"/>
    <x v="245"/>
    <x v="6"/>
    <x v="6"/>
    <n v="4.2"/>
    <n v="9999"/>
    <n v="9999"/>
    <n v="0"/>
    <n v="0"/>
    <n v="0.42004200420042004"/>
    <s v="Budget"/>
    <x v="0"/>
  </r>
  <r>
    <x v="8"/>
    <x v="336"/>
    <x v="75"/>
    <x v="0"/>
    <x v="0"/>
    <n v="4.3"/>
    <n v="18599"/>
    <n v="18599"/>
    <n v="0"/>
    <n v="0"/>
    <n v="0.23119522554976074"/>
    <s v="Mid Range"/>
    <x v="0"/>
  </r>
  <r>
    <x v="8"/>
    <x v="324"/>
    <x v="240"/>
    <x v="4"/>
    <x v="4"/>
    <n v="4"/>
    <n v="8599"/>
    <n v="8599"/>
    <n v="0"/>
    <n v="0"/>
    <n v="0.46517036864751715"/>
    <s v="Budget"/>
    <x v="1"/>
  </r>
  <r>
    <x v="8"/>
    <x v="334"/>
    <x v="243"/>
    <x v="0"/>
    <x v="0"/>
    <n v="3.5"/>
    <n v="11989"/>
    <n v="11989"/>
    <n v="0"/>
    <n v="0"/>
    <n v="0.29193427308365999"/>
    <s v="Budget"/>
    <x v="3"/>
  </r>
  <r>
    <x v="8"/>
    <x v="315"/>
    <x v="4"/>
    <x v="2"/>
    <x v="2"/>
    <n v="4.3"/>
    <n v="13199"/>
    <n v="13199"/>
    <n v="0"/>
    <n v="0"/>
    <n v="0.32578225623153267"/>
    <s v="Budget"/>
    <x v="0"/>
  </r>
  <r>
    <x v="8"/>
    <x v="315"/>
    <x v="4"/>
    <x v="0"/>
    <x v="0"/>
    <n v="4.0999999999999996"/>
    <n v="9990"/>
    <n v="15999"/>
    <n v="6009"/>
    <n v="0.37558597412338274"/>
    <n v="0.41041041041041038"/>
    <s v="Budget"/>
    <x v="0"/>
  </r>
  <r>
    <x v="8"/>
    <x v="343"/>
    <x v="4"/>
    <x v="7"/>
    <x v="6"/>
    <n v="4"/>
    <n v="10999"/>
    <n v="10999"/>
    <n v="0"/>
    <n v="0"/>
    <n v="0.36366942449313572"/>
    <s v="Budget"/>
    <x v="1"/>
  </r>
  <r>
    <x v="8"/>
    <x v="344"/>
    <x v="246"/>
    <x v="0"/>
    <x v="0"/>
    <n v="4.3"/>
    <n v="15999"/>
    <n v="15999"/>
    <n v="0"/>
    <n v="0"/>
    <n v="0.26876679792487029"/>
    <s v="Mid Range"/>
    <x v="0"/>
  </r>
  <r>
    <x v="8"/>
    <x v="203"/>
    <x v="12"/>
    <x v="0"/>
    <x v="0"/>
    <n v="3.9"/>
    <n v="19499"/>
    <n v="19499"/>
    <n v="0"/>
    <n v="0"/>
    <n v="0.20001025693625316"/>
    <s v="Mid Range"/>
    <x v="1"/>
  </r>
  <r>
    <x v="8"/>
    <x v="336"/>
    <x v="4"/>
    <x v="1"/>
    <x v="0"/>
    <n v="4.0999999999999996"/>
    <n v="11490"/>
    <n v="17999"/>
    <n v="6509"/>
    <n v="0.36163120173342961"/>
    <n v="0.3568320278503046"/>
    <s v="Budget"/>
    <x v="0"/>
  </r>
  <r>
    <x v="8"/>
    <x v="334"/>
    <x v="227"/>
    <x v="1"/>
    <x v="0"/>
    <n v="3.7"/>
    <n v="12999"/>
    <n v="12999"/>
    <n v="0"/>
    <n v="0"/>
    <n v="0.28463727979075315"/>
    <s v="Budget"/>
    <x v="1"/>
  </r>
  <r>
    <x v="8"/>
    <x v="345"/>
    <x v="4"/>
    <x v="13"/>
    <x v="18"/>
    <n v="3.8"/>
    <n v="4300"/>
    <n v="4300"/>
    <n v="0"/>
    <n v="0"/>
    <n v="0.88372093023255816"/>
    <s v="Budget"/>
    <x v="1"/>
  </r>
  <r>
    <x v="8"/>
    <x v="346"/>
    <x v="4"/>
    <x v="14"/>
    <x v="12"/>
    <n v="4.0999999999999996"/>
    <n v="2860"/>
    <n v="2860"/>
    <n v="0"/>
    <n v="0"/>
    <n v="1.4335664335664335"/>
    <s v="Budget"/>
    <x v="0"/>
  </r>
  <r>
    <x v="8"/>
    <x v="315"/>
    <x v="5"/>
    <x v="0"/>
    <x v="0"/>
    <n v="4.0999999999999996"/>
    <n v="9975"/>
    <n v="15999"/>
    <n v="6024"/>
    <n v="0.37652353272079503"/>
    <n v="0.41102756892230569"/>
    <s v="Budget"/>
    <x v="0"/>
  </r>
  <r>
    <x v="8"/>
    <x v="347"/>
    <x v="108"/>
    <x v="0"/>
    <x v="0"/>
    <n v="4.2"/>
    <n v="13790"/>
    <n v="13790"/>
    <n v="0"/>
    <n v="0"/>
    <n v="0.30456852791878175"/>
    <s v="Budget"/>
    <x v="0"/>
  </r>
  <r>
    <x v="8"/>
    <x v="348"/>
    <x v="247"/>
    <x v="2"/>
    <x v="2"/>
    <n v="4"/>
    <n v="13699"/>
    <n v="13699"/>
    <n v="0"/>
    <n v="0"/>
    <n v="0.29199211621286225"/>
    <s v="Budget"/>
    <x v="1"/>
  </r>
  <r>
    <x v="8"/>
    <x v="340"/>
    <x v="240"/>
    <x v="0"/>
    <x v="0"/>
    <n v="4.0999999999999996"/>
    <n v="12998"/>
    <n v="12998"/>
    <n v="0"/>
    <n v="0"/>
    <n v="0.31543314356054775"/>
    <s v="Budget"/>
    <x v="0"/>
  </r>
  <r>
    <x v="8"/>
    <x v="184"/>
    <x v="240"/>
    <x v="0"/>
    <x v="0"/>
    <n v="4"/>
    <n v="36999"/>
    <n v="36999"/>
    <n v="0"/>
    <n v="0"/>
    <n v="0.10811103002783859"/>
    <s v="Mid Range"/>
    <x v="1"/>
  </r>
  <r>
    <x v="8"/>
    <x v="184"/>
    <x v="248"/>
    <x v="0"/>
    <x v="0"/>
    <n v="4"/>
    <n v="39000"/>
    <n v="39000"/>
    <n v="0"/>
    <n v="0"/>
    <n v="0.10256410256410256"/>
    <s v="Mid Range"/>
    <x v="1"/>
  </r>
  <r>
    <x v="8"/>
    <x v="70"/>
    <x v="249"/>
    <x v="4"/>
    <x v="4"/>
    <n v="3.9"/>
    <n v="5499"/>
    <n v="10299"/>
    <n v="4800"/>
    <n v="0.46606466647247308"/>
    <n v="0.70921985815602828"/>
    <s v="Budget"/>
    <x v="1"/>
  </r>
  <r>
    <x v="8"/>
    <x v="322"/>
    <x v="4"/>
    <x v="2"/>
    <x v="2"/>
    <n v="4"/>
    <n v="7899"/>
    <n v="7899"/>
    <n v="0"/>
    <n v="0"/>
    <n v="0.50639321433092799"/>
    <s v="Budget"/>
    <x v="1"/>
  </r>
  <r>
    <x v="8"/>
    <x v="336"/>
    <x v="5"/>
    <x v="0"/>
    <x v="0"/>
    <n v="4.3"/>
    <n v="18599"/>
    <n v="18599"/>
    <n v="0"/>
    <n v="0"/>
    <n v="0.23119522554976074"/>
    <s v="Mid Range"/>
    <x v="0"/>
  </r>
  <r>
    <x v="8"/>
    <x v="349"/>
    <x v="125"/>
    <x v="11"/>
    <x v="12"/>
    <n v="3.6"/>
    <n v="3799"/>
    <n v="3799"/>
    <n v="0"/>
    <n v="0"/>
    <n v="0.94761779415635694"/>
    <s v="Budget"/>
    <x v="1"/>
  </r>
  <r>
    <x v="8"/>
    <x v="319"/>
    <x v="12"/>
    <x v="4"/>
    <x v="4"/>
    <n v="4"/>
    <n v="6999"/>
    <n v="6999"/>
    <n v="0"/>
    <n v="0"/>
    <n v="0.57151021574510652"/>
    <s v="Budget"/>
    <x v="1"/>
  </r>
  <r>
    <x v="8"/>
    <x v="315"/>
    <x v="4"/>
    <x v="1"/>
    <x v="0"/>
    <n v="3.7"/>
    <n v="14999"/>
    <n v="14999"/>
    <n v="0"/>
    <n v="0"/>
    <n v="0.24668311220748049"/>
    <s v="Budget"/>
    <x v="1"/>
  </r>
  <r>
    <x v="8"/>
    <x v="317"/>
    <x v="75"/>
    <x v="0"/>
    <x v="0"/>
    <n v="4"/>
    <n v="12499"/>
    <n v="16990"/>
    <n v="4491"/>
    <n v="0.26433195997645675"/>
    <n v="0.32002560204816388"/>
    <s v="Budget"/>
    <x v="1"/>
  </r>
  <r>
    <x v="8"/>
    <x v="184"/>
    <x v="242"/>
    <x v="0"/>
    <x v="0"/>
    <n v="4"/>
    <n v="36999"/>
    <n v="36999"/>
    <n v="0"/>
    <n v="0"/>
    <n v="0.10811103002783859"/>
    <s v="Mid Range"/>
    <x v="1"/>
  </r>
  <r>
    <x v="8"/>
    <x v="184"/>
    <x v="250"/>
    <x v="0"/>
    <x v="0"/>
    <n v="4"/>
    <n v="36999"/>
    <n v="36999"/>
    <n v="0"/>
    <n v="0"/>
    <n v="0.10811103002783859"/>
    <s v="Mid Range"/>
    <x v="1"/>
  </r>
  <r>
    <x v="8"/>
    <x v="326"/>
    <x v="5"/>
    <x v="2"/>
    <x v="2"/>
    <n v="4.2"/>
    <n v="8299"/>
    <n v="8299"/>
    <n v="0"/>
    <n v="0"/>
    <n v="0.50608507049042051"/>
    <s v="Budget"/>
    <x v="0"/>
  </r>
  <r>
    <x v="8"/>
    <x v="347"/>
    <x v="4"/>
    <x v="0"/>
    <x v="0"/>
    <n v="4.2"/>
    <n v="12849"/>
    <n v="18999"/>
    <n v="6150"/>
    <n v="0.32370124743407547"/>
    <n v="0.32687368666822325"/>
    <s v="Budget"/>
    <x v="0"/>
  </r>
  <r>
    <x v="8"/>
    <x v="345"/>
    <x v="4"/>
    <x v="13"/>
    <x v="18"/>
    <n v="3.8"/>
    <n v="2790"/>
    <n v="2790"/>
    <n v="0"/>
    <n v="0"/>
    <n v="1.3620071684587813"/>
    <s v="Budget"/>
    <x v="1"/>
  </r>
  <r>
    <x v="8"/>
    <x v="334"/>
    <x v="225"/>
    <x v="0"/>
    <x v="0"/>
    <n v="3.5"/>
    <n v="10999"/>
    <n v="10999"/>
    <n v="0"/>
    <n v="0"/>
    <n v="0.31821074643149377"/>
    <s v="Budget"/>
    <x v="3"/>
  </r>
  <r>
    <x v="8"/>
    <x v="349"/>
    <x v="251"/>
    <x v="11"/>
    <x v="12"/>
    <n v="3.7"/>
    <n v="3499"/>
    <n v="3499"/>
    <n v="0"/>
    <n v="0"/>
    <n v="1.0574449842812232"/>
    <s v="Budget"/>
    <x v="1"/>
  </r>
  <r>
    <x v="8"/>
    <x v="338"/>
    <x v="239"/>
    <x v="1"/>
    <x v="1"/>
    <n v="4.3"/>
    <n v="21999"/>
    <n v="31999"/>
    <n v="10000"/>
    <n v="0.31250976593018531"/>
    <n v="0.19546343015591616"/>
    <s v="Mid Range"/>
    <x v="0"/>
  </r>
  <r>
    <x v="8"/>
    <x v="350"/>
    <x v="245"/>
    <x v="9"/>
    <x v="6"/>
    <n v="3.8"/>
    <n v="7990"/>
    <n v="7990"/>
    <n v="0"/>
    <n v="0"/>
    <n v="0.47559449311639546"/>
    <s v="Budget"/>
    <x v="1"/>
  </r>
  <r>
    <x v="8"/>
    <x v="184"/>
    <x v="250"/>
    <x v="0"/>
    <x v="0"/>
    <n v="4"/>
    <n v="29490"/>
    <n v="29490"/>
    <n v="0"/>
    <n v="0"/>
    <n v="0.1356391997287216"/>
    <s v="Mid Range"/>
    <x v="1"/>
  </r>
  <r>
    <x v="8"/>
    <x v="203"/>
    <x v="242"/>
    <x v="2"/>
    <x v="2"/>
    <n v="3.9"/>
    <n v="13990"/>
    <n v="13990"/>
    <n v="0"/>
    <n v="0"/>
    <n v="0.27877055039313792"/>
    <s v="Budget"/>
    <x v="1"/>
  </r>
  <r>
    <x v="8"/>
    <x v="315"/>
    <x v="5"/>
    <x v="1"/>
    <x v="0"/>
    <n v="3.7"/>
    <n v="9900"/>
    <n v="15990"/>
    <n v="6090"/>
    <n v="0.38086303939962479"/>
    <n v="0.37373737373737376"/>
    <s v="Budget"/>
    <x v="1"/>
  </r>
  <r>
    <x v="8"/>
    <x v="351"/>
    <x v="4"/>
    <x v="7"/>
    <x v="16"/>
    <n v="3"/>
    <n v="8999"/>
    <n v="8999"/>
    <n v="0"/>
    <n v="0"/>
    <n v="0.333370374486054"/>
    <s v="Budget"/>
    <x v="3"/>
  </r>
  <r>
    <x v="8"/>
    <x v="344"/>
    <x v="252"/>
    <x v="0"/>
    <x v="0"/>
    <n v="4.3"/>
    <n v="12000"/>
    <n v="26028"/>
    <n v="14028"/>
    <n v="0.53895804518211154"/>
    <n v="0.35833333333333334"/>
    <s v="Budget"/>
    <x v="0"/>
  </r>
  <r>
    <x v="9"/>
    <x v="352"/>
    <x v="75"/>
    <x v="4"/>
    <x v="0"/>
    <n v="4.5"/>
    <n v="32999"/>
    <n v="39900"/>
    <n v="6901"/>
    <n v="0.17295739348370928"/>
    <n v="0.13636776872026427"/>
    <s v="Mid Range"/>
    <x v="0"/>
  </r>
  <r>
    <x v="9"/>
    <x v="352"/>
    <x v="4"/>
    <x v="4"/>
    <x v="0"/>
    <n v="4.5"/>
    <n v="32999"/>
    <n v="39900"/>
    <n v="6901"/>
    <n v="0.17295739348370928"/>
    <n v="0.13636776872026427"/>
    <s v="Mid Range"/>
    <x v="0"/>
  </r>
  <r>
    <x v="9"/>
    <x v="352"/>
    <x v="39"/>
    <x v="4"/>
    <x v="0"/>
    <n v="4.5"/>
    <n v="32999"/>
    <n v="39900"/>
    <n v="6901"/>
    <n v="0.17295739348370928"/>
    <n v="0.13636776872026427"/>
    <s v="Mid Range"/>
    <x v="0"/>
  </r>
  <r>
    <x v="9"/>
    <x v="353"/>
    <x v="39"/>
    <x v="2"/>
    <x v="0"/>
    <n v="4.5999999999999996"/>
    <n v="42999"/>
    <n v="47900"/>
    <n v="4901"/>
    <n v="0.10231732776617954"/>
    <n v="0.10697923207516452"/>
    <s v="Mid Range"/>
    <x v="2"/>
  </r>
  <r>
    <x v="9"/>
    <x v="354"/>
    <x v="66"/>
    <x v="15"/>
    <x v="1"/>
    <n v="4.5"/>
    <n v="61999"/>
    <n v="64900"/>
    <n v="2901"/>
    <n v="4.469953775038521E-2"/>
    <n v="7.2581815835739291E-2"/>
    <s v="Premium"/>
    <x v="0"/>
  </r>
  <r>
    <x v="9"/>
    <x v="353"/>
    <x v="5"/>
    <x v="2"/>
    <x v="1"/>
    <n v="4.5999999999999996"/>
    <n v="47999"/>
    <n v="52900"/>
    <n v="4901"/>
    <n v="9.2646502835538755E-2"/>
    <n v="9.5835329902706295E-2"/>
    <s v="Mid Range"/>
    <x v="2"/>
  </r>
  <r>
    <x v="9"/>
    <x v="354"/>
    <x v="5"/>
    <x v="15"/>
    <x v="1"/>
    <n v="4.5"/>
    <n v="61999"/>
    <n v="64900"/>
    <n v="2901"/>
    <n v="4.469953775038521E-2"/>
    <n v="7.2581815835739291E-2"/>
    <s v="Premium"/>
    <x v="0"/>
  </r>
  <r>
    <x v="9"/>
    <x v="353"/>
    <x v="75"/>
    <x v="2"/>
    <x v="1"/>
    <n v="4.5999999999999996"/>
    <n v="47999"/>
    <n v="52900"/>
    <n v="4901"/>
    <n v="9.2646502835538755E-2"/>
    <n v="9.5835329902706295E-2"/>
    <s v="Mid Range"/>
    <x v="2"/>
  </r>
  <r>
    <x v="9"/>
    <x v="352"/>
    <x v="39"/>
    <x v="4"/>
    <x v="1"/>
    <n v="4.5"/>
    <n v="44900"/>
    <n v="44900"/>
    <n v="0"/>
    <n v="0"/>
    <n v="0.10022271714922049"/>
    <s v="Mid Range"/>
    <x v="0"/>
  </r>
  <r>
    <x v="9"/>
    <x v="352"/>
    <x v="75"/>
    <x v="4"/>
    <x v="1"/>
    <n v="4.5"/>
    <n v="44900"/>
    <n v="44900"/>
    <n v="0"/>
    <n v="0"/>
    <n v="0.10022271714922049"/>
    <s v="Mid Range"/>
    <x v="0"/>
  </r>
  <r>
    <x v="9"/>
    <x v="355"/>
    <x v="125"/>
    <x v="15"/>
    <x v="0"/>
    <n v="4.5999999999999996"/>
    <n v="49900"/>
    <n v="49900"/>
    <n v="0"/>
    <n v="0"/>
    <n v="9.2184368737474945E-2"/>
    <s v="Mid Range"/>
    <x v="2"/>
  </r>
  <r>
    <x v="9"/>
    <x v="356"/>
    <x v="5"/>
    <x v="15"/>
    <x v="1"/>
    <n v="4.5999999999999996"/>
    <n v="68999"/>
    <n v="70900"/>
    <n v="1901"/>
    <n v="2.6812411847672777E-2"/>
    <n v="6.6667632864244403E-2"/>
    <s v="Premium"/>
    <x v="2"/>
  </r>
  <r>
    <x v="9"/>
    <x v="352"/>
    <x v="4"/>
    <x v="4"/>
    <x v="1"/>
    <n v="4.5"/>
    <n v="44900"/>
    <n v="44900"/>
    <n v="0"/>
    <n v="0"/>
    <n v="0.10022271714922049"/>
    <s v="Mid Range"/>
    <x v="0"/>
  </r>
  <r>
    <x v="9"/>
    <x v="356"/>
    <x v="75"/>
    <x v="15"/>
    <x v="3"/>
    <n v="4.5999999999999996"/>
    <n v="78999"/>
    <n v="80900"/>
    <n v="1901"/>
    <n v="2.3498145859085291E-2"/>
    <n v="5.8228585171964192E-2"/>
    <s v="Premium"/>
    <x v="2"/>
  </r>
  <r>
    <x v="9"/>
    <x v="356"/>
    <x v="39"/>
    <x v="15"/>
    <x v="1"/>
    <n v="4.5999999999999996"/>
    <n v="68999"/>
    <n v="70900"/>
    <n v="1901"/>
    <n v="2.6812411847672777E-2"/>
    <n v="6.6667632864244403E-2"/>
    <s v="Premium"/>
    <x v="2"/>
  </r>
  <r>
    <x v="9"/>
    <x v="356"/>
    <x v="75"/>
    <x v="15"/>
    <x v="0"/>
    <n v="4.5999999999999996"/>
    <n v="63999"/>
    <n v="65900"/>
    <n v="1901"/>
    <n v="2.8846737481031868E-2"/>
    <n v="7.187612306442287E-2"/>
    <s v="Premium"/>
    <x v="2"/>
  </r>
  <r>
    <x v="9"/>
    <x v="354"/>
    <x v="75"/>
    <x v="15"/>
    <x v="0"/>
    <n v="4.5"/>
    <n v="56999"/>
    <n v="59900"/>
    <n v="2901"/>
    <n v="4.8430717863105176E-2"/>
    <n v="7.8948753486903278E-2"/>
    <s v="Premium"/>
    <x v="0"/>
  </r>
  <r>
    <x v="9"/>
    <x v="354"/>
    <x v="59"/>
    <x v="15"/>
    <x v="1"/>
    <n v="4.5"/>
    <n v="61999"/>
    <n v="64900"/>
    <n v="2901"/>
    <n v="4.469953775038521E-2"/>
    <n v="7.2581815835739291E-2"/>
    <s v="Premium"/>
    <x v="0"/>
  </r>
  <r>
    <x v="9"/>
    <x v="356"/>
    <x v="4"/>
    <x v="15"/>
    <x v="3"/>
    <n v="4.5999999999999996"/>
    <n v="78999"/>
    <n v="80900"/>
    <n v="1901"/>
    <n v="2.3498145859085291E-2"/>
    <n v="5.8228585171964192E-2"/>
    <s v="Premium"/>
    <x v="2"/>
  </r>
  <r>
    <x v="9"/>
    <x v="353"/>
    <x v="39"/>
    <x v="2"/>
    <x v="1"/>
    <n v="4.5999999999999996"/>
    <n v="47999"/>
    <n v="52900"/>
    <n v="4901"/>
    <n v="9.2646502835538755E-2"/>
    <n v="9.5835329902706295E-2"/>
    <s v="Mid Range"/>
    <x v="2"/>
  </r>
  <r>
    <x v="9"/>
    <x v="356"/>
    <x v="66"/>
    <x v="15"/>
    <x v="1"/>
    <n v="4.5999999999999996"/>
    <n v="68999"/>
    <n v="70900"/>
    <n v="1901"/>
    <n v="2.6812411847672777E-2"/>
    <n v="6.6667632864244403E-2"/>
    <s v="Premium"/>
    <x v="2"/>
  </r>
  <r>
    <x v="9"/>
    <x v="354"/>
    <x v="4"/>
    <x v="15"/>
    <x v="1"/>
    <n v="4.5"/>
    <n v="61999"/>
    <n v="64900"/>
    <n v="2901"/>
    <n v="4.469953775038521E-2"/>
    <n v="7.2581815835739291E-2"/>
    <s v="Premium"/>
    <x v="0"/>
  </r>
  <r>
    <x v="9"/>
    <x v="354"/>
    <x v="39"/>
    <x v="15"/>
    <x v="0"/>
    <n v="4.5"/>
    <n v="56999"/>
    <n v="59900"/>
    <n v="2901"/>
    <n v="4.8430717863105176E-2"/>
    <n v="7.8948753486903278E-2"/>
    <s v="Premium"/>
    <x v="0"/>
  </r>
  <r>
    <x v="9"/>
    <x v="354"/>
    <x v="4"/>
    <x v="15"/>
    <x v="0"/>
    <n v="4.5"/>
    <n v="56999"/>
    <n v="59900"/>
    <n v="2901"/>
    <n v="4.8430717863105176E-2"/>
    <n v="7.8948753486903278E-2"/>
    <s v="Premium"/>
    <x v="0"/>
  </r>
  <r>
    <x v="9"/>
    <x v="353"/>
    <x v="125"/>
    <x v="2"/>
    <x v="1"/>
    <n v="4.5999999999999996"/>
    <n v="47999"/>
    <n v="52900"/>
    <n v="4901"/>
    <n v="9.2646502835538755E-2"/>
    <n v="9.5835329902706295E-2"/>
    <s v="Mid Range"/>
    <x v="2"/>
  </r>
  <r>
    <x v="9"/>
    <x v="355"/>
    <x v="125"/>
    <x v="15"/>
    <x v="1"/>
    <n v="4.5999999999999996"/>
    <n v="54900"/>
    <n v="54900"/>
    <n v="0"/>
    <n v="0"/>
    <n v="8.3788706739526403E-2"/>
    <s v="Premium"/>
    <x v="2"/>
  </r>
  <r>
    <x v="9"/>
    <x v="354"/>
    <x v="39"/>
    <x v="15"/>
    <x v="1"/>
    <n v="4.5"/>
    <n v="61999"/>
    <n v="64900"/>
    <n v="2901"/>
    <n v="4.469953775038521E-2"/>
    <n v="7.2581815835739291E-2"/>
    <s v="Premium"/>
    <x v="0"/>
  </r>
  <r>
    <x v="9"/>
    <x v="354"/>
    <x v="66"/>
    <x v="15"/>
    <x v="0"/>
    <n v="4.5"/>
    <n v="56999"/>
    <n v="59900"/>
    <n v="2901"/>
    <n v="4.8430717863105176E-2"/>
    <n v="7.8948753486903278E-2"/>
    <s v="Premium"/>
    <x v="0"/>
  </r>
  <r>
    <x v="9"/>
    <x v="355"/>
    <x v="39"/>
    <x v="15"/>
    <x v="1"/>
    <n v="4.5999999999999996"/>
    <n v="54900"/>
    <n v="54900"/>
    <n v="0"/>
    <n v="0"/>
    <n v="8.3788706739526403E-2"/>
    <s v="Premium"/>
    <x v="2"/>
  </r>
  <r>
    <x v="9"/>
    <x v="352"/>
    <x v="39"/>
    <x v="4"/>
    <x v="3"/>
    <n v="4.5"/>
    <n v="54900"/>
    <n v="54900"/>
    <n v="0"/>
    <n v="0"/>
    <n v="8.1967213114754092E-2"/>
    <s v="Premium"/>
    <x v="0"/>
  </r>
  <r>
    <x v="9"/>
    <x v="354"/>
    <x v="59"/>
    <x v="15"/>
    <x v="0"/>
    <n v="4.5"/>
    <n v="56999"/>
    <n v="59900"/>
    <n v="2901"/>
    <n v="4.8430717863105176E-2"/>
    <n v="7.8948753486903278E-2"/>
    <s v="Premium"/>
    <x v="0"/>
  </r>
  <r>
    <x v="9"/>
    <x v="353"/>
    <x v="125"/>
    <x v="2"/>
    <x v="1"/>
    <n v="4.5999999999999996"/>
    <n v="47999"/>
    <n v="52900"/>
    <n v="4901"/>
    <n v="9.2646502835538755E-2"/>
    <n v="9.5835329902706295E-2"/>
    <s v="Mid Range"/>
    <x v="2"/>
  </r>
  <r>
    <x v="9"/>
    <x v="355"/>
    <x v="75"/>
    <x v="15"/>
    <x v="0"/>
    <n v="4.5999999999999996"/>
    <n v="49900"/>
    <n v="49900"/>
    <n v="0"/>
    <n v="0"/>
    <n v="9.2184368737474945E-2"/>
    <s v="Mid Range"/>
    <x v="2"/>
  </r>
  <r>
    <x v="9"/>
    <x v="355"/>
    <x v="66"/>
    <x v="15"/>
    <x v="0"/>
    <n v="4.5999999999999996"/>
    <n v="49900"/>
    <n v="49900"/>
    <n v="0"/>
    <n v="0"/>
    <n v="9.2184368737474945E-2"/>
    <s v="Mid Range"/>
    <x v="2"/>
  </r>
  <r>
    <x v="9"/>
    <x v="356"/>
    <x v="4"/>
    <x v="15"/>
    <x v="1"/>
    <n v="4.5999999999999996"/>
    <n v="68999"/>
    <n v="70900"/>
    <n v="1901"/>
    <n v="2.6812411847672777E-2"/>
    <n v="6.6667632864244403E-2"/>
    <s v="Premium"/>
    <x v="2"/>
  </r>
  <r>
    <x v="9"/>
    <x v="355"/>
    <x v="59"/>
    <x v="15"/>
    <x v="0"/>
    <n v="4.5999999999999996"/>
    <n v="49900"/>
    <n v="49900"/>
    <n v="0"/>
    <n v="0"/>
    <n v="9.2184368737474945E-2"/>
    <s v="Mid Range"/>
    <x v="2"/>
  </r>
  <r>
    <x v="9"/>
    <x v="356"/>
    <x v="5"/>
    <x v="15"/>
    <x v="0"/>
    <n v="4.5999999999999996"/>
    <n v="63999"/>
    <n v="65900"/>
    <n v="1901"/>
    <n v="2.8846737481031868E-2"/>
    <n v="7.187612306442287E-2"/>
    <s v="Premium"/>
    <x v="2"/>
  </r>
  <r>
    <x v="9"/>
    <x v="356"/>
    <x v="75"/>
    <x v="15"/>
    <x v="1"/>
    <n v="4.5999999999999996"/>
    <n v="68999"/>
    <n v="70900"/>
    <n v="1901"/>
    <n v="2.6812411847672777E-2"/>
    <n v="6.6667632864244403E-2"/>
    <s v="Premium"/>
    <x v="2"/>
  </r>
  <r>
    <x v="9"/>
    <x v="354"/>
    <x v="5"/>
    <x v="15"/>
    <x v="3"/>
    <n v="4.5"/>
    <n v="71999"/>
    <n v="84900"/>
    <n v="12901"/>
    <n v="0.15195524146054182"/>
    <n v="6.2500868067612056E-2"/>
    <s v="Premium"/>
    <x v="0"/>
  </r>
  <r>
    <x v="9"/>
    <x v="353"/>
    <x v="39"/>
    <x v="2"/>
    <x v="0"/>
    <n v="4.5999999999999996"/>
    <n v="42999"/>
    <n v="47900"/>
    <n v="4901"/>
    <n v="0.10231732776617954"/>
    <n v="0.10697923207516452"/>
    <s v="Mid Range"/>
    <x v="2"/>
  </r>
  <r>
    <x v="9"/>
    <x v="353"/>
    <x v="4"/>
    <x v="2"/>
    <x v="0"/>
    <n v="4.5999999999999996"/>
    <n v="42999"/>
    <n v="47900"/>
    <n v="4901"/>
    <n v="0.10231732776617954"/>
    <n v="0.10697923207516452"/>
    <s v="Mid Range"/>
    <x v="2"/>
  </r>
  <r>
    <x v="9"/>
    <x v="353"/>
    <x v="4"/>
    <x v="2"/>
    <x v="1"/>
    <n v="4.5999999999999996"/>
    <n v="47999"/>
    <n v="52900"/>
    <n v="4901"/>
    <n v="9.2646502835538755E-2"/>
    <n v="9.5835329902706295E-2"/>
    <s v="Mid Range"/>
    <x v="2"/>
  </r>
  <r>
    <x v="9"/>
    <x v="353"/>
    <x v="75"/>
    <x v="2"/>
    <x v="0"/>
    <n v="4.5999999999999996"/>
    <n v="42999"/>
    <n v="47900"/>
    <n v="4901"/>
    <n v="0.10231732776617954"/>
    <n v="0.10697923207516452"/>
    <s v="Mid Range"/>
    <x v="2"/>
  </r>
  <r>
    <x v="9"/>
    <x v="356"/>
    <x v="5"/>
    <x v="15"/>
    <x v="3"/>
    <n v="4.5999999999999996"/>
    <n v="78999"/>
    <n v="80900"/>
    <n v="1901"/>
    <n v="2.3498145859085291E-2"/>
    <n v="5.8228585171964192E-2"/>
    <s v="Premium"/>
    <x v="2"/>
  </r>
  <r>
    <x v="9"/>
    <x v="356"/>
    <x v="39"/>
    <x v="15"/>
    <x v="0"/>
    <n v="4.5999999999999996"/>
    <n v="63999"/>
    <n v="65900"/>
    <n v="1901"/>
    <n v="2.8846737481031868E-2"/>
    <n v="7.187612306442287E-2"/>
    <s v="Premium"/>
    <x v="2"/>
  </r>
  <r>
    <x v="9"/>
    <x v="354"/>
    <x v="39"/>
    <x v="15"/>
    <x v="3"/>
    <n v="4.5"/>
    <n v="71999"/>
    <n v="74900"/>
    <n v="2901"/>
    <n v="3.8731642189586114E-2"/>
    <n v="6.2500868067612056E-2"/>
    <s v="Premium"/>
    <x v="0"/>
  </r>
  <r>
    <x v="9"/>
    <x v="355"/>
    <x v="75"/>
    <x v="15"/>
    <x v="1"/>
    <n v="4.5999999999999996"/>
    <n v="54900"/>
    <n v="54900"/>
    <n v="0"/>
    <n v="0"/>
    <n v="8.3788706739526403E-2"/>
    <s v="Premium"/>
    <x v="2"/>
  </r>
  <r>
    <x v="9"/>
    <x v="354"/>
    <x v="5"/>
    <x v="15"/>
    <x v="0"/>
    <n v="4.5"/>
    <n v="56999"/>
    <n v="59900"/>
    <n v="2901"/>
    <n v="4.8430717863105176E-2"/>
    <n v="7.8948753486903278E-2"/>
    <s v="Premium"/>
    <x v="0"/>
  </r>
  <r>
    <x v="9"/>
    <x v="356"/>
    <x v="66"/>
    <x v="15"/>
    <x v="0"/>
    <n v="4.5999999999999996"/>
    <n v="63999"/>
    <n v="65900"/>
    <n v="1901"/>
    <n v="2.8846737481031868E-2"/>
    <n v="7.187612306442287E-2"/>
    <s v="Premium"/>
    <x v="2"/>
  </r>
  <r>
    <x v="9"/>
    <x v="352"/>
    <x v="75"/>
    <x v="4"/>
    <x v="3"/>
    <n v="4.5"/>
    <n v="54900"/>
    <n v="54900"/>
    <n v="0"/>
    <n v="0"/>
    <n v="8.1967213114754092E-2"/>
    <s v="Premium"/>
    <x v="0"/>
  </r>
  <r>
    <x v="9"/>
    <x v="354"/>
    <x v="75"/>
    <x v="15"/>
    <x v="1"/>
    <n v="4.5"/>
    <n v="61999"/>
    <n v="64900"/>
    <n v="2901"/>
    <n v="4.469953775038521E-2"/>
    <n v="7.2581815835739291E-2"/>
    <s v="Premium"/>
    <x v="0"/>
  </r>
  <r>
    <x v="9"/>
    <x v="356"/>
    <x v="66"/>
    <x v="15"/>
    <x v="3"/>
    <n v="4.5999999999999996"/>
    <n v="78999"/>
    <n v="80900"/>
    <n v="1901"/>
    <n v="2.3498145859085291E-2"/>
    <n v="5.8228585171964192E-2"/>
    <s v="Premium"/>
    <x v="2"/>
  </r>
  <r>
    <x v="9"/>
    <x v="353"/>
    <x v="253"/>
    <x v="2"/>
    <x v="1"/>
    <n v="4.5999999999999996"/>
    <n v="47999"/>
    <n v="52900"/>
    <n v="4901"/>
    <n v="9.2646502835538755E-2"/>
    <n v="9.5835329902706295E-2"/>
    <s v="Mid Range"/>
    <x v="2"/>
  </r>
  <r>
    <x v="9"/>
    <x v="357"/>
    <x v="254"/>
    <x v="1"/>
    <x v="3"/>
    <n v="4.5999999999999996"/>
    <n v="119900"/>
    <n v="119900"/>
    <n v="0"/>
    <n v="0"/>
    <n v="3.8365304420350285E-2"/>
    <s v="Premium"/>
    <x v="2"/>
  </r>
  <r>
    <x v="9"/>
    <x v="354"/>
    <x v="75"/>
    <x v="15"/>
    <x v="3"/>
    <n v="4.5"/>
    <n v="71999"/>
    <n v="74900"/>
    <n v="2901"/>
    <n v="3.8731642189586114E-2"/>
    <n v="6.2500868067612056E-2"/>
    <s v="Premium"/>
    <x v="0"/>
  </r>
  <r>
    <x v="9"/>
    <x v="356"/>
    <x v="4"/>
    <x v="15"/>
    <x v="0"/>
    <n v="4.5999999999999996"/>
    <n v="63999"/>
    <n v="65900"/>
    <n v="1901"/>
    <n v="2.8846737481031868E-2"/>
    <n v="7.187612306442287E-2"/>
    <s v="Premium"/>
    <x v="2"/>
  </r>
  <r>
    <x v="9"/>
    <x v="354"/>
    <x v="59"/>
    <x v="15"/>
    <x v="3"/>
    <n v="4.5"/>
    <n v="71999"/>
    <n v="74900"/>
    <n v="2901"/>
    <n v="3.8731642189586114E-2"/>
    <n v="6.2500868067612056E-2"/>
    <s v="Premium"/>
    <x v="0"/>
  </r>
  <r>
    <x v="9"/>
    <x v="358"/>
    <x v="255"/>
    <x v="15"/>
    <x v="0"/>
    <n v="4.7"/>
    <n v="117100"/>
    <n v="117100"/>
    <n v="0"/>
    <n v="0"/>
    <n v="4.0136635354397952E-2"/>
    <s v="Premium"/>
    <x v="2"/>
  </r>
  <r>
    <x v="9"/>
    <x v="353"/>
    <x v="4"/>
    <x v="2"/>
    <x v="0"/>
    <n v="4.5999999999999996"/>
    <n v="42999"/>
    <n v="47900"/>
    <n v="4901"/>
    <n v="0.10231732776617954"/>
    <n v="0.10697923207516452"/>
    <s v="Mid Range"/>
    <x v="2"/>
  </r>
  <r>
    <x v="9"/>
    <x v="357"/>
    <x v="57"/>
    <x v="1"/>
    <x v="1"/>
    <n v="4.5999999999999996"/>
    <n v="109900"/>
    <n v="109900"/>
    <n v="0"/>
    <n v="0"/>
    <n v="4.1856232939035488E-2"/>
    <s v="Premium"/>
    <x v="2"/>
  </r>
  <r>
    <x v="9"/>
    <x v="357"/>
    <x v="57"/>
    <x v="1"/>
    <x v="7"/>
    <n v="4.5999999999999996"/>
    <n v="139900"/>
    <n v="139900"/>
    <n v="0"/>
    <n v="0"/>
    <n v="3.2880629020729087E-2"/>
    <s v="Premium"/>
    <x v="2"/>
  </r>
  <r>
    <x v="9"/>
    <x v="354"/>
    <x v="66"/>
    <x v="15"/>
    <x v="3"/>
    <n v="4.5"/>
    <n v="71999"/>
    <n v="74900"/>
    <n v="2901"/>
    <n v="3.8731642189586114E-2"/>
    <n v="6.2500868067612056E-2"/>
    <s v="Premium"/>
    <x v="0"/>
  </r>
  <r>
    <x v="9"/>
    <x v="353"/>
    <x v="5"/>
    <x v="2"/>
    <x v="0"/>
    <n v="4.5999999999999996"/>
    <n v="42999"/>
    <n v="47900"/>
    <n v="4901"/>
    <n v="0.10231732776617954"/>
    <n v="0.10697923207516452"/>
    <s v="Mid Range"/>
    <x v="2"/>
  </r>
  <r>
    <x v="9"/>
    <x v="358"/>
    <x v="57"/>
    <x v="15"/>
    <x v="0"/>
    <n v="4.7"/>
    <n v="117100"/>
    <n v="117100"/>
    <n v="0"/>
    <n v="0"/>
    <n v="4.0136635354397952E-2"/>
    <s v="Premium"/>
    <x v="2"/>
  </r>
  <r>
    <x v="9"/>
    <x v="354"/>
    <x v="4"/>
    <x v="15"/>
    <x v="3"/>
    <n v="4.5"/>
    <n v="71999"/>
    <n v="74900"/>
    <n v="2901"/>
    <n v="3.8731642189586114E-2"/>
    <n v="6.2500868067612056E-2"/>
    <s v="Premium"/>
    <x v="0"/>
  </r>
  <r>
    <x v="9"/>
    <x v="352"/>
    <x v="75"/>
    <x v="4"/>
    <x v="3"/>
    <n v="4.5"/>
    <n v="54900"/>
    <n v="54900"/>
    <n v="0"/>
    <n v="0"/>
    <n v="8.1967213114754092E-2"/>
    <s v="Premium"/>
    <x v="0"/>
  </r>
  <r>
    <x v="9"/>
    <x v="357"/>
    <x v="82"/>
    <x v="1"/>
    <x v="1"/>
    <n v="4.5999999999999996"/>
    <n v="109900"/>
    <n v="109900"/>
    <n v="0"/>
    <n v="0"/>
    <n v="4.1856232939035488E-2"/>
    <s v="Premium"/>
    <x v="2"/>
  </r>
  <r>
    <x v="9"/>
    <x v="357"/>
    <x v="256"/>
    <x v="1"/>
    <x v="1"/>
    <n v="4.5999999999999996"/>
    <n v="109900"/>
    <n v="109900"/>
    <n v="0"/>
    <n v="0"/>
    <n v="4.1856232939035488E-2"/>
    <s v="Premium"/>
    <x v="2"/>
  </r>
  <r>
    <x v="9"/>
    <x v="359"/>
    <x v="39"/>
    <x v="2"/>
    <x v="3"/>
    <n v="4.5999999999999996"/>
    <n v="59900"/>
    <n v="59900"/>
    <n v="0"/>
    <n v="0"/>
    <n v="7.6794657762938229E-2"/>
    <s v="Premium"/>
    <x v="2"/>
  </r>
  <r>
    <x v="9"/>
    <x v="357"/>
    <x v="57"/>
    <x v="1"/>
    <x v="3"/>
    <n v="4.5999999999999996"/>
    <n v="119900"/>
    <n v="119900"/>
    <n v="0"/>
    <n v="0"/>
    <n v="3.8365304420350285E-2"/>
    <s v="Premium"/>
    <x v="2"/>
  </r>
  <r>
    <x v="9"/>
    <x v="357"/>
    <x v="82"/>
    <x v="1"/>
    <x v="7"/>
    <n v="4.5999999999999996"/>
    <n v="139900"/>
    <n v="139900"/>
    <n v="0"/>
    <n v="0"/>
    <n v="3.2880629020729087E-2"/>
    <s v="Premium"/>
    <x v="2"/>
  </r>
  <r>
    <x v="9"/>
    <x v="355"/>
    <x v="66"/>
    <x v="15"/>
    <x v="1"/>
    <n v="4.5999999999999996"/>
    <n v="54900"/>
    <n v="54900"/>
    <n v="0"/>
    <n v="0"/>
    <n v="8.3788706739526403E-2"/>
    <s v="Premium"/>
    <x v="2"/>
  </r>
  <r>
    <x v="9"/>
    <x v="358"/>
    <x v="257"/>
    <x v="15"/>
    <x v="0"/>
    <n v="4.7"/>
    <n v="117100"/>
    <n v="117100"/>
    <n v="0"/>
    <n v="0"/>
    <n v="4.0136635354397952E-2"/>
    <s v="Premium"/>
    <x v="2"/>
  </r>
  <r>
    <x v="9"/>
    <x v="360"/>
    <x v="255"/>
    <x v="15"/>
    <x v="7"/>
    <n v="4.5999999999999996"/>
    <n v="140300"/>
    <n v="140300"/>
    <n v="0"/>
    <n v="0"/>
    <n v="3.2786885245901634E-2"/>
    <s v="Premium"/>
    <x v="2"/>
  </r>
  <r>
    <x v="9"/>
    <x v="355"/>
    <x v="4"/>
    <x v="15"/>
    <x v="0"/>
    <n v="4.5999999999999996"/>
    <n v="49900"/>
    <n v="49900"/>
    <n v="0"/>
    <n v="0"/>
    <n v="9.2184368737474945E-2"/>
    <s v="Mid Range"/>
    <x v="2"/>
  </r>
  <r>
    <x v="9"/>
    <x v="359"/>
    <x v="82"/>
    <x v="2"/>
    <x v="0"/>
    <n v="4.5999999999999996"/>
    <n v="49900"/>
    <n v="49900"/>
    <n v="0"/>
    <n v="0"/>
    <n v="9.2184368737474945E-2"/>
    <s v="Mid Range"/>
    <x v="2"/>
  </r>
  <r>
    <x v="9"/>
    <x v="361"/>
    <x v="57"/>
    <x v="0"/>
    <x v="7"/>
    <n v="4.7"/>
    <n v="134900"/>
    <n v="134900"/>
    <n v="0"/>
    <n v="0"/>
    <n v="3.4840622683469241E-2"/>
    <s v="Premium"/>
    <x v="2"/>
  </r>
  <r>
    <x v="9"/>
    <x v="362"/>
    <x v="57"/>
    <x v="4"/>
    <x v="0"/>
    <n v="4.5"/>
    <n v="38999"/>
    <n v="39900"/>
    <n v="901"/>
    <n v="2.2581453634085213E-2"/>
    <n v="0.11538757404036"/>
    <s v="Mid Range"/>
    <x v="0"/>
  </r>
  <r>
    <x v="9"/>
    <x v="359"/>
    <x v="57"/>
    <x v="2"/>
    <x v="0"/>
    <n v="4.5999999999999996"/>
    <n v="49900"/>
    <n v="49900"/>
    <n v="0"/>
    <n v="0"/>
    <n v="9.2184368737474945E-2"/>
    <s v="Mid Range"/>
    <x v="2"/>
  </r>
  <r>
    <x v="9"/>
    <x v="359"/>
    <x v="257"/>
    <x v="2"/>
    <x v="3"/>
    <n v="4.5999999999999996"/>
    <n v="84900"/>
    <n v="84900"/>
    <n v="0"/>
    <n v="0"/>
    <n v="5.4181389870435803E-2"/>
    <s v="Premium"/>
    <x v="2"/>
  </r>
  <r>
    <x v="9"/>
    <x v="356"/>
    <x v="39"/>
    <x v="15"/>
    <x v="3"/>
    <n v="4.5999999999999996"/>
    <n v="78999"/>
    <n v="94900"/>
    <n v="15901"/>
    <n v="0.16755532139093782"/>
    <n v="5.8228585171964192E-2"/>
    <s v="Premium"/>
    <x v="2"/>
  </r>
  <r>
    <x v="9"/>
    <x v="357"/>
    <x v="256"/>
    <x v="1"/>
    <x v="3"/>
    <n v="4.5999999999999996"/>
    <n v="119900"/>
    <n v="119900"/>
    <n v="0"/>
    <n v="0"/>
    <n v="3.8365304420350285E-2"/>
    <s v="Premium"/>
    <x v="2"/>
  </r>
  <r>
    <x v="9"/>
    <x v="359"/>
    <x v="82"/>
    <x v="2"/>
    <x v="3"/>
    <n v="4.5999999999999996"/>
    <n v="84900"/>
    <n v="84900"/>
    <n v="0"/>
    <n v="0"/>
    <n v="5.4181389870435803E-2"/>
    <s v="Premium"/>
    <x v="2"/>
  </r>
  <r>
    <x v="9"/>
    <x v="352"/>
    <x v="4"/>
    <x v="4"/>
    <x v="3"/>
    <n v="4.5"/>
    <n v="54900"/>
    <n v="54900"/>
    <n v="0"/>
    <n v="0"/>
    <n v="8.1967213114754092E-2"/>
    <s v="Premium"/>
    <x v="0"/>
  </r>
  <r>
    <x v="9"/>
    <x v="359"/>
    <x v="257"/>
    <x v="2"/>
    <x v="0"/>
    <n v="4.5999999999999996"/>
    <n v="49900"/>
    <n v="49900"/>
    <n v="0"/>
    <n v="0"/>
    <n v="9.2184368737474945E-2"/>
    <s v="Mid Range"/>
    <x v="2"/>
  </r>
  <r>
    <x v="9"/>
    <x v="361"/>
    <x v="257"/>
    <x v="0"/>
    <x v="7"/>
    <n v="4.7"/>
    <n v="134900"/>
    <n v="134900"/>
    <n v="0"/>
    <n v="0"/>
    <n v="3.4840622683469241E-2"/>
    <s v="Premium"/>
    <x v="2"/>
  </r>
  <r>
    <x v="9"/>
    <x v="362"/>
    <x v="257"/>
    <x v="4"/>
    <x v="3"/>
    <n v="4.5"/>
    <n v="77000"/>
    <n v="77000"/>
    <n v="0"/>
    <n v="0"/>
    <n v="5.844155844155844E-2"/>
    <s v="Premium"/>
    <x v="0"/>
  </r>
  <r>
    <x v="9"/>
    <x v="357"/>
    <x v="82"/>
    <x v="1"/>
    <x v="3"/>
    <n v="4.5999999999999996"/>
    <n v="119900"/>
    <n v="119900"/>
    <n v="0"/>
    <n v="0"/>
    <n v="3.8365304420350285E-2"/>
    <s v="Premium"/>
    <x v="2"/>
  </r>
  <r>
    <x v="9"/>
    <x v="357"/>
    <x v="256"/>
    <x v="1"/>
    <x v="7"/>
    <n v="4.5999999999999996"/>
    <n v="139900"/>
    <n v="139900"/>
    <n v="0"/>
    <n v="0"/>
    <n v="3.2880629020729087E-2"/>
    <s v="Premium"/>
    <x v="2"/>
  </r>
  <r>
    <x v="9"/>
    <x v="357"/>
    <x v="254"/>
    <x v="1"/>
    <x v="1"/>
    <n v="4.5999999999999996"/>
    <n v="109900"/>
    <n v="109900"/>
    <n v="0"/>
    <n v="0"/>
    <n v="4.1856232939035488E-2"/>
    <s v="Premium"/>
    <x v="2"/>
  </r>
  <r>
    <x v="9"/>
    <x v="360"/>
    <x v="257"/>
    <x v="15"/>
    <x v="7"/>
    <n v="4.5999999999999996"/>
    <n v="140300"/>
    <n v="140300"/>
    <n v="0"/>
    <n v="0"/>
    <n v="3.2786885245901634E-2"/>
    <s v="Premium"/>
    <x v="2"/>
  </r>
  <r>
    <x v="9"/>
    <x v="358"/>
    <x v="57"/>
    <x v="15"/>
    <x v="3"/>
    <n v="4.7"/>
    <n v="131900"/>
    <n v="131900"/>
    <n v="0"/>
    <n v="0"/>
    <n v="3.5633055344958302E-2"/>
    <s v="Premium"/>
    <x v="2"/>
  </r>
  <r>
    <x v="9"/>
    <x v="353"/>
    <x v="253"/>
    <x v="2"/>
    <x v="0"/>
    <n v="4.5999999999999996"/>
    <n v="42999"/>
    <n v="47900"/>
    <n v="4901"/>
    <n v="0.10231732776617954"/>
    <n v="0.10697923207516452"/>
    <s v="Mid Range"/>
    <x v="2"/>
  </r>
  <r>
    <x v="9"/>
    <x v="360"/>
    <x v="57"/>
    <x v="15"/>
    <x v="7"/>
    <n v="4.5999999999999996"/>
    <n v="140300"/>
    <n v="140300"/>
    <n v="0"/>
    <n v="0"/>
    <n v="3.2786885245901634E-2"/>
    <s v="Premium"/>
    <x v="2"/>
  </r>
  <r>
    <x v="9"/>
    <x v="362"/>
    <x v="39"/>
    <x v="4"/>
    <x v="0"/>
    <n v="4.7"/>
    <n v="38999"/>
    <n v="39900"/>
    <n v="901"/>
    <n v="2.2581453634085213E-2"/>
    <n v="0.12051591066437602"/>
    <s v="Mid Range"/>
    <x v="2"/>
  </r>
  <r>
    <x v="9"/>
    <x v="360"/>
    <x v="82"/>
    <x v="15"/>
    <x v="3"/>
    <n v="4.5999999999999996"/>
    <n v="79999"/>
    <n v="106600"/>
    <n v="26601"/>
    <n v="0.24954033771106943"/>
    <n v="5.7500718758984479E-2"/>
    <s v="Premium"/>
    <x v="2"/>
  </r>
  <r>
    <x v="9"/>
    <x v="355"/>
    <x v="75"/>
    <x v="15"/>
    <x v="0"/>
    <n v="4.5999999999999996"/>
    <n v="54900"/>
    <n v="54900"/>
    <n v="0"/>
    <n v="0"/>
    <n v="8.3788706739526403E-2"/>
    <s v="Premium"/>
    <x v="2"/>
  </r>
  <r>
    <x v="9"/>
    <x v="363"/>
    <x v="257"/>
    <x v="6"/>
    <x v="4"/>
    <n v="4.5"/>
    <n v="39999"/>
    <n v="39999"/>
    <n v="0"/>
    <n v="0"/>
    <n v="0.11250281257031426"/>
    <s v="Mid Range"/>
    <x v="0"/>
  </r>
  <r>
    <x v="9"/>
    <x v="364"/>
    <x v="82"/>
    <x v="0"/>
    <x v="7"/>
    <n v="4.5999999999999996"/>
    <n v="144900"/>
    <n v="144900"/>
    <n v="0"/>
    <n v="0"/>
    <n v="3.1746031746031744E-2"/>
    <s v="Premium"/>
    <x v="2"/>
  </r>
  <r>
    <x v="9"/>
    <x v="365"/>
    <x v="39"/>
    <x v="2"/>
    <x v="3"/>
    <n v="5"/>
    <n v="85400"/>
    <n v="85400"/>
    <n v="0"/>
    <n v="0"/>
    <n v="5.8548009367681501E-2"/>
    <s v="Premium"/>
    <x v="2"/>
  </r>
  <r>
    <x v="9"/>
    <x v="366"/>
    <x v="82"/>
    <x v="4"/>
    <x v="2"/>
    <n v="4.5"/>
    <n v="25299"/>
    <n v="29900"/>
    <n v="4601"/>
    <n v="0.15387959866220735"/>
    <n v="0.17787264318747775"/>
    <s v="Mid Range"/>
    <x v="0"/>
  </r>
  <r>
    <x v="9"/>
    <x v="360"/>
    <x v="57"/>
    <x v="15"/>
    <x v="3"/>
    <n v="4.5999999999999996"/>
    <n v="79999"/>
    <n v="106600"/>
    <n v="26601"/>
    <n v="0.24954033771106943"/>
    <n v="5.7500718758984479E-2"/>
    <s v="Premium"/>
    <x v="2"/>
  </r>
  <r>
    <x v="9"/>
    <x v="360"/>
    <x v="255"/>
    <x v="15"/>
    <x v="3"/>
    <n v="4.5999999999999996"/>
    <n v="79999"/>
    <n v="106600"/>
    <n v="26601"/>
    <n v="0.24954033771106943"/>
    <n v="5.7500718758984479E-2"/>
    <s v="Premium"/>
    <x v="2"/>
  </r>
  <r>
    <x v="9"/>
    <x v="360"/>
    <x v="82"/>
    <x v="15"/>
    <x v="7"/>
    <n v="4.5999999999999996"/>
    <n v="140300"/>
    <n v="140300"/>
    <n v="0"/>
    <n v="0"/>
    <n v="3.2786885245901634E-2"/>
    <s v="Premium"/>
    <x v="2"/>
  </r>
  <r>
    <x v="9"/>
    <x v="367"/>
    <x v="4"/>
    <x v="4"/>
    <x v="2"/>
    <n v="4.5"/>
    <n v="24999"/>
    <n v="31500"/>
    <n v="6501"/>
    <n v="0.20638095238095239"/>
    <n v="0.18000720028801154"/>
    <s v="Mid Range"/>
    <x v="0"/>
  </r>
  <r>
    <x v="9"/>
    <x v="361"/>
    <x v="257"/>
    <x v="0"/>
    <x v="3"/>
    <n v="4.7"/>
    <n v="76999"/>
    <n v="103900"/>
    <n v="26901"/>
    <n v="0.2589124157844081"/>
    <n v="6.1039753763035887E-2"/>
    <s v="Premium"/>
    <x v="2"/>
  </r>
  <r>
    <x v="9"/>
    <x v="361"/>
    <x v="257"/>
    <x v="0"/>
    <x v="0"/>
    <n v="4.7"/>
    <n v="62999"/>
    <n v="89900"/>
    <n v="26901"/>
    <n v="0.29923248053392659"/>
    <n v="7.4604358799346016E-2"/>
    <s v="Premium"/>
    <x v="2"/>
  </r>
  <r>
    <x v="9"/>
    <x v="360"/>
    <x v="257"/>
    <x v="15"/>
    <x v="3"/>
    <n v="4.5999999999999996"/>
    <n v="79999"/>
    <n v="106600"/>
    <n v="26601"/>
    <n v="0.24954033771106943"/>
    <n v="5.7500718758984479E-2"/>
    <s v="Premium"/>
    <x v="2"/>
  </r>
  <r>
    <x v="9"/>
    <x v="367"/>
    <x v="40"/>
    <x v="4"/>
    <x v="2"/>
    <n v="4.5"/>
    <n v="24999"/>
    <n v="31500"/>
    <n v="6501"/>
    <n v="0.20638095238095239"/>
    <n v="0.18000720028801154"/>
    <s v="Mid Range"/>
    <x v="0"/>
  </r>
  <r>
    <x v="9"/>
    <x v="365"/>
    <x v="57"/>
    <x v="2"/>
    <x v="2"/>
    <n v="4.5"/>
    <n v="36999"/>
    <n v="37900"/>
    <n v="901"/>
    <n v="2.3773087071240106E-2"/>
    <n v="0.12162490878131842"/>
    <s v="Mid Range"/>
    <x v="0"/>
  </r>
  <r>
    <x v="9"/>
    <x v="359"/>
    <x v="57"/>
    <x v="2"/>
    <x v="3"/>
    <n v="4.5999999999999996"/>
    <n v="84900"/>
    <n v="84900"/>
    <n v="0"/>
    <n v="0"/>
    <n v="5.4181389870435803E-2"/>
    <s v="Premium"/>
    <x v="2"/>
  </r>
  <r>
    <x v="9"/>
    <x v="360"/>
    <x v="82"/>
    <x v="15"/>
    <x v="3"/>
    <n v="4.5999999999999996"/>
    <n v="121300"/>
    <n v="121300"/>
    <n v="0"/>
    <n v="0"/>
    <n v="3.7922506183017311E-2"/>
    <s v="Premium"/>
    <x v="2"/>
  </r>
  <r>
    <x v="9"/>
    <x v="367"/>
    <x v="39"/>
    <x v="4"/>
    <x v="3"/>
    <n v="4.7"/>
    <n v="74400"/>
    <n v="74400"/>
    <n v="0"/>
    <n v="0"/>
    <n v="6.3172043010752688E-2"/>
    <s v="Premium"/>
    <x v="2"/>
  </r>
  <r>
    <x v="9"/>
    <x v="367"/>
    <x v="4"/>
    <x v="4"/>
    <x v="1"/>
    <n v="4.5"/>
    <n v="34900"/>
    <n v="34900"/>
    <n v="0"/>
    <n v="0"/>
    <n v="0.12893982808022922"/>
    <s v="Mid Range"/>
    <x v="0"/>
  </r>
  <r>
    <x v="9"/>
    <x v="368"/>
    <x v="57"/>
    <x v="6"/>
    <x v="0"/>
    <n v="4.4000000000000004"/>
    <n v="62500"/>
    <n v="62500"/>
    <n v="0"/>
    <n v="0"/>
    <n v="7.0400000000000004E-2"/>
    <s v="Premium"/>
    <x v="0"/>
  </r>
  <r>
    <x v="9"/>
    <x v="366"/>
    <x v="257"/>
    <x v="4"/>
    <x v="2"/>
    <n v="4.5"/>
    <n v="25299"/>
    <n v="29900"/>
    <n v="4601"/>
    <n v="0.15387959866220735"/>
    <n v="0.17787264318747775"/>
    <s v="Mid Range"/>
    <x v="0"/>
  </r>
  <r>
    <x v="9"/>
    <x v="367"/>
    <x v="56"/>
    <x v="4"/>
    <x v="2"/>
    <n v="4.5"/>
    <n v="24999"/>
    <n v="31500"/>
    <n v="6501"/>
    <n v="0.20638095238095239"/>
    <n v="0.18000720028801154"/>
    <s v="Mid Range"/>
    <x v="0"/>
  </r>
  <r>
    <x v="9"/>
    <x v="361"/>
    <x v="82"/>
    <x v="0"/>
    <x v="3"/>
    <n v="4.7"/>
    <n v="76999"/>
    <n v="103900"/>
    <n v="26901"/>
    <n v="0.2589124157844081"/>
    <n v="6.1039753763035887E-2"/>
    <s v="Premium"/>
    <x v="2"/>
  </r>
  <r>
    <x v="9"/>
    <x v="365"/>
    <x v="4"/>
    <x v="2"/>
    <x v="1"/>
    <n v="4.5"/>
    <n v="42900"/>
    <n v="42900"/>
    <n v="0"/>
    <n v="0"/>
    <n v="0.1048951048951049"/>
    <s v="Mid Range"/>
    <x v="0"/>
  </r>
  <r>
    <x v="9"/>
    <x v="365"/>
    <x v="82"/>
    <x v="2"/>
    <x v="2"/>
    <n v="4.5"/>
    <n v="36999"/>
    <n v="37900"/>
    <n v="901"/>
    <n v="2.3773087071240106E-2"/>
    <n v="0.12162490878131842"/>
    <s v="Mid Range"/>
    <x v="0"/>
  </r>
  <r>
    <x v="9"/>
    <x v="360"/>
    <x v="255"/>
    <x v="15"/>
    <x v="3"/>
    <n v="4.5999999999999996"/>
    <n v="121300"/>
    <n v="121300"/>
    <n v="0"/>
    <n v="0"/>
    <n v="3.7922506183017311E-2"/>
    <s v="Premium"/>
    <x v="2"/>
  </r>
  <r>
    <x v="9"/>
    <x v="366"/>
    <x v="56"/>
    <x v="4"/>
    <x v="2"/>
    <n v="4.5"/>
    <n v="31999"/>
    <n v="31999"/>
    <n v="0"/>
    <n v="0"/>
    <n v="0.1406293946685834"/>
    <s v="Mid Range"/>
    <x v="0"/>
  </r>
  <r>
    <x v="9"/>
    <x v="367"/>
    <x v="57"/>
    <x v="4"/>
    <x v="2"/>
    <n v="4.5"/>
    <n v="24999"/>
    <n v="31500"/>
    <n v="6501"/>
    <n v="0.20638095238095239"/>
    <n v="0.18000720028801154"/>
    <s v="Mid Range"/>
    <x v="0"/>
  </r>
  <r>
    <x v="9"/>
    <x v="358"/>
    <x v="255"/>
    <x v="15"/>
    <x v="3"/>
    <n v="4.7"/>
    <n v="131900"/>
    <n v="131900"/>
    <n v="0"/>
    <n v="0"/>
    <n v="3.5633055344958302E-2"/>
    <s v="Premium"/>
    <x v="2"/>
  </r>
  <r>
    <x v="9"/>
    <x v="352"/>
    <x v="75"/>
    <x v="4"/>
    <x v="0"/>
    <n v="4.5"/>
    <n v="32999"/>
    <n v="39900"/>
    <n v="6901"/>
    <n v="0.17295739348370928"/>
    <n v="0.13636776872026427"/>
    <s v="Mid Range"/>
    <x v="0"/>
  </r>
  <r>
    <x v="9"/>
    <x v="353"/>
    <x v="39"/>
    <x v="2"/>
    <x v="1"/>
    <n v="4.5999999999999996"/>
    <n v="47999"/>
    <n v="52900"/>
    <n v="4901"/>
    <n v="9.2646502835538755E-2"/>
    <n v="9.5835329902706295E-2"/>
    <s v="Mid Range"/>
    <x v="2"/>
  </r>
  <r>
    <x v="9"/>
    <x v="355"/>
    <x v="39"/>
    <x v="15"/>
    <x v="0"/>
    <n v="4.5999999999999996"/>
    <n v="49900"/>
    <n v="49900"/>
    <n v="0"/>
    <n v="0"/>
    <n v="9.2184368737474945E-2"/>
    <s v="Mid Range"/>
    <x v="2"/>
  </r>
  <r>
    <x v="9"/>
    <x v="355"/>
    <x v="39"/>
    <x v="15"/>
    <x v="0"/>
    <n v="4.5999999999999996"/>
    <n v="49900"/>
    <n v="49900"/>
    <n v="0"/>
    <n v="0"/>
    <n v="9.2184368737474945E-2"/>
    <s v="Mid Range"/>
    <x v="2"/>
  </r>
  <r>
    <x v="9"/>
    <x v="352"/>
    <x v="75"/>
    <x v="4"/>
    <x v="1"/>
    <n v="4.5"/>
    <n v="44900"/>
    <n v="44900"/>
    <n v="0"/>
    <n v="0"/>
    <n v="0.10022271714922049"/>
    <s v="Mid Range"/>
    <x v="0"/>
  </r>
  <r>
    <x v="9"/>
    <x v="355"/>
    <x v="4"/>
    <x v="15"/>
    <x v="1"/>
    <n v="4.5999999999999996"/>
    <n v="54900"/>
    <n v="54900"/>
    <n v="0"/>
    <n v="0"/>
    <n v="8.3788706739526403E-2"/>
    <s v="Premium"/>
    <x v="2"/>
  </r>
  <r>
    <x v="9"/>
    <x v="355"/>
    <x v="125"/>
    <x v="15"/>
    <x v="3"/>
    <n v="4.5999999999999996"/>
    <n v="64900"/>
    <n v="64900"/>
    <n v="0"/>
    <n v="0"/>
    <n v="7.0878274268104779E-2"/>
    <s v="Premium"/>
    <x v="2"/>
  </r>
  <r>
    <x v="9"/>
    <x v="352"/>
    <x v="39"/>
    <x v="4"/>
    <x v="3"/>
    <n v="4.5"/>
    <n v="54900"/>
    <n v="54900"/>
    <n v="0"/>
    <n v="0"/>
    <n v="8.1967213114754092E-2"/>
    <s v="Premium"/>
    <x v="0"/>
  </r>
  <r>
    <x v="9"/>
    <x v="356"/>
    <x v="59"/>
    <x v="15"/>
    <x v="0"/>
    <n v="4.5999999999999996"/>
    <n v="63999"/>
    <n v="79900"/>
    <n v="15901"/>
    <n v="0.19901126408010011"/>
    <n v="7.187612306442287E-2"/>
    <s v="Premium"/>
    <x v="2"/>
  </r>
  <r>
    <x v="9"/>
    <x v="353"/>
    <x v="253"/>
    <x v="2"/>
    <x v="0"/>
    <n v="4.5999999999999996"/>
    <n v="42999"/>
    <n v="47900"/>
    <n v="4901"/>
    <n v="0.10231732776617954"/>
    <n v="0.10697923207516452"/>
    <s v="Mid Range"/>
    <x v="2"/>
  </r>
  <r>
    <x v="9"/>
    <x v="353"/>
    <x v="125"/>
    <x v="2"/>
    <x v="0"/>
    <n v="4.5999999999999996"/>
    <n v="42999"/>
    <n v="47900"/>
    <n v="4901"/>
    <n v="0.10231732776617954"/>
    <n v="0.10697923207516452"/>
    <s v="Mid Range"/>
    <x v="2"/>
  </r>
  <r>
    <x v="9"/>
    <x v="352"/>
    <x v="39"/>
    <x v="4"/>
    <x v="0"/>
    <n v="4.5"/>
    <n v="32999"/>
    <n v="39900"/>
    <n v="6901"/>
    <n v="0.17295739348370928"/>
    <n v="0.13636776872026427"/>
    <s v="Mid Range"/>
    <x v="0"/>
  </r>
  <r>
    <x v="9"/>
    <x v="355"/>
    <x v="66"/>
    <x v="15"/>
    <x v="0"/>
    <n v="4.5999999999999996"/>
    <n v="49900"/>
    <n v="49900"/>
    <n v="0"/>
    <n v="0"/>
    <n v="9.2184368737474945E-2"/>
    <s v="Mid Range"/>
    <x v="2"/>
  </r>
  <r>
    <x v="9"/>
    <x v="352"/>
    <x v="4"/>
    <x v="4"/>
    <x v="1"/>
    <n v="4.5"/>
    <n v="44900"/>
    <n v="44900"/>
    <n v="0"/>
    <n v="0"/>
    <n v="0.10022271714922049"/>
    <s v="Mid Range"/>
    <x v="0"/>
  </r>
  <r>
    <x v="9"/>
    <x v="355"/>
    <x v="75"/>
    <x v="15"/>
    <x v="3"/>
    <n v="4.5999999999999996"/>
    <n v="64900"/>
    <n v="64900"/>
    <n v="0"/>
    <n v="0"/>
    <n v="7.0878274268104779E-2"/>
    <s v="Premium"/>
    <x v="2"/>
  </r>
  <r>
    <x v="9"/>
    <x v="355"/>
    <x v="59"/>
    <x v="15"/>
    <x v="3"/>
    <n v="4.5999999999999996"/>
    <n v="64900"/>
    <n v="64900"/>
    <n v="0"/>
    <n v="0"/>
    <n v="7.0878274268104779E-2"/>
    <s v="Premium"/>
    <x v="2"/>
  </r>
  <r>
    <x v="9"/>
    <x v="355"/>
    <x v="4"/>
    <x v="15"/>
    <x v="3"/>
    <n v="4.5999999999999996"/>
    <n v="64900"/>
    <n v="64900"/>
    <n v="0"/>
    <n v="0"/>
    <n v="7.0878274268104779E-2"/>
    <s v="Premium"/>
    <x v="2"/>
  </r>
  <r>
    <x v="9"/>
    <x v="352"/>
    <x v="39"/>
    <x v="4"/>
    <x v="1"/>
    <n v="4.5"/>
    <n v="44900"/>
    <n v="44900"/>
    <n v="0"/>
    <n v="0"/>
    <n v="0.10022271714922049"/>
    <s v="Mid Range"/>
    <x v="0"/>
  </r>
  <r>
    <x v="9"/>
    <x v="355"/>
    <x v="125"/>
    <x v="15"/>
    <x v="3"/>
    <n v="4.5999999999999996"/>
    <n v="64900"/>
    <n v="64900"/>
    <n v="0"/>
    <n v="0"/>
    <n v="7.0878274268104779E-2"/>
    <s v="Premium"/>
    <x v="2"/>
  </r>
  <r>
    <x v="9"/>
    <x v="356"/>
    <x v="59"/>
    <x v="15"/>
    <x v="1"/>
    <n v="4.5999999999999996"/>
    <n v="68999"/>
    <n v="84900"/>
    <n v="15901"/>
    <n v="0.18729093050647821"/>
    <n v="6.6667632864244403E-2"/>
    <s v="Premium"/>
    <x v="2"/>
  </r>
  <r>
    <x v="9"/>
    <x v="355"/>
    <x v="59"/>
    <x v="15"/>
    <x v="1"/>
    <n v="4.5999999999999996"/>
    <n v="54900"/>
    <n v="54900"/>
    <n v="0"/>
    <n v="0"/>
    <n v="8.3788706739526403E-2"/>
    <s v="Premium"/>
    <x v="2"/>
  </r>
  <r>
    <x v="9"/>
    <x v="353"/>
    <x v="5"/>
    <x v="2"/>
    <x v="0"/>
    <n v="4.5999999999999996"/>
    <n v="42999"/>
    <n v="47900"/>
    <n v="4901"/>
    <n v="0.10231732776617954"/>
    <n v="0.10697923207516452"/>
    <s v="Mid Range"/>
    <x v="2"/>
  </r>
  <r>
    <x v="9"/>
    <x v="355"/>
    <x v="39"/>
    <x v="15"/>
    <x v="3"/>
    <n v="4.5999999999999996"/>
    <n v="64900"/>
    <n v="64900"/>
    <n v="0"/>
    <n v="0"/>
    <n v="7.0878274268104779E-2"/>
    <s v="Premium"/>
    <x v="2"/>
  </r>
  <r>
    <x v="9"/>
    <x v="353"/>
    <x v="125"/>
    <x v="2"/>
    <x v="0"/>
    <n v="4.5999999999999996"/>
    <n v="42999"/>
    <n v="47900"/>
    <n v="4901"/>
    <n v="0.10231732776617954"/>
    <n v="0.10697923207516452"/>
    <s v="Mid Range"/>
    <x v="2"/>
  </r>
  <r>
    <x v="9"/>
    <x v="355"/>
    <x v="66"/>
    <x v="15"/>
    <x v="1"/>
    <n v="4.5999999999999996"/>
    <n v="54900"/>
    <n v="54900"/>
    <n v="0"/>
    <n v="0"/>
    <n v="8.3788706739526403E-2"/>
    <s v="Premium"/>
    <x v="2"/>
  </r>
  <r>
    <x v="9"/>
    <x v="355"/>
    <x v="4"/>
    <x v="15"/>
    <x v="3"/>
    <n v="4.5999999999999996"/>
    <n v="64900"/>
    <n v="64900"/>
    <n v="0"/>
    <n v="0"/>
    <n v="7.0878274268104779E-2"/>
    <s v="Premium"/>
    <x v="2"/>
  </r>
  <r>
    <x v="9"/>
    <x v="358"/>
    <x v="82"/>
    <x v="15"/>
    <x v="3"/>
    <n v="4.7"/>
    <n v="131900"/>
    <n v="131900"/>
    <n v="0"/>
    <n v="0"/>
    <n v="3.5633055344958302E-2"/>
    <s v="Premium"/>
    <x v="2"/>
  </r>
  <r>
    <x v="9"/>
    <x v="362"/>
    <x v="39"/>
    <x v="4"/>
    <x v="3"/>
    <n v="4.7"/>
    <n v="81500"/>
    <n v="81500"/>
    <n v="0"/>
    <n v="0"/>
    <n v="5.7668711656441718E-2"/>
    <s v="Premium"/>
    <x v="2"/>
  </r>
  <r>
    <x v="9"/>
    <x v="353"/>
    <x v="253"/>
    <x v="2"/>
    <x v="3"/>
    <n v="4.5999999999999996"/>
    <n v="91900"/>
    <n v="91900"/>
    <n v="0"/>
    <n v="0"/>
    <n v="5.00544069640914E-2"/>
    <s v="Premium"/>
    <x v="2"/>
  </r>
  <r>
    <x v="9"/>
    <x v="355"/>
    <x v="59"/>
    <x v="15"/>
    <x v="3"/>
    <n v="4.5999999999999996"/>
    <n v="64900"/>
    <n v="64900"/>
    <n v="0"/>
    <n v="0"/>
    <n v="7.0878274268104779E-2"/>
    <s v="Premium"/>
    <x v="2"/>
  </r>
  <r>
    <x v="9"/>
    <x v="353"/>
    <x v="5"/>
    <x v="2"/>
    <x v="3"/>
    <n v="4.5999999999999996"/>
    <n v="91900"/>
    <n v="91900"/>
    <n v="0"/>
    <n v="0"/>
    <n v="5.00544069640914E-2"/>
    <s v="Premium"/>
    <x v="2"/>
  </r>
  <r>
    <x v="9"/>
    <x v="355"/>
    <x v="125"/>
    <x v="15"/>
    <x v="1"/>
    <n v="4.5999999999999996"/>
    <n v="54900"/>
    <n v="54900"/>
    <n v="0"/>
    <n v="0"/>
    <n v="8.3788706739526403E-2"/>
    <s v="Premium"/>
    <x v="2"/>
  </r>
  <r>
    <x v="9"/>
    <x v="355"/>
    <x v="39"/>
    <x v="15"/>
    <x v="3"/>
    <n v="4.5999999999999996"/>
    <n v="64900"/>
    <n v="64900"/>
    <n v="0"/>
    <n v="0"/>
    <n v="7.0878274268104779E-2"/>
    <s v="Premium"/>
    <x v="2"/>
  </r>
  <r>
    <x v="9"/>
    <x v="358"/>
    <x v="257"/>
    <x v="15"/>
    <x v="3"/>
    <n v="4.7"/>
    <n v="131900"/>
    <n v="131900"/>
    <n v="0"/>
    <n v="0"/>
    <n v="3.5633055344958302E-2"/>
    <s v="Premium"/>
    <x v="2"/>
  </r>
  <r>
    <x v="9"/>
    <x v="364"/>
    <x v="257"/>
    <x v="0"/>
    <x v="0"/>
    <n v="4.5999999999999996"/>
    <n v="73999"/>
    <n v="109900"/>
    <n v="35901"/>
    <n v="0.32666969972702459"/>
    <n v="6.2163002202732472E-2"/>
    <s v="Premium"/>
    <x v="2"/>
  </r>
  <r>
    <x v="9"/>
    <x v="353"/>
    <x v="39"/>
    <x v="2"/>
    <x v="3"/>
    <n v="4.5999999999999996"/>
    <n v="91900"/>
    <n v="91900"/>
    <n v="0"/>
    <n v="0"/>
    <n v="5.00544069640914E-2"/>
    <s v="Premium"/>
    <x v="2"/>
  </r>
  <r>
    <x v="9"/>
    <x v="353"/>
    <x v="75"/>
    <x v="2"/>
    <x v="3"/>
    <n v="4.5999999999999996"/>
    <n v="91900"/>
    <n v="91900"/>
    <n v="0"/>
    <n v="0"/>
    <n v="5.00544069640914E-2"/>
    <s v="Premium"/>
    <x v="2"/>
  </r>
  <r>
    <x v="9"/>
    <x v="355"/>
    <x v="39"/>
    <x v="15"/>
    <x v="1"/>
    <n v="4.5999999999999996"/>
    <n v="54900"/>
    <n v="54900"/>
    <n v="0"/>
    <n v="0"/>
    <n v="8.3788706739526403E-2"/>
    <s v="Premium"/>
    <x v="2"/>
  </r>
  <r>
    <x v="9"/>
    <x v="352"/>
    <x v="4"/>
    <x v="4"/>
    <x v="3"/>
    <n v="4.5"/>
    <n v="54900"/>
    <n v="54900"/>
    <n v="0"/>
    <n v="0"/>
    <n v="8.1967213114754092E-2"/>
    <s v="Premium"/>
    <x v="0"/>
  </r>
  <r>
    <x v="9"/>
    <x v="356"/>
    <x v="59"/>
    <x v="15"/>
    <x v="3"/>
    <n v="4.5999999999999996"/>
    <n v="78999"/>
    <n v="80900"/>
    <n v="1901"/>
    <n v="2.3498145859085291E-2"/>
    <n v="5.8228585171964192E-2"/>
    <s v="Premium"/>
    <x v="2"/>
  </r>
  <r>
    <x v="9"/>
    <x v="355"/>
    <x v="59"/>
    <x v="15"/>
    <x v="0"/>
    <n v="4.5999999999999996"/>
    <n v="49900"/>
    <n v="49900"/>
    <n v="0"/>
    <n v="0"/>
    <n v="9.2184368737474945E-2"/>
    <s v="Mid Range"/>
    <x v="2"/>
  </r>
  <r>
    <x v="9"/>
    <x v="368"/>
    <x v="257"/>
    <x v="6"/>
    <x v="0"/>
    <n v="4.4000000000000004"/>
    <n v="44999"/>
    <n v="44999"/>
    <n v="0"/>
    <n v="0"/>
    <n v="9.7779950665570353E-2"/>
    <s v="Mid Range"/>
    <x v="0"/>
  </r>
  <r>
    <x v="9"/>
    <x v="358"/>
    <x v="82"/>
    <x v="15"/>
    <x v="0"/>
    <n v="4.7"/>
    <n v="117100"/>
    <n v="117100"/>
    <n v="0"/>
    <n v="0"/>
    <n v="4.0136635354397952E-2"/>
    <s v="Premium"/>
    <x v="2"/>
  </r>
  <r>
    <x v="9"/>
    <x v="355"/>
    <x v="66"/>
    <x v="15"/>
    <x v="3"/>
    <n v="4.5999999999999996"/>
    <n v="64900"/>
    <n v="64900"/>
    <n v="0"/>
    <n v="0"/>
    <n v="7.0878274268104779E-2"/>
    <s v="Premium"/>
    <x v="2"/>
  </r>
  <r>
    <x v="9"/>
    <x v="355"/>
    <x v="75"/>
    <x v="15"/>
    <x v="3"/>
    <n v="4.5999999999999996"/>
    <n v="64900"/>
    <n v="64900"/>
    <n v="0"/>
    <n v="0"/>
    <n v="7.0878274268104779E-2"/>
    <s v="Premium"/>
    <x v="2"/>
  </r>
  <r>
    <x v="9"/>
    <x v="363"/>
    <x v="82"/>
    <x v="6"/>
    <x v="1"/>
    <n v="4.5"/>
    <n v="48999"/>
    <n v="48999"/>
    <n v="0"/>
    <n v="0"/>
    <n v="9.1838608951203091E-2"/>
    <s v="Mid Range"/>
    <x v="0"/>
  </r>
  <r>
    <x v="9"/>
    <x v="360"/>
    <x v="257"/>
    <x v="15"/>
    <x v="7"/>
    <n v="4.5999999999999996"/>
    <n v="140300"/>
    <n v="140300"/>
    <n v="0"/>
    <n v="0"/>
    <n v="3.2786885245901634E-2"/>
    <s v="Premium"/>
    <x v="2"/>
  </r>
  <r>
    <x v="9"/>
    <x v="358"/>
    <x v="57"/>
    <x v="15"/>
    <x v="3"/>
    <n v="4.7"/>
    <n v="131900"/>
    <n v="131900"/>
    <n v="0"/>
    <n v="0"/>
    <n v="3.5633055344958302E-2"/>
    <s v="Premium"/>
    <x v="2"/>
  </r>
  <r>
    <x v="9"/>
    <x v="369"/>
    <x v="57"/>
    <x v="4"/>
    <x v="4"/>
    <n v="4.4000000000000004"/>
    <n v="49999"/>
    <n v="49999"/>
    <n v="0"/>
    <n v="0"/>
    <n v="8.8001760035200716E-2"/>
    <s v="Mid Range"/>
    <x v="0"/>
  </r>
  <r>
    <x v="9"/>
    <x v="353"/>
    <x v="253"/>
    <x v="2"/>
    <x v="0"/>
    <n v="4.5999999999999996"/>
    <n v="42999"/>
    <n v="47900"/>
    <n v="4901"/>
    <n v="0.10231732776617954"/>
    <n v="0.10697923207516452"/>
    <s v="Mid Range"/>
    <x v="2"/>
  </r>
  <r>
    <x v="9"/>
    <x v="360"/>
    <x v="57"/>
    <x v="15"/>
    <x v="7"/>
    <n v="4.5999999999999996"/>
    <n v="140300"/>
    <n v="140300"/>
    <n v="0"/>
    <n v="0"/>
    <n v="3.2786885245901634E-2"/>
    <s v="Premium"/>
    <x v="2"/>
  </r>
  <r>
    <x v="9"/>
    <x v="362"/>
    <x v="39"/>
    <x v="4"/>
    <x v="0"/>
    <n v="4.7"/>
    <n v="38999"/>
    <n v="39900"/>
    <n v="901"/>
    <n v="2.2581453634085213E-2"/>
    <n v="0.12051591066437602"/>
    <s v="Mid Range"/>
    <x v="2"/>
  </r>
  <r>
    <x v="9"/>
    <x v="360"/>
    <x v="82"/>
    <x v="15"/>
    <x v="0"/>
    <n v="4.5999999999999996"/>
    <n v="79999"/>
    <n v="106600"/>
    <n v="26601"/>
    <n v="0.24954033771106943"/>
    <n v="5.7500718758984479E-2"/>
    <s v="Premium"/>
    <x v="2"/>
  </r>
  <r>
    <x v="9"/>
    <x v="355"/>
    <x v="75"/>
    <x v="15"/>
    <x v="1"/>
    <n v="4.5999999999999996"/>
    <n v="54900"/>
    <n v="54900"/>
    <n v="0"/>
    <n v="0"/>
    <n v="8.3788706739526403E-2"/>
    <s v="Premium"/>
    <x v="2"/>
  </r>
  <r>
    <x v="9"/>
    <x v="363"/>
    <x v="257"/>
    <x v="6"/>
    <x v="4"/>
    <n v="4.5"/>
    <n v="39999"/>
    <n v="39999"/>
    <n v="0"/>
    <n v="0"/>
    <n v="0.11250281257031426"/>
    <s v="Mid Range"/>
    <x v="0"/>
  </r>
  <r>
    <x v="9"/>
    <x v="364"/>
    <x v="82"/>
    <x v="0"/>
    <x v="7"/>
    <n v="4.5999999999999996"/>
    <n v="144900"/>
    <n v="144900"/>
    <n v="0"/>
    <n v="0"/>
    <n v="3.1746031746031744E-2"/>
    <s v="Premium"/>
    <x v="2"/>
  </r>
  <r>
    <x v="9"/>
    <x v="365"/>
    <x v="39"/>
    <x v="2"/>
    <x v="3"/>
    <n v="5"/>
    <n v="85400"/>
    <n v="85400"/>
    <n v="0"/>
    <n v="0"/>
    <n v="5.8548009367681501E-2"/>
    <s v="Premium"/>
    <x v="2"/>
  </r>
  <r>
    <x v="9"/>
    <x v="366"/>
    <x v="82"/>
    <x v="4"/>
    <x v="2"/>
    <n v="4.5"/>
    <n v="25299"/>
    <n v="29900"/>
    <n v="4601"/>
    <n v="0.15387959866220735"/>
    <n v="0.17787264318747775"/>
    <s v="Mid Range"/>
    <x v="0"/>
  </r>
  <r>
    <x v="9"/>
    <x v="360"/>
    <x v="57"/>
    <x v="15"/>
    <x v="0"/>
    <n v="4.5999999999999996"/>
    <n v="79999"/>
    <n v="106600"/>
    <n v="26601"/>
    <n v="0.24954033771106943"/>
    <n v="5.7500718758984479E-2"/>
    <s v="Premium"/>
    <x v="2"/>
  </r>
  <r>
    <x v="9"/>
    <x v="360"/>
    <x v="255"/>
    <x v="15"/>
    <x v="0"/>
    <n v="4.5999999999999996"/>
    <n v="79999"/>
    <n v="106600"/>
    <n v="26601"/>
    <n v="0.24954033771106943"/>
    <n v="5.7500718758984479E-2"/>
    <s v="Premium"/>
    <x v="2"/>
  </r>
  <r>
    <x v="9"/>
    <x v="360"/>
    <x v="82"/>
    <x v="15"/>
    <x v="7"/>
    <n v="4.5999999999999996"/>
    <n v="140300"/>
    <n v="140300"/>
    <n v="0"/>
    <n v="0"/>
    <n v="3.2786885245901634E-2"/>
    <s v="Premium"/>
    <x v="2"/>
  </r>
  <r>
    <x v="9"/>
    <x v="367"/>
    <x v="4"/>
    <x v="4"/>
    <x v="2"/>
    <n v="4.5"/>
    <n v="24999"/>
    <n v="31500"/>
    <n v="6501"/>
    <n v="0.20638095238095239"/>
    <n v="0.18000720028801154"/>
    <s v="Mid Range"/>
    <x v="0"/>
  </r>
  <r>
    <x v="9"/>
    <x v="361"/>
    <x v="257"/>
    <x v="0"/>
    <x v="3"/>
    <n v="4.7"/>
    <n v="76999"/>
    <n v="103900"/>
    <n v="26901"/>
    <n v="0.2589124157844081"/>
    <n v="6.1039753763035887E-2"/>
    <s v="Premium"/>
    <x v="2"/>
  </r>
  <r>
    <x v="9"/>
    <x v="361"/>
    <x v="257"/>
    <x v="0"/>
    <x v="0"/>
    <n v="4.7"/>
    <n v="62999"/>
    <n v="89900"/>
    <n v="26901"/>
    <n v="0.29923248053392659"/>
    <n v="7.4604358799346016E-2"/>
    <s v="Premium"/>
    <x v="2"/>
  </r>
  <r>
    <x v="9"/>
    <x v="360"/>
    <x v="257"/>
    <x v="15"/>
    <x v="0"/>
    <n v="4.5999999999999996"/>
    <n v="79999"/>
    <n v="106600"/>
    <n v="26601"/>
    <n v="0.24954033771106943"/>
    <n v="5.7500718758984479E-2"/>
    <s v="Premium"/>
    <x v="2"/>
  </r>
  <r>
    <x v="9"/>
    <x v="367"/>
    <x v="40"/>
    <x v="4"/>
    <x v="2"/>
    <n v="4.5"/>
    <n v="24999"/>
    <n v="31500"/>
    <n v="6501"/>
    <n v="0.20638095238095239"/>
    <n v="0.18000720028801154"/>
    <s v="Mid Range"/>
    <x v="0"/>
  </r>
  <r>
    <x v="9"/>
    <x v="369"/>
    <x v="56"/>
    <x v="4"/>
    <x v="2"/>
    <n v="4.4000000000000004"/>
    <n v="34900"/>
    <n v="34900"/>
    <n v="0"/>
    <n v="0"/>
    <n v="0.12607449856733527"/>
    <s v="Mid Range"/>
    <x v="0"/>
  </r>
  <r>
    <x v="9"/>
    <x v="365"/>
    <x v="57"/>
    <x v="2"/>
    <x v="2"/>
    <n v="4.5"/>
    <n v="36999"/>
    <n v="37900"/>
    <n v="901"/>
    <n v="2.3773087071240106E-2"/>
    <n v="0.12162490878131842"/>
    <s v="Mid Range"/>
    <x v="0"/>
  </r>
  <r>
    <x v="9"/>
    <x v="359"/>
    <x v="57"/>
    <x v="2"/>
    <x v="3"/>
    <n v="4.5999999999999996"/>
    <n v="84900"/>
    <n v="84900"/>
    <n v="0"/>
    <n v="0"/>
    <n v="5.4181389870435803E-2"/>
    <s v="Premium"/>
    <x v="2"/>
  </r>
  <r>
    <x v="9"/>
    <x v="360"/>
    <x v="82"/>
    <x v="15"/>
    <x v="3"/>
    <n v="4.5999999999999996"/>
    <n v="121300"/>
    <n v="121300"/>
    <n v="0"/>
    <n v="0"/>
    <n v="3.7922506183017311E-2"/>
    <s v="Premium"/>
    <x v="2"/>
  </r>
  <r>
    <x v="9"/>
    <x v="367"/>
    <x v="39"/>
    <x v="4"/>
    <x v="3"/>
    <n v="4.7"/>
    <n v="74400"/>
    <n v="74400"/>
    <n v="0"/>
    <n v="0"/>
    <n v="6.3172043010752688E-2"/>
    <s v="Premium"/>
    <x v="2"/>
  </r>
  <r>
    <x v="9"/>
    <x v="367"/>
    <x v="4"/>
    <x v="4"/>
    <x v="1"/>
    <n v="4.5"/>
    <n v="34900"/>
    <n v="34900"/>
    <n v="0"/>
    <n v="0"/>
    <n v="0.12893982808022922"/>
    <s v="Mid Range"/>
    <x v="0"/>
  </r>
  <r>
    <x v="9"/>
    <x v="368"/>
    <x v="57"/>
    <x v="6"/>
    <x v="0"/>
    <n v="4.4000000000000004"/>
    <n v="62500"/>
    <n v="62500"/>
    <n v="0"/>
    <n v="0"/>
    <n v="7.0400000000000004E-2"/>
    <s v="Premium"/>
    <x v="0"/>
  </r>
  <r>
    <x v="9"/>
    <x v="366"/>
    <x v="257"/>
    <x v="4"/>
    <x v="2"/>
    <n v="4.5"/>
    <n v="25299"/>
    <n v="29900"/>
    <n v="4601"/>
    <n v="0.15387959866220735"/>
    <n v="0.17787264318747775"/>
    <s v="Mid Range"/>
    <x v="0"/>
  </r>
  <r>
    <x v="9"/>
    <x v="367"/>
    <x v="56"/>
    <x v="4"/>
    <x v="2"/>
    <n v="4.5"/>
    <n v="24999"/>
    <n v="31500"/>
    <n v="6501"/>
    <n v="0.20638095238095239"/>
    <n v="0.18000720028801154"/>
    <s v="Mid Range"/>
    <x v="0"/>
  </r>
  <r>
    <x v="9"/>
    <x v="361"/>
    <x v="82"/>
    <x v="0"/>
    <x v="3"/>
    <n v="4.7"/>
    <n v="76999"/>
    <n v="103900"/>
    <n v="26901"/>
    <n v="0.2589124157844081"/>
    <n v="6.1039753763035887E-2"/>
    <s v="Premium"/>
    <x v="2"/>
  </r>
  <r>
    <x v="9"/>
    <x v="365"/>
    <x v="4"/>
    <x v="2"/>
    <x v="1"/>
    <n v="4.5"/>
    <n v="42900"/>
    <n v="42900"/>
    <n v="0"/>
    <n v="0"/>
    <n v="0.1048951048951049"/>
    <s v="Mid Range"/>
    <x v="0"/>
  </r>
  <r>
    <x v="9"/>
    <x v="365"/>
    <x v="82"/>
    <x v="2"/>
    <x v="2"/>
    <n v="4.5"/>
    <n v="36999"/>
    <n v="37900"/>
    <n v="901"/>
    <n v="2.3773087071240106E-2"/>
    <n v="0.12162490878131842"/>
    <s v="Mid Range"/>
    <x v="0"/>
  </r>
  <r>
    <x v="9"/>
    <x v="360"/>
    <x v="255"/>
    <x v="15"/>
    <x v="3"/>
    <n v="4.5999999999999996"/>
    <n v="121300"/>
    <n v="121300"/>
    <n v="0"/>
    <n v="0"/>
    <n v="3.7922506183017311E-2"/>
    <s v="Premium"/>
    <x v="2"/>
  </r>
  <r>
    <x v="9"/>
    <x v="366"/>
    <x v="56"/>
    <x v="4"/>
    <x v="4"/>
    <n v="4.5"/>
    <n v="31999"/>
    <n v="31999"/>
    <n v="0"/>
    <n v="0"/>
    <n v="0.1406293946685834"/>
    <s v="Mid Range"/>
    <x v="0"/>
  </r>
  <r>
    <x v="9"/>
    <x v="367"/>
    <x v="57"/>
    <x v="4"/>
    <x v="2"/>
    <n v="4.5"/>
    <n v="24999"/>
    <n v="31500"/>
    <n v="6501"/>
    <n v="0.20638095238095239"/>
    <n v="0.18000720028801154"/>
    <s v="Mid Range"/>
    <x v="0"/>
  </r>
  <r>
    <x v="9"/>
    <x v="358"/>
    <x v="255"/>
    <x v="15"/>
    <x v="3"/>
    <n v="4.7"/>
    <n v="131900"/>
    <n v="131900"/>
    <n v="0"/>
    <n v="0"/>
    <n v="3.5633055344958302E-2"/>
    <s v="Premium"/>
    <x v="2"/>
  </r>
  <r>
    <x v="9"/>
    <x v="366"/>
    <x v="57"/>
    <x v="4"/>
    <x v="2"/>
    <n v="4.5"/>
    <n v="25299"/>
    <n v="29900"/>
    <n v="4601"/>
    <n v="0.15387959866220735"/>
    <n v="0.17787264318747775"/>
    <s v="Mid Range"/>
    <x v="0"/>
  </r>
  <r>
    <x v="9"/>
    <x v="366"/>
    <x v="56"/>
    <x v="4"/>
    <x v="2"/>
    <n v="4.5"/>
    <n v="25299"/>
    <n v="29900"/>
    <n v="4601"/>
    <n v="0.15387959866220735"/>
    <n v="0.17787264318747775"/>
    <s v="Mid Range"/>
    <x v="0"/>
  </r>
  <r>
    <x v="9"/>
    <x v="353"/>
    <x v="4"/>
    <x v="2"/>
    <x v="3"/>
    <n v="4.5999999999999996"/>
    <n v="91900"/>
    <n v="91900"/>
    <n v="0"/>
    <n v="0"/>
    <n v="5.00544069640914E-2"/>
    <s v="Premium"/>
    <x v="2"/>
  </r>
  <r>
    <x v="9"/>
    <x v="368"/>
    <x v="82"/>
    <x v="6"/>
    <x v="4"/>
    <n v="4.4000000000000004"/>
    <n v="36990"/>
    <n v="36990"/>
    <n v="0"/>
    <n v="0"/>
    <n v="0.11895106785617734"/>
    <s v="Mid Range"/>
    <x v="0"/>
  </r>
  <r>
    <x v="9"/>
    <x v="368"/>
    <x v="57"/>
    <x v="6"/>
    <x v="1"/>
    <n v="4.4000000000000004"/>
    <n v="49999"/>
    <n v="49999"/>
    <n v="0"/>
    <n v="0"/>
    <n v="8.8001760035200716E-2"/>
    <s v="Mid Range"/>
    <x v="0"/>
  </r>
  <r>
    <x v="9"/>
    <x v="353"/>
    <x v="125"/>
    <x v="2"/>
    <x v="3"/>
    <n v="4.5999999999999996"/>
    <n v="91900"/>
    <n v="91900"/>
    <n v="0"/>
    <n v="0"/>
    <n v="5.00544069640914E-2"/>
    <s v="Premium"/>
    <x v="2"/>
  </r>
  <r>
    <x v="9"/>
    <x v="353"/>
    <x v="253"/>
    <x v="2"/>
    <x v="1"/>
    <n v="4.5999999999999996"/>
    <n v="47999"/>
    <n v="52900"/>
    <n v="4901"/>
    <n v="9.2646502835538755E-2"/>
    <n v="9.5835329902706295E-2"/>
    <s v="Mid Range"/>
    <x v="2"/>
  </r>
  <r>
    <x v="9"/>
    <x v="367"/>
    <x v="82"/>
    <x v="4"/>
    <x v="2"/>
    <n v="4.5"/>
    <n v="24999"/>
    <n v="31500"/>
    <n v="6501"/>
    <n v="0.20638095238095239"/>
    <n v="0.18000720028801154"/>
    <s v="Mid Range"/>
    <x v="0"/>
  </r>
  <r>
    <x v="9"/>
    <x v="358"/>
    <x v="255"/>
    <x v="15"/>
    <x v="7"/>
    <n v="4.7"/>
    <n v="150800"/>
    <n v="150800"/>
    <n v="0"/>
    <n v="0"/>
    <n v="3.1167108753315655E-2"/>
    <s v="Premium"/>
    <x v="2"/>
  </r>
  <r>
    <x v="9"/>
    <x v="369"/>
    <x v="56"/>
    <x v="4"/>
    <x v="1"/>
    <n v="4.4000000000000004"/>
    <n v="70000"/>
    <n v="70000"/>
    <n v="0"/>
    <n v="0"/>
    <n v="6.2857142857142861E-2"/>
    <s v="Premium"/>
    <x v="0"/>
  </r>
  <r>
    <x v="9"/>
    <x v="365"/>
    <x v="82"/>
    <x v="2"/>
    <x v="3"/>
    <n v="4.5"/>
    <n v="85400"/>
    <n v="85400"/>
    <n v="0"/>
    <n v="0"/>
    <n v="5.2693208430913352E-2"/>
    <s v="Premium"/>
    <x v="0"/>
  </r>
  <r>
    <x v="9"/>
    <x v="367"/>
    <x v="40"/>
    <x v="4"/>
    <x v="1"/>
    <n v="4.5"/>
    <n v="34900"/>
    <n v="34900"/>
    <n v="0"/>
    <n v="0"/>
    <n v="0.12893982808022922"/>
    <s v="Mid Range"/>
    <x v="0"/>
  </r>
  <r>
    <x v="9"/>
    <x v="366"/>
    <x v="57"/>
    <x v="4"/>
    <x v="0"/>
    <n v="4.5"/>
    <n v="49999"/>
    <n v="49999"/>
    <n v="0"/>
    <n v="0"/>
    <n v="9.0001800036000723E-2"/>
    <s v="Mid Range"/>
    <x v="0"/>
  </r>
  <r>
    <x v="9"/>
    <x v="365"/>
    <x v="40"/>
    <x v="2"/>
    <x v="3"/>
    <n v="4.5"/>
    <n v="85400"/>
    <n v="85400"/>
    <n v="0"/>
    <n v="0"/>
    <n v="5.2693208430913352E-2"/>
    <s v="Premium"/>
    <x v="0"/>
  </r>
  <r>
    <x v="9"/>
    <x v="355"/>
    <x v="59"/>
    <x v="15"/>
    <x v="1"/>
    <n v="4.5999999999999996"/>
    <n v="54900"/>
    <n v="54900"/>
    <n v="0"/>
    <n v="0"/>
    <n v="8.3788706739526403E-2"/>
    <s v="Premium"/>
    <x v="2"/>
  </r>
  <r>
    <x v="9"/>
    <x v="366"/>
    <x v="57"/>
    <x v="4"/>
    <x v="1"/>
    <n v="4.5"/>
    <n v="55999"/>
    <n v="55999"/>
    <n v="0"/>
    <n v="0"/>
    <n v="8.0358577831747005E-2"/>
    <s v="Premium"/>
    <x v="0"/>
  </r>
  <r>
    <x v="9"/>
    <x v="358"/>
    <x v="257"/>
    <x v="15"/>
    <x v="7"/>
    <n v="4.7"/>
    <n v="150800"/>
    <n v="150800"/>
    <n v="0"/>
    <n v="0"/>
    <n v="3.1167108753315655E-2"/>
    <s v="Premium"/>
    <x v="2"/>
  </r>
  <r>
    <x v="9"/>
    <x v="368"/>
    <x v="57"/>
    <x v="6"/>
    <x v="4"/>
    <n v="4.4000000000000004"/>
    <n v="36499"/>
    <n v="36499"/>
    <n v="0"/>
    <n v="0"/>
    <n v="0.1205512479793967"/>
    <s v="Mid Range"/>
    <x v="0"/>
  </r>
  <r>
    <x v="9"/>
    <x v="369"/>
    <x v="56"/>
    <x v="4"/>
    <x v="4"/>
    <n v="4.4000000000000004"/>
    <n v="49999"/>
    <n v="49999"/>
    <n v="0"/>
    <n v="0"/>
    <n v="8.8001760035200716E-2"/>
    <s v="Mid Range"/>
    <x v="0"/>
  </r>
  <r>
    <x v="9"/>
    <x v="359"/>
    <x v="39"/>
    <x v="2"/>
    <x v="0"/>
    <n v="4.5999999999999996"/>
    <n v="49900"/>
    <n v="49900"/>
    <n v="0"/>
    <n v="0"/>
    <n v="9.2184368737474945E-2"/>
    <s v="Mid Range"/>
    <x v="2"/>
  </r>
  <r>
    <x v="9"/>
    <x v="366"/>
    <x v="57"/>
    <x v="4"/>
    <x v="4"/>
    <n v="4.5"/>
    <n v="41999"/>
    <n v="41999"/>
    <n v="0"/>
    <n v="0"/>
    <n v="0.10714540822400533"/>
    <s v="Mid Range"/>
    <x v="0"/>
  </r>
  <r>
    <x v="9"/>
    <x v="369"/>
    <x v="82"/>
    <x v="4"/>
    <x v="4"/>
    <n v="4.4000000000000004"/>
    <n v="49999"/>
    <n v="49999"/>
    <n v="0"/>
    <n v="0"/>
    <n v="8.8001760035200716E-2"/>
    <s v="Mid Range"/>
    <x v="0"/>
  </r>
  <r>
    <x v="9"/>
    <x v="368"/>
    <x v="67"/>
    <x v="6"/>
    <x v="1"/>
    <n v="4.4000000000000004"/>
    <n v="71500"/>
    <n v="71500"/>
    <n v="0"/>
    <n v="0"/>
    <n v="6.1538461538461549E-2"/>
    <s v="Premium"/>
    <x v="0"/>
  </r>
  <r>
    <x v="9"/>
    <x v="358"/>
    <x v="82"/>
    <x v="15"/>
    <x v="7"/>
    <n v="4.7"/>
    <n v="150800"/>
    <n v="150800"/>
    <n v="0"/>
    <n v="0"/>
    <n v="3.1167108753315655E-2"/>
    <s v="Premium"/>
    <x v="2"/>
  </r>
  <r>
    <x v="9"/>
    <x v="369"/>
    <x v="57"/>
    <x v="4"/>
    <x v="0"/>
    <n v="4.4000000000000004"/>
    <n v="59999"/>
    <n v="59999"/>
    <n v="0"/>
    <n v="0"/>
    <n v="7.3334555575926275E-2"/>
    <s v="Premium"/>
    <x v="0"/>
  </r>
  <r>
    <x v="9"/>
    <x v="369"/>
    <x v="257"/>
    <x v="4"/>
    <x v="0"/>
    <n v="4.4000000000000004"/>
    <n v="59999"/>
    <n v="59999"/>
    <n v="0"/>
    <n v="0"/>
    <n v="7.3334555575926275E-2"/>
    <s v="Premium"/>
    <x v="0"/>
  </r>
  <r>
    <x v="9"/>
    <x v="366"/>
    <x v="82"/>
    <x v="4"/>
    <x v="0"/>
    <n v="4.5"/>
    <n v="49999"/>
    <n v="49999"/>
    <n v="0"/>
    <n v="0"/>
    <n v="9.0001800036000723E-2"/>
    <s v="Mid Range"/>
    <x v="0"/>
  </r>
  <r>
    <x v="9"/>
    <x v="364"/>
    <x v="57"/>
    <x v="0"/>
    <x v="7"/>
    <n v="4.5999999999999996"/>
    <n v="144900"/>
    <n v="144900"/>
    <n v="0"/>
    <n v="0"/>
    <n v="3.1746031746031744E-2"/>
    <s v="Premium"/>
    <x v="2"/>
  </r>
  <r>
    <x v="9"/>
    <x v="370"/>
    <x v="82"/>
    <x v="2"/>
    <x v="0"/>
    <n v="4.5999999999999996"/>
    <n v="91900"/>
    <n v="91900"/>
    <n v="0"/>
    <n v="0"/>
    <n v="5.00544069640914E-2"/>
    <s v="Premium"/>
    <x v="2"/>
  </r>
  <r>
    <x v="9"/>
    <x v="365"/>
    <x v="82"/>
    <x v="2"/>
    <x v="1"/>
    <n v="4.5"/>
    <n v="42900"/>
    <n v="42900"/>
    <n v="0"/>
    <n v="0"/>
    <n v="0.1048951048951049"/>
    <s v="Mid Range"/>
    <x v="0"/>
  </r>
  <r>
    <x v="9"/>
    <x v="361"/>
    <x v="82"/>
    <x v="0"/>
    <x v="7"/>
    <n v="4.7"/>
    <n v="134900"/>
    <n v="134900"/>
    <n v="0"/>
    <n v="0"/>
    <n v="3.4840622683469241E-2"/>
    <s v="Premium"/>
    <x v="2"/>
  </r>
  <r>
    <x v="9"/>
    <x v="368"/>
    <x v="57"/>
    <x v="6"/>
    <x v="2"/>
    <n v="4.4000000000000004"/>
    <n v="30780"/>
    <n v="30780"/>
    <n v="0"/>
    <n v="0"/>
    <n v="0.14294996751137104"/>
    <s v="Mid Range"/>
    <x v="0"/>
  </r>
  <r>
    <x v="9"/>
    <x v="368"/>
    <x v="257"/>
    <x v="6"/>
    <x v="2"/>
    <n v="4.4000000000000004"/>
    <n v="30780"/>
    <n v="30780"/>
    <n v="0"/>
    <n v="0"/>
    <n v="0.14294996751137104"/>
    <s v="Mid Range"/>
    <x v="0"/>
  </r>
  <r>
    <x v="9"/>
    <x v="368"/>
    <x v="82"/>
    <x v="6"/>
    <x v="1"/>
    <n v="4.4000000000000004"/>
    <n v="71500"/>
    <n v="71500"/>
    <n v="0"/>
    <n v="0"/>
    <n v="6.1538461538461549E-2"/>
    <s v="Premium"/>
    <x v="0"/>
  </r>
  <r>
    <x v="9"/>
    <x v="369"/>
    <x v="56"/>
    <x v="4"/>
    <x v="0"/>
    <n v="4.4000000000000004"/>
    <n v="59999"/>
    <n v="59999"/>
    <n v="0"/>
    <n v="0"/>
    <n v="7.3334555575926275E-2"/>
    <s v="Premium"/>
    <x v="0"/>
  </r>
  <r>
    <x v="9"/>
    <x v="369"/>
    <x v="257"/>
    <x v="4"/>
    <x v="2"/>
    <n v="4.4000000000000004"/>
    <n v="34900"/>
    <n v="34900"/>
    <n v="0"/>
    <n v="0"/>
    <n v="0.12607449856733527"/>
    <s v="Mid Range"/>
    <x v="0"/>
  </r>
  <r>
    <x v="9"/>
    <x v="365"/>
    <x v="56"/>
    <x v="2"/>
    <x v="3"/>
    <n v="4.5"/>
    <n v="85400"/>
    <n v="85400"/>
    <n v="0"/>
    <n v="0"/>
    <n v="5.2693208430913352E-2"/>
    <s v="Premium"/>
    <x v="0"/>
  </r>
  <r>
    <x v="9"/>
    <x v="368"/>
    <x v="257"/>
    <x v="6"/>
    <x v="4"/>
    <n v="4.4000000000000004"/>
    <n v="52000"/>
    <n v="52000"/>
    <n v="0"/>
    <n v="0"/>
    <n v="8.4615384615384634E-2"/>
    <s v="Premium"/>
    <x v="0"/>
  </r>
  <r>
    <x v="9"/>
    <x v="365"/>
    <x v="56"/>
    <x v="2"/>
    <x v="2"/>
    <n v="4.5"/>
    <n v="36999"/>
    <n v="37900"/>
    <n v="901"/>
    <n v="2.3773087071240106E-2"/>
    <n v="0.12162490878131842"/>
    <s v="Mid Range"/>
    <x v="0"/>
  </r>
  <r>
    <x v="9"/>
    <x v="366"/>
    <x v="257"/>
    <x v="4"/>
    <x v="4"/>
    <n v="4.5"/>
    <n v="62000"/>
    <n v="62000"/>
    <n v="0"/>
    <n v="0"/>
    <n v="7.2580645161290314E-2"/>
    <s v="Premium"/>
    <x v="0"/>
  </r>
  <r>
    <x v="9"/>
    <x v="362"/>
    <x v="82"/>
    <x v="4"/>
    <x v="0"/>
    <n v="4.5"/>
    <n v="38999"/>
    <n v="39900"/>
    <n v="901"/>
    <n v="2.2581453634085213E-2"/>
    <n v="0.11538757404036"/>
    <s v="Mid Range"/>
    <x v="0"/>
  </r>
  <r>
    <x v="9"/>
    <x v="365"/>
    <x v="57"/>
    <x v="2"/>
    <x v="3"/>
    <n v="4.5"/>
    <n v="85400"/>
    <n v="85400"/>
    <n v="0"/>
    <n v="0"/>
    <n v="5.2693208430913352E-2"/>
    <s v="Premium"/>
    <x v="0"/>
  </r>
  <r>
    <x v="9"/>
    <x v="364"/>
    <x v="57"/>
    <x v="0"/>
    <x v="0"/>
    <n v="4.5999999999999996"/>
    <n v="73999"/>
    <n v="109900"/>
    <n v="35901"/>
    <n v="0.32666969972702459"/>
    <n v="6.2163002202732472E-2"/>
    <s v="Premium"/>
    <x v="2"/>
  </r>
  <r>
    <x v="9"/>
    <x v="364"/>
    <x v="82"/>
    <x v="0"/>
    <x v="0"/>
    <n v="4.5999999999999996"/>
    <n v="73999"/>
    <n v="109900"/>
    <n v="35901"/>
    <n v="0.32666969972702459"/>
    <n v="6.2163002202732472E-2"/>
    <s v="Premium"/>
    <x v="2"/>
  </r>
  <r>
    <x v="9"/>
    <x v="369"/>
    <x v="57"/>
    <x v="4"/>
    <x v="2"/>
    <n v="4.4000000000000004"/>
    <n v="34900"/>
    <n v="34900"/>
    <n v="0"/>
    <n v="0"/>
    <n v="0.12607449856733527"/>
    <s v="Mid Range"/>
    <x v="0"/>
  </r>
  <r>
    <x v="9"/>
    <x v="363"/>
    <x v="82"/>
    <x v="6"/>
    <x v="0"/>
    <n v="4.5"/>
    <n v="48999"/>
    <n v="48999"/>
    <n v="0"/>
    <n v="0"/>
    <n v="9.1838608951203091E-2"/>
    <s v="Mid Range"/>
    <x v="0"/>
  </r>
  <r>
    <x v="9"/>
    <x v="361"/>
    <x v="57"/>
    <x v="0"/>
    <x v="3"/>
    <n v="4.7"/>
    <n v="76999"/>
    <n v="103900"/>
    <n v="26901"/>
    <n v="0.2589124157844081"/>
    <n v="6.1039753763035887E-2"/>
    <s v="Premium"/>
    <x v="2"/>
  </r>
  <r>
    <x v="9"/>
    <x v="363"/>
    <x v="257"/>
    <x v="6"/>
    <x v="0"/>
    <n v="4.5"/>
    <n v="48999"/>
    <n v="48999"/>
    <n v="0"/>
    <n v="0"/>
    <n v="9.1838608951203091E-2"/>
    <s v="Mid Range"/>
    <x v="0"/>
  </r>
  <r>
    <x v="9"/>
    <x v="361"/>
    <x v="82"/>
    <x v="0"/>
    <x v="0"/>
    <n v="4.7"/>
    <n v="62999"/>
    <n v="89900"/>
    <n v="26901"/>
    <n v="0.29923248053392659"/>
    <n v="7.4604358799346016E-2"/>
    <s v="Premium"/>
    <x v="2"/>
  </r>
  <r>
    <x v="9"/>
    <x v="365"/>
    <x v="40"/>
    <x v="2"/>
    <x v="1"/>
    <n v="4.5"/>
    <n v="42900"/>
    <n v="42900"/>
    <n v="0"/>
    <n v="0"/>
    <n v="0.1048951048951049"/>
    <s v="Mid Range"/>
    <x v="0"/>
  </r>
  <r>
    <x v="9"/>
    <x v="365"/>
    <x v="57"/>
    <x v="2"/>
    <x v="1"/>
    <n v="4.5"/>
    <n v="42900"/>
    <n v="42900"/>
    <n v="0"/>
    <n v="0"/>
    <n v="0.1048951048951049"/>
    <s v="Mid Range"/>
    <x v="0"/>
  </r>
  <r>
    <x v="9"/>
    <x v="365"/>
    <x v="4"/>
    <x v="2"/>
    <x v="3"/>
    <n v="4.5"/>
    <n v="85400"/>
    <n v="85400"/>
    <n v="0"/>
    <n v="0"/>
    <n v="5.2693208430913352E-2"/>
    <s v="Premium"/>
    <x v="0"/>
  </r>
  <r>
    <x v="9"/>
    <x v="367"/>
    <x v="82"/>
    <x v="4"/>
    <x v="1"/>
    <n v="4.5"/>
    <n v="34900"/>
    <n v="34900"/>
    <n v="0"/>
    <n v="0"/>
    <n v="0.12893982808022922"/>
    <s v="Mid Range"/>
    <x v="0"/>
  </r>
  <r>
    <x v="9"/>
    <x v="366"/>
    <x v="82"/>
    <x v="4"/>
    <x v="1"/>
    <n v="4.5"/>
    <n v="55999"/>
    <n v="55999"/>
    <n v="0"/>
    <n v="0"/>
    <n v="8.0358577831747005E-2"/>
    <s v="Premium"/>
    <x v="0"/>
  </r>
  <r>
    <x v="9"/>
    <x v="369"/>
    <x v="82"/>
    <x v="4"/>
    <x v="2"/>
    <n v="4.4000000000000004"/>
    <n v="34900"/>
    <n v="34900"/>
    <n v="0"/>
    <n v="0"/>
    <n v="0.12607449856733527"/>
    <s v="Mid Range"/>
    <x v="0"/>
  </r>
  <r>
    <x v="9"/>
    <x v="360"/>
    <x v="57"/>
    <x v="15"/>
    <x v="3"/>
    <n v="4.5999999999999996"/>
    <n v="121300"/>
    <n v="121300"/>
    <n v="0"/>
    <n v="0"/>
    <n v="3.7922506183017311E-2"/>
    <s v="Premium"/>
    <x v="2"/>
  </r>
  <r>
    <x v="9"/>
    <x v="365"/>
    <x v="39"/>
    <x v="2"/>
    <x v="1"/>
    <n v="4.5"/>
    <n v="42900"/>
    <n v="42900"/>
    <n v="0"/>
    <n v="0"/>
    <n v="0.1048951048951049"/>
    <s v="Mid Range"/>
    <x v="0"/>
  </r>
  <r>
    <x v="9"/>
    <x v="367"/>
    <x v="56"/>
    <x v="4"/>
    <x v="1"/>
    <n v="4.5"/>
    <n v="34900"/>
    <n v="34900"/>
    <n v="0"/>
    <n v="0"/>
    <n v="0.12893982808022922"/>
    <s v="Mid Range"/>
    <x v="0"/>
  </r>
  <r>
    <x v="9"/>
    <x v="361"/>
    <x v="57"/>
    <x v="0"/>
    <x v="0"/>
    <n v="4.7"/>
    <n v="62999"/>
    <n v="89900"/>
    <n v="26901"/>
    <n v="0.29923248053392659"/>
    <n v="7.4604358799346016E-2"/>
    <s v="Premium"/>
    <x v="2"/>
  </r>
  <r>
    <x v="9"/>
    <x v="361"/>
    <x v="57"/>
    <x v="0"/>
    <x v="0"/>
    <n v="4.7"/>
    <n v="62999"/>
    <n v="89900"/>
    <n v="26901"/>
    <n v="0.29923248053392659"/>
    <n v="7.4604358799346016E-2"/>
    <s v="Premium"/>
    <x v="2"/>
  </r>
  <r>
    <x v="9"/>
    <x v="364"/>
    <x v="82"/>
    <x v="0"/>
    <x v="3"/>
    <n v="4.5999999999999996"/>
    <n v="78999"/>
    <n v="124900"/>
    <n v="45901"/>
    <n v="0.36750200160128105"/>
    <n v="5.8228585171964192E-2"/>
    <s v="Premium"/>
    <x v="2"/>
  </r>
  <r>
    <x v="9"/>
    <x v="367"/>
    <x v="39"/>
    <x v="4"/>
    <x v="1"/>
    <n v="4.5"/>
    <n v="34900"/>
    <n v="34900"/>
    <n v="0"/>
    <n v="0"/>
    <n v="0.12893982808022922"/>
    <s v="Mid Range"/>
    <x v="0"/>
  </r>
  <r>
    <x v="9"/>
    <x v="360"/>
    <x v="257"/>
    <x v="15"/>
    <x v="3"/>
    <n v="4.5999999999999996"/>
    <n v="99900"/>
    <n v="121300"/>
    <n v="21400"/>
    <n v="0.17642209398186315"/>
    <n v="4.6046046046046042E-2"/>
    <s v="Premium"/>
    <x v="2"/>
  </r>
  <r>
    <x v="9"/>
    <x v="365"/>
    <x v="56"/>
    <x v="2"/>
    <x v="1"/>
    <n v="4.5"/>
    <n v="42900"/>
    <n v="42900"/>
    <n v="0"/>
    <n v="0"/>
    <n v="0.1048951048951049"/>
    <s v="Mid Range"/>
    <x v="0"/>
  </r>
  <r>
    <x v="9"/>
    <x v="369"/>
    <x v="82"/>
    <x v="4"/>
    <x v="0"/>
    <n v="4.4000000000000004"/>
    <n v="59999"/>
    <n v="59999"/>
    <n v="0"/>
    <n v="0"/>
    <n v="7.3334555575926275E-2"/>
    <s v="Premium"/>
    <x v="0"/>
  </r>
  <r>
    <x v="9"/>
    <x v="364"/>
    <x v="57"/>
    <x v="0"/>
    <x v="3"/>
    <n v="4.5999999999999996"/>
    <n v="78999"/>
    <n v="124900"/>
    <n v="45901"/>
    <n v="0.36750200160128105"/>
    <n v="5.8228585171964192E-2"/>
    <s v="Premium"/>
    <x v="2"/>
  </r>
  <r>
    <x v="9"/>
    <x v="364"/>
    <x v="257"/>
    <x v="0"/>
    <x v="7"/>
    <n v="4.5999999999999996"/>
    <n v="144900"/>
    <n v="144900"/>
    <n v="0"/>
    <n v="0"/>
    <n v="3.1746031746031744E-2"/>
    <s v="Premium"/>
    <x v="2"/>
  </r>
  <r>
    <x v="9"/>
    <x v="367"/>
    <x v="4"/>
    <x v="4"/>
    <x v="3"/>
    <n v="4.5"/>
    <n v="74400"/>
    <n v="74400"/>
    <n v="0"/>
    <n v="0"/>
    <n v="6.0483870967741937E-2"/>
    <s v="Premium"/>
    <x v="0"/>
  </r>
  <r>
    <x v="9"/>
    <x v="363"/>
    <x v="82"/>
    <x v="6"/>
    <x v="4"/>
    <n v="4.5"/>
    <n v="40999"/>
    <n v="40999"/>
    <n v="0"/>
    <n v="0"/>
    <n v="0.10975877460425865"/>
    <s v="Mid Range"/>
    <x v="0"/>
  </r>
  <r>
    <x v="9"/>
    <x v="367"/>
    <x v="57"/>
    <x v="4"/>
    <x v="3"/>
    <n v="4.5"/>
    <n v="74400"/>
    <n v="74400"/>
    <n v="0"/>
    <n v="0"/>
    <n v="6.0483870967741937E-2"/>
    <s v="Premium"/>
    <x v="0"/>
  </r>
  <r>
    <x v="9"/>
    <x v="364"/>
    <x v="257"/>
    <x v="0"/>
    <x v="3"/>
    <n v="4.5999999999999996"/>
    <n v="78999"/>
    <n v="124900"/>
    <n v="45901"/>
    <n v="0.36750200160128105"/>
    <n v="5.8228585171964192E-2"/>
    <s v="Premium"/>
    <x v="2"/>
  </r>
  <r>
    <x v="9"/>
    <x v="367"/>
    <x v="56"/>
    <x v="4"/>
    <x v="3"/>
    <n v="4.5"/>
    <n v="74400"/>
    <n v="74400"/>
    <n v="0"/>
    <n v="0"/>
    <n v="6.0483870967741937E-2"/>
    <s v="Premium"/>
    <x v="0"/>
  </r>
  <r>
    <x v="9"/>
    <x v="370"/>
    <x v="258"/>
    <x v="2"/>
    <x v="3"/>
    <n v="4.5999999999999996"/>
    <n v="106900"/>
    <n v="106900"/>
    <n v="0"/>
    <n v="0"/>
    <n v="4.3030869971936392E-2"/>
    <s v="Premium"/>
    <x v="2"/>
  </r>
  <r>
    <x v="9"/>
    <x v="367"/>
    <x v="40"/>
    <x v="4"/>
    <x v="3"/>
    <n v="4.5"/>
    <n v="74400"/>
    <n v="74400"/>
    <n v="0"/>
    <n v="0"/>
    <n v="6.0483870967741937E-2"/>
    <s v="Premium"/>
    <x v="0"/>
  </r>
  <r>
    <x v="9"/>
    <x v="366"/>
    <x v="56"/>
    <x v="4"/>
    <x v="0"/>
    <n v="4.5"/>
    <n v="72000"/>
    <n v="72000"/>
    <n v="0"/>
    <n v="0"/>
    <n v="6.25E-2"/>
    <s v="Premium"/>
    <x v="0"/>
  </r>
  <r>
    <x v="9"/>
    <x v="369"/>
    <x v="82"/>
    <x v="4"/>
    <x v="1"/>
    <n v="4.4000000000000004"/>
    <n v="70000"/>
    <n v="70000"/>
    <n v="0"/>
    <n v="0"/>
    <n v="6.2857142857142861E-2"/>
    <s v="Premium"/>
    <x v="0"/>
  </r>
  <r>
    <x v="9"/>
    <x v="355"/>
    <x v="4"/>
    <x v="15"/>
    <x v="0"/>
    <n v="4.5999999999999996"/>
    <n v="49900"/>
    <n v="49900"/>
    <n v="0"/>
    <n v="0"/>
    <n v="9.2184368737474945E-2"/>
    <s v="Mid Range"/>
    <x v="2"/>
  </r>
  <r>
    <x v="9"/>
    <x v="363"/>
    <x v="257"/>
    <x v="6"/>
    <x v="1"/>
    <n v="4.5"/>
    <n v="80500"/>
    <n v="80500"/>
    <n v="0"/>
    <n v="0"/>
    <n v="5.5900621118012424E-2"/>
    <s v="Premium"/>
    <x v="0"/>
  </r>
  <r>
    <x v="9"/>
    <x v="363"/>
    <x v="57"/>
    <x v="6"/>
    <x v="0"/>
    <n v="4.5"/>
    <n v="71500"/>
    <n v="71500"/>
    <n v="0"/>
    <n v="0"/>
    <n v="6.2937062937062929E-2"/>
    <s v="Premium"/>
    <x v="0"/>
  </r>
  <r>
    <x v="9"/>
    <x v="355"/>
    <x v="125"/>
    <x v="15"/>
    <x v="0"/>
    <n v="4.5999999999999996"/>
    <n v="49900"/>
    <n v="49900"/>
    <n v="0"/>
    <n v="0"/>
    <n v="9.2184368737474945E-2"/>
    <s v="Mid Range"/>
    <x v="2"/>
  </r>
  <r>
    <x v="9"/>
    <x v="368"/>
    <x v="82"/>
    <x v="6"/>
    <x v="0"/>
    <n v="4.4000000000000004"/>
    <n v="62000"/>
    <n v="62000"/>
    <n v="0"/>
    <n v="0"/>
    <n v="7.0967741935483872E-2"/>
    <s v="Premium"/>
    <x v="0"/>
  </r>
  <r>
    <x v="9"/>
    <x v="370"/>
    <x v="82"/>
    <x v="2"/>
    <x v="3"/>
    <n v="4.5999999999999996"/>
    <n v="106900"/>
    <n v="106900"/>
    <n v="0"/>
    <n v="0"/>
    <n v="4.3030869971936392E-2"/>
    <s v="Premium"/>
    <x v="2"/>
  </r>
  <r>
    <x v="9"/>
    <x v="355"/>
    <x v="4"/>
    <x v="15"/>
    <x v="1"/>
    <n v="4.5999999999999996"/>
    <n v="54900"/>
    <n v="54900"/>
    <n v="0"/>
    <n v="0"/>
    <n v="8.3788706739526403E-2"/>
    <s v="Premium"/>
    <x v="2"/>
  </r>
  <r>
    <x v="9"/>
    <x v="366"/>
    <x v="257"/>
    <x v="4"/>
    <x v="0"/>
    <n v="4.5"/>
    <n v="49999"/>
    <n v="49999"/>
    <n v="0"/>
    <n v="0"/>
    <n v="9.0001800036000723E-2"/>
    <s v="Mid Range"/>
    <x v="0"/>
  </r>
  <r>
    <x v="9"/>
    <x v="355"/>
    <x v="66"/>
    <x v="15"/>
    <x v="3"/>
    <n v="4.5999999999999996"/>
    <n v="64900"/>
    <n v="64900"/>
    <n v="0"/>
    <n v="0"/>
    <n v="7.0878274268104779E-2"/>
    <s v="Premium"/>
    <x v="2"/>
  </r>
  <r>
    <x v="9"/>
    <x v="366"/>
    <x v="56"/>
    <x v="4"/>
    <x v="1"/>
    <n v="4.5"/>
    <n v="55999"/>
    <n v="55999"/>
    <n v="0"/>
    <n v="0"/>
    <n v="8.0358577831747005E-2"/>
    <s v="Premium"/>
    <x v="0"/>
  </r>
  <r>
    <x v="9"/>
    <x v="369"/>
    <x v="257"/>
    <x v="4"/>
    <x v="4"/>
    <n v="4.4000000000000004"/>
    <n v="72000"/>
    <n v="72000"/>
    <n v="0"/>
    <n v="0"/>
    <n v="6.1111111111111123E-2"/>
    <s v="Premium"/>
    <x v="0"/>
  </r>
  <r>
    <x v="9"/>
    <x v="365"/>
    <x v="40"/>
    <x v="2"/>
    <x v="2"/>
    <n v="4.5"/>
    <n v="36999"/>
    <n v="37900"/>
    <n v="901"/>
    <n v="2.3773087071240106E-2"/>
    <n v="0.12162490878131842"/>
    <s v="Mid Range"/>
    <x v="0"/>
  </r>
  <r>
    <x v="9"/>
    <x v="366"/>
    <x v="82"/>
    <x v="4"/>
    <x v="4"/>
    <n v="4.5"/>
    <n v="41999"/>
    <n v="41999"/>
    <n v="0"/>
    <n v="0"/>
    <n v="0.10714540822400533"/>
    <s v="Mid Range"/>
    <x v="0"/>
  </r>
  <r>
    <x v="9"/>
    <x v="370"/>
    <x v="258"/>
    <x v="2"/>
    <x v="0"/>
    <n v="4.5999999999999996"/>
    <n v="91900"/>
    <n v="91900"/>
    <n v="0"/>
    <n v="0"/>
    <n v="5.00544069640914E-2"/>
    <s v="Premium"/>
    <x v="2"/>
  </r>
  <r>
    <x v="10"/>
    <x v="371"/>
    <x v="259"/>
    <x v="1"/>
    <x v="1"/>
    <n v="4.3"/>
    <n v="14999"/>
    <n v="16999"/>
    <n v="2000"/>
    <n v="0.11765397964586152"/>
    <n v="0.28668577905193682"/>
    <s v="Budget"/>
    <x v="0"/>
  </r>
  <r>
    <x v="10"/>
    <x v="371"/>
    <x v="259"/>
    <x v="0"/>
    <x v="0"/>
    <n v="4.3"/>
    <n v="12999"/>
    <n v="14999"/>
    <n v="2000"/>
    <n v="0.13334222281485433"/>
    <n v="0.33079467651357791"/>
    <s v="Budget"/>
    <x v="0"/>
  </r>
  <r>
    <x v="10"/>
    <x v="371"/>
    <x v="260"/>
    <x v="1"/>
    <x v="1"/>
    <n v="4.3"/>
    <n v="14999"/>
    <n v="16999"/>
    <n v="2000"/>
    <n v="0.11765397964586152"/>
    <n v="0.28668577905193682"/>
    <s v="Budget"/>
    <x v="0"/>
  </r>
  <r>
    <x v="10"/>
    <x v="371"/>
    <x v="260"/>
    <x v="0"/>
    <x v="0"/>
    <n v="4.3"/>
    <n v="12999"/>
    <n v="14999"/>
    <n v="2000"/>
    <n v="0.13334222281485433"/>
    <n v="0.33079467651357791"/>
    <s v="Budget"/>
    <x v="0"/>
  </r>
  <r>
    <x v="10"/>
    <x v="372"/>
    <x v="261"/>
    <x v="0"/>
    <x v="0"/>
    <n v="4.2"/>
    <n v="11499"/>
    <n v="12999"/>
    <n v="1500"/>
    <n v="0.11539349180706208"/>
    <n v="0.36524915210018266"/>
    <s v="Budget"/>
    <x v="0"/>
  </r>
  <r>
    <x v="10"/>
    <x v="372"/>
    <x v="262"/>
    <x v="0"/>
    <x v="0"/>
    <n v="4.2"/>
    <n v="11499"/>
    <n v="12999"/>
    <n v="1500"/>
    <n v="0.11539349180706208"/>
    <n v="0.36524915210018266"/>
    <s v="Budget"/>
    <x v="0"/>
  </r>
  <r>
    <x v="10"/>
    <x v="373"/>
    <x v="263"/>
    <x v="3"/>
    <x v="1"/>
    <n v="4.3"/>
    <n v="20949"/>
    <n v="20949"/>
    <n v="0"/>
    <n v="0"/>
    <n v="0.20526039429089693"/>
    <s v="Mid Range"/>
    <x v="0"/>
  </r>
  <r>
    <x v="10"/>
    <x v="374"/>
    <x v="5"/>
    <x v="2"/>
    <x v="2"/>
    <n v="4.2"/>
    <n v="9539"/>
    <n v="10389"/>
    <n v="850"/>
    <n v="8.1817306766772555E-2"/>
    <n v="0.44029772512842019"/>
    <s v="Budget"/>
    <x v="0"/>
  </r>
  <r>
    <x v="10"/>
    <x v="372"/>
    <x v="264"/>
    <x v="0"/>
    <x v="0"/>
    <n v="4.2"/>
    <n v="11499"/>
    <n v="12999"/>
    <n v="1500"/>
    <n v="0.11539349180706208"/>
    <n v="0.36524915210018266"/>
    <s v="Budget"/>
    <x v="0"/>
  </r>
  <r>
    <x v="10"/>
    <x v="375"/>
    <x v="5"/>
    <x v="4"/>
    <x v="2"/>
    <n v="4"/>
    <n v="8299"/>
    <n v="8499"/>
    <n v="200"/>
    <n v="2.3532180256500765E-2"/>
    <n v="0.48198578141944814"/>
    <s v="Budget"/>
    <x v="1"/>
  </r>
  <r>
    <x v="10"/>
    <x v="376"/>
    <x v="5"/>
    <x v="0"/>
    <x v="0"/>
    <n v="4.2"/>
    <n v="15999"/>
    <n v="15999"/>
    <n v="0"/>
    <n v="0"/>
    <n v="0.26251640727545478"/>
    <s v="Mid Range"/>
    <x v="0"/>
  </r>
  <r>
    <x v="10"/>
    <x v="377"/>
    <x v="4"/>
    <x v="1"/>
    <x v="1"/>
    <n v="4.3"/>
    <n v="18499"/>
    <n v="20499"/>
    <n v="2000"/>
    <n v="9.7565734913898236E-2"/>
    <n v="0.2324449970268663"/>
    <s v="Mid Range"/>
    <x v="0"/>
  </r>
  <r>
    <x v="10"/>
    <x v="372"/>
    <x v="261"/>
    <x v="0"/>
    <x v="1"/>
    <n v="4.2"/>
    <n v="12499"/>
    <n v="13999"/>
    <n v="1500"/>
    <n v="0.10715051075076791"/>
    <n v="0.33602688215057208"/>
    <s v="Budget"/>
    <x v="0"/>
  </r>
  <r>
    <x v="10"/>
    <x v="378"/>
    <x v="265"/>
    <x v="1"/>
    <x v="1"/>
    <n v="4.3"/>
    <n v="19818"/>
    <n v="20969"/>
    <n v="1151"/>
    <n v="5.4890552720682911E-2"/>
    <n v="0.21697446765566655"/>
    <s v="Mid Range"/>
    <x v="0"/>
  </r>
  <r>
    <x v="10"/>
    <x v="379"/>
    <x v="5"/>
    <x v="0"/>
    <x v="0"/>
    <n v="4.2"/>
    <n v="11510"/>
    <n v="11510"/>
    <n v="0"/>
    <n v="0"/>
    <n v="0.36490008688097308"/>
    <s v="Budget"/>
    <x v="0"/>
  </r>
  <r>
    <x v="10"/>
    <x v="380"/>
    <x v="87"/>
    <x v="1"/>
    <x v="1"/>
    <n v="4.3"/>
    <n v="17845"/>
    <n v="17999"/>
    <n v="154"/>
    <n v="8.5560308906050334E-3"/>
    <n v="0.24096385542168675"/>
    <s v="Mid Range"/>
    <x v="0"/>
  </r>
  <r>
    <x v="10"/>
    <x v="374"/>
    <x v="4"/>
    <x v="2"/>
    <x v="2"/>
    <n v="4.2"/>
    <n v="9639"/>
    <n v="9639"/>
    <n v="0"/>
    <n v="0"/>
    <n v="0.4357298474945534"/>
    <s v="Budget"/>
    <x v="0"/>
  </r>
  <r>
    <x v="10"/>
    <x v="376"/>
    <x v="4"/>
    <x v="0"/>
    <x v="0"/>
    <n v="4.2"/>
    <n v="11989"/>
    <n v="11989"/>
    <n v="0"/>
    <n v="0"/>
    <n v="0.35032112770039203"/>
    <s v="Budget"/>
    <x v="0"/>
  </r>
  <r>
    <x v="10"/>
    <x v="375"/>
    <x v="67"/>
    <x v="2"/>
    <x v="2"/>
    <n v="4"/>
    <n v="8850"/>
    <n v="9998"/>
    <n v="1148"/>
    <n v="0.11482296459291859"/>
    <n v="0.4519774011299435"/>
    <s v="Budget"/>
    <x v="1"/>
  </r>
  <r>
    <x v="10"/>
    <x v="376"/>
    <x v="5"/>
    <x v="0"/>
    <x v="0"/>
    <n v="4.2"/>
    <n v="12144"/>
    <n v="12144"/>
    <n v="0"/>
    <n v="0"/>
    <n v="0.3458498023715415"/>
    <s v="Budget"/>
    <x v="0"/>
  </r>
  <r>
    <x v="10"/>
    <x v="372"/>
    <x v="262"/>
    <x v="0"/>
    <x v="1"/>
    <n v="4.2"/>
    <n v="12499"/>
    <n v="13999"/>
    <n v="1500"/>
    <n v="0.10715051075076791"/>
    <n v="0.33602688215057208"/>
    <s v="Budget"/>
    <x v="0"/>
  </r>
  <r>
    <x v="10"/>
    <x v="381"/>
    <x v="266"/>
    <x v="0"/>
    <x v="0"/>
    <n v="4"/>
    <n v="13224"/>
    <n v="13899"/>
    <n v="675"/>
    <n v="4.856464493848478E-2"/>
    <n v="0.30248033877797947"/>
    <s v="Budget"/>
    <x v="1"/>
  </r>
  <r>
    <x v="10"/>
    <x v="372"/>
    <x v="264"/>
    <x v="0"/>
    <x v="1"/>
    <n v="4.2"/>
    <n v="12499"/>
    <n v="13999"/>
    <n v="1500"/>
    <n v="0.10715051075076791"/>
    <n v="0.33602688215057208"/>
    <s v="Budget"/>
    <x v="0"/>
  </r>
  <r>
    <x v="10"/>
    <x v="378"/>
    <x v="265"/>
    <x v="3"/>
    <x v="1"/>
    <n v="4.2"/>
    <n v="23596"/>
    <n v="23696"/>
    <n v="100"/>
    <n v="4.2201215395003379E-3"/>
    <n v="0.17799627055433126"/>
    <s v="Mid Range"/>
    <x v="0"/>
  </r>
  <r>
    <x v="10"/>
    <x v="382"/>
    <x v="5"/>
    <x v="1"/>
    <x v="0"/>
    <n v="4.2"/>
    <n v="14839"/>
    <n v="16900"/>
    <n v="2061"/>
    <n v="0.12195266272189349"/>
    <n v="0.28303794056203246"/>
    <s v="Budget"/>
    <x v="0"/>
  </r>
  <r>
    <x v="10"/>
    <x v="383"/>
    <x v="267"/>
    <x v="3"/>
    <x v="1"/>
    <n v="4.3"/>
    <n v="19330"/>
    <n v="20999"/>
    <n v="1669"/>
    <n v="7.9479975236916037E-2"/>
    <n v="0.22245214692188306"/>
    <s v="Mid Range"/>
    <x v="0"/>
  </r>
  <r>
    <x v="10"/>
    <x v="376"/>
    <x v="75"/>
    <x v="0"/>
    <x v="0"/>
    <n v="4.2"/>
    <n v="15999"/>
    <n v="15999"/>
    <n v="0"/>
    <n v="0"/>
    <n v="0.26251640727545478"/>
    <s v="Mid Range"/>
    <x v="0"/>
  </r>
  <r>
    <x v="10"/>
    <x v="375"/>
    <x v="4"/>
    <x v="4"/>
    <x v="2"/>
    <n v="4"/>
    <n v="8229"/>
    <n v="8229"/>
    <n v="0"/>
    <n v="0"/>
    <n v="0.48608579414266617"/>
    <s v="Budget"/>
    <x v="1"/>
  </r>
  <r>
    <x v="10"/>
    <x v="376"/>
    <x v="5"/>
    <x v="1"/>
    <x v="1"/>
    <n v="3.9"/>
    <n v="14999"/>
    <n v="14999"/>
    <n v="0"/>
    <n v="0"/>
    <n v="0.26001733448896591"/>
    <s v="Budget"/>
    <x v="1"/>
  </r>
  <r>
    <x v="10"/>
    <x v="384"/>
    <x v="4"/>
    <x v="12"/>
    <x v="10"/>
    <n v="4.3"/>
    <n v="2340"/>
    <n v="2340"/>
    <n v="0"/>
    <n v="0"/>
    <n v="1.8376068376068375"/>
    <s v="Budget"/>
    <x v="0"/>
  </r>
  <r>
    <x v="10"/>
    <x v="375"/>
    <x v="4"/>
    <x v="2"/>
    <x v="2"/>
    <n v="4"/>
    <n v="8897"/>
    <n v="8897"/>
    <n v="0"/>
    <n v="0"/>
    <n v="0.44958974935371476"/>
    <s v="Budget"/>
    <x v="1"/>
  </r>
  <r>
    <x v="10"/>
    <x v="385"/>
    <x v="268"/>
    <x v="1"/>
    <x v="0"/>
    <n v="4.3"/>
    <n v="16299"/>
    <n v="16299"/>
    <n v="0"/>
    <n v="0"/>
    <n v="0.26381986624946313"/>
    <s v="Mid Range"/>
    <x v="0"/>
  </r>
  <r>
    <x v="10"/>
    <x v="382"/>
    <x v="4"/>
    <x v="1"/>
    <x v="1"/>
    <n v="4.2"/>
    <n v="17499"/>
    <n v="18999"/>
    <n v="1500"/>
    <n v="7.8951523764408657E-2"/>
    <n v="0.24001371506943256"/>
    <s v="Mid Range"/>
    <x v="0"/>
  </r>
  <r>
    <x v="10"/>
    <x v="378"/>
    <x v="67"/>
    <x v="3"/>
    <x v="1"/>
    <n v="4.2"/>
    <n v="21999"/>
    <n v="23999"/>
    <n v="2000"/>
    <n v="8.3336805700237507E-2"/>
    <n v="0.19091776898949953"/>
    <s v="Mid Range"/>
    <x v="0"/>
  </r>
  <r>
    <x v="10"/>
    <x v="386"/>
    <x v="269"/>
    <x v="3"/>
    <x v="3"/>
    <n v="4.3"/>
    <n v="88999"/>
    <n v="99999"/>
    <n v="11000"/>
    <n v="0.11000110001100011"/>
    <n v="4.8315149608422564E-2"/>
    <s v="Premium"/>
    <x v="0"/>
  </r>
  <r>
    <x v="10"/>
    <x v="387"/>
    <x v="5"/>
    <x v="2"/>
    <x v="2"/>
    <n v="4.2"/>
    <n v="9990"/>
    <n v="9990"/>
    <n v="0"/>
    <n v="0"/>
    <n v="0.42042042042042044"/>
    <s v="Budget"/>
    <x v="0"/>
  </r>
  <r>
    <x v="10"/>
    <x v="388"/>
    <x v="4"/>
    <x v="0"/>
    <x v="0"/>
    <n v="4.2"/>
    <n v="12499"/>
    <n v="14499"/>
    <n v="2000"/>
    <n v="0.13794054762397406"/>
    <n v="0.33602688215057208"/>
    <s v="Budget"/>
    <x v="0"/>
  </r>
  <r>
    <x v="10"/>
    <x v="389"/>
    <x v="51"/>
    <x v="2"/>
    <x v="2"/>
    <n v="4.2"/>
    <n v="9499"/>
    <n v="10499"/>
    <n v="1000"/>
    <n v="9.5247166396799698E-2"/>
    <n v="0.44215180545320559"/>
    <s v="Budget"/>
    <x v="0"/>
  </r>
  <r>
    <x v="10"/>
    <x v="390"/>
    <x v="270"/>
    <x v="3"/>
    <x v="1"/>
    <n v="4.3"/>
    <n v="34999"/>
    <n v="41999"/>
    <n v="7000"/>
    <n v="0.16667063501511942"/>
    <n v="0.1228606531615189"/>
    <s v="Mid Range"/>
    <x v="0"/>
  </r>
  <r>
    <x v="10"/>
    <x v="383"/>
    <x v="267"/>
    <x v="1"/>
    <x v="1"/>
    <n v="4.3"/>
    <n v="19725"/>
    <n v="19725"/>
    <n v="0"/>
    <n v="0"/>
    <n v="0.2179974651457541"/>
    <s v="Mid Range"/>
    <x v="0"/>
  </r>
  <r>
    <x v="10"/>
    <x v="385"/>
    <x v="87"/>
    <x v="3"/>
    <x v="1"/>
    <n v="4.3"/>
    <n v="18654"/>
    <n v="18950"/>
    <n v="296"/>
    <n v="1.5620052770448549E-2"/>
    <n v="0.23051356277473997"/>
    <s v="Mid Range"/>
    <x v="0"/>
  </r>
  <r>
    <x v="10"/>
    <x v="391"/>
    <x v="271"/>
    <x v="0"/>
    <x v="0"/>
    <n v="4.2"/>
    <n v="14690"/>
    <n v="14690"/>
    <n v="0"/>
    <n v="0"/>
    <n v="0.28590878148400273"/>
    <s v="Budget"/>
    <x v="0"/>
  </r>
  <r>
    <x v="10"/>
    <x v="392"/>
    <x v="272"/>
    <x v="3"/>
    <x v="1"/>
    <n v="4.3"/>
    <n v="22499"/>
    <n v="29999"/>
    <n v="7500"/>
    <n v="0.25000833361112035"/>
    <n v="0.19111960531579181"/>
    <s v="Mid Range"/>
    <x v="0"/>
  </r>
  <r>
    <x v="10"/>
    <x v="376"/>
    <x v="75"/>
    <x v="1"/>
    <x v="1"/>
    <n v="3.9"/>
    <n v="14999"/>
    <n v="14999"/>
    <n v="0"/>
    <n v="0"/>
    <n v="0.26001733448896591"/>
    <s v="Budget"/>
    <x v="1"/>
  </r>
  <r>
    <x v="10"/>
    <x v="386"/>
    <x v="269"/>
    <x v="3"/>
    <x v="1"/>
    <n v="4.3"/>
    <n v="84999"/>
    <n v="95999"/>
    <n v="11000"/>
    <n v="0.11458452692215544"/>
    <n v="5.0588830456828902E-2"/>
    <s v="Premium"/>
    <x v="0"/>
  </r>
  <r>
    <x v="10"/>
    <x v="391"/>
    <x v="4"/>
    <x v="0"/>
    <x v="0"/>
    <n v="4.2"/>
    <n v="14749"/>
    <n v="15980"/>
    <n v="1231"/>
    <n v="7.7033792240300381E-2"/>
    <n v="0.28476506881822494"/>
    <s v="Budget"/>
    <x v="0"/>
  </r>
  <r>
    <x v="10"/>
    <x v="379"/>
    <x v="75"/>
    <x v="1"/>
    <x v="1"/>
    <n v="4.2"/>
    <n v="14490"/>
    <n v="14999"/>
    <n v="509"/>
    <n v="3.3935595706380425E-2"/>
    <n v="0.28985507246376813"/>
    <s v="Budget"/>
    <x v="0"/>
  </r>
  <r>
    <x v="10"/>
    <x v="386"/>
    <x v="273"/>
    <x v="3"/>
    <x v="1"/>
    <n v="4.3"/>
    <n v="84999"/>
    <n v="95999"/>
    <n v="11000"/>
    <n v="0.11458452692215544"/>
    <n v="5.0588830456828902E-2"/>
    <s v="Premium"/>
    <x v="0"/>
  </r>
  <r>
    <x v="10"/>
    <x v="378"/>
    <x v="67"/>
    <x v="1"/>
    <x v="1"/>
    <n v="4.3"/>
    <n v="19979"/>
    <n v="22498"/>
    <n v="2519"/>
    <n v="0.11196550804515958"/>
    <n v="0.21522598728665096"/>
    <s v="Mid Range"/>
    <x v="0"/>
  </r>
  <r>
    <x v="10"/>
    <x v="393"/>
    <x v="274"/>
    <x v="1"/>
    <x v="1"/>
    <n v="4.2"/>
    <n v="23999"/>
    <n v="29999"/>
    <n v="6000"/>
    <n v="0.20000666688889629"/>
    <n v="0.17500729197049877"/>
    <s v="Mid Range"/>
    <x v="0"/>
  </r>
  <r>
    <x v="10"/>
    <x v="376"/>
    <x v="4"/>
    <x v="1"/>
    <x v="1"/>
    <n v="3.9"/>
    <n v="15843"/>
    <n v="17480"/>
    <n v="1637"/>
    <n v="9.3649885583524023E-2"/>
    <n v="0.2461654989585306"/>
    <s v="Mid Range"/>
    <x v="1"/>
  </r>
  <r>
    <x v="10"/>
    <x v="394"/>
    <x v="275"/>
    <x v="3"/>
    <x v="1"/>
    <n v="4.5"/>
    <n v="37499"/>
    <n v="40999"/>
    <n v="3500"/>
    <n v="8.536793580331227E-2"/>
    <n v="0.12000320008533562"/>
    <s v="Mid Range"/>
    <x v="0"/>
  </r>
  <r>
    <x v="10"/>
    <x v="377"/>
    <x v="4"/>
    <x v="1"/>
    <x v="1"/>
    <n v="4.3"/>
    <n v="17578"/>
    <n v="19499"/>
    <n v="1921"/>
    <n v="9.8517872711421095E-2"/>
    <n v="0.24462396177039478"/>
    <s v="Mid Range"/>
    <x v="0"/>
  </r>
  <r>
    <x v="10"/>
    <x v="395"/>
    <x v="4"/>
    <x v="0"/>
    <x v="0"/>
    <n v="4.3"/>
    <n v="11299"/>
    <n v="11300"/>
    <n v="1"/>
    <n v="8.849557522123894E-5"/>
    <n v="0.38056465173909199"/>
    <s v="Budget"/>
    <x v="0"/>
  </r>
  <r>
    <x v="10"/>
    <x v="394"/>
    <x v="270"/>
    <x v="3"/>
    <x v="1"/>
    <n v="4.5"/>
    <n v="37499"/>
    <n v="40999"/>
    <n v="3500"/>
    <n v="8.536793580331227E-2"/>
    <n v="0.12000320008533562"/>
    <s v="Mid Range"/>
    <x v="0"/>
  </r>
  <r>
    <x v="10"/>
    <x v="393"/>
    <x v="111"/>
    <x v="1"/>
    <x v="1"/>
    <n v="4.2"/>
    <n v="23999"/>
    <n v="29999"/>
    <n v="6000"/>
    <n v="0.20000666688889629"/>
    <n v="0.17500729197049877"/>
    <s v="Mid Range"/>
    <x v="0"/>
  </r>
  <r>
    <x v="10"/>
    <x v="375"/>
    <x v="67"/>
    <x v="4"/>
    <x v="2"/>
    <n v="4"/>
    <n v="8289"/>
    <n v="8289"/>
    <n v="0"/>
    <n v="0"/>
    <n v="0.48256725781155746"/>
    <s v="Budget"/>
    <x v="1"/>
  </r>
  <r>
    <x v="10"/>
    <x v="382"/>
    <x v="82"/>
    <x v="1"/>
    <x v="1"/>
    <n v="4.2"/>
    <n v="17499"/>
    <n v="18999"/>
    <n v="1500"/>
    <n v="7.8951523764408657E-2"/>
    <n v="0.24001371506943256"/>
    <s v="Mid Range"/>
    <x v="0"/>
  </r>
  <r>
    <x v="10"/>
    <x v="382"/>
    <x v="5"/>
    <x v="1"/>
    <x v="1"/>
    <n v="4.2"/>
    <n v="17499"/>
    <n v="18999"/>
    <n v="1500"/>
    <n v="7.8951523764408657E-2"/>
    <n v="0.24001371506943256"/>
    <s v="Mid Range"/>
    <x v="0"/>
  </r>
  <r>
    <x v="10"/>
    <x v="396"/>
    <x v="43"/>
    <x v="3"/>
    <x v="7"/>
    <n v="4.5"/>
    <n v="49999"/>
    <n v="49999"/>
    <n v="0"/>
    <n v="0"/>
    <n v="9.0001800036000723E-2"/>
    <s v="Mid Range"/>
    <x v="0"/>
  </r>
  <r>
    <x v="10"/>
    <x v="397"/>
    <x v="157"/>
    <x v="1"/>
    <x v="0"/>
    <n v="4.3"/>
    <n v="15999"/>
    <n v="19999"/>
    <n v="4000"/>
    <n v="0.20001000050002501"/>
    <n v="0.26876679792487029"/>
    <s v="Mid Range"/>
    <x v="0"/>
  </r>
  <r>
    <x v="10"/>
    <x v="393"/>
    <x v="276"/>
    <x v="1"/>
    <x v="1"/>
    <n v="4.2"/>
    <n v="23999"/>
    <n v="29999"/>
    <n v="6000"/>
    <n v="0.20000666688889629"/>
    <n v="0.17500729197049877"/>
    <s v="Mid Range"/>
    <x v="0"/>
  </r>
  <r>
    <x v="10"/>
    <x v="376"/>
    <x v="4"/>
    <x v="1"/>
    <x v="1"/>
    <n v="3.9"/>
    <n v="16499"/>
    <n v="17999"/>
    <n v="1500"/>
    <n v="8.3337963220178904E-2"/>
    <n v="0.23637796230074551"/>
    <s v="Mid Range"/>
    <x v="1"/>
  </r>
  <r>
    <x v="10"/>
    <x v="398"/>
    <x v="270"/>
    <x v="1"/>
    <x v="1"/>
    <n v="4.3"/>
    <n v="27499"/>
    <n v="30499"/>
    <n v="3000"/>
    <n v="9.836388078297649E-2"/>
    <n v="0.15636932252081892"/>
    <s v="Mid Range"/>
    <x v="0"/>
  </r>
  <r>
    <x v="10"/>
    <x v="376"/>
    <x v="4"/>
    <x v="1"/>
    <x v="1"/>
    <n v="3.9"/>
    <n v="14999"/>
    <n v="14999"/>
    <n v="0"/>
    <n v="0"/>
    <n v="0.26001733448896591"/>
    <s v="Budget"/>
    <x v="1"/>
  </r>
  <r>
    <x v="10"/>
    <x v="395"/>
    <x v="4"/>
    <x v="2"/>
    <x v="2"/>
    <n v="4.2"/>
    <n v="11744"/>
    <n v="11749"/>
    <n v="5"/>
    <n v="4.2556813345816664E-4"/>
    <n v="0.35762942779291557"/>
    <s v="Budget"/>
    <x v="0"/>
  </r>
  <r>
    <x v="10"/>
    <x v="377"/>
    <x v="265"/>
    <x v="1"/>
    <x v="1"/>
    <n v="4.3"/>
    <n v="18499"/>
    <n v="20499"/>
    <n v="2000"/>
    <n v="9.7565734913898236E-2"/>
    <n v="0.2324449970268663"/>
    <s v="Mid Range"/>
    <x v="0"/>
  </r>
  <r>
    <x v="10"/>
    <x v="399"/>
    <x v="277"/>
    <x v="1"/>
    <x v="1"/>
    <n v="4.0999999999999996"/>
    <n v="21700"/>
    <n v="21700"/>
    <n v="0"/>
    <n v="0"/>
    <n v="0.1889400921658986"/>
    <s v="Mid Range"/>
    <x v="0"/>
  </r>
  <r>
    <x v="10"/>
    <x v="398"/>
    <x v="270"/>
    <x v="1"/>
    <x v="1"/>
    <n v="4.3"/>
    <n v="27499"/>
    <n v="30499"/>
    <n v="3000"/>
    <n v="9.836388078297649E-2"/>
    <n v="0.15636932252081892"/>
    <s v="Mid Range"/>
    <x v="0"/>
  </r>
  <r>
    <x v="10"/>
    <x v="399"/>
    <x v="277"/>
    <x v="1"/>
    <x v="1"/>
    <n v="4.0999999999999996"/>
    <n v="21700"/>
    <n v="21700"/>
    <n v="0"/>
    <n v="0"/>
    <n v="0.1889400921658986"/>
    <s v="Mid Range"/>
    <x v="0"/>
  </r>
  <r>
    <x v="10"/>
    <x v="376"/>
    <x v="4"/>
    <x v="1"/>
    <x v="1"/>
    <n v="3.9"/>
    <n v="14999"/>
    <n v="14999"/>
    <n v="0"/>
    <n v="0"/>
    <n v="0.26001733448896591"/>
    <s v="Budget"/>
    <x v="1"/>
  </r>
  <r>
    <x v="10"/>
    <x v="377"/>
    <x v="265"/>
    <x v="1"/>
    <x v="1"/>
    <n v="4.3"/>
    <n v="18499"/>
    <n v="20499"/>
    <n v="2000"/>
    <n v="9.7565734913898236E-2"/>
    <n v="0.2324449970268663"/>
    <s v="Mid Range"/>
    <x v="0"/>
  </r>
  <r>
    <x v="10"/>
    <x v="383"/>
    <x v="263"/>
    <x v="1"/>
    <x v="1"/>
    <n v="4.3"/>
    <n v="19178"/>
    <n v="19900"/>
    <n v="722"/>
    <n v="3.6281407035175878E-2"/>
    <n v="0.22421524663677131"/>
    <s v="Mid Range"/>
    <x v="0"/>
  </r>
  <r>
    <x v="10"/>
    <x v="388"/>
    <x v="4"/>
    <x v="2"/>
    <x v="2"/>
    <n v="4"/>
    <n v="11499"/>
    <n v="13499"/>
    <n v="2000"/>
    <n v="0.14815912289799243"/>
    <n v="0.34785633533350729"/>
    <s v="Budget"/>
    <x v="1"/>
  </r>
  <r>
    <x v="10"/>
    <x v="389"/>
    <x v="171"/>
    <x v="0"/>
    <x v="0"/>
    <n v="4.2"/>
    <n v="10499"/>
    <n v="11499"/>
    <n v="1000"/>
    <n v="8.696408383337681E-2"/>
    <n v="0.40003809886655872"/>
    <s v="Budget"/>
    <x v="0"/>
  </r>
  <r>
    <x v="10"/>
    <x v="382"/>
    <x v="4"/>
    <x v="1"/>
    <x v="0"/>
    <n v="4.2"/>
    <n v="15199"/>
    <n v="15380"/>
    <n v="181"/>
    <n v="1.176853055916775E-2"/>
    <n v="0.27633396934008814"/>
    <s v="Mid Range"/>
    <x v="0"/>
  </r>
  <r>
    <x v="10"/>
    <x v="388"/>
    <x v="5"/>
    <x v="0"/>
    <x v="0"/>
    <n v="4.2"/>
    <n v="12499"/>
    <n v="14499"/>
    <n v="2000"/>
    <n v="0.13794054762397406"/>
    <n v="0.33602688215057208"/>
    <s v="Budget"/>
    <x v="0"/>
  </r>
  <r>
    <x v="10"/>
    <x v="400"/>
    <x v="278"/>
    <x v="3"/>
    <x v="7"/>
    <n v="4.5999999999999996"/>
    <n v="92000"/>
    <n v="92000"/>
    <n v="0"/>
    <n v="0"/>
    <n v="4.9999999999999996E-2"/>
    <s v="Premium"/>
    <x v="2"/>
  </r>
  <r>
    <x v="10"/>
    <x v="382"/>
    <x v="4"/>
    <x v="0"/>
    <x v="0"/>
    <n v="4.2"/>
    <n v="14999"/>
    <n v="17999"/>
    <n v="3000"/>
    <n v="0.16667592644035781"/>
    <n v="0.28001866791119412"/>
    <s v="Budget"/>
    <x v="0"/>
  </r>
  <r>
    <x v="10"/>
    <x v="385"/>
    <x v="87"/>
    <x v="1"/>
    <x v="0"/>
    <n v="4.3"/>
    <n v="16999"/>
    <n v="17500"/>
    <n v="501"/>
    <n v="2.8628571428571427E-2"/>
    <n v="0.25295605623860223"/>
    <s v="Mid Range"/>
    <x v="0"/>
  </r>
  <r>
    <x v="10"/>
    <x v="376"/>
    <x v="75"/>
    <x v="1"/>
    <x v="1"/>
    <n v="3.9"/>
    <n v="16499"/>
    <n v="17999"/>
    <n v="1500"/>
    <n v="8.3337963220178904E-2"/>
    <n v="0.23637796230074551"/>
    <s v="Mid Range"/>
    <x v="1"/>
  </r>
  <r>
    <x v="10"/>
    <x v="395"/>
    <x v="279"/>
    <x v="0"/>
    <x v="0"/>
    <n v="4.3"/>
    <n v="11699"/>
    <n v="11699"/>
    <n v="0"/>
    <n v="0"/>
    <n v="0.3675527822890845"/>
    <s v="Budget"/>
    <x v="0"/>
  </r>
  <r>
    <x v="10"/>
    <x v="401"/>
    <x v="39"/>
    <x v="6"/>
    <x v="4"/>
    <n v="3.9"/>
    <n v="7399"/>
    <n v="7399"/>
    <n v="0"/>
    <n v="0"/>
    <n v="0.5270982565211515"/>
    <s v="Budget"/>
    <x v="1"/>
  </r>
  <r>
    <x v="10"/>
    <x v="376"/>
    <x v="75"/>
    <x v="1"/>
    <x v="1"/>
    <n v="3.9"/>
    <n v="15989"/>
    <n v="16489"/>
    <n v="500"/>
    <n v="3.0323245800230457E-2"/>
    <n v="0.24391769341422226"/>
    <s v="Mid Range"/>
    <x v="1"/>
  </r>
  <r>
    <x v="10"/>
    <x v="394"/>
    <x v="280"/>
    <x v="3"/>
    <x v="1"/>
    <n v="4.5"/>
    <n v="37499"/>
    <n v="40999"/>
    <n v="3500"/>
    <n v="8.536793580331227E-2"/>
    <n v="0.12000320008533562"/>
    <s v="Mid Range"/>
    <x v="0"/>
  </r>
  <r>
    <x v="10"/>
    <x v="402"/>
    <x v="264"/>
    <x v="1"/>
    <x v="1"/>
    <n v="4.3"/>
    <n v="24990"/>
    <n v="24990"/>
    <n v="0"/>
    <n v="0"/>
    <n v="0.17206882753101241"/>
    <s v="Mid Range"/>
    <x v="0"/>
  </r>
  <r>
    <x v="10"/>
    <x v="385"/>
    <x v="268"/>
    <x v="3"/>
    <x v="1"/>
    <n v="4.3"/>
    <n v="19990"/>
    <n v="19990"/>
    <n v="0"/>
    <n v="0"/>
    <n v="0.21510755377688845"/>
    <s v="Mid Range"/>
    <x v="0"/>
  </r>
  <r>
    <x v="10"/>
    <x v="382"/>
    <x v="5"/>
    <x v="0"/>
    <x v="0"/>
    <n v="4.2"/>
    <n v="14999"/>
    <n v="17999"/>
    <n v="3000"/>
    <n v="0.16667592644035781"/>
    <n v="0.28001866791119412"/>
    <s v="Budget"/>
    <x v="0"/>
  </r>
  <r>
    <x v="10"/>
    <x v="403"/>
    <x v="281"/>
    <x v="3"/>
    <x v="3"/>
    <n v="4.3"/>
    <n v="77999"/>
    <n v="86000"/>
    <n v="8001"/>
    <n v="9.3034883720930231E-2"/>
    <n v="5.512891190912704E-2"/>
    <s v="Premium"/>
    <x v="0"/>
  </r>
  <r>
    <x v="10"/>
    <x v="398"/>
    <x v="277"/>
    <x v="3"/>
    <x v="1"/>
    <n v="4.4000000000000004"/>
    <n v="28999"/>
    <n v="31999"/>
    <n v="3000"/>
    <n v="9.3752929779055597E-2"/>
    <n v="0.15172936997827513"/>
    <s v="Mid Range"/>
    <x v="0"/>
  </r>
  <r>
    <x v="10"/>
    <x v="376"/>
    <x v="5"/>
    <x v="1"/>
    <x v="1"/>
    <n v="3.9"/>
    <n v="15271"/>
    <n v="15271"/>
    <n v="0"/>
    <n v="0"/>
    <n v="0.25538602580053699"/>
    <s v="Mid Range"/>
    <x v="1"/>
  </r>
  <r>
    <x v="10"/>
    <x v="404"/>
    <x v="282"/>
    <x v="1"/>
    <x v="1"/>
    <n v="4.3"/>
    <n v="39990"/>
    <n v="39990"/>
    <n v="0"/>
    <n v="0"/>
    <n v="0.10752688172043011"/>
    <s v="Mid Range"/>
    <x v="0"/>
  </r>
  <r>
    <x v="10"/>
    <x v="395"/>
    <x v="279"/>
    <x v="2"/>
    <x v="2"/>
    <n v="4.2"/>
    <n v="11745"/>
    <n v="11745"/>
    <n v="0"/>
    <n v="0"/>
    <n v="0.35759897828863346"/>
    <s v="Budget"/>
    <x v="0"/>
  </r>
  <r>
    <x v="10"/>
    <x v="405"/>
    <x v="283"/>
    <x v="3"/>
    <x v="1"/>
    <n v="4.4000000000000004"/>
    <n v="27499"/>
    <n v="34999"/>
    <n v="7500"/>
    <n v="0.214291836909626"/>
    <n v="0.16000581839339614"/>
    <s v="Mid Range"/>
    <x v="0"/>
  </r>
  <r>
    <x v="10"/>
    <x v="379"/>
    <x v="4"/>
    <x v="0"/>
    <x v="0"/>
    <n v="4.2"/>
    <n v="11290"/>
    <n v="12490"/>
    <n v="1200"/>
    <n v="9.6076861489191354E-2"/>
    <n v="0.37201062887511072"/>
    <s v="Budget"/>
    <x v="0"/>
  </r>
  <r>
    <x v="10"/>
    <x v="406"/>
    <x v="284"/>
    <x v="3"/>
    <x v="1"/>
    <n v="4.3"/>
    <n v="30500"/>
    <n v="33100"/>
    <n v="2600"/>
    <n v="7.8549848942598186E-2"/>
    <n v="0.14098360655737704"/>
    <s v="Mid Range"/>
    <x v="0"/>
  </r>
  <r>
    <x v="10"/>
    <x v="384"/>
    <x v="4"/>
    <x v="14"/>
    <x v="10"/>
    <n v="4.2"/>
    <n v="2025"/>
    <n v="2025"/>
    <n v="0"/>
    <n v="0"/>
    <n v="2.074074074074074"/>
    <s v="Budget"/>
    <x v="0"/>
  </r>
  <r>
    <x v="10"/>
    <x v="376"/>
    <x v="4"/>
    <x v="0"/>
    <x v="0"/>
    <n v="4.2"/>
    <n v="15999"/>
    <n v="15999"/>
    <n v="0"/>
    <n v="0"/>
    <n v="0.26251640727545478"/>
    <s v="Mid Range"/>
    <x v="0"/>
  </r>
  <r>
    <x v="10"/>
    <x v="401"/>
    <x v="4"/>
    <x v="4"/>
    <x v="2"/>
    <n v="3.9"/>
    <n v="5999"/>
    <n v="5999"/>
    <n v="0"/>
    <n v="0"/>
    <n v="0.6501083513918986"/>
    <s v="Budget"/>
    <x v="1"/>
  </r>
  <r>
    <x v="10"/>
    <x v="379"/>
    <x v="75"/>
    <x v="0"/>
    <x v="0"/>
    <n v="4.2"/>
    <n v="11730"/>
    <n v="12900"/>
    <n v="1170"/>
    <n v="9.0697674418604657E-2"/>
    <n v="0.35805626598465473"/>
    <s v="Budget"/>
    <x v="0"/>
  </r>
  <r>
    <x v="10"/>
    <x v="407"/>
    <x v="273"/>
    <x v="5"/>
    <x v="7"/>
    <n v="4.4000000000000004"/>
    <n v="157999"/>
    <n v="179999"/>
    <n v="22000"/>
    <n v="0.12222290123834022"/>
    <n v="2.7848277520743803E-2"/>
    <s v="Premium"/>
    <x v="0"/>
  </r>
  <r>
    <x v="10"/>
    <x v="373"/>
    <x v="263"/>
    <x v="3"/>
    <x v="1"/>
    <n v="4.3"/>
    <n v="21950"/>
    <n v="21950"/>
    <n v="0"/>
    <n v="0"/>
    <n v="0.19589977220956717"/>
    <s v="Mid Range"/>
    <x v="0"/>
  </r>
  <r>
    <x v="10"/>
    <x v="385"/>
    <x v="285"/>
    <x v="1"/>
    <x v="1"/>
    <n v="4.3"/>
    <n v="17989"/>
    <n v="17989"/>
    <n v="0"/>
    <n v="0"/>
    <n v="0.23903496581244094"/>
    <s v="Mid Range"/>
    <x v="0"/>
  </r>
  <r>
    <x v="10"/>
    <x v="378"/>
    <x v="279"/>
    <x v="1"/>
    <x v="1"/>
    <n v="4.3"/>
    <n v="20696"/>
    <n v="21995"/>
    <n v="1299"/>
    <n v="5.905887701750398E-2"/>
    <n v="0.20776961731735602"/>
    <s v="Mid Range"/>
    <x v="0"/>
  </r>
  <r>
    <x v="10"/>
    <x v="378"/>
    <x v="279"/>
    <x v="3"/>
    <x v="1"/>
    <n v="4.2"/>
    <n v="22450"/>
    <n v="22450"/>
    <n v="0"/>
    <n v="0"/>
    <n v="0.18708240534521159"/>
    <s v="Mid Range"/>
    <x v="0"/>
  </r>
  <r>
    <x v="10"/>
    <x v="408"/>
    <x v="4"/>
    <x v="16"/>
    <x v="19"/>
    <n v="4.0999999999999996"/>
    <n v="1549"/>
    <n v="1549"/>
    <n v="0"/>
    <n v="0"/>
    <n v="2.6468689477081986"/>
    <s v="Budget"/>
    <x v="0"/>
  </r>
  <r>
    <x v="10"/>
    <x v="374"/>
    <x v="5"/>
    <x v="0"/>
    <x v="0"/>
    <n v="4.0999999999999996"/>
    <n v="10398"/>
    <n v="10398"/>
    <n v="0"/>
    <n v="0"/>
    <n v="0.39430659742258123"/>
    <s v="Budget"/>
    <x v="0"/>
  </r>
  <r>
    <x v="10"/>
    <x v="395"/>
    <x v="279"/>
    <x v="2"/>
    <x v="2"/>
    <n v="4.2"/>
    <n v="11745"/>
    <n v="11745"/>
    <n v="0"/>
    <n v="0"/>
    <n v="0.35759897828863346"/>
    <s v="Budget"/>
    <x v="0"/>
  </r>
  <r>
    <x v="10"/>
    <x v="379"/>
    <x v="75"/>
    <x v="0"/>
    <x v="0"/>
    <n v="4.2"/>
    <n v="11730"/>
    <n v="12900"/>
    <n v="1170"/>
    <n v="9.0697674418604657E-2"/>
    <n v="0.35805626598465473"/>
    <s v="Budget"/>
    <x v="0"/>
  </r>
  <r>
    <x v="10"/>
    <x v="407"/>
    <x v="273"/>
    <x v="5"/>
    <x v="7"/>
    <n v="4.4000000000000004"/>
    <n v="157999"/>
    <n v="179999"/>
    <n v="22000"/>
    <n v="0.12222290123834022"/>
    <n v="2.7848277520743803E-2"/>
    <s v="Premium"/>
    <x v="0"/>
  </r>
  <r>
    <x v="10"/>
    <x v="391"/>
    <x v="5"/>
    <x v="0"/>
    <x v="0"/>
    <n v="4.2"/>
    <n v="15399"/>
    <n v="15499"/>
    <n v="100"/>
    <n v="6.4520291631718178E-3"/>
    <n v="0.2727449834404832"/>
    <s v="Mid Range"/>
    <x v="0"/>
  </r>
  <r>
    <x v="10"/>
    <x v="395"/>
    <x v="286"/>
    <x v="2"/>
    <x v="2"/>
    <n v="4.2"/>
    <n v="11745"/>
    <n v="11745"/>
    <n v="0"/>
    <n v="0"/>
    <n v="0.35759897828863346"/>
    <s v="Budget"/>
    <x v="0"/>
  </r>
  <r>
    <x v="10"/>
    <x v="409"/>
    <x v="4"/>
    <x v="17"/>
    <x v="10"/>
    <n v="4.2"/>
    <n v="1450"/>
    <n v="1450"/>
    <n v="0"/>
    <n v="0"/>
    <n v="2.8965517241379315"/>
    <s v="Budget"/>
    <x v="0"/>
  </r>
  <r>
    <x v="10"/>
    <x v="401"/>
    <x v="5"/>
    <x v="4"/>
    <x v="2"/>
    <n v="3.9"/>
    <n v="5999"/>
    <n v="5999"/>
    <n v="0"/>
    <n v="0"/>
    <n v="0.6501083513918986"/>
    <s v="Budget"/>
    <x v="1"/>
  </r>
  <r>
    <x v="10"/>
    <x v="410"/>
    <x v="287"/>
    <x v="0"/>
    <x v="1"/>
    <n v="4.3"/>
    <n v="14999"/>
    <n v="24900"/>
    <n v="9901"/>
    <n v="0.39763052208835342"/>
    <n v="0.28668577905193682"/>
    <s v="Budget"/>
    <x v="0"/>
  </r>
  <r>
    <x v="10"/>
    <x v="411"/>
    <x v="4"/>
    <x v="7"/>
    <x v="20"/>
    <n v="4.2"/>
    <n v="1700"/>
    <n v="1700"/>
    <n v="0"/>
    <n v="0"/>
    <n v="2.4705882352941178"/>
    <s v="Budget"/>
    <x v="0"/>
  </r>
  <r>
    <x v="10"/>
    <x v="412"/>
    <x v="30"/>
    <x v="1"/>
    <x v="0"/>
    <n v="4.5"/>
    <n v="70000"/>
    <n v="70000"/>
    <n v="0"/>
    <n v="0"/>
    <n v="6.4285714285714293E-2"/>
    <s v="Premium"/>
    <x v="0"/>
  </r>
  <r>
    <x v="10"/>
    <x v="413"/>
    <x v="4"/>
    <x v="7"/>
    <x v="10"/>
    <n v="4.0999999999999996"/>
    <n v="2599"/>
    <n v="2599"/>
    <n v="0"/>
    <n v="0"/>
    <n v="1.5775298191612157"/>
    <s v="Budget"/>
    <x v="0"/>
  </r>
  <r>
    <x v="10"/>
    <x v="389"/>
    <x v="171"/>
    <x v="2"/>
    <x v="2"/>
    <n v="4.2"/>
    <n v="9499"/>
    <n v="10499"/>
    <n v="1000"/>
    <n v="9.5247166396799698E-2"/>
    <n v="0.44215180545320559"/>
    <s v="Budget"/>
    <x v="0"/>
  </r>
  <r>
    <x v="10"/>
    <x v="391"/>
    <x v="4"/>
    <x v="0"/>
    <x v="0"/>
    <n v="4.2"/>
    <n v="15490"/>
    <n v="15490"/>
    <n v="0"/>
    <n v="0"/>
    <n v="0.27114267269205938"/>
    <s v="Mid Range"/>
    <x v="0"/>
  </r>
  <r>
    <x v="10"/>
    <x v="414"/>
    <x v="57"/>
    <x v="0"/>
    <x v="0"/>
    <n v="4.3"/>
    <n v="13999"/>
    <n v="14999"/>
    <n v="1000"/>
    <n v="6.6671111407427167E-2"/>
    <n v="0.30716479748553466"/>
    <s v="Budget"/>
    <x v="0"/>
  </r>
  <r>
    <x v="10"/>
    <x v="385"/>
    <x v="268"/>
    <x v="1"/>
    <x v="1"/>
    <n v="4.3"/>
    <n v="17888"/>
    <n v="17888"/>
    <n v="0"/>
    <n v="0"/>
    <n v="0.24038461538461536"/>
    <s v="Mid Range"/>
    <x v="0"/>
  </r>
  <r>
    <x v="10"/>
    <x v="415"/>
    <x v="5"/>
    <x v="0"/>
    <x v="0"/>
    <n v="4.4000000000000004"/>
    <n v="25600"/>
    <n v="25600"/>
    <n v="0"/>
    <n v="0"/>
    <n v="0.17187500000000003"/>
    <s v="Mid Range"/>
    <x v="0"/>
  </r>
  <r>
    <x v="10"/>
    <x v="416"/>
    <x v="57"/>
    <x v="8"/>
    <x v="5"/>
    <n v="4.2"/>
    <n v="8490"/>
    <n v="8490"/>
    <n v="0"/>
    <n v="0"/>
    <n v="0.4946996466431095"/>
    <s v="Budget"/>
    <x v="0"/>
  </r>
  <r>
    <x v="10"/>
    <x v="379"/>
    <x v="4"/>
    <x v="1"/>
    <x v="1"/>
    <n v="4.2"/>
    <n v="13984"/>
    <n v="15499"/>
    <n v="1515"/>
    <n v="9.7748241822053036E-2"/>
    <n v="0.30034324942791762"/>
    <s v="Budget"/>
    <x v="0"/>
  </r>
  <r>
    <x v="10"/>
    <x v="394"/>
    <x v="270"/>
    <x v="1"/>
    <x v="1"/>
    <n v="4.3"/>
    <n v="35999"/>
    <n v="38999"/>
    <n v="3000"/>
    <n v="7.692504936024E-2"/>
    <n v="0.11944776243784549"/>
    <s v="Mid Range"/>
    <x v="0"/>
  </r>
  <r>
    <x v="10"/>
    <x v="389"/>
    <x v="288"/>
    <x v="2"/>
    <x v="2"/>
    <n v="4.2"/>
    <n v="9499"/>
    <n v="10499"/>
    <n v="1000"/>
    <n v="9.5247166396799698E-2"/>
    <n v="0.44215180545320559"/>
    <s v="Budget"/>
    <x v="0"/>
  </r>
  <r>
    <x v="10"/>
    <x v="417"/>
    <x v="4"/>
    <x v="1"/>
    <x v="1"/>
    <n v="4.3"/>
    <n v="30900"/>
    <n v="30900"/>
    <n v="0"/>
    <n v="0"/>
    <n v="0.13915857605177995"/>
    <s v="Mid Range"/>
    <x v="0"/>
  </r>
  <r>
    <x v="10"/>
    <x v="377"/>
    <x v="4"/>
    <x v="1"/>
    <x v="1"/>
    <n v="4.3"/>
    <n v="17575"/>
    <n v="19499"/>
    <n v="1924"/>
    <n v="9.8671726755218223E-2"/>
    <n v="0.2446657183499289"/>
    <s v="Mid Range"/>
    <x v="0"/>
  </r>
  <r>
    <x v="10"/>
    <x v="403"/>
    <x v="289"/>
    <x v="3"/>
    <x v="3"/>
    <n v="4.3"/>
    <n v="54599"/>
    <n v="79997"/>
    <n v="25398"/>
    <n v="0.31748690575896599"/>
    <n v="7.8756021172548943E-2"/>
    <s v="Premium"/>
    <x v="0"/>
  </r>
  <r>
    <x v="10"/>
    <x v="388"/>
    <x v="75"/>
    <x v="0"/>
    <x v="0"/>
    <n v="4.2"/>
    <n v="12499"/>
    <n v="14499"/>
    <n v="2000"/>
    <n v="0.13794054762397406"/>
    <n v="0.33602688215057208"/>
    <s v="Budget"/>
    <x v="0"/>
  </r>
  <r>
    <x v="10"/>
    <x v="410"/>
    <x v="290"/>
    <x v="0"/>
    <x v="1"/>
    <n v="4.3"/>
    <n v="14999"/>
    <n v="24900"/>
    <n v="9901"/>
    <n v="0.39763052208835342"/>
    <n v="0.28668577905193682"/>
    <s v="Budget"/>
    <x v="0"/>
  </r>
  <r>
    <x v="10"/>
    <x v="382"/>
    <x v="75"/>
    <x v="1"/>
    <x v="0"/>
    <n v="4.2"/>
    <n v="19999"/>
    <n v="19999"/>
    <n v="0"/>
    <n v="0"/>
    <n v="0.21001050052502626"/>
    <s v="Mid Range"/>
    <x v="0"/>
  </r>
  <r>
    <x v="10"/>
    <x v="413"/>
    <x v="4"/>
    <x v="12"/>
    <x v="10"/>
    <n v="4.2"/>
    <n v="2336"/>
    <n v="2336"/>
    <n v="0"/>
    <n v="0"/>
    <n v="1.797945205479452"/>
    <s v="Budget"/>
    <x v="0"/>
  </r>
  <r>
    <x v="10"/>
    <x v="418"/>
    <x v="290"/>
    <x v="1"/>
    <x v="1"/>
    <n v="4.3"/>
    <n v="18999"/>
    <n v="18999"/>
    <n v="0"/>
    <n v="0"/>
    <n v="0.22632770145797146"/>
    <s v="Mid Range"/>
    <x v="0"/>
  </r>
  <r>
    <x v="10"/>
    <x v="382"/>
    <x v="75"/>
    <x v="0"/>
    <x v="0"/>
    <n v="4.2"/>
    <n v="17999"/>
    <n v="17999"/>
    <n v="0"/>
    <n v="0"/>
    <n v="0.23334629701650095"/>
    <s v="Mid Range"/>
    <x v="0"/>
  </r>
  <r>
    <x v="10"/>
    <x v="398"/>
    <x v="277"/>
    <x v="1"/>
    <x v="1"/>
    <n v="4.3"/>
    <n v="27810"/>
    <n v="27810"/>
    <n v="0"/>
    <n v="0"/>
    <n v="0.15462064005753326"/>
    <s v="Mid Range"/>
    <x v="0"/>
  </r>
  <r>
    <x v="10"/>
    <x v="395"/>
    <x v="286"/>
    <x v="0"/>
    <x v="0"/>
    <n v="4.3"/>
    <n v="12499"/>
    <n v="12800"/>
    <n v="301"/>
    <n v="2.3515624999999998E-2"/>
    <n v="0.34402752220177613"/>
    <s v="Budget"/>
    <x v="0"/>
  </r>
  <r>
    <x v="10"/>
    <x v="413"/>
    <x v="4"/>
    <x v="12"/>
    <x v="10"/>
    <n v="4.2"/>
    <n v="2299"/>
    <n v="2299"/>
    <n v="0"/>
    <n v="0"/>
    <n v="1.8268812527185734"/>
    <s v="Budget"/>
    <x v="0"/>
  </r>
  <r>
    <x v="10"/>
    <x v="419"/>
    <x v="4"/>
    <x v="1"/>
    <x v="1"/>
    <n v="4.2"/>
    <n v="14859"/>
    <n v="15663"/>
    <n v="804"/>
    <n v="5.1331162612526335E-2"/>
    <n v="0.2826569755703614"/>
    <s v="Budget"/>
    <x v="0"/>
  </r>
  <r>
    <x v="10"/>
    <x v="388"/>
    <x v="5"/>
    <x v="2"/>
    <x v="2"/>
    <n v="4"/>
    <n v="11499"/>
    <n v="13499"/>
    <n v="2000"/>
    <n v="0.14815912289799243"/>
    <n v="0.34785633533350729"/>
    <s v="Budget"/>
    <x v="1"/>
  </r>
  <r>
    <x v="10"/>
    <x v="401"/>
    <x v="5"/>
    <x v="6"/>
    <x v="4"/>
    <n v="3.9"/>
    <n v="4999"/>
    <n v="4999"/>
    <n v="0"/>
    <n v="0"/>
    <n v="0.78015603120624122"/>
    <s v="Budget"/>
    <x v="1"/>
  </r>
  <r>
    <x v="10"/>
    <x v="376"/>
    <x v="75"/>
    <x v="0"/>
    <x v="0"/>
    <n v="4.2"/>
    <n v="13999"/>
    <n v="13999"/>
    <n v="0"/>
    <n v="0"/>
    <n v="0.30002143010215016"/>
    <s v="Budget"/>
    <x v="0"/>
  </r>
  <r>
    <x v="10"/>
    <x v="407"/>
    <x v="273"/>
    <x v="5"/>
    <x v="3"/>
    <n v="4.4000000000000004"/>
    <n v="149999"/>
    <n v="171999"/>
    <n v="22000"/>
    <n v="0.12790772039372322"/>
    <n v="2.9333528890192601E-2"/>
    <s v="Premium"/>
    <x v="0"/>
  </r>
  <r>
    <x v="10"/>
    <x v="413"/>
    <x v="4"/>
    <x v="18"/>
    <x v="10"/>
    <n v="4.0999999999999996"/>
    <n v="2399"/>
    <n v="2399"/>
    <n v="0"/>
    <n v="0"/>
    <n v="1.7090454355981657"/>
    <s v="Budget"/>
    <x v="0"/>
  </r>
  <r>
    <x v="10"/>
    <x v="415"/>
    <x v="57"/>
    <x v="0"/>
    <x v="0"/>
    <n v="4.4000000000000004"/>
    <n v="25999"/>
    <n v="25999"/>
    <n v="0"/>
    <n v="0"/>
    <n v="0.16923727835685989"/>
    <s v="Mid Range"/>
    <x v="0"/>
  </r>
  <r>
    <x v="10"/>
    <x v="416"/>
    <x v="4"/>
    <x v="8"/>
    <x v="5"/>
    <n v="4.2"/>
    <n v="8490"/>
    <n v="8490"/>
    <n v="0"/>
    <n v="0"/>
    <n v="0.4946996466431095"/>
    <s v="Budget"/>
    <x v="0"/>
  </r>
  <r>
    <x v="10"/>
    <x v="388"/>
    <x v="75"/>
    <x v="2"/>
    <x v="2"/>
    <n v="4"/>
    <n v="11499"/>
    <n v="13499"/>
    <n v="2000"/>
    <n v="0.14815912289799243"/>
    <n v="0.34785633533350729"/>
    <s v="Budget"/>
    <x v="1"/>
  </r>
  <r>
    <x v="10"/>
    <x v="413"/>
    <x v="4"/>
    <x v="12"/>
    <x v="10"/>
    <n v="4.2"/>
    <n v="2282"/>
    <n v="2282"/>
    <n v="0"/>
    <n v="0"/>
    <n v="1.8404907975460123"/>
    <s v="Budget"/>
    <x v="0"/>
  </r>
  <r>
    <x v="10"/>
    <x v="420"/>
    <x v="281"/>
    <x v="5"/>
    <x v="3"/>
    <n v="4.5"/>
    <n v="91999"/>
    <n v="116000"/>
    <n v="24001"/>
    <n v="0.20690517241379311"/>
    <n v="4.8913575147555947E-2"/>
    <s v="Premium"/>
    <x v="0"/>
  </r>
  <r>
    <x v="10"/>
    <x v="421"/>
    <x v="271"/>
    <x v="2"/>
    <x v="2"/>
    <n v="4.2"/>
    <n v="10999"/>
    <n v="10999"/>
    <n v="0"/>
    <n v="0"/>
    <n v="0.38185289571779252"/>
    <s v="Budget"/>
    <x v="0"/>
  </r>
  <r>
    <x v="10"/>
    <x v="422"/>
    <x v="4"/>
    <x v="13"/>
    <x v="14"/>
    <n v="4.0999999999999996"/>
    <n v="3013"/>
    <n v="3013"/>
    <n v="0"/>
    <n v="0"/>
    <n v="1.3607699966810487"/>
    <s v="Budget"/>
    <x v="0"/>
  </r>
  <r>
    <x v="10"/>
    <x v="423"/>
    <x v="4"/>
    <x v="0"/>
    <x v="0"/>
    <n v="4.3"/>
    <n v="14900"/>
    <n v="14900"/>
    <n v="0"/>
    <n v="0"/>
    <n v="0.28859060402684561"/>
    <s v="Budget"/>
    <x v="0"/>
  </r>
  <r>
    <x v="10"/>
    <x v="424"/>
    <x v="57"/>
    <x v="2"/>
    <x v="2"/>
    <n v="4.2"/>
    <n v="16879"/>
    <n v="16879"/>
    <n v="0"/>
    <n v="0"/>
    <n v="0.24882990698501098"/>
    <s v="Mid Range"/>
    <x v="0"/>
  </r>
  <r>
    <x v="10"/>
    <x v="403"/>
    <x v="291"/>
    <x v="3"/>
    <x v="3"/>
    <n v="4.3"/>
    <n v="77999"/>
    <n v="86000"/>
    <n v="8001"/>
    <n v="9.3034883720930231E-2"/>
    <n v="5.512891190912704E-2"/>
    <s v="Premium"/>
    <x v="0"/>
  </r>
  <r>
    <x v="10"/>
    <x v="425"/>
    <x v="292"/>
    <x v="3"/>
    <x v="1"/>
    <n v="4"/>
    <n v="49999"/>
    <n v="65999"/>
    <n v="16000"/>
    <n v="0.2424279155744784"/>
    <n v="8.0001600032000644E-2"/>
    <s v="Mid Range"/>
    <x v="1"/>
  </r>
  <r>
    <x v="10"/>
    <x v="426"/>
    <x v="290"/>
    <x v="0"/>
    <x v="1"/>
    <n v="4.3"/>
    <n v="18199"/>
    <n v="18199"/>
    <n v="0"/>
    <n v="0"/>
    <n v="0.23627671850101653"/>
    <s v="Mid Range"/>
    <x v="0"/>
  </r>
  <r>
    <x v="10"/>
    <x v="425"/>
    <x v="293"/>
    <x v="3"/>
    <x v="1"/>
    <n v="4"/>
    <n v="49999"/>
    <n v="65999"/>
    <n v="16000"/>
    <n v="0.2424279155744784"/>
    <n v="8.0001600032000644E-2"/>
    <s v="Mid Range"/>
    <x v="1"/>
  </r>
  <r>
    <x v="10"/>
    <x v="427"/>
    <x v="5"/>
    <x v="0"/>
    <x v="0"/>
    <n v="4.4000000000000004"/>
    <n v="17990"/>
    <n v="25379"/>
    <n v="7389"/>
    <n v="0.29114622325544742"/>
    <n v="0.24458032240133409"/>
    <s v="Mid Range"/>
    <x v="0"/>
  </r>
  <r>
    <x v="10"/>
    <x v="428"/>
    <x v="5"/>
    <x v="6"/>
    <x v="5"/>
    <n v="4.2"/>
    <n v="6500"/>
    <n v="6500"/>
    <n v="0"/>
    <n v="0"/>
    <n v="0.64615384615384619"/>
    <s v="Budget"/>
    <x v="0"/>
  </r>
  <r>
    <x v="10"/>
    <x v="429"/>
    <x v="5"/>
    <x v="2"/>
    <x v="2"/>
    <n v="4.4000000000000004"/>
    <n v="12990"/>
    <n v="12990"/>
    <n v="0"/>
    <n v="0"/>
    <n v="0.3387220939183988"/>
    <s v="Budget"/>
    <x v="0"/>
  </r>
  <r>
    <x v="10"/>
    <x v="429"/>
    <x v="57"/>
    <x v="0"/>
    <x v="0"/>
    <n v="4.5"/>
    <n v="14990"/>
    <n v="14990"/>
    <n v="0"/>
    <n v="0"/>
    <n v="0.30020013342228152"/>
    <s v="Budget"/>
    <x v="0"/>
  </r>
  <r>
    <x v="10"/>
    <x v="406"/>
    <x v="294"/>
    <x v="3"/>
    <x v="1"/>
    <n v="4.3"/>
    <n v="30500"/>
    <n v="33100"/>
    <n v="2600"/>
    <n v="7.8549848942598186E-2"/>
    <n v="0.14098360655737704"/>
    <s v="Mid Range"/>
    <x v="0"/>
  </r>
  <r>
    <x v="10"/>
    <x v="422"/>
    <x v="4"/>
    <x v="13"/>
    <x v="14"/>
    <n v="4.0999999999999996"/>
    <n v="3062"/>
    <n v="3062"/>
    <n v="0"/>
    <n v="0"/>
    <n v="1.3389941214892225"/>
    <s v="Budget"/>
    <x v="0"/>
  </r>
  <r>
    <x v="10"/>
    <x v="430"/>
    <x v="3"/>
    <x v="2"/>
    <x v="2"/>
    <n v="4.3"/>
    <n v="12900"/>
    <n v="12900"/>
    <n v="0"/>
    <n v="0"/>
    <n v="0.33333333333333331"/>
    <s v="Budget"/>
    <x v="0"/>
  </r>
  <r>
    <x v="10"/>
    <x v="413"/>
    <x v="4"/>
    <x v="12"/>
    <x v="10"/>
    <n v="4.2"/>
    <n v="2050"/>
    <n v="2050"/>
    <n v="0"/>
    <n v="0"/>
    <n v="2.0487804878048781"/>
    <s v="Budget"/>
    <x v="0"/>
  </r>
  <r>
    <x v="10"/>
    <x v="431"/>
    <x v="4"/>
    <x v="2"/>
    <x v="2"/>
    <n v="4.3"/>
    <n v="11000"/>
    <n v="11000"/>
    <n v="0"/>
    <n v="0"/>
    <n v="0.39090909090909093"/>
    <s v="Budget"/>
    <x v="0"/>
  </r>
  <r>
    <x v="10"/>
    <x v="429"/>
    <x v="4"/>
    <x v="0"/>
    <x v="0"/>
    <n v="4.5"/>
    <n v="14990"/>
    <n v="14990"/>
    <n v="0"/>
    <n v="0"/>
    <n v="0.30020013342228152"/>
    <s v="Budget"/>
    <x v="0"/>
  </r>
  <r>
    <x v="10"/>
    <x v="375"/>
    <x v="5"/>
    <x v="2"/>
    <x v="2"/>
    <n v="4"/>
    <n v="8892"/>
    <n v="8892"/>
    <n v="0"/>
    <n v="0"/>
    <n v="0.44984255510571303"/>
    <s v="Budget"/>
    <x v="1"/>
  </r>
  <r>
    <x v="10"/>
    <x v="432"/>
    <x v="36"/>
    <x v="0"/>
    <x v="0"/>
    <n v="4.3"/>
    <n v="15990"/>
    <n v="15990"/>
    <n v="0"/>
    <n v="0"/>
    <n v="0.26891807379612259"/>
    <s v="Mid Range"/>
    <x v="0"/>
  </r>
  <r>
    <x v="10"/>
    <x v="433"/>
    <x v="57"/>
    <x v="4"/>
    <x v="4"/>
    <n v="4.3"/>
    <n v="7500"/>
    <n v="7500"/>
    <n v="0"/>
    <n v="0"/>
    <n v="0.57333333333333336"/>
    <s v="Budget"/>
    <x v="0"/>
  </r>
  <r>
    <x v="10"/>
    <x v="434"/>
    <x v="4"/>
    <x v="2"/>
    <x v="2"/>
    <n v="4.3"/>
    <n v="14995"/>
    <n v="14995"/>
    <n v="0"/>
    <n v="0"/>
    <n v="0.28676225408469486"/>
    <s v="Budget"/>
    <x v="0"/>
  </r>
  <r>
    <x v="10"/>
    <x v="435"/>
    <x v="295"/>
    <x v="0"/>
    <x v="0"/>
    <n v="4.4000000000000004"/>
    <n v="13995"/>
    <n v="14455"/>
    <n v="460"/>
    <n v="3.1822898650985816E-2"/>
    <n v="0.31439799928545914"/>
    <s v="Budget"/>
    <x v="0"/>
  </r>
  <r>
    <x v="10"/>
    <x v="434"/>
    <x v="57"/>
    <x v="2"/>
    <x v="2"/>
    <n v="4.3"/>
    <n v="12000"/>
    <n v="12000"/>
    <n v="0"/>
    <n v="0"/>
    <n v="0.35833333333333334"/>
    <s v="Budget"/>
    <x v="0"/>
  </r>
  <r>
    <x v="10"/>
    <x v="436"/>
    <x v="296"/>
    <x v="3"/>
    <x v="1"/>
    <n v="4.3"/>
    <n v="29998"/>
    <n v="29998"/>
    <n v="0"/>
    <n v="0"/>
    <n v="0.14334288952596841"/>
    <s v="Mid Range"/>
    <x v="0"/>
  </r>
  <r>
    <x v="10"/>
    <x v="437"/>
    <x v="4"/>
    <x v="0"/>
    <x v="2"/>
    <n v="4.3"/>
    <n v="17962"/>
    <n v="17962"/>
    <n v="0"/>
    <n v="0"/>
    <n v="0.23939427680659167"/>
    <s v="Mid Range"/>
    <x v="0"/>
  </r>
  <r>
    <x v="10"/>
    <x v="437"/>
    <x v="4"/>
    <x v="0"/>
    <x v="2"/>
    <n v="4.3"/>
    <n v="17962"/>
    <n v="17962"/>
    <n v="0"/>
    <n v="0"/>
    <n v="0.23939427680659167"/>
    <s v="Mid Range"/>
    <x v="0"/>
  </r>
  <r>
    <x v="10"/>
    <x v="433"/>
    <x v="4"/>
    <x v="4"/>
    <x v="4"/>
    <n v="4.3"/>
    <n v="7999"/>
    <n v="7999"/>
    <n v="0"/>
    <n v="0"/>
    <n v="0.53756719589948743"/>
    <s v="Budget"/>
    <x v="0"/>
  </r>
  <r>
    <x v="10"/>
    <x v="430"/>
    <x v="4"/>
    <x v="2"/>
    <x v="2"/>
    <n v="4.3"/>
    <n v="11490"/>
    <n v="12900"/>
    <n v="1410"/>
    <n v="0.10930232558139535"/>
    <n v="0.37423846823324625"/>
    <s v="Budget"/>
    <x v="0"/>
  </r>
  <r>
    <x v="10"/>
    <x v="428"/>
    <x v="4"/>
    <x v="6"/>
    <x v="5"/>
    <n v="4.2"/>
    <n v="6500"/>
    <n v="6500"/>
    <n v="0"/>
    <n v="0"/>
    <n v="0.64615384615384619"/>
    <s v="Budget"/>
    <x v="0"/>
  </r>
  <r>
    <x v="10"/>
    <x v="438"/>
    <x v="297"/>
    <x v="3"/>
    <x v="1"/>
    <n v="4.3"/>
    <n v="30990"/>
    <n v="30990"/>
    <n v="0"/>
    <n v="0"/>
    <n v="0.13875443691513392"/>
    <s v="Mid Range"/>
    <x v="0"/>
  </r>
  <r>
    <x v="10"/>
    <x v="376"/>
    <x v="5"/>
    <x v="1"/>
    <x v="1"/>
    <n v="3.9"/>
    <n v="16499"/>
    <n v="17999"/>
    <n v="1500"/>
    <n v="8.3337963220178904E-2"/>
    <n v="0.23637796230074551"/>
    <s v="Mid Range"/>
    <x v="1"/>
  </r>
  <r>
    <x v="10"/>
    <x v="439"/>
    <x v="4"/>
    <x v="0"/>
    <x v="0"/>
    <n v="4.3"/>
    <n v="14000"/>
    <n v="14000"/>
    <n v="0"/>
    <n v="0"/>
    <n v="0.30714285714285711"/>
    <s v="Budget"/>
    <x v="0"/>
  </r>
  <r>
    <x v="10"/>
    <x v="439"/>
    <x v="5"/>
    <x v="0"/>
    <x v="0"/>
    <n v="4.3"/>
    <n v="13600"/>
    <n v="13600"/>
    <n v="0"/>
    <n v="0"/>
    <n v="0.31617647058823528"/>
    <s v="Budget"/>
    <x v="0"/>
  </r>
  <r>
    <x v="10"/>
    <x v="384"/>
    <x v="4"/>
    <x v="19"/>
    <x v="10"/>
    <n v="4.3"/>
    <n v="2290"/>
    <n v="2290"/>
    <n v="0"/>
    <n v="0"/>
    <n v="1.8777292576419213"/>
    <s v="Budget"/>
    <x v="0"/>
  </r>
  <r>
    <x v="10"/>
    <x v="440"/>
    <x v="281"/>
    <x v="5"/>
    <x v="3"/>
    <n v="3"/>
    <n v="149999"/>
    <n v="189999"/>
    <n v="40000"/>
    <n v="0.21052742382854647"/>
    <n v="2.000013333422223E-2"/>
    <s v="Premium"/>
    <x v="3"/>
  </r>
  <r>
    <x v="10"/>
    <x v="401"/>
    <x v="4"/>
    <x v="6"/>
    <x v="4"/>
    <n v="3.9"/>
    <n v="4999"/>
    <n v="4999"/>
    <n v="0"/>
    <n v="0"/>
    <n v="0.78015603120624122"/>
    <s v="Budget"/>
    <x v="1"/>
  </r>
  <r>
    <x v="10"/>
    <x v="441"/>
    <x v="75"/>
    <x v="4"/>
    <x v="4"/>
    <n v="4.3"/>
    <n v="15299"/>
    <n v="15585"/>
    <n v="286"/>
    <n v="1.8350978504972731E-2"/>
    <n v="0.28106412183802865"/>
    <s v="Mid Range"/>
    <x v="0"/>
  </r>
  <r>
    <x v="10"/>
    <x v="442"/>
    <x v="298"/>
    <x v="5"/>
    <x v="1"/>
    <n v="4.2"/>
    <n v="103000"/>
    <n v="103000"/>
    <n v="0"/>
    <n v="0"/>
    <n v="4.0776699029126215E-2"/>
    <s v="Premium"/>
    <x v="0"/>
  </r>
  <r>
    <x v="10"/>
    <x v="430"/>
    <x v="57"/>
    <x v="2"/>
    <x v="2"/>
    <n v="4.3"/>
    <n v="12900"/>
    <n v="12900"/>
    <n v="0"/>
    <n v="0"/>
    <n v="0.33333333333333331"/>
    <s v="Budget"/>
    <x v="0"/>
  </r>
  <r>
    <x v="10"/>
    <x v="420"/>
    <x v="170"/>
    <x v="5"/>
    <x v="3"/>
    <n v="4.5"/>
    <n v="91999"/>
    <n v="116000"/>
    <n v="24001"/>
    <n v="0.20690517241379311"/>
    <n v="4.8913575147555947E-2"/>
    <s v="Premium"/>
    <x v="0"/>
  </r>
  <r>
    <x v="10"/>
    <x v="443"/>
    <x v="87"/>
    <x v="3"/>
    <x v="7"/>
    <n v="4.5999999999999996"/>
    <n v="59999"/>
    <n v="59999"/>
    <n v="0"/>
    <n v="0"/>
    <n v="7.6667944465741086E-2"/>
    <s v="Premium"/>
    <x v="2"/>
  </r>
  <r>
    <x v="10"/>
    <x v="444"/>
    <x v="57"/>
    <x v="4"/>
    <x v="2"/>
    <n v="4.3"/>
    <n v="8700"/>
    <n v="8700"/>
    <n v="0"/>
    <n v="0"/>
    <n v="0.49425287356321834"/>
    <s v="Budget"/>
    <x v="0"/>
  </r>
  <r>
    <x v="10"/>
    <x v="445"/>
    <x v="4"/>
    <x v="19"/>
    <x v="10"/>
    <n v="4.0999999999999996"/>
    <n v="2299"/>
    <n v="2299"/>
    <n v="0"/>
    <n v="0"/>
    <n v="1.7833840800347975"/>
    <s v="Budget"/>
    <x v="0"/>
  </r>
  <r>
    <x v="10"/>
    <x v="428"/>
    <x v="57"/>
    <x v="6"/>
    <x v="5"/>
    <n v="4.2"/>
    <n v="6200"/>
    <n v="6200"/>
    <n v="0"/>
    <n v="0"/>
    <n v="0.67741935483870974"/>
    <s v="Budget"/>
    <x v="0"/>
  </r>
  <r>
    <x v="10"/>
    <x v="446"/>
    <x v="299"/>
    <x v="1"/>
    <x v="1"/>
    <n v="4.0999999999999996"/>
    <n v="19999"/>
    <n v="19999"/>
    <n v="0"/>
    <n v="0"/>
    <n v="0.20501025051252561"/>
    <s v="Mid Range"/>
    <x v="0"/>
  </r>
  <r>
    <x v="10"/>
    <x v="447"/>
    <x v="75"/>
    <x v="6"/>
    <x v="5"/>
    <n v="4.0999999999999996"/>
    <n v="6799"/>
    <n v="6799"/>
    <n v="0"/>
    <n v="0"/>
    <n v="0.60302985733196057"/>
    <s v="Budget"/>
    <x v="0"/>
  </r>
  <r>
    <x v="10"/>
    <x v="448"/>
    <x v="75"/>
    <x v="1"/>
    <x v="0"/>
    <n v="4.4000000000000004"/>
    <n v="24000"/>
    <n v="24000"/>
    <n v="0"/>
    <n v="0"/>
    <n v="0.18333333333333335"/>
    <s v="Mid Range"/>
    <x v="0"/>
  </r>
  <r>
    <x v="10"/>
    <x v="449"/>
    <x v="4"/>
    <x v="13"/>
    <x v="10"/>
    <n v="4"/>
    <n v="3000"/>
    <n v="3000"/>
    <n v="0"/>
    <n v="0"/>
    <n v="1.3333333333333333"/>
    <s v="Budget"/>
    <x v="1"/>
  </r>
  <r>
    <x v="10"/>
    <x v="448"/>
    <x v="5"/>
    <x v="1"/>
    <x v="0"/>
    <n v="4.4000000000000004"/>
    <n v="21990"/>
    <n v="21990"/>
    <n v="0"/>
    <n v="0"/>
    <n v="0.20009095043201458"/>
    <s v="Mid Range"/>
    <x v="0"/>
  </r>
  <r>
    <x v="10"/>
    <x v="450"/>
    <x v="300"/>
    <x v="6"/>
    <x v="5"/>
    <n v="4.2"/>
    <n v="6000"/>
    <n v="6000"/>
    <n v="0"/>
    <n v="0"/>
    <n v="0.7"/>
    <s v="Budget"/>
    <x v="0"/>
  </r>
  <r>
    <x v="10"/>
    <x v="434"/>
    <x v="57"/>
    <x v="4"/>
    <x v="4"/>
    <n v="4.4000000000000004"/>
    <n v="10995"/>
    <n v="10995"/>
    <n v="0"/>
    <n v="0"/>
    <n v="0.40018190086402916"/>
    <s v="Budget"/>
    <x v="0"/>
  </r>
  <r>
    <x v="10"/>
    <x v="451"/>
    <x v="57"/>
    <x v="8"/>
    <x v="5"/>
    <n v="4.0999999999999996"/>
    <n v="15999"/>
    <n v="16740"/>
    <n v="741"/>
    <n v="4.4265232974910397E-2"/>
    <n v="0.25626601662603909"/>
    <s v="Mid Range"/>
    <x v="0"/>
  </r>
  <r>
    <x v="10"/>
    <x v="444"/>
    <x v="39"/>
    <x v="4"/>
    <x v="2"/>
    <n v="4.3"/>
    <n v="8700"/>
    <n v="8700"/>
    <n v="0"/>
    <n v="0"/>
    <n v="0.49425287356321834"/>
    <s v="Budget"/>
    <x v="0"/>
  </r>
  <r>
    <x v="10"/>
    <x v="452"/>
    <x v="301"/>
    <x v="3"/>
    <x v="7"/>
    <n v="4.5999999999999996"/>
    <n v="91900"/>
    <n v="91900"/>
    <n v="0"/>
    <n v="0"/>
    <n v="5.00544069640914E-2"/>
    <s v="Premium"/>
    <x v="2"/>
  </r>
  <r>
    <x v="10"/>
    <x v="453"/>
    <x v="57"/>
    <x v="2"/>
    <x v="2"/>
    <n v="4.2"/>
    <n v="10990"/>
    <n v="10990"/>
    <n v="0"/>
    <n v="0"/>
    <n v="0.38216560509554137"/>
    <s v="Budget"/>
    <x v="0"/>
  </r>
  <r>
    <x v="10"/>
    <x v="414"/>
    <x v="5"/>
    <x v="0"/>
    <x v="0"/>
    <n v="4.3"/>
    <n v="16990"/>
    <n v="16990"/>
    <n v="0"/>
    <n v="0"/>
    <n v="0.25309005297233667"/>
    <s v="Mid Range"/>
    <x v="0"/>
  </r>
  <r>
    <x v="10"/>
    <x v="454"/>
    <x v="5"/>
    <x v="0"/>
    <x v="0"/>
    <n v="4.4000000000000004"/>
    <n v="18000"/>
    <n v="18000"/>
    <n v="0"/>
    <n v="0"/>
    <n v="0.24444444444444449"/>
    <s v="Mid Range"/>
    <x v="0"/>
  </r>
  <r>
    <x v="10"/>
    <x v="453"/>
    <x v="5"/>
    <x v="2"/>
    <x v="2"/>
    <n v="4.2"/>
    <n v="13023"/>
    <n v="13023"/>
    <n v="0"/>
    <n v="0"/>
    <n v="0.322506334945865"/>
    <s v="Budget"/>
    <x v="0"/>
  </r>
  <r>
    <x v="10"/>
    <x v="402"/>
    <x v="264"/>
    <x v="3"/>
    <x v="1"/>
    <n v="4.4000000000000004"/>
    <n v="27999"/>
    <n v="27999"/>
    <n v="0"/>
    <n v="0"/>
    <n v="0.15714846958819959"/>
    <s v="Mid Range"/>
    <x v="0"/>
  </r>
  <r>
    <x v="10"/>
    <x v="414"/>
    <x v="4"/>
    <x v="0"/>
    <x v="0"/>
    <n v="4.3"/>
    <n v="23748"/>
    <n v="23748"/>
    <n v="0"/>
    <n v="0"/>
    <n v="0.18106787940037053"/>
    <s v="Mid Range"/>
    <x v="0"/>
  </r>
  <r>
    <x v="10"/>
    <x v="433"/>
    <x v="119"/>
    <x v="4"/>
    <x v="4"/>
    <n v="4.3"/>
    <n v="6799"/>
    <n v="6799"/>
    <n v="0"/>
    <n v="0"/>
    <n v="0.6324459479335196"/>
    <s v="Budget"/>
    <x v="0"/>
  </r>
  <r>
    <x v="10"/>
    <x v="444"/>
    <x v="5"/>
    <x v="4"/>
    <x v="2"/>
    <n v="4.3"/>
    <n v="7990"/>
    <n v="8700"/>
    <n v="710"/>
    <n v="8.1609195402298856E-2"/>
    <n v="0.53817271589486848"/>
    <s v="Budget"/>
    <x v="0"/>
  </r>
  <r>
    <x v="10"/>
    <x v="452"/>
    <x v="302"/>
    <x v="5"/>
    <x v="21"/>
    <n v="4.5"/>
    <n v="117990"/>
    <n v="117990"/>
    <n v="0"/>
    <n v="0"/>
    <n v="3.8138825324180017E-2"/>
    <s v="Premium"/>
    <x v="0"/>
  </r>
  <r>
    <x v="10"/>
    <x v="453"/>
    <x v="57"/>
    <x v="4"/>
    <x v="4"/>
    <n v="4.3"/>
    <n v="9500"/>
    <n v="9500"/>
    <n v="0"/>
    <n v="0"/>
    <n v="0.45263157894736838"/>
    <s v="Budget"/>
    <x v="0"/>
  </r>
  <r>
    <x v="10"/>
    <x v="455"/>
    <x v="57"/>
    <x v="4"/>
    <x v="4"/>
    <n v="4"/>
    <n v="14500"/>
    <n v="14500"/>
    <n v="0"/>
    <n v="0"/>
    <n v="0.27586206896551724"/>
    <s v="Budget"/>
    <x v="1"/>
  </r>
  <r>
    <x v="10"/>
    <x v="437"/>
    <x v="57"/>
    <x v="0"/>
    <x v="2"/>
    <n v="4.3"/>
    <n v="17889"/>
    <n v="17889"/>
    <n v="0"/>
    <n v="0"/>
    <n v="0.24037117781877132"/>
    <s v="Mid Range"/>
    <x v="0"/>
  </r>
  <r>
    <x v="10"/>
    <x v="387"/>
    <x v="4"/>
    <x v="2"/>
    <x v="2"/>
    <n v="4.2"/>
    <n v="8780"/>
    <n v="8780"/>
    <n v="0"/>
    <n v="0"/>
    <n v="0.4783599088838269"/>
    <s v="Budget"/>
    <x v="0"/>
  </r>
  <r>
    <x v="10"/>
    <x v="456"/>
    <x v="303"/>
    <x v="2"/>
    <x v="2"/>
    <n v="4"/>
    <n v="44900"/>
    <n v="44900"/>
    <n v="0"/>
    <n v="0"/>
    <n v="8.9086859688195991E-2"/>
    <s v="Mid Range"/>
    <x v="1"/>
  </r>
  <r>
    <x v="10"/>
    <x v="375"/>
    <x v="39"/>
    <x v="2"/>
    <x v="2"/>
    <n v="4"/>
    <n v="8083"/>
    <n v="8188"/>
    <n v="105"/>
    <n v="1.2823644357596482E-2"/>
    <n v="0.49486576766052209"/>
    <s v="Budget"/>
    <x v="1"/>
  </r>
  <r>
    <x v="10"/>
    <x v="375"/>
    <x v="39"/>
    <x v="4"/>
    <x v="2"/>
    <n v="4"/>
    <n v="7900"/>
    <n v="7900"/>
    <n v="0"/>
    <n v="0"/>
    <n v="0.50632911392405067"/>
    <s v="Budget"/>
    <x v="1"/>
  </r>
  <r>
    <x v="10"/>
    <x v="431"/>
    <x v="66"/>
    <x v="4"/>
    <x v="2"/>
    <n v="4.4000000000000004"/>
    <n v="9840"/>
    <n v="9840"/>
    <n v="0"/>
    <n v="0"/>
    <n v="0.44715447154471549"/>
    <s v="Budget"/>
    <x v="0"/>
  </r>
  <r>
    <x v="10"/>
    <x v="457"/>
    <x v="273"/>
    <x v="5"/>
    <x v="3"/>
    <n v="4.5"/>
    <n v="105999"/>
    <n v="128999"/>
    <n v="23000"/>
    <n v="0.17829595578260296"/>
    <n v="4.2453230690855576E-2"/>
    <s v="Premium"/>
    <x v="0"/>
  </r>
  <r>
    <x v="10"/>
    <x v="453"/>
    <x v="4"/>
    <x v="2"/>
    <x v="2"/>
    <n v="4.2"/>
    <n v="10990"/>
    <n v="10990"/>
    <n v="0"/>
    <n v="0"/>
    <n v="0.38216560509554137"/>
    <s v="Budget"/>
    <x v="0"/>
  </r>
  <r>
    <x v="10"/>
    <x v="429"/>
    <x v="57"/>
    <x v="2"/>
    <x v="2"/>
    <n v="4.4000000000000004"/>
    <n v="12990"/>
    <n v="12990"/>
    <n v="0"/>
    <n v="0"/>
    <n v="0.3387220939183988"/>
    <s v="Budget"/>
    <x v="0"/>
  </r>
  <r>
    <x v="10"/>
    <x v="453"/>
    <x v="5"/>
    <x v="4"/>
    <x v="4"/>
    <n v="4.3"/>
    <n v="9500"/>
    <n v="9500"/>
    <n v="0"/>
    <n v="0"/>
    <n v="0.45263157894736838"/>
    <s v="Budget"/>
    <x v="0"/>
  </r>
  <r>
    <x v="10"/>
    <x v="453"/>
    <x v="4"/>
    <x v="4"/>
    <x v="4"/>
    <n v="4.3"/>
    <n v="8990"/>
    <n v="8990"/>
    <n v="0"/>
    <n v="0"/>
    <n v="0.47830923248053392"/>
    <s v="Budget"/>
    <x v="0"/>
  </r>
  <r>
    <x v="10"/>
    <x v="454"/>
    <x v="4"/>
    <x v="0"/>
    <x v="0"/>
    <n v="4.4000000000000004"/>
    <n v="17500"/>
    <n v="17500"/>
    <n v="0"/>
    <n v="0"/>
    <n v="0.25142857142857145"/>
    <s v="Mid Range"/>
    <x v="0"/>
  </r>
  <r>
    <x v="10"/>
    <x v="434"/>
    <x v="4"/>
    <x v="4"/>
    <x v="4"/>
    <n v="4.4000000000000004"/>
    <n v="11995"/>
    <n v="11995"/>
    <n v="0"/>
    <n v="0"/>
    <n v="0.36681950812838687"/>
    <s v="Budget"/>
    <x v="0"/>
  </r>
  <r>
    <x v="10"/>
    <x v="441"/>
    <x v="4"/>
    <x v="4"/>
    <x v="4"/>
    <n v="4.3"/>
    <n v="13800"/>
    <n v="15014"/>
    <n v="1214"/>
    <n v="8.0857865991741038E-2"/>
    <n v="0.31159420289855072"/>
    <s v="Budget"/>
    <x v="0"/>
  </r>
  <r>
    <x v="10"/>
    <x v="456"/>
    <x v="304"/>
    <x v="2"/>
    <x v="2"/>
    <n v="4"/>
    <n v="37299"/>
    <n v="37299"/>
    <n v="0"/>
    <n v="0"/>
    <n v="0.10724148100485267"/>
    <s v="Mid Range"/>
    <x v="1"/>
  </r>
  <r>
    <x v="10"/>
    <x v="458"/>
    <x v="5"/>
    <x v="0"/>
    <x v="0"/>
    <n v="4.4000000000000004"/>
    <n v="18990"/>
    <n v="18990"/>
    <n v="0"/>
    <n v="0"/>
    <n v="0.23170089520800424"/>
    <s v="Mid Range"/>
    <x v="0"/>
  </r>
  <r>
    <x v="10"/>
    <x v="459"/>
    <x v="305"/>
    <x v="2"/>
    <x v="2"/>
    <n v="3.8"/>
    <n v="25900"/>
    <n v="25900"/>
    <n v="0"/>
    <n v="0"/>
    <n v="0.14671814671814673"/>
    <s v="Mid Range"/>
    <x v="1"/>
  </r>
  <r>
    <x v="10"/>
    <x v="415"/>
    <x v="4"/>
    <x v="0"/>
    <x v="0"/>
    <n v="4.4000000000000004"/>
    <n v="21990"/>
    <n v="21990"/>
    <n v="0"/>
    <n v="0"/>
    <n v="0.20009095043201458"/>
    <s v="Mid Range"/>
    <x v="0"/>
  </r>
  <r>
    <x v="10"/>
    <x v="439"/>
    <x v="39"/>
    <x v="0"/>
    <x v="0"/>
    <n v="4.3"/>
    <n v="13600"/>
    <n v="13600"/>
    <n v="0"/>
    <n v="0"/>
    <n v="0.31617647058823528"/>
    <s v="Budget"/>
    <x v="0"/>
  </r>
  <r>
    <x v="10"/>
    <x v="455"/>
    <x v="4"/>
    <x v="2"/>
    <x v="2"/>
    <n v="4.3"/>
    <n v="13500"/>
    <n v="13500"/>
    <n v="0"/>
    <n v="0"/>
    <n v="0.31851851851851848"/>
    <s v="Budget"/>
    <x v="0"/>
  </r>
  <r>
    <x v="10"/>
    <x v="460"/>
    <x v="57"/>
    <x v="4"/>
    <x v="2"/>
    <n v="4.3"/>
    <n v="9499"/>
    <n v="9499"/>
    <n v="0"/>
    <n v="0"/>
    <n v="0.45267922939256761"/>
    <s v="Budget"/>
    <x v="0"/>
  </r>
  <r>
    <x v="10"/>
    <x v="429"/>
    <x v="5"/>
    <x v="0"/>
    <x v="0"/>
    <n v="4.5"/>
    <n v="9490"/>
    <n v="17108"/>
    <n v="7618"/>
    <n v="0.44528875379939209"/>
    <n v="0.4741833508956797"/>
    <s v="Budget"/>
    <x v="0"/>
  </r>
  <r>
    <x v="10"/>
    <x v="461"/>
    <x v="57"/>
    <x v="1"/>
    <x v="0"/>
    <n v="4.2"/>
    <n v="29990"/>
    <n v="29990"/>
    <n v="0"/>
    <n v="0"/>
    <n v="0.14004668222740915"/>
    <s v="Mid Range"/>
    <x v="0"/>
  </r>
  <r>
    <x v="10"/>
    <x v="429"/>
    <x v="4"/>
    <x v="2"/>
    <x v="2"/>
    <n v="4.4000000000000004"/>
    <n v="13500"/>
    <n v="13500"/>
    <n v="0"/>
    <n v="0"/>
    <n v="0.32592592592592595"/>
    <s v="Budget"/>
    <x v="0"/>
  </r>
  <r>
    <x v="10"/>
    <x v="458"/>
    <x v="57"/>
    <x v="0"/>
    <x v="0"/>
    <n v="4.4000000000000004"/>
    <n v="19500"/>
    <n v="19500"/>
    <n v="0"/>
    <n v="0"/>
    <n v="0.22564102564102564"/>
    <s v="Mid Range"/>
    <x v="0"/>
  </r>
  <r>
    <x v="10"/>
    <x v="455"/>
    <x v="4"/>
    <x v="4"/>
    <x v="4"/>
    <n v="4"/>
    <n v="14500"/>
    <n v="14500"/>
    <n v="0"/>
    <n v="0"/>
    <n v="0.27586206896551724"/>
    <s v="Budget"/>
    <x v="1"/>
  </r>
  <r>
    <x v="10"/>
    <x v="458"/>
    <x v="4"/>
    <x v="0"/>
    <x v="0"/>
    <n v="4.4000000000000004"/>
    <n v="19500"/>
    <n v="19500"/>
    <n v="0"/>
    <n v="0"/>
    <n v="0.22564102564102564"/>
    <s v="Mid Range"/>
    <x v="0"/>
  </r>
  <r>
    <x v="10"/>
    <x v="422"/>
    <x v="4"/>
    <x v="20"/>
    <x v="18"/>
    <n v="3.6"/>
    <n v="3200"/>
    <n v="3200"/>
    <n v="0"/>
    <n v="0"/>
    <n v="1.1250000000000002"/>
    <s v="Budget"/>
    <x v="1"/>
  </r>
  <r>
    <x v="10"/>
    <x v="402"/>
    <x v="306"/>
    <x v="3"/>
    <x v="1"/>
    <n v="4.4000000000000004"/>
    <n v="22999"/>
    <n v="22999"/>
    <n v="0"/>
    <n v="0"/>
    <n v="0.19131266576807687"/>
    <s v="Mid Range"/>
    <x v="0"/>
  </r>
  <r>
    <x v="10"/>
    <x v="418"/>
    <x v="272"/>
    <x v="1"/>
    <x v="1"/>
    <n v="4.3"/>
    <n v="16999"/>
    <n v="23999"/>
    <n v="7000"/>
    <n v="0.29167881995083128"/>
    <n v="0.25295605623860223"/>
    <s v="Mid Range"/>
    <x v="0"/>
  </r>
  <r>
    <x v="10"/>
    <x v="389"/>
    <x v="51"/>
    <x v="0"/>
    <x v="0"/>
    <n v="4.2"/>
    <n v="10499"/>
    <n v="11499"/>
    <n v="1000"/>
    <n v="8.696408383337681E-2"/>
    <n v="0.40003809886655872"/>
    <s v="Budget"/>
    <x v="0"/>
  </r>
  <r>
    <x v="10"/>
    <x v="378"/>
    <x v="279"/>
    <x v="3"/>
    <x v="1"/>
    <n v="4.2"/>
    <n v="22450"/>
    <n v="22450"/>
    <n v="0"/>
    <n v="0"/>
    <n v="0.18708240534521159"/>
    <s v="Mid Range"/>
    <x v="0"/>
  </r>
  <r>
    <x v="10"/>
    <x v="393"/>
    <x v="111"/>
    <x v="3"/>
    <x v="1"/>
    <n v="4.3"/>
    <n v="25999"/>
    <n v="31999"/>
    <n v="6000"/>
    <n v="0.18750585955811119"/>
    <n v="0.16539097657602217"/>
    <s v="Mid Range"/>
    <x v="0"/>
  </r>
  <r>
    <x v="10"/>
    <x v="397"/>
    <x v="183"/>
    <x v="1"/>
    <x v="1"/>
    <n v="4.3"/>
    <n v="14499"/>
    <n v="20999"/>
    <n v="6500"/>
    <n v="0.30953854945473597"/>
    <n v="0.29657217739154423"/>
    <s v="Budget"/>
    <x v="0"/>
  </r>
  <r>
    <x v="10"/>
    <x v="462"/>
    <x v="307"/>
    <x v="3"/>
    <x v="1"/>
    <n v="4.4000000000000004"/>
    <n v="28490"/>
    <n v="33450"/>
    <n v="4960"/>
    <n v="0.14828101644245142"/>
    <n v="0.15444015444015444"/>
    <s v="Mid Range"/>
    <x v="0"/>
  </r>
  <r>
    <x v="10"/>
    <x v="397"/>
    <x v="157"/>
    <x v="1"/>
    <x v="1"/>
    <n v="4.3"/>
    <n v="14499"/>
    <n v="20999"/>
    <n v="6500"/>
    <n v="0.30953854945473597"/>
    <n v="0.29657217739154423"/>
    <s v="Budget"/>
    <x v="0"/>
  </r>
  <r>
    <x v="10"/>
    <x v="397"/>
    <x v="183"/>
    <x v="1"/>
    <x v="0"/>
    <n v="4.3"/>
    <n v="15999"/>
    <n v="19999"/>
    <n v="4000"/>
    <n v="0.20001000050002501"/>
    <n v="0.26876679792487029"/>
    <s v="Mid Range"/>
    <x v="0"/>
  </r>
  <r>
    <x v="10"/>
    <x v="374"/>
    <x v="39"/>
    <x v="0"/>
    <x v="0"/>
    <n v="4.0999999999999996"/>
    <n v="9999"/>
    <n v="10490"/>
    <n v="491"/>
    <n v="4.680648236415634E-2"/>
    <n v="0.41004100410041"/>
    <s v="Budget"/>
    <x v="0"/>
  </r>
  <r>
    <x v="10"/>
    <x v="398"/>
    <x v="270"/>
    <x v="3"/>
    <x v="1"/>
    <n v="4.4000000000000004"/>
    <n v="28999"/>
    <n v="31999"/>
    <n v="3000"/>
    <n v="9.3752929779055597E-2"/>
    <n v="0.15172936997827513"/>
    <s v="Mid Range"/>
    <x v="0"/>
  </r>
  <r>
    <x v="10"/>
    <x v="390"/>
    <x v="280"/>
    <x v="3"/>
    <x v="1"/>
    <n v="4.3"/>
    <n v="34999"/>
    <n v="41999"/>
    <n v="7000"/>
    <n v="0.16667063501511942"/>
    <n v="0.1228606531615189"/>
    <s v="Mid Range"/>
    <x v="0"/>
  </r>
  <r>
    <x v="10"/>
    <x v="397"/>
    <x v="308"/>
    <x v="1"/>
    <x v="1"/>
    <n v="4.3"/>
    <n v="14499"/>
    <n v="20999"/>
    <n v="6500"/>
    <n v="0.30953854945473597"/>
    <n v="0.29657217739154423"/>
    <s v="Budget"/>
    <x v="0"/>
  </r>
  <r>
    <x v="10"/>
    <x v="391"/>
    <x v="4"/>
    <x v="1"/>
    <x v="1"/>
    <n v="4.4000000000000004"/>
    <n v="16980"/>
    <n v="18200"/>
    <n v="1220"/>
    <n v="6.7032967032967031E-2"/>
    <n v="0.25912838633686691"/>
    <s v="Mid Range"/>
    <x v="0"/>
  </r>
  <r>
    <x v="10"/>
    <x v="390"/>
    <x v="277"/>
    <x v="3"/>
    <x v="1"/>
    <n v="4.3"/>
    <n v="34999"/>
    <n v="41999"/>
    <n v="7000"/>
    <n v="0.16667063501511942"/>
    <n v="0.1228606531615189"/>
    <s v="Mid Range"/>
    <x v="0"/>
  </r>
  <r>
    <x v="10"/>
    <x v="463"/>
    <x v="75"/>
    <x v="0"/>
    <x v="0"/>
    <n v="4.3"/>
    <n v="14990"/>
    <n v="14990"/>
    <n v="0"/>
    <n v="0"/>
    <n v="0.28685790527018012"/>
    <s v="Budget"/>
    <x v="0"/>
  </r>
  <r>
    <x v="10"/>
    <x v="423"/>
    <x v="5"/>
    <x v="2"/>
    <x v="2"/>
    <n v="4.3"/>
    <n v="11599"/>
    <n v="12900"/>
    <n v="1301"/>
    <n v="0.10085271317829457"/>
    <n v="0.37072161393223552"/>
    <s v="Budget"/>
    <x v="0"/>
  </r>
  <r>
    <x v="10"/>
    <x v="394"/>
    <x v="280"/>
    <x v="1"/>
    <x v="1"/>
    <n v="4.3"/>
    <n v="35999"/>
    <n v="38999"/>
    <n v="3000"/>
    <n v="7.692504936024E-2"/>
    <n v="0.11944776243784549"/>
    <s v="Mid Range"/>
    <x v="0"/>
  </r>
  <r>
    <x v="10"/>
    <x v="378"/>
    <x v="279"/>
    <x v="1"/>
    <x v="1"/>
    <n v="4.3"/>
    <n v="19999"/>
    <n v="22499"/>
    <n v="2500"/>
    <n v="0.11111604960220454"/>
    <n v="0.21501075053752686"/>
    <s v="Mid Range"/>
    <x v="0"/>
  </r>
  <r>
    <x v="10"/>
    <x v="390"/>
    <x v="277"/>
    <x v="3"/>
    <x v="3"/>
    <n v="4.3"/>
    <n v="37999"/>
    <n v="43999"/>
    <n v="6000"/>
    <n v="0.13636673560762744"/>
    <n v="0.11316087265454354"/>
    <s v="Mid Range"/>
    <x v="0"/>
  </r>
  <r>
    <x v="10"/>
    <x v="446"/>
    <x v="36"/>
    <x v="1"/>
    <x v="1"/>
    <n v="4.0999999999999996"/>
    <n v="14300"/>
    <n v="14300"/>
    <n v="0"/>
    <n v="0"/>
    <n v="0.28671328671328672"/>
    <s v="Budget"/>
    <x v="0"/>
  </r>
  <r>
    <x v="10"/>
    <x v="376"/>
    <x v="5"/>
    <x v="0"/>
    <x v="1"/>
    <n v="4.2"/>
    <n v="14999"/>
    <n v="14999"/>
    <n v="0"/>
    <n v="0"/>
    <n v="0.28001866791119412"/>
    <s v="Budget"/>
    <x v="0"/>
  </r>
  <r>
    <x v="10"/>
    <x v="392"/>
    <x v="283"/>
    <x v="1"/>
    <x v="1"/>
    <n v="4.3"/>
    <n v="20999"/>
    <n v="25999"/>
    <n v="5000"/>
    <n v="0.19231508904188624"/>
    <n v="0.204771655793133"/>
    <s v="Mid Range"/>
    <x v="0"/>
  </r>
  <r>
    <x v="10"/>
    <x v="464"/>
    <x v="309"/>
    <x v="4"/>
    <x v="4"/>
    <n v="3.9"/>
    <n v="21999"/>
    <n v="21999"/>
    <n v="0"/>
    <n v="0"/>
    <n v="0.17728078549024953"/>
    <s v="Mid Range"/>
    <x v="1"/>
  </r>
  <r>
    <x v="10"/>
    <x v="374"/>
    <x v="4"/>
    <x v="0"/>
    <x v="0"/>
    <n v="4.0999999999999996"/>
    <n v="11499"/>
    <n v="11499"/>
    <n v="0"/>
    <n v="0"/>
    <n v="0.35655274371684487"/>
    <s v="Budget"/>
    <x v="0"/>
  </r>
  <r>
    <x v="10"/>
    <x v="465"/>
    <x v="4"/>
    <x v="2"/>
    <x v="2"/>
    <n v="4.3"/>
    <n v="14990"/>
    <n v="14990"/>
    <n v="0"/>
    <n v="0"/>
    <n v="0.28685790527018012"/>
    <s v="Budget"/>
    <x v="0"/>
  </r>
  <r>
    <x v="10"/>
    <x v="374"/>
    <x v="39"/>
    <x v="2"/>
    <x v="2"/>
    <n v="4.2"/>
    <n v="8999"/>
    <n v="8999"/>
    <n v="0"/>
    <n v="0"/>
    <n v="0.46671852428047561"/>
    <s v="Budget"/>
    <x v="0"/>
  </r>
  <r>
    <x v="10"/>
    <x v="376"/>
    <x v="4"/>
    <x v="0"/>
    <x v="1"/>
    <n v="4.2"/>
    <n v="14999"/>
    <n v="14999"/>
    <n v="0"/>
    <n v="0"/>
    <n v="0.28001866791119412"/>
    <s v="Budget"/>
    <x v="0"/>
  </r>
  <r>
    <x v="10"/>
    <x v="466"/>
    <x v="273"/>
    <x v="3"/>
    <x v="1"/>
    <n v="4.4000000000000004"/>
    <n v="71999"/>
    <n v="100999"/>
    <n v="29000"/>
    <n v="0.28713155575797777"/>
    <n v="6.111195988833179E-2"/>
    <s v="Premium"/>
    <x v="0"/>
  </r>
  <r>
    <x v="10"/>
    <x v="423"/>
    <x v="66"/>
    <x v="2"/>
    <x v="2"/>
    <n v="4.3"/>
    <n v="11599"/>
    <n v="12900"/>
    <n v="1301"/>
    <n v="0.10085271317829457"/>
    <n v="0.37072161393223552"/>
    <s v="Budget"/>
    <x v="0"/>
  </r>
  <r>
    <x v="10"/>
    <x v="467"/>
    <x v="4"/>
    <x v="13"/>
    <x v="10"/>
    <n v="4.0999999999999996"/>
    <n v="2899"/>
    <n v="2899"/>
    <n v="0"/>
    <n v="0"/>
    <n v="1.4142807864780957"/>
    <s v="Budget"/>
    <x v="0"/>
  </r>
  <r>
    <x v="10"/>
    <x v="393"/>
    <x v="274"/>
    <x v="3"/>
    <x v="1"/>
    <n v="4.3"/>
    <n v="25999"/>
    <n v="31999"/>
    <n v="6000"/>
    <n v="0.18750585955811119"/>
    <n v="0.16539097657602217"/>
    <s v="Mid Range"/>
    <x v="0"/>
  </r>
  <r>
    <x v="10"/>
    <x v="392"/>
    <x v="290"/>
    <x v="1"/>
    <x v="1"/>
    <n v="4.3"/>
    <n v="20999"/>
    <n v="25999"/>
    <n v="5000"/>
    <n v="0.19231508904188624"/>
    <n v="0.204771655793133"/>
    <s v="Mid Range"/>
    <x v="0"/>
  </r>
  <r>
    <x v="10"/>
    <x v="440"/>
    <x v="170"/>
    <x v="5"/>
    <x v="3"/>
    <n v="3"/>
    <n v="149999"/>
    <n v="189999"/>
    <n v="40000"/>
    <n v="0.21052742382854647"/>
    <n v="2.000013333422223E-2"/>
    <s v="Premium"/>
    <x v="3"/>
  </r>
  <r>
    <x v="10"/>
    <x v="438"/>
    <x v="297"/>
    <x v="1"/>
    <x v="1"/>
    <n v="4.4000000000000004"/>
    <n v="19990"/>
    <n v="19990"/>
    <n v="0"/>
    <n v="0"/>
    <n v="0.22011005502751377"/>
    <s v="Mid Range"/>
    <x v="0"/>
  </r>
  <r>
    <x v="10"/>
    <x v="468"/>
    <x v="310"/>
    <x v="3"/>
    <x v="3"/>
    <n v="4.3"/>
    <n v="73999"/>
    <n v="87999"/>
    <n v="14000"/>
    <n v="0.15909271696269275"/>
    <n v="5.8108893363423827E-2"/>
    <s v="Premium"/>
    <x v="0"/>
  </r>
  <r>
    <x v="10"/>
    <x v="376"/>
    <x v="75"/>
    <x v="0"/>
    <x v="1"/>
    <n v="4.2"/>
    <n v="14999"/>
    <n v="14999"/>
    <n v="0"/>
    <n v="0"/>
    <n v="0.28001866791119412"/>
    <s v="Budget"/>
    <x v="0"/>
  </r>
  <r>
    <x v="10"/>
    <x v="404"/>
    <x v="311"/>
    <x v="3"/>
    <x v="1"/>
    <n v="4.3"/>
    <n v="39999"/>
    <n v="45000"/>
    <n v="5001"/>
    <n v="0.11113333333333333"/>
    <n v="0.10750268756718918"/>
    <s v="Mid Range"/>
    <x v="0"/>
  </r>
  <r>
    <x v="10"/>
    <x v="469"/>
    <x v="296"/>
    <x v="1"/>
    <x v="1"/>
    <n v="4.3"/>
    <n v="21450"/>
    <n v="21450"/>
    <n v="0"/>
    <n v="0"/>
    <n v="0.20046620046620048"/>
    <s v="Mid Range"/>
    <x v="0"/>
  </r>
  <r>
    <x v="10"/>
    <x v="427"/>
    <x v="5"/>
    <x v="1"/>
    <x v="1"/>
    <n v="4.4000000000000004"/>
    <n v="24600"/>
    <n v="24600"/>
    <n v="0"/>
    <n v="0"/>
    <n v="0.17886178861788618"/>
    <s v="Mid Range"/>
    <x v="0"/>
  </r>
  <r>
    <x v="10"/>
    <x v="470"/>
    <x v="4"/>
    <x v="0"/>
    <x v="0"/>
    <n v="4.4000000000000004"/>
    <n v="19990"/>
    <n v="19990"/>
    <n v="0"/>
    <n v="0"/>
    <n v="0.22011005502751377"/>
    <s v="Mid Range"/>
    <x v="0"/>
  </r>
  <r>
    <x v="10"/>
    <x v="436"/>
    <x v="312"/>
    <x v="3"/>
    <x v="1"/>
    <n v="4.3"/>
    <n v="24499"/>
    <n v="25900"/>
    <n v="1401"/>
    <n v="5.409266409266409E-2"/>
    <n v="0.17551736805583901"/>
    <s v="Mid Range"/>
    <x v="0"/>
  </r>
  <r>
    <x v="10"/>
    <x v="428"/>
    <x v="57"/>
    <x v="6"/>
    <x v="4"/>
    <n v="4.2"/>
    <n v="6999"/>
    <n v="6999"/>
    <n v="0"/>
    <n v="0"/>
    <n v="0.60008572653236181"/>
    <s v="Budget"/>
    <x v="0"/>
  </r>
  <r>
    <x v="10"/>
    <x v="428"/>
    <x v="4"/>
    <x v="6"/>
    <x v="4"/>
    <n v="4.2"/>
    <n v="6999"/>
    <n v="6999"/>
    <n v="0"/>
    <n v="0"/>
    <n v="0.60008572653236181"/>
    <s v="Budget"/>
    <x v="0"/>
  </r>
  <r>
    <x v="10"/>
    <x v="471"/>
    <x v="313"/>
    <x v="3"/>
    <x v="1"/>
    <n v="4.4000000000000004"/>
    <n v="54999"/>
    <n v="83000"/>
    <n v="28001"/>
    <n v="0.33736144578313254"/>
    <n v="8.0001454571901318E-2"/>
    <s v="Premium"/>
    <x v="0"/>
  </r>
  <r>
    <x v="10"/>
    <x v="472"/>
    <x v="314"/>
    <x v="6"/>
    <x v="4"/>
    <n v="4.2"/>
    <n v="5900"/>
    <n v="5900"/>
    <n v="0"/>
    <n v="0"/>
    <n v="0.71186440677966101"/>
    <s v="Budget"/>
    <x v="0"/>
  </r>
  <r>
    <x v="10"/>
    <x v="473"/>
    <x v="87"/>
    <x v="4"/>
    <x v="4"/>
    <n v="4.3"/>
    <n v="8190"/>
    <n v="8190"/>
    <n v="0"/>
    <n v="0"/>
    <n v="0.52503052503052505"/>
    <s v="Budget"/>
    <x v="0"/>
  </r>
  <r>
    <x v="10"/>
    <x v="474"/>
    <x v="268"/>
    <x v="1"/>
    <x v="1"/>
    <n v="4.3"/>
    <n v="16750"/>
    <n v="16800"/>
    <n v="50"/>
    <n v="2.976190476190476E-3"/>
    <n v="0.25671641791044775"/>
    <s v="Mid Range"/>
    <x v="0"/>
  </r>
  <r>
    <x v="10"/>
    <x v="428"/>
    <x v="5"/>
    <x v="6"/>
    <x v="4"/>
    <n v="4.2"/>
    <n v="6999"/>
    <n v="6999"/>
    <n v="0"/>
    <n v="0"/>
    <n v="0.60008572653236181"/>
    <s v="Budget"/>
    <x v="0"/>
  </r>
  <r>
    <x v="10"/>
    <x v="475"/>
    <x v="315"/>
    <x v="7"/>
    <x v="6"/>
    <n v="3.9"/>
    <n v="4890"/>
    <n v="4890"/>
    <n v="0"/>
    <n v="0"/>
    <n v="0.7975460122699386"/>
    <s v="Budget"/>
    <x v="1"/>
  </r>
  <r>
    <x v="10"/>
    <x v="389"/>
    <x v="288"/>
    <x v="0"/>
    <x v="0"/>
    <n v="4.2"/>
    <n v="10499"/>
    <n v="11499"/>
    <n v="1000"/>
    <n v="8.696408383337681E-2"/>
    <n v="0.40003809886655872"/>
    <s v="Budget"/>
    <x v="0"/>
  </r>
  <r>
    <x v="10"/>
    <x v="476"/>
    <x v="4"/>
    <x v="13"/>
    <x v="10"/>
    <n v="4.2"/>
    <n v="2870"/>
    <n v="2870"/>
    <n v="0"/>
    <n v="0"/>
    <n v="1.4634146341463414"/>
    <s v="Budget"/>
    <x v="0"/>
  </r>
  <r>
    <x v="10"/>
    <x v="460"/>
    <x v="4"/>
    <x v="4"/>
    <x v="2"/>
    <n v="4.3"/>
    <n v="9000"/>
    <n v="9000"/>
    <n v="0"/>
    <n v="0"/>
    <n v="0.47777777777777775"/>
    <s v="Budget"/>
    <x v="0"/>
  </r>
  <r>
    <x v="10"/>
    <x v="431"/>
    <x v="4"/>
    <x v="4"/>
    <x v="2"/>
    <n v="4.4000000000000004"/>
    <n v="10000"/>
    <n v="10000"/>
    <n v="0"/>
    <n v="0"/>
    <n v="0.44"/>
    <s v="Budget"/>
    <x v="0"/>
  </r>
  <r>
    <x v="10"/>
    <x v="422"/>
    <x v="4"/>
    <x v="13"/>
    <x v="14"/>
    <n v="4.0999999999999996"/>
    <n v="2849"/>
    <n v="2849"/>
    <n v="0"/>
    <n v="0"/>
    <n v="1.439101439101439"/>
    <s v="Budget"/>
    <x v="0"/>
  </r>
  <r>
    <x v="10"/>
    <x v="393"/>
    <x v="276"/>
    <x v="3"/>
    <x v="1"/>
    <n v="4.3"/>
    <n v="25999"/>
    <n v="31999"/>
    <n v="6000"/>
    <n v="0.18750585955811119"/>
    <n v="0.16539097657602217"/>
    <s v="Mid Range"/>
    <x v="0"/>
  </r>
  <r>
    <x v="10"/>
    <x v="392"/>
    <x v="294"/>
    <x v="3"/>
    <x v="1"/>
    <n v="4.3"/>
    <n v="22499"/>
    <n v="29999"/>
    <n v="7500"/>
    <n v="0.25000833361112035"/>
    <n v="0.19111960531579181"/>
    <s v="Mid Range"/>
    <x v="0"/>
  </r>
  <r>
    <x v="10"/>
    <x v="401"/>
    <x v="39"/>
    <x v="4"/>
    <x v="2"/>
    <n v="3.9"/>
    <n v="5990"/>
    <n v="5990"/>
    <n v="0"/>
    <n v="0"/>
    <n v="0.65108514190317202"/>
    <s v="Budget"/>
    <x v="1"/>
  </r>
  <r>
    <x v="10"/>
    <x v="431"/>
    <x v="5"/>
    <x v="2"/>
    <x v="2"/>
    <n v="4.3"/>
    <n v="11000"/>
    <n v="11000"/>
    <n v="0"/>
    <n v="0"/>
    <n v="0.39090909090909093"/>
    <s v="Budget"/>
    <x v="0"/>
  </r>
  <r>
    <x v="10"/>
    <x v="443"/>
    <x v="30"/>
    <x v="3"/>
    <x v="7"/>
    <n v="4.5999999999999996"/>
    <n v="49999"/>
    <n v="49999"/>
    <n v="0"/>
    <n v="0"/>
    <n v="9.2001840036800731E-2"/>
    <s v="Mid Range"/>
    <x v="2"/>
  </r>
  <r>
    <x v="10"/>
    <x v="475"/>
    <x v="75"/>
    <x v="7"/>
    <x v="6"/>
    <n v="3.9"/>
    <n v="4890"/>
    <n v="4890"/>
    <n v="0"/>
    <n v="0"/>
    <n v="0.7975460122699386"/>
    <s v="Budget"/>
    <x v="1"/>
  </r>
  <r>
    <x v="10"/>
    <x v="463"/>
    <x v="4"/>
    <x v="1"/>
    <x v="1"/>
    <n v="4.0999999999999996"/>
    <n v="16999"/>
    <n v="16999"/>
    <n v="0"/>
    <n v="0"/>
    <n v="0.24119065827401609"/>
    <s v="Mid Range"/>
    <x v="0"/>
  </r>
  <r>
    <x v="10"/>
    <x v="468"/>
    <x v="316"/>
    <x v="3"/>
    <x v="1"/>
    <n v="4.3"/>
    <n v="69999"/>
    <n v="83999"/>
    <n v="14000"/>
    <n v="0.16666865081727164"/>
    <n v="6.1429448992128453E-2"/>
    <s v="Premium"/>
    <x v="0"/>
  </r>
  <r>
    <x v="10"/>
    <x v="392"/>
    <x v="272"/>
    <x v="1"/>
    <x v="1"/>
    <n v="4.3"/>
    <n v="20999"/>
    <n v="25999"/>
    <n v="5000"/>
    <n v="0.19231508904188624"/>
    <n v="0.204771655793133"/>
    <s v="Mid Range"/>
    <x v="0"/>
  </r>
  <r>
    <x v="10"/>
    <x v="477"/>
    <x v="30"/>
    <x v="0"/>
    <x v="0"/>
    <n v="4.4000000000000004"/>
    <n v="62500"/>
    <n v="62500"/>
    <n v="0"/>
    <n v="0"/>
    <n v="7.0400000000000004E-2"/>
    <s v="Premium"/>
    <x v="0"/>
  </r>
  <r>
    <x v="10"/>
    <x v="478"/>
    <x v="57"/>
    <x v="2"/>
    <x v="4"/>
    <n v="4.0999999999999996"/>
    <n v="17490"/>
    <n v="17490"/>
    <n v="0"/>
    <n v="0"/>
    <n v="0.23441966838193251"/>
    <s v="Mid Range"/>
    <x v="0"/>
  </r>
  <r>
    <x v="10"/>
    <x v="479"/>
    <x v="4"/>
    <x v="11"/>
    <x v="9"/>
    <n v="4.2"/>
    <n v="3271"/>
    <n v="3271"/>
    <n v="0"/>
    <n v="0"/>
    <n v="1.2840110058086212"/>
    <s v="Budget"/>
    <x v="0"/>
  </r>
  <r>
    <x v="10"/>
    <x v="478"/>
    <x v="57"/>
    <x v="2"/>
    <x v="4"/>
    <n v="4.0999999999999996"/>
    <n v="17490"/>
    <n v="17490"/>
    <n v="0"/>
    <n v="0"/>
    <n v="0.23441966838193251"/>
    <s v="Mid Range"/>
    <x v="0"/>
  </r>
  <r>
    <x v="10"/>
    <x v="479"/>
    <x v="4"/>
    <x v="11"/>
    <x v="9"/>
    <n v="4.2"/>
    <n v="3271"/>
    <n v="3271"/>
    <n v="0"/>
    <n v="0"/>
    <n v="1.2840110058086212"/>
    <s v="Budget"/>
    <x v="0"/>
  </r>
  <r>
    <x v="10"/>
    <x v="432"/>
    <x v="285"/>
    <x v="0"/>
    <x v="0"/>
    <n v="4.3"/>
    <n v="13760"/>
    <n v="13760"/>
    <n v="0"/>
    <n v="0"/>
    <n v="0.3125"/>
    <s v="Budget"/>
    <x v="0"/>
  </r>
  <r>
    <x v="10"/>
    <x v="480"/>
    <x v="4"/>
    <x v="6"/>
    <x v="5"/>
    <n v="3.6"/>
    <n v="4790"/>
    <n v="4790"/>
    <n v="0"/>
    <n v="0"/>
    <n v="0.75156576200417535"/>
    <s v="Budget"/>
    <x v="1"/>
  </r>
  <r>
    <x v="10"/>
    <x v="472"/>
    <x v="57"/>
    <x v="6"/>
    <x v="4"/>
    <n v="4.2"/>
    <n v="5900"/>
    <n v="5900"/>
    <n v="0"/>
    <n v="0"/>
    <n v="0.71186440677966101"/>
    <s v="Budget"/>
    <x v="0"/>
  </r>
  <r>
    <x v="10"/>
    <x v="473"/>
    <x v="87"/>
    <x v="2"/>
    <x v="2"/>
    <n v="4.3"/>
    <n v="8690"/>
    <n v="9290"/>
    <n v="600"/>
    <n v="6.4585575888051666E-2"/>
    <n v="0.49482163406214036"/>
    <s v="Budget"/>
    <x v="0"/>
  </r>
  <r>
    <x v="10"/>
    <x v="405"/>
    <x v="272"/>
    <x v="3"/>
    <x v="1"/>
    <n v="4.4000000000000004"/>
    <n v="27499"/>
    <n v="34999"/>
    <n v="7500"/>
    <n v="0.214291836909626"/>
    <n v="0.16000581839339614"/>
    <s v="Mid Range"/>
    <x v="0"/>
  </r>
  <r>
    <x v="10"/>
    <x v="424"/>
    <x v="4"/>
    <x v="2"/>
    <x v="4"/>
    <n v="4.2"/>
    <n v="10990"/>
    <n v="10990"/>
    <n v="0"/>
    <n v="0"/>
    <n v="0.38216560509554137"/>
    <s v="Budget"/>
    <x v="0"/>
  </r>
  <r>
    <x v="10"/>
    <x v="454"/>
    <x v="39"/>
    <x v="0"/>
    <x v="0"/>
    <n v="4.4000000000000004"/>
    <n v="18000"/>
    <n v="18000"/>
    <n v="0"/>
    <n v="0"/>
    <n v="0.24444444444444449"/>
    <s v="Mid Range"/>
    <x v="0"/>
  </r>
  <r>
    <x v="10"/>
    <x v="481"/>
    <x v="317"/>
    <x v="2"/>
    <x v="2"/>
    <n v="4.4000000000000004"/>
    <n v="9100"/>
    <n v="10000"/>
    <n v="900"/>
    <n v="0.09"/>
    <n v="0.48351648351648358"/>
    <s v="Budget"/>
    <x v="0"/>
  </r>
  <r>
    <x v="10"/>
    <x v="438"/>
    <x v="318"/>
    <x v="3"/>
    <x v="1"/>
    <n v="4.3"/>
    <n v="39000"/>
    <n v="39000"/>
    <n v="0"/>
    <n v="0"/>
    <n v="0.11025641025641025"/>
    <s v="Mid Range"/>
    <x v="0"/>
  </r>
  <r>
    <x v="10"/>
    <x v="417"/>
    <x v="5"/>
    <x v="1"/>
    <x v="1"/>
    <n v="4.3"/>
    <n v="30900"/>
    <n v="30900"/>
    <n v="0"/>
    <n v="0"/>
    <n v="0.13915857605177995"/>
    <s v="Mid Range"/>
    <x v="0"/>
  </r>
  <r>
    <x v="10"/>
    <x v="482"/>
    <x v="4"/>
    <x v="7"/>
    <x v="6"/>
    <n v="3.9"/>
    <n v="4988"/>
    <n v="4988"/>
    <n v="0"/>
    <n v="0"/>
    <n v="0.78187650360866079"/>
    <s v="Budget"/>
    <x v="1"/>
  </r>
  <r>
    <x v="10"/>
    <x v="483"/>
    <x v="75"/>
    <x v="9"/>
    <x v="6"/>
    <n v="3.5"/>
    <n v="3990"/>
    <n v="3990"/>
    <n v="0"/>
    <n v="0"/>
    <n v="0.87719298245614041"/>
    <s v="Budget"/>
    <x v="3"/>
  </r>
  <r>
    <x v="10"/>
    <x v="484"/>
    <x v="87"/>
    <x v="0"/>
    <x v="0"/>
    <n v="4.3"/>
    <n v="11999"/>
    <n v="11999"/>
    <n v="0"/>
    <n v="0"/>
    <n v="0.35836319693307778"/>
    <s v="Budget"/>
    <x v="0"/>
  </r>
  <r>
    <x v="10"/>
    <x v="423"/>
    <x v="66"/>
    <x v="0"/>
    <x v="0"/>
    <n v="4.3"/>
    <n v="13695"/>
    <n v="14900"/>
    <n v="1205"/>
    <n v="8.0872483221476513E-2"/>
    <n v="0.31398320554947062"/>
    <s v="Budget"/>
    <x v="0"/>
  </r>
  <r>
    <x v="10"/>
    <x v="454"/>
    <x v="75"/>
    <x v="0"/>
    <x v="0"/>
    <n v="4.4000000000000004"/>
    <n v="18000"/>
    <n v="18000"/>
    <n v="0"/>
    <n v="0"/>
    <n v="0.24444444444444449"/>
    <s v="Mid Range"/>
    <x v="0"/>
  </r>
  <r>
    <x v="10"/>
    <x v="485"/>
    <x v="4"/>
    <x v="8"/>
    <x v="5"/>
    <n v="4.3"/>
    <n v="7990"/>
    <n v="7990"/>
    <n v="0"/>
    <n v="0"/>
    <n v="0.53817271589486848"/>
    <s v="Budget"/>
    <x v="0"/>
  </r>
  <r>
    <x v="10"/>
    <x v="486"/>
    <x v="5"/>
    <x v="0"/>
    <x v="0"/>
    <n v="4.3"/>
    <n v="17600"/>
    <n v="17600"/>
    <n v="0"/>
    <n v="0"/>
    <n v="0.2443181818181818"/>
    <s v="Mid Range"/>
    <x v="0"/>
  </r>
  <r>
    <x v="10"/>
    <x v="485"/>
    <x v="75"/>
    <x v="8"/>
    <x v="5"/>
    <n v="4.3"/>
    <n v="11390"/>
    <n v="11390"/>
    <n v="0"/>
    <n v="0"/>
    <n v="0.37752414398595258"/>
    <s v="Budget"/>
    <x v="0"/>
  </r>
  <r>
    <x v="10"/>
    <x v="392"/>
    <x v="283"/>
    <x v="3"/>
    <x v="1"/>
    <n v="4.3"/>
    <n v="22499"/>
    <n v="29999"/>
    <n v="7500"/>
    <n v="0.25000833361112035"/>
    <n v="0.19111960531579181"/>
    <s v="Mid Range"/>
    <x v="0"/>
  </r>
  <r>
    <x v="10"/>
    <x v="487"/>
    <x v="304"/>
    <x v="0"/>
    <x v="2"/>
    <n v="3.9"/>
    <n v="46900"/>
    <n v="46900"/>
    <n v="0"/>
    <n v="0"/>
    <n v="8.3155650319829424E-2"/>
    <s v="Mid Range"/>
    <x v="1"/>
  </r>
  <r>
    <x v="10"/>
    <x v="447"/>
    <x v="57"/>
    <x v="6"/>
    <x v="5"/>
    <n v="4.0999999999999996"/>
    <n v="7400"/>
    <n v="7400"/>
    <n v="0"/>
    <n v="0"/>
    <n v="0.55405405405405395"/>
    <s v="Budget"/>
    <x v="0"/>
  </r>
  <r>
    <x v="10"/>
    <x v="410"/>
    <x v="294"/>
    <x v="0"/>
    <x v="1"/>
    <n v="4.3"/>
    <n v="14999"/>
    <n v="24900"/>
    <n v="9901"/>
    <n v="0.39763052208835342"/>
    <n v="0.28668577905193682"/>
    <s v="Budget"/>
    <x v="0"/>
  </r>
  <r>
    <x v="10"/>
    <x v="443"/>
    <x v="87"/>
    <x v="1"/>
    <x v="1"/>
    <n v="4.5999999999999996"/>
    <n v="53999"/>
    <n v="73990"/>
    <n v="19991"/>
    <n v="0.27018516015677796"/>
    <n v="8.5186762717828102E-2"/>
    <s v="Premium"/>
    <x v="2"/>
  </r>
  <r>
    <x v="10"/>
    <x v="443"/>
    <x v="319"/>
    <x v="1"/>
    <x v="1"/>
    <n v="4.5999999999999996"/>
    <n v="73600"/>
    <n v="73600"/>
    <n v="0"/>
    <n v="0"/>
    <n v="6.25E-2"/>
    <s v="Premium"/>
    <x v="2"/>
  </r>
  <r>
    <x v="10"/>
    <x v="400"/>
    <x v="278"/>
    <x v="3"/>
    <x v="1"/>
    <n v="4.5999999999999996"/>
    <n v="39999"/>
    <n v="71000"/>
    <n v="31001"/>
    <n v="0.4366338028169014"/>
    <n v="0.11500287507187679"/>
    <s v="Mid Range"/>
    <x v="2"/>
  </r>
  <r>
    <x v="10"/>
    <x v="488"/>
    <x v="320"/>
    <x v="8"/>
    <x v="5"/>
    <n v="3.8"/>
    <n v="20400"/>
    <n v="20400"/>
    <n v="0"/>
    <n v="0"/>
    <n v="0.18627450980392157"/>
    <s v="Mid Range"/>
    <x v="1"/>
  </r>
  <r>
    <x v="10"/>
    <x v="410"/>
    <x v="294"/>
    <x v="1"/>
    <x v="1"/>
    <n v="4.3"/>
    <n v="21099"/>
    <n v="26900"/>
    <n v="5801"/>
    <n v="0.21565055762081783"/>
    <n v="0.20380112801554576"/>
    <s v="Mid Range"/>
    <x v="0"/>
  </r>
  <r>
    <x v="10"/>
    <x v="474"/>
    <x v="285"/>
    <x v="1"/>
    <x v="0"/>
    <n v="4.3"/>
    <n v="18699"/>
    <n v="18699"/>
    <n v="0"/>
    <n v="0"/>
    <n v="0.22995882132734369"/>
    <s v="Mid Range"/>
    <x v="0"/>
  </r>
  <r>
    <x v="10"/>
    <x v="430"/>
    <x v="39"/>
    <x v="2"/>
    <x v="2"/>
    <n v="4.3"/>
    <n v="12900"/>
    <n v="12900"/>
    <n v="0"/>
    <n v="0"/>
    <n v="0.33333333333333331"/>
    <s v="Budget"/>
    <x v="0"/>
  </r>
  <r>
    <x v="10"/>
    <x v="489"/>
    <x v="75"/>
    <x v="0"/>
    <x v="2"/>
    <n v="4.3"/>
    <n v="26900"/>
    <n v="26900"/>
    <n v="0"/>
    <n v="0"/>
    <n v="0.15985130111524162"/>
    <s v="Mid Range"/>
    <x v="0"/>
  </r>
  <r>
    <x v="10"/>
    <x v="465"/>
    <x v="57"/>
    <x v="2"/>
    <x v="2"/>
    <n v="4.3"/>
    <n v="14990"/>
    <n v="14990"/>
    <n v="0"/>
    <n v="0"/>
    <n v="0.28685790527018012"/>
    <s v="Budget"/>
    <x v="0"/>
  </r>
  <r>
    <x v="10"/>
    <x v="473"/>
    <x v="321"/>
    <x v="2"/>
    <x v="2"/>
    <n v="4.3"/>
    <n v="8650"/>
    <n v="9290"/>
    <n v="640"/>
    <n v="6.8891280947255107E-2"/>
    <n v="0.4971098265895954"/>
    <s v="Budget"/>
    <x v="0"/>
  </r>
  <r>
    <x v="10"/>
    <x v="466"/>
    <x v="316"/>
    <x v="3"/>
    <x v="1"/>
    <n v="4.4000000000000004"/>
    <n v="71999"/>
    <n v="100999"/>
    <n v="29000"/>
    <n v="0.28713155575797777"/>
    <n v="6.111195988833179E-2"/>
    <s v="Premium"/>
    <x v="0"/>
  </r>
  <r>
    <x v="10"/>
    <x v="466"/>
    <x v="316"/>
    <x v="3"/>
    <x v="3"/>
    <n v="4.4000000000000004"/>
    <n v="75999"/>
    <n v="104999"/>
    <n v="29000"/>
    <n v="0.27619310660101526"/>
    <n v="5.7895498624981917E-2"/>
    <s v="Premium"/>
    <x v="0"/>
  </r>
  <r>
    <x v="10"/>
    <x v="490"/>
    <x v="4"/>
    <x v="8"/>
    <x v="5"/>
    <n v="4"/>
    <n v="6990"/>
    <n v="6990"/>
    <n v="0"/>
    <n v="0"/>
    <n v="0.57224606580829762"/>
    <s v="Budget"/>
    <x v="1"/>
  </r>
  <r>
    <x v="10"/>
    <x v="443"/>
    <x v="322"/>
    <x v="1"/>
    <x v="1"/>
    <n v="4.5999999999999996"/>
    <n v="73600"/>
    <n v="73600"/>
    <n v="0"/>
    <n v="0"/>
    <n v="6.25E-2"/>
    <s v="Premium"/>
    <x v="2"/>
  </r>
  <r>
    <x v="10"/>
    <x v="456"/>
    <x v="303"/>
    <x v="2"/>
    <x v="2"/>
    <n v="4"/>
    <n v="44900"/>
    <n v="44900"/>
    <n v="0"/>
    <n v="0"/>
    <n v="8.9086859688195991E-2"/>
    <s v="Mid Range"/>
    <x v="1"/>
  </r>
  <r>
    <x v="10"/>
    <x v="437"/>
    <x v="5"/>
    <x v="0"/>
    <x v="2"/>
    <n v="4.3"/>
    <n v="17990"/>
    <n v="17990"/>
    <n v="0"/>
    <n v="0"/>
    <n v="0.23902167871039465"/>
    <s v="Mid Range"/>
    <x v="0"/>
  </r>
  <r>
    <x v="10"/>
    <x v="399"/>
    <x v="280"/>
    <x v="1"/>
    <x v="1"/>
    <n v="4.0999999999999996"/>
    <n v="21999"/>
    <n v="24999"/>
    <n v="3000"/>
    <n v="0.12000480019200768"/>
    <n v="0.18637210782308283"/>
    <s v="Mid Range"/>
    <x v="0"/>
  </r>
  <r>
    <x v="10"/>
    <x v="410"/>
    <x v="290"/>
    <x v="1"/>
    <x v="1"/>
    <n v="4.3"/>
    <n v="21099"/>
    <n v="26900"/>
    <n v="5801"/>
    <n v="0.21565055762081783"/>
    <n v="0.20380112801554576"/>
    <s v="Mid Range"/>
    <x v="0"/>
  </r>
  <r>
    <x v="10"/>
    <x v="468"/>
    <x v="316"/>
    <x v="3"/>
    <x v="3"/>
    <n v="4.3"/>
    <n v="73999"/>
    <n v="87999"/>
    <n v="14000"/>
    <n v="0.15909271696269275"/>
    <n v="5.8108893363423827E-2"/>
    <s v="Premium"/>
    <x v="0"/>
  </r>
  <r>
    <x v="10"/>
    <x v="405"/>
    <x v="323"/>
    <x v="3"/>
    <x v="1"/>
    <n v="4.4000000000000004"/>
    <n v="27499"/>
    <n v="34999"/>
    <n v="7500"/>
    <n v="0.214291836909626"/>
    <n v="0.16000581839339614"/>
    <s v="Mid Range"/>
    <x v="0"/>
  </r>
  <r>
    <x v="10"/>
    <x v="431"/>
    <x v="66"/>
    <x v="4"/>
    <x v="2"/>
    <n v="4.4000000000000004"/>
    <n v="10000"/>
    <n v="10000"/>
    <n v="0"/>
    <n v="0"/>
    <n v="0.44"/>
    <s v="Budget"/>
    <x v="0"/>
  </r>
  <r>
    <x v="10"/>
    <x v="491"/>
    <x v="4"/>
    <x v="4"/>
    <x v="4"/>
    <n v="4.2"/>
    <n v="8200"/>
    <n v="8200"/>
    <n v="0"/>
    <n v="0"/>
    <n v="0.51219512195121952"/>
    <s v="Budget"/>
    <x v="0"/>
  </r>
  <r>
    <x v="10"/>
    <x v="469"/>
    <x v="312"/>
    <x v="1"/>
    <x v="1"/>
    <n v="4.3"/>
    <n v="17000"/>
    <n v="21540"/>
    <n v="4540"/>
    <n v="0.21077065923862581"/>
    <n v="0.25294117647058822"/>
    <s v="Mid Range"/>
    <x v="0"/>
  </r>
  <r>
    <x v="10"/>
    <x v="441"/>
    <x v="57"/>
    <x v="4"/>
    <x v="4"/>
    <n v="4.3"/>
    <n v="13800"/>
    <n v="13800"/>
    <n v="0"/>
    <n v="0"/>
    <n v="0.31159420289855072"/>
    <s v="Budget"/>
    <x v="0"/>
  </r>
  <r>
    <x v="10"/>
    <x v="406"/>
    <x v="290"/>
    <x v="1"/>
    <x v="1"/>
    <n v="4.3"/>
    <n v="17999"/>
    <n v="31000"/>
    <n v="13001"/>
    <n v="0.41938709677419356"/>
    <n v="0.23890216123117949"/>
    <s v="Mid Range"/>
    <x v="0"/>
  </r>
  <r>
    <x v="10"/>
    <x v="492"/>
    <x v="282"/>
    <x v="5"/>
    <x v="7"/>
    <n v="4.5999999999999996"/>
    <n v="95000"/>
    <n v="95000"/>
    <n v="0"/>
    <n v="0"/>
    <n v="4.8421052631578941E-2"/>
    <s v="Premium"/>
    <x v="2"/>
  </r>
  <r>
    <x v="10"/>
    <x v="398"/>
    <x v="280"/>
    <x v="3"/>
    <x v="1"/>
    <n v="4.4000000000000004"/>
    <n v="28999"/>
    <n v="31999"/>
    <n v="3000"/>
    <n v="9.3752929779055597E-2"/>
    <n v="0.15172936997827513"/>
    <s v="Mid Range"/>
    <x v="0"/>
  </r>
  <r>
    <x v="10"/>
    <x v="396"/>
    <x v="324"/>
    <x v="3"/>
    <x v="7"/>
    <n v="4.5"/>
    <n v="45999"/>
    <n v="51000"/>
    <n v="5001"/>
    <n v="9.8058823529411768E-2"/>
    <n v="9.7828213656818624E-2"/>
    <s v="Mid Range"/>
    <x v="0"/>
  </r>
  <r>
    <x v="10"/>
    <x v="426"/>
    <x v="294"/>
    <x v="0"/>
    <x v="0"/>
    <n v="4.3"/>
    <n v="15899"/>
    <n v="18900"/>
    <n v="3001"/>
    <n v="0.15878306878306878"/>
    <n v="0.2704572614629851"/>
    <s v="Mid Range"/>
    <x v="0"/>
  </r>
  <r>
    <x v="10"/>
    <x v="422"/>
    <x v="4"/>
    <x v="13"/>
    <x v="14"/>
    <n v="4.0999999999999996"/>
    <n v="2940"/>
    <n v="2940"/>
    <n v="0"/>
    <n v="0"/>
    <n v="1.3945578231292517"/>
    <s v="Budget"/>
    <x v="0"/>
  </r>
  <r>
    <x v="10"/>
    <x v="493"/>
    <x v="325"/>
    <x v="0"/>
    <x v="0"/>
    <n v="4.5999999999999996"/>
    <n v="49990"/>
    <n v="49990"/>
    <n v="0"/>
    <n v="0"/>
    <n v="9.2018403680736133E-2"/>
    <s v="Mid Range"/>
    <x v="2"/>
  </r>
  <r>
    <x v="10"/>
    <x v="487"/>
    <x v="82"/>
    <x v="0"/>
    <x v="2"/>
    <n v="3.9"/>
    <n v="56999"/>
    <n v="56999"/>
    <n v="0"/>
    <n v="0"/>
    <n v="6.8422253021982848E-2"/>
    <s v="Premium"/>
    <x v="1"/>
  </r>
  <r>
    <x v="10"/>
    <x v="478"/>
    <x v="75"/>
    <x v="2"/>
    <x v="4"/>
    <n v="4.0999999999999996"/>
    <n v="20700"/>
    <n v="20700"/>
    <n v="0"/>
    <n v="0"/>
    <n v="0.19806763285024151"/>
    <s v="Mid Range"/>
    <x v="0"/>
  </r>
  <r>
    <x v="10"/>
    <x v="494"/>
    <x v="57"/>
    <x v="6"/>
    <x v="5"/>
    <n v="3.5"/>
    <n v="6200"/>
    <n v="6200"/>
    <n v="0"/>
    <n v="0"/>
    <n v="0.56451612903225812"/>
    <s v="Budget"/>
    <x v="3"/>
  </r>
  <r>
    <x v="10"/>
    <x v="390"/>
    <x v="280"/>
    <x v="3"/>
    <x v="3"/>
    <n v="4.3"/>
    <n v="37999"/>
    <n v="43999"/>
    <n v="6000"/>
    <n v="0.13636673560762744"/>
    <n v="0.11316087265454354"/>
    <s v="Mid Range"/>
    <x v="0"/>
  </r>
  <r>
    <x v="10"/>
    <x v="495"/>
    <x v="75"/>
    <x v="7"/>
    <x v="6"/>
    <n v="3.8"/>
    <n v="5499"/>
    <n v="5499"/>
    <n v="0"/>
    <n v="0"/>
    <n v="0.69103473358792511"/>
    <s v="Budget"/>
    <x v="1"/>
  </r>
  <r>
    <x v="10"/>
    <x v="462"/>
    <x v="326"/>
    <x v="3"/>
    <x v="1"/>
    <n v="4.4000000000000004"/>
    <n v="29899"/>
    <n v="29899"/>
    <n v="0"/>
    <n v="0"/>
    <n v="0.14716211244523231"/>
    <s v="Mid Range"/>
    <x v="0"/>
  </r>
  <r>
    <x v="10"/>
    <x v="496"/>
    <x v="5"/>
    <x v="7"/>
    <x v="6"/>
    <n v="4"/>
    <n v="7454"/>
    <n v="7454"/>
    <n v="0"/>
    <n v="0"/>
    <n v="0.53662463107056613"/>
    <s v="Budget"/>
    <x v="1"/>
  </r>
  <r>
    <x v="10"/>
    <x v="497"/>
    <x v="327"/>
    <x v="3"/>
    <x v="1"/>
    <n v="4.3"/>
    <n v="74000"/>
    <n v="74000"/>
    <n v="0"/>
    <n v="0"/>
    <n v="5.8108108108108104E-2"/>
    <s v="Premium"/>
    <x v="0"/>
  </r>
  <r>
    <x v="10"/>
    <x v="476"/>
    <x v="4"/>
    <x v="13"/>
    <x v="10"/>
    <n v="4.2"/>
    <n v="2089"/>
    <n v="2089"/>
    <n v="0"/>
    <n v="0"/>
    <n v="2.0105313547151744"/>
    <s v="Budget"/>
    <x v="0"/>
  </r>
  <r>
    <x v="10"/>
    <x v="438"/>
    <x v="318"/>
    <x v="1"/>
    <x v="1"/>
    <n v="4.4000000000000004"/>
    <n v="36000"/>
    <n v="36000"/>
    <n v="0"/>
    <n v="0"/>
    <n v="0.12222222222222225"/>
    <s v="Mid Range"/>
    <x v="0"/>
  </r>
  <r>
    <x v="10"/>
    <x v="422"/>
    <x v="4"/>
    <x v="13"/>
    <x v="10"/>
    <n v="4.0999999999999996"/>
    <n v="2815"/>
    <n v="2815"/>
    <n v="0"/>
    <n v="0"/>
    <n v="1.4564831261101243"/>
    <s v="Budget"/>
    <x v="0"/>
  </r>
  <r>
    <x v="10"/>
    <x v="477"/>
    <x v="328"/>
    <x v="0"/>
    <x v="1"/>
    <n v="4.4000000000000004"/>
    <n v="61900"/>
    <n v="61900"/>
    <n v="0"/>
    <n v="0"/>
    <n v="7.1082390953150248E-2"/>
    <s v="Premium"/>
    <x v="0"/>
  </r>
  <r>
    <x v="10"/>
    <x v="498"/>
    <x v="329"/>
    <x v="4"/>
    <x v="2"/>
    <n v="3.6"/>
    <n v="42000"/>
    <n v="42000"/>
    <n v="0"/>
    <n v="0"/>
    <n v="8.5714285714285715E-2"/>
    <s v="Mid Range"/>
    <x v="1"/>
  </r>
  <r>
    <x v="10"/>
    <x v="498"/>
    <x v="321"/>
    <x v="4"/>
    <x v="2"/>
    <n v="3.6"/>
    <n v="22389"/>
    <n v="22389"/>
    <n v="0"/>
    <n v="0"/>
    <n v="0.16079324668363928"/>
    <s v="Mid Range"/>
    <x v="1"/>
  </r>
  <r>
    <x v="10"/>
    <x v="412"/>
    <x v="325"/>
    <x v="1"/>
    <x v="0"/>
    <n v="4.5"/>
    <n v="70000"/>
    <n v="70000"/>
    <n v="0"/>
    <n v="0"/>
    <n v="6.4285714285714293E-2"/>
    <s v="Premium"/>
    <x v="0"/>
  </r>
  <r>
    <x v="10"/>
    <x v="422"/>
    <x v="4"/>
    <x v="20"/>
    <x v="10"/>
    <n v="4.0999999999999996"/>
    <n v="2699"/>
    <n v="3270"/>
    <n v="571"/>
    <n v="0.1746177370030581"/>
    <n v="1.5190811411633938"/>
    <s v="Budget"/>
    <x v="0"/>
  </r>
  <r>
    <x v="10"/>
    <x v="392"/>
    <x v="294"/>
    <x v="1"/>
    <x v="1"/>
    <n v="4.3"/>
    <n v="20999"/>
    <n v="25999"/>
    <n v="5000"/>
    <n v="0.19231508904188624"/>
    <n v="0.204771655793133"/>
    <s v="Mid Range"/>
    <x v="0"/>
  </r>
  <r>
    <x v="10"/>
    <x v="404"/>
    <x v="330"/>
    <x v="1"/>
    <x v="1"/>
    <n v="4.3"/>
    <n v="37999"/>
    <n v="43000"/>
    <n v="5001"/>
    <n v="0.11630232558139535"/>
    <n v="0.11316087265454354"/>
    <s v="Mid Range"/>
    <x v="0"/>
  </r>
  <r>
    <x v="10"/>
    <x v="499"/>
    <x v="75"/>
    <x v="6"/>
    <x v="5"/>
    <n v="3.7"/>
    <n v="7999"/>
    <n v="7999"/>
    <n v="0"/>
    <n v="0"/>
    <n v="0.46255781972746596"/>
    <s v="Budget"/>
    <x v="1"/>
  </r>
  <r>
    <x v="10"/>
    <x v="406"/>
    <x v="290"/>
    <x v="3"/>
    <x v="1"/>
    <n v="4.3"/>
    <n v="30500"/>
    <n v="33100"/>
    <n v="2600"/>
    <n v="7.8549848942598186E-2"/>
    <n v="0.14098360655737704"/>
    <s v="Mid Range"/>
    <x v="0"/>
  </r>
  <r>
    <x v="10"/>
    <x v="478"/>
    <x v="4"/>
    <x v="2"/>
    <x v="4"/>
    <n v="4.0999999999999996"/>
    <n v="20700"/>
    <n v="20700"/>
    <n v="0"/>
    <n v="0"/>
    <n v="0.19806763285024151"/>
    <s v="Mid Range"/>
    <x v="0"/>
  </r>
  <r>
    <x v="10"/>
    <x v="468"/>
    <x v="331"/>
    <x v="3"/>
    <x v="1"/>
    <n v="4.3"/>
    <n v="69999"/>
    <n v="83999"/>
    <n v="14000"/>
    <n v="0.16666865081727164"/>
    <n v="6.1429448992128453E-2"/>
    <s v="Premium"/>
    <x v="0"/>
  </r>
  <r>
    <x v="10"/>
    <x v="412"/>
    <x v="30"/>
    <x v="1"/>
    <x v="1"/>
    <n v="4.5"/>
    <n v="68900"/>
    <n v="68900"/>
    <n v="0"/>
    <n v="0"/>
    <n v="6.5312046444121918E-2"/>
    <s v="Premium"/>
    <x v="0"/>
  </r>
  <r>
    <x v="10"/>
    <x v="500"/>
    <x v="4"/>
    <x v="13"/>
    <x v="10"/>
    <n v="4.2"/>
    <n v="2849"/>
    <n v="2849"/>
    <n v="0"/>
    <n v="0"/>
    <n v="1.4742014742014742"/>
    <s v="Budget"/>
    <x v="0"/>
  </r>
  <r>
    <x v="10"/>
    <x v="398"/>
    <x v="280"/>
    <x v="1"/>
    <x v="1"/>
    <n v="4.3"/>
    <n v="27499"/>
    <n v="30499"/>
    <n v="3000"/>
    <n v="9.836388078297649E-2"/>
    <n v="0.15636932252081892"/>
    <s v="Mid Range"/>
    <x v="0"/>
  </r>
  <r>
    <x v="10"/>
    <x v="501"/>
    <x v="4"/>
    <x v="4"/>
    <x v="4"/>
    <n v="4.3"/>
    <n v="16200"/>
    <n v="16200"/>
    <n v="0"/>
    <n v="0"/>
    <n v="0.26543209876543211"/>
    <s v="Mid Range"/>
    <x v="0"/>
  </r>
  <r>
    <x v="10"/>
    <x v="483"/>
    <x v="4"/>
    <x v="9"/>
    <x v="6"/>
    <n v="3.5"/>
    <n v="3990"/>
    <n v="3990"/>
    <n v="0"/>
    <n v="0"/>
    <n v="0.87719298245614041"/>
    <s v="Budget"/>
    <x v="3"/>
  </r>
  <r>
    <x v="10"/>
    <x v="477"/>
    <x v="30"/>
    <x v="0"/>
    <x v="1"/>
    <n v="4.4000000000000004"/>
    <n v="61900"/>
    <n v="61900"/>
    <n v="0"/>
    <n v="0"/>
    <n v="7.1082390953150248E-2"/>
    <s v="Premium"/>
    <x v="0"/>
  </r>
  <r>
    <x v="10"/>
    <x v="412"/>
    <x v="328"/>
    <x v="1"/>
    <x v="0"/>
    <n v="4.5"/>
    <n v="70000"/>
    <n v="70000"/>
    <n v="0"/>
    <n v="0"/>
    <n v="6.4285714285714293E-2"/>
    <s v="Premium"/>
    <x v="0"/>
  </r>
  <r>
    <x v="10"/>
    <x v="502"/>
    <x v="332"/>
    <x v="1"/>
    <x v="0"/>
    <n v="4.5999999999999996"/>
    <n v="49999"/>
    <n v="49999"/>
    <n v="0"/>
    <n v="0"/>
    <n v="9.2001840036800731E-2"/>
    <s v="Mid Range"/>
    <x v="2"/>
  </r>
  <r>
    <x v="10"/>
    <x v="503"/>
    <x v="333"/>
    <x v="2"/>
    <x v="2"/>
    <n v="4.0999999999999996"/>
    <n v="22900"/>
    <n v="22900"/>
    <n v="0"/>
    <n v="0"/>
    <n v="0.17903930131004364"/>
    <s v="Mid Range"/>
    <x v="0"/>
  </r>
  <r>
    <x v="10"/>
    <x v="504"/>
    <x v="57"/>
    <x v="6"/>
    <x v="5"/>
    <n v="3.3"/>
    <n v="6990"/>
    <n v="6990"/>
    <n v="0"/>
    <n v="0"/>
    <n v="0.47210300429184543"/>
    <s v="Budget"/>
    <x v="3"/>
  </r>
  <r>
    <x v="10"/>
    <x v="460"/>
    <x v="5"/>
    <x v="4"/>
    <x v="2"/>
    <n v="4.3"/>
    <n v="9000"/>
    <n v="9000"/>
    <n v="0"/>
    <n v="0"/>
    <n v="0.47777777777777775"/>
    <s v="Budget"/>
    <x v="0"/>
  </r>
  <r>
    <x v="10"/>
    <x v="452"/>
    <x v="324"/>
    <x v="3"/>
    <x v="1"/>
    <n v="4.5999999999999996"/>
    <n v="59900"/>
    <n v="59900"/>
    <n v="0"/>
    <n v="0"/>
    <n v="7.6794657762938229E-2"/>
    <s v="Premium"/>
    <x v="2"/>
  </r>
  <r>
    <x v="10"/>
    <x v="505"/>
    <x v="4"/>
    <x v="2"/>
    <x v="4"/>
    <n v="4.3"/>
    <n v="11200"/>
    <n v="11200"/>
    <n v="0"/>
    <n v="0"/>
    <n v="0.3839285714285714"/>
    <s v="Budget"/>
    <x v="0"/>
  </r>
  <r>
    <x v="10"/>
    <x v="463"/>
    <x v="176"/>
    <x v="0"/>
    <x v="1"/>
    <n v="4.3"/>
    <n v="16999"/>
    <n v="16999"/>
    <n v="0"/>
    <n v="0"/>
    <n v="0.25295605623860223"/>
    <s v="Mid Range"/>
    <x v="0"/>
  </r>
  <r>
    <x v="10"/>
    <x v="412"/>
    <x v="334"/>
    <x v="1"/>
    <x v="1"/>
    <n v="4.5"/>
    <n v="68900"/>
    <n v="68900"/>
    <n v="0"/>
    <n v="0"/>
    <n v="6.5312046444121918E-2"/>
    <s v="Premium"/>
    <x v="0"/>
  </r>
  <r>
    <x v="10"/>
    <x v="470"/>
    <x v="5"/>
    <x v="0"/>
    <x v="0"/>
    <n v="4.4000000000000004"/>
    <n v="19990"/>
    <n v="19990"/>
    <n v="0"/>
    <n v="0"/>
    <n v="0.22011005502751377"/>
    <s v="Mid Range"/>
    <x v="0"/>
  </r>
  <r>
    <x v="10"/>
    <x v="487"/>
    <x v="335"/>
    <x v="0"/>
    <x v="2"/>
    <n v="4.0999999999999996"/>
    <n v="46300"/>
    <n v="46300"/>
    <n v="0"/>
    <n v="0"/>
    <n v="8.8552915766738641E-2"/>
    <s v="Mid Range"/>
    <x v="0"/>
  </r>
  <r>
    <x v="10"/>
    <x v="431"/>
    <x v="5"/>
    <x v="4"/>
    <x v="2"/>
    <n v="4.4000000000000004"/>
    <n v="10000"/>
    <n v="10000"/>
    <n v="0"/>
    <n v="0"/>
    <n v="0.44"/>
    <s v="Budget"/>
    <x v="0"/>
  </r>
  <r>
    <x v="10"/>
    <x v="506"/>
    <x v="82"/>
    <x v="8"/>
    <x v="5"/>
    <n v="4.0999999999999996"/>
    <n v="8090"/>
    <n v="8090"/>
    <n v="0"/>
    <n v="0"/>
    <n v="0.50679851668726816"/>
    <s v="Budget"/>
    <x v="0"/>
  </r>
  <r>
    <x v="10"/>
    <x v="503"/>
    <x v="305"/>
    <x v="2"/>
    <x v="2"/>
    <n v="4.0999999999999996"/>
    <n v="22900"/>
    <n v="22900"/>
    <n v="0"/>
    <n v="0"/>
    <n v="0.17903930131004364"/>
    <s v="Mid Range"/>
    <x v="0"/>
  </r>
  <r>
    <x v="10"/>
    <x v="479"/>
    <x v="4"/>
    <x v="11"/>
    <x v="9"/>
    <n v="4.2"/>
    <n v="3780"/>
    <n v="3780"/>
    <n v="0"/>
    <n v="0"/>
    <n v="1.1111111111111112"/>
    <s v="Budget"/>
    <x v="0"/>
  </r>
  <r>
    <x v="10"/>
    <x v="507"/>
    <x v="336"/>
    <x v="4"/>
    <x v="4"/>
    <n v="3.9"/>
    <n v="15999"/>
    <n v="15999"/>
    <n v="0"/>
    <n v="0"/>
    <n v="0.24376523532720795"/>
    <s v="Mid Range"/>
    <x v="1"/>
  </r>
  <r>
    <x v="10"/>
    <x v="508"/>
    <x v="337"/>
    <x v="2"/>
    <x v="2"/>
    <n v="4.2"/>
    <n v="50650"/>
    <n v="50650"/>
    <n v="0"/>
    <n v="0"/>
    <n v="8.2922013820335636E-2"/>
    <s v="Premium"/>
    <x v="0"/>
  </r>
  <r>
    <x v="10"/>
    <x v="509"/>
    <x v="223"/>
    <x v="7"/>
    <x v="6"/>
    <n v="4"/>
    <n v="6499"/>
    <n v="6499"/>
    <n v="0"/>
    <n v="0"/>
    <n v="0.61547930450838595"/>
    <s v="Budget"/>
    <x v="1"/>
  </r>
  <r>
    <x v="10"/>
    <x v="377"/>
    <x v="265"/>
    <x v="1"/>
    <x v="1"/>
    <n v="4.3"/>
    <n v="16999"/>
    <n v="19499"/>
    <n v="2500"/>
    <n v="0.12821170316426483"/>
    <n v="0.25295605623860223"/>
    <s v="Mid Range"/>
    <x v="0"/>
  </r>
  <r>
    <x v="10"/>
    <x v="466"/>
    <x v="273"/>
    <x v="3"/>
    <x v="3"/>
    <n v="4.4000000000000004"/>
    <n v="75999"/>
    <n v="104999"/>
    <n v="29000"/>
    <n v="0.27619310660101526"/>
    <n v="5.7895498624981917E-2"/>
    <s v="Premium"/>
    <x v="0"/>
  </r>
  <r>
    <x v="10"/>
    <x v="506"/>
    <x v="57"/>
    <x v="8"/>
    <x v="5"/>
    <n v="4.0999999999999996"/>
    <n v="8090"/>
    <n v="8090"/>
    <n v="0"/>
    <n v="0"/>
    <n v="0.50679851668726816"/>
    <s v="Budget"/>
    <x v="0"/>
  </r>
  <r>
    <x v="10"/>
    <x v="487"/>
    <x v="338"/>
    <x v="0"/>
    <x v="2"/>
    <n v="4.0999999999999996"/>
    <n v="46300"/>
    <n v="46300"/>
    <n v="0"/>
    <n v="0"/>
    <n v="8.8552915766738641E-2"/>
    <s v="Mid Range"/>
    <x v="0"/>
  </r>
  <r>
    <x v="10"/>
    <x v="509"/>
    <x v="302"/>
    <x v="7"/>
    <x v="6"/>
    <n v="4"/>
    <n v="6048"/>
    <n v="6048"/>
    <n v="0"/>
    <n v="0"/>
    <n v="0.66137566137566139"/>
    <s v="Budget"/>
    <x v="1"/>
  </r>
  <r>
    <x v="10"/>
    <x v="510"/>
    <x v="219"/>
    <x v="6"/>
    <x v="4"/>
    <n v="4"/>
    <n v="8190"/>
    <n v="8190"/>
    <n v="0"/>
    <n v="0"/>
    <n v="0.48840048840048839"/>
    <s v="Budget"/>
    <x v="1"/>
  </r>
  <r>
    <x v="10"/>
    <x v="487"/>
    <x v="304"/>
    <x v="0"/>
    <x v="2"/>
    <n v="4.0999999999999996"/>
    <n v="46300"/>
    <n v="46300"/>
    <n v="0"/>
    <n v="0"/>
    <n v="8.8552915766738641E-2"/>
    <s v="Mid Range"/>
    <x v="0"/>
  </r>
  <r>
    <x v="10"/>
    <x v="456"/>
    <x v="303"/>
    <x v="2"/>
    <x v="0"/>
    <n v="4"/>
    <n v="53900"/>
    <n v="53900"/>
    <n v="0"/>
    <n v="0"/>
    <n v="7.4211502782931343E-2"/>
    <s v="Premium"/>
    <x v="1"/>
  </r>
  <r>
    <x v="10"/>
    <x v="406"/>
    <x v="294"/>
    <x v="1"/>
    <x v="1"/>
    <n v="4.3"/>
    <n v="17999"/>
    <n v="31000"/>
    <n v="13001"/>
    <n v="0.41938709677419356"/>
    <n v="0.23890216123117949"/>
    <s v="Mid Range"/>
    <x v="0"/>
  </r>
  <r>
    <x v="10"/>
    <x v="505"/>
    <x v="57"/>
    <x v="2"/>
    <x v="4"/>
    <n v="4.3"/>
    <n v="11200"/>
    <n v="11200"/>
    <n v="0"/>
    <n v="0"/>
    <n v="0.3839285714285714"/>
    <s v="Budget"/>
    <x v="0"/>
  </r>
  <r>
    <x v="10"/>
    <x v="427"/>
    <x v="4"/>
    <x v="1"/>
    <x v="1"/>
    <n v="4.4000000000000004"/>
    <n v="24600"/>
    <n v="24600"/>
    <n v="0"/>
    <n v="0"/>
    <n v="0.17886178861788618"/>
    <s v="Mid Range"/>
    <x v="0"/>
  </r>
  <r>
    <x v="10"/>
    <x v="406"/>
    <x v="284"/>
    <x v="1"/>
    <x v="1"/>
    <n v="4.3"/>
    <n v="17999"/>
    <n v="31000"/>
    <n v="13001"/>
    <n v="0.41938709677419356"/>
    <n v="0.23890216123117949"/>
    <s v="Mid Range"/>
    <x v="0"/>
  </r>
  <r>
    <x v="10"/>
    <x v="404"/>
    <x v="330"/>
    <x v="3"/>
    <x v="1"/>
    <n v="4.3"/>
    <n v="39999"/>
    <n v="45000"/>
    <n v="5001"/>
    <n v="0.11113333333333333"/>
    <n v="0.10750268756718918"/>
    <s v="Mid Range"/>
    <x v="0"/>
  </r>
  <r>
    <x v="10"/>
    <x v="511"/>
    <x v="4"/>
    <x v="4"/>
    <x v="4"/>
    <n v="4.2"/>
    <n v="19900"/>
    <n v="19900"/>
    <n v="0"/>
    <n v="0"/>
    <n v="0.21105527638190955"/>
    <s v="Mid Range"/>
    <x v="0"/>
  </r>
  <r>
    <x v="10"/>
    <x v="512"/>
    <x v="75"/>
    <x v="4"/>
    <x v="2"/>
    <n v="4.2"/>
    <n v="33500"/>
    <n v="33500"/>
    <n v="0"/>
    <n v="0"/>
    <n v="0.12537313432835823"/>
    <s v="Mid Range"/>
    <x v="0"/>
  </r>
  <r>
    <x v="10"/>
    <x v="487"/>
    <x v="335"/>
    <x v="0"/>
    <x v="2"/>
    <n v="3.9"/>
    <n v="38900"/>
    <n v="38900"/>
    <n v="0"/>
    <n v="0"/>
    <n v="0.10025706940874035"/>
    <s v="Mid Range"/>
    <x v="1"/>
  </r>
  <r>
    <x v="10"/>
    <x v="452"/>
    <x v="278"/>
    <x v="3"/>
    <x v="1"/>
    <n v="4.5999999999999996"/>
    <n v="59900"/>
    <n v="59900"/>
    <n v="0"/>
    <n v="0"/>
    <n v="7.6794657762938229E-2"/>
    <s v="Premium"/>
    <x v="2"/>
  </r>
  <r>
    <x v="10"/>
    <x v="513"/>
    <x v="4"/>
    <x v="19"/>
    <x v="10"/>
    <n v="4.4000000000000004"/>
    <n v="1599"/>
    <n v="1599"/>
    <n v="0"/>
    <n v="0"/>
    <n v="2.7517198248905572"/>
    <s v="Budget"/>
    <x v="0"/>
  </r>
  <r>
    <x v="10"/>
    <x v="472"/>
    <x v="5"/>
    <x v="6"/>
    <x v="4"/>
    <n v="4.2"/>
    <n v="5900"/>
    <n v="5900"/>
    <n v="0"/>
    <n v="0"/>
    <n v="0.71186440677966101"/>
    <s v="Budget"/>
    <x v="0"/>
  </r>
  <r>
    <x v="10"/>
    <x v="514"/>
    <x v="75"/>
    <x v="4"/>
    <x v="4"/>
    <n v="4.0999999999999996"/>
    <n v="14490"/>
    <n v="14490"/>
    <n v="0"/>
    <n v="0"/>
    <n v="0.28295376121463073"/>
    <s v="Budget"/>
    <x v="0"/>
  </r>
  <r>
    <x v="10"/>
    <x v="412"/>
    <x v="334"/>
    <x v="1"/>
    <x v="0"/>
    <n v="4.5"/>
    <n v="70000"/>
    <n v="70000"/>
    <n v="0"/>
    <n v="0"/>
    <n v="6.4285714285714293E-2"/>
    <s v="Premium"/>
    <x v="0"/>
  </r>
  <r>
    <x v="10"/>
    <x v="456"/>
    <x v="338"/>
    <x v="2"/>
    <x v="0"/>
    <n v="4"/>
    <n v="53900"/>
    <n v="53900"/>
    <n v="0"/>
    <n v="0"/>
    <n v="7.4211502782931343E-2"/>
    <s v="Premium"/>
    <x v="1"/>
  </r>
  <r>
    <x v="10"/>
    <x v="464"/>
    <x v="321"/>
    <x v="4"/>
    <x v="4"/>
    <n v="3.9"/>
    <n v="21999"/>
    <n v="21999"/>
    <n v="0"/>
    <n v="0"/>
    <n v="0.17728078549024953"/>
    <s v="Mid Range"/>
    <x v="1"/>
  </r>
  <r>
    <x v="10"/>
    <x v="508"/>
    <x v="40"/>
    <x v="2"/>
    <x v="2"/>
    <n v="4.2"/>
    <n v="21999"/>
    <n v="21999"/>
    <n v="0"/>
    <n v="0"/>
    <n v="0.19091776898949953"/>
    <s v="Mid Range"/>
    <x v="0"/>
  </r>
  <r>
    <x v="10"/>
    <x v="496"/>
    <x v="4"/>
    <x v="6"/>
    <x v="5"/>
    <n v="4"/>
    <n v="7550"/>
    <n v="7550"/>
    <n v="0"/>
    <n v="0"/>
    <n v="0.5298013245033113"/>
    <s v="Budget"/>
    <x v="1"/>
  </r>
  <r>
    <x v="10"/>
    <x v="477"/>
    <x v="334"/>
    <x v="0"/>
    <x v="1"/>
    <n v="4.4000000000000004"/>
    <n v="39900"/>
    <n v="39900"/>
    <n v="0"/>
    <n v="0"/>
    <n v="0.11027568922305765"/>
    <s v="Mid Range"/>
    <x v="0"/>
  </r>
  <r>
    <x v="10"/>
    <x v="412"/>
    <x v="339"/>
    <x v="1"/>
    <x v="0"/>
    <n v="4.5"/>
    <n v="70000"/>
    <n v="70000"/>
    <n v="0"/>
    <n v="0"/>
    <n v="6.4285714285714293E-2"/>
    <s v="Premium"/>
    <x v="0"/>
  </r>
  <r>
    <x v="10"/>
    <x v="464"/>
    <x v="340"/>
    <x v="4"/>
    <x v="4"/>
    <n v="3.9"/>
    <n v="21999"/>
    <n v="21999"/>
    <n v="0"/>
    <n v="0"/>
    <n v="0.17728078549024953"/>
    <s v="Mid Range"/>
    <x v="1"/>
  </r>
  <r>
    <x v="10"/>
    <x v="412"/>
    <x v="328"/>
    <x v="1"/>
    <x v="1"/>
    <n v="4.5"/>
    <n v="68900"/>
    <n v="68900"/>
    <n v="0"/>
    <n v="0"/>
    <n v="6.5312046444121918E-2"/>
    <s v="Premium"/>
    <x v="0"/>
  </r>
  <r>
    <x v="10"/>
    <x v="514"/>
    <x v="57"/>
    <x v="4"/>
    <x v="4"/>
    <n v="4.0999999999999996"/>
    <n v="14490"/>
    <n v="14490"/>
    <n v="0"/>
    <n v="0"/>
    <n v="0.28295376121463073"/>
    <s v="Budget"/>
    <x v="0"/>
  </r>
  <r>
    <x v="10"/>
    <x v="496"/>
    <x v="57"/>
    <x v="6"/>
    <x v="5"/>
    <n v="4"/>
    <n v="7550"/>
    <n v="7550"/>
    <n v="0"/>
    <n v="0"/>
    <n v="0.5298013245033113"/>
    <s v="Budget"/>
    <x v="1"/>
  </r>
  <r>
    <x v="10"/>
    <x v="448"/>
    <x v="75"/>
    <x v="0"/>
    <x v="0"/>
    <n v="4.3"/>
    <n v="21000"/>
    <n v="21000"/>
    <n v="0"/>
    <n v="0"/>
    <n v="0.20476190476190476"/>
    <s v="Mid Range"/>
    <x v="0"/>
  </r>
  <r>
    <x v="10"/>
    <x v="510"/>
    <x v="176"/>
    <x v="6"/>
    <x v="4"/>
    <n v="4"/>
    <n v="10800"/>
    <n v="10800"/>
    <n v="0"/>
    <n v="0"/>
    <n v="0.37037037037037035"/>
    <s v="Budget"/>
    <x v="1"/>
  </r>
  <r>
    <x v="10"/>
    <x v="486"/>
    <x v="4"/>
    <x v="0"/>
    <x v="0"/>
    <n v="4.3"/>
    <n v="17600"/>
    <n v="17600"/>
    <n v="0"/>
    <n v="0"/>
    <n v="0.2443181818181818"/>
    <s v="Mid Range"/>
    <x v="0"/>
  </r>
  <r>
    <x v="10"/>
    <x v="412"/>
    <x v="341"/>
    <x v="1"/>
    <x v="1"/>
    <n v="4.5"/>
    <n v="68900"/>
    <n v="68900"/>
    <n v="0"/>
    <n v="0"/>
    <n v="6.5312046444121918E-2"/>
    <s v="Premium"/>
    <x v="0"/>
  </r>
  <r>
    <x v="10"/>
    <x v="490"/>
    <x v="82"/>
    <x v="8"/>
    <x v="5"/>
    <n v="4"/>
    <n v="7200"/>
    <n v="7200"/>
    <n v="0"/>
    <n v="0"/>
    <n v="0.55555555555555558"/>
    <s v="Budget"/>
    <x v="1"/>
  </r>
  <r>
    <x v="10"/>
    <x v="396"/>
    <x v="43"/>
    <x v="3"/>
    <x v="1"/>
    <n v="4.5"/>
    <n v="40999"/>
    <n v="43999"/>
    <n v="3000"/>
    <n v="6.8183367803813719E-2"/>
    <n v="0.10975877460425865"/>
    <s v="Mid Range"/>
    <x v="0"/>
  </r>
  <r>
    <x v="10"/>
    <x v="477"/>
    <x v="334"/>
    <x v="0"/>
    <x v="0"/>
    <n v="4.4000000000000004"/>
    <n v="62500"/>
    <n v="62500"/>
    <n v="0"/>
    <n v="0"/>
    <n v="7.0400000000000004E-2"/>
    <s v="Premium"/>
    <x v="0"/>
  </r>
  <r>
    <x v="10"/>
    <x v="512"/>
    <x v="57"/>
    <x v="4"/>
    <x v="2"/>
    <n v="4.2"/>
    <n v="25990"/>
    <n v="25990"/>
    <n v="0"/>
    <n v="0"/>
    <n v="0.16160061562139286"/>
    <s v="Mid Range"/>
    <x v="0"/>
  </r>
  <r>
    <x v="10"/>
    <x v="443"/>
    <x v="342"/>
    <x v="1"/>
    <x v="1"/>
    <n v="4.5999999999999996"/>
    <n v="73600"/>
    <n v="73600"/>
    <n v="0"/>
    <n v="0"/>
    <n v="6.25E-2"/>
    <s v="Premium"/>
    <x v="2"/>
  </r>
  <r>
    <x v="10"/>
    <x v="515"/>
    <x v="75"/>
    <x v="8"/>
    <x v="4"/>
    <n v="4.3"/>
    <n v="11700"/>
    <n v="11700"/>
    <n v="0"/>
    <n v="0"/>
    <n v="0.36752136752136749"/>
    <s v="Budget"/>
    <x v="0"/>
  </r>
  <r>
    <x v="10"/>
    <x v="464"/>
    <x v="306"/>
    <x v="4"/>
    <x v="4"/>
    <n v="3.9"/>
    <n v="21999"/>
    <n v="21999"/>
    <n v="0"/>
    <n v="0"/>
    <n v="0.17728078549024953"/>
    <s v="Mid Range"/>
    <x v="1"/>
  </r>
  <r>
    <x v="10"/>
    <x v="512"/>
    <x v="4"/>
    <x v="4"/>
    <x v="2"/>
    <n v="4.2"/>
    <n v="25990"/>
    <n v="25990"/>
    <n v="0"/>
    <n v="0"/>
    <n v="0.16160061562139286"/>
    <s v="Mid Range"/>
    <x v="0"/>
  </r>
  <r>
    <x v="10"/>
    <x v="516"/>
    <x v="343"/>
    <x v="6"/>
    <x v="5"/>
    <n v="4"/>
    <n v="14700"/>
    <n v="14700"/>
    <n v="0"/>
    <n v="0"/>
    <n v="0.27210884353741494"/>
    <s v="Budget"/>
    <x v="1"/>
  </r>
  <r>
    <x v="10"/>
    <x v="477"/>
    <x v="328"/>
    <x v="0"/>
    <x v="0"/>
    <n v="4.4000000000000004"/>
    <n v="62500"/>
    <n v="62500"/>
    <n v="0"/>
    <n v="0"/>
    <n v="7.0400000000000004E-2"/>
    <s v="Premium"/>
    <x v="0"/>
  </r>
  <r>
    <x v="10"/>
    <x v="485"/>
    <x v="57"/>
    <x v="8"/>
    <x v="5"/>
    <n v="4.3"/>
    <n v="10490"/>
    <n v="10490"/>
    <n v="0"/>
    <n v="0"/>
    <n v="0.40991420400381312"/>
    <s v="Budget"/>
    <x v="0"/>
  </r>
  <r>
    <x v="10"/>
    <x v="517"/>
    <x v="282"/>
    <x v="3"/>
    <x v="3"/>
    <n v="4.5"/>
    <n v="73600"/>
    <n v="75000"/>
    <n v="1400"/>
    <n v="1.8666666666666668E-2"/>
    <n v="6.1141304347826095E-2"/>
    <s v="Premium"/>
    <x v="0"/>
  </r>
  <r>
    <x v="10"/>
    <x v="426"/>
    <x v="287"/>
    <x v="0"/>
    <x v="1"/>
    <n v="4.3"/>
    <n v="19900"/>
    <n v="19900"/>
    <n v="0"/>
    <n v="0"/>
    <n v="0.21608040201005024"/>
    <s v="Mid Range"/>
    <x v="0"/>
  </r>
  <r>
    <x v="10"/>
    <x v="518"/>
    <x v="75"/>
    <x v="6"/>
    <x v="5"/>
    <n v="3.8"/>
    <n v="13500"/>
    <n v="13500"/>
    <n v="0"/>
    <n v="0"/>
    <n v="0.28148148148148144"/>
    <s v="Budget"/>
    <x v="1"/>
  </r>
  <r>
    <x v="10"/>
    <x v="519"/>
    <x v="321"/>
    <x v="2"/>
    <x v="2"/>
    <n v="4.0999999999999996"/>
    <n v="36900"/>
    <n v="36900"/>
    <n v="0"/>
    <n v="0"/>
    <n v="0.1111111111111111"/>
    <s v="Mid Range"/>
    <x v="0"/>
  </r>
  <r>
    <x v="10"/>
    <x v="492"/>
    <x v="282"/>
    <x v="5"/>
    <x v="3"/>
    <n v="4.5999999999999996"/>
    <n v="59999"/>
    <n v="85000"/>
    <n v="25001"/>
    <n v="0.29412941176470586"/>
    <n v="7.6667944465741086E-2"/>
    <s v="Premium"/>
    <x v="2"/>
  </r>
  <r>
    <x v="10"/>
    <x v="515"/>
    <x v="57"/>
    <x v="8"/>
    <x v="4"/>
    <n v="4.3"/>
    <n v="11700"/>
    <n v="11700"/>
    <n v="0"/>
    <n v="0"/>
    <n v="0.36752136752136749"/>
    <s v="Budget"/>
    <x v="0"/>
  </r>
  <r>
    <x v="10"/>
    <x v="520"/>
    <x v="57"/>
    <x v="4"/>
    <x v="4"/>
    <n v="4.0999999999999996"/>
    <n v="5990"/>
    <n v="9499"/>
    <n v="3509"/>
    <n v="0.36940730603221394"/>
    <n v="0.68447412353923198"/>
    <s v="Budget"/>
    <x v="0"/>
  </r>
  <r>
    <x v="10"/>
    <x v="476"/>
    <x v="4"/>
    <x v="13"/>
    <x v="10"/>
    <n v="4.2"/>
    <n v="2980"/>
    <n v="2980"/>
    <n v="0"/>
    <n v="0"/>
    <n v="1.4093959731543626"/>
    <s v="Budget"/>
    <x v="0"/>
  </r>
  <r>
    <x v="10"/>
    <x v="507"/>
    <x v="320"/>
    <x v="4"/>
    <x v="4"/>
    <n v="3.9"/>
    <n v="40690"/>
    <n v="40690"/>
    <n v="0"/>
    <n v="0"/>
    <n v="9.5846645367412137E-2"/>
    <s v="Mid Range"/>
    <x v="1"/>
  </r>
  <r>
    <x v="10"/>
    <x v="515"/>
    <x v="4"/>
    <x v="8"/>
    <x v="4"/>
    <n v="4.3"/>
    <n v="11700"/>
    <n v="11700"/>
    <n v="0"/>
    <n v="0"/>
    <n v="0.36752136752136749"/>
    <s v="Budget"/>
    <x v="0"/>
  </r>
  <r>
    <x v="10"/>
    <x v="517"/>
    <x v="330"/>
    <x v="3"/>
    <x v="3"/>
    <n v="4.5"/>
    <n v="73600"/>
    <n v="75000"/>
    <n v="1400"/>
    <n v="1.8666666666666668E-2"/>
    <n v="6.1141304347826095E-2"/>
    <s v="Premium"/>
    <x v="0"/>
  </r>
  <r>
    <x v="10"/>
    <x v="521"/>
    <x v="278"/>
    <x v="1"/>
    <x v="1"/>
    <n v="4.5"/>
    <n v="59000"/>
    <n v="59000"/>
    <n v="0"/>
    <n v="0"/>
    <n v="7.6271186440677957E-2"/>
    <s v="Premium"/>
    <x v="0"/>
  </r>
  <r>
    <x v="10"/>
    <x v="455"/>
    <x v="57"/>
    <x v="2"/>
    <x v="2"/>
    <n v="4.3"/>
    <n v="13900"/>
    <n v="13900"/>
    <n v="0"/>
    <n v="0"/>
    <n v="0.30935251798561147"/>
    <s v="Budget"/>
    <x v="0"/>
  </r>
  <r>
    <x v="10"/>
    <x v="470"/>
    <x v="4"/>
    <x v="2"/>
    <x v="4"/>
    <n v="4.3"/>
    <n v="13490"/>
    <n v="13490"/>
    <n v="0"/>
    <n v="0"/>
    <n v="0.31875463306152707"/>
    <s v="Budget"/>
    <x v="0"/>
  </r>
  <r>
    <x v="10"/>
    <x v="489"/>
    <x v="4"/>
    <x v="0"/>
    <x v="2"/>
    <n v="4.3"/>
    <n v="22900"/>
    <n v="22900"/>
    <n v="0"/>
    <n v="0"/>
    <n v="0.18777292576419213"/>
    <s v="Mid Range"/>
    <x v="0"/>
  </r>
  <r>
    <x v="10"/>
    <x v="522"/>
    <x v="344"/>
    <x v="0"/>
    <x v="2"/>
    <n v="4.4000000000000004"/>
    <n v="41900"/>
    <n v="41900"/>
    <n v="0"/>
    <n v="0"/>
    <n v="0.10501193317422435"/>
    <s v="Mid Range"/>
    <x v="0"/>
  </r>
  <r>
    <x v="10"/>
    <x v="447"/>
    <x v="4"/>
    <x v="6"/>
    <x v="5"/>
    <n v="4.0999999999999996"/>
    <n v="7400"/>
    <n v="7400"/>
    <n v="0"/>
    <n v="0"/>
    <n v="0.55405405405405395"/>
    <s v="Budget"/>
    <x v="0"/>
  </r>
  <r>
    <x v="10"/>
    <x v="443"/>
    <x v="319"/>
    <x v="3"/>
    <x v="7"/>
    <n v="4.5999999999999996"/>
    <n v="93000"/>
    <n v="93000"/>
    <n v="0"/>
    <n v="0"/>
    <n v="4.9462365591397849E-2"/>
    <s v="Premium"/>
    <x v="2"/>
  </r>
  <r>
    <x v="10"/>
    <x v="492"/>
    <x v="345"/>
    <x v="5"/>
    <x v="3"/>
    <n v="4.5999999999999996"/>
    <n v="59999"/>
    <n v="85000"/>
    <n v="25001"/>
    <n v="0.29412941176470586"/>
    <n v="7.6667944465741086E-2"/>
    <s v="Premium"/>
    <x v="2"/>
  </r>
  <r>
    <x v="10"/>
    <x v="427"/>
    <x v="219"/>
    <x v="4"/>
    <x v="4"/>
    <n v="4.0999999999999996"/>
    <n v="19990"/>
    <n v="19990"/>
    <n v="0"/>
    <n v="0"/>
    <n v="0.20510255127563781"/>
    <s v="Mid Range"/>
    <x v="0"/>
  </r>
  <r>
    <x v="10"/>
    <x v="522"/>
    <x v="335"/>
    <x v="0"/>
    <x v="2"/>
    <n v="4.4000000000000004"/>
    <n v="41900"/>
    <n v="41900"/>
    <n v="0"/>
    <n v="0"/>
    <n v="0.10501193317422435"/>
    <s v="Mid Range"/>
    <x v="0"/>
  </r>
  <r>
    <x v="10"/>
    <x v="463"/>
    <x v="346"/>
    <x v="0"/>
    <x v="1"/>
    <n v="4.3"/>
    <n v="15499"/>
    <n v="15999"/>
    <n v="500"/>
    <n v="3.125195324707794E-2"/>
    <n v="0.27743725401638814"/>
    <s v="Mid Range"/>
    <x v="0"/>
  </r>
  <r>
    <x v="10"/>
    <x v="523"/>
    <x v="4"/>
    <x v="1"/>
    <x v="0"/>
    <n v="4.3"/>
    <n v="16989"/>
    <n v="37990"/>
    <n v="21001"/>
    <n v="0.55280336930771257"/>
    <n v="0.25310495026193419"/>
    <s v="Mid Range"/>
    <x v="0"/>
  </r>
  <r>
    <x v="10"/>
    <x v="466"/>
    <x v="347"/>
    <x v="3"/>
    <x v="3"/>
    <n v="4.4000000000000004"/>
    <n v="75999"/>
    <n v="104999"/>
    <n v="29000"/>
    <n v="0.27619310660101526"/>
    <n v="5.7895498624981917E-2"/>
    <s v="Premium"/>
    <x v="0"/>
  </r>
  <r>
    <x v="10"/>
    <x v="468"/>
    <x v="331"/>
    <x v="3"/>
    <x v="3"/>
    <n v="4.3"/>
    <n v="73999"/>
    <n v="87999"/>
    <n v="14000"/>
    <n v="0.15909271696269275"/>
    <n v="5.8108893363423827E-2"/>
    <s v="Premium"/>
    <x v="0"/>
  </r>
  <r>
    <x v="10"/>
    <x v="521"/>
    <x v="43"/>
    <x v="1"/>
    <x v="1"/>
    <n v="4.5"/>
    <n v="59000"/>
    <n v="59000"/>
    <n v="0"/>
    <n v="0"/>
    <n v="7.6271186440677957E-2"/>
    <s v="Premium"/>
    <x v="0"/>
  </r>
  <r>
    <x v="10"/>
    <x v="492"/>
    <x v="311"/>
    <x v="5"/>
    <x v="3"/>
    <n v="4.5999999999999996"/>
    <n v="59999"/>
    <n v="85000"/>
    <n v="25001"/>
    <n v="0.29412941176470586"/>
    <n v="7.6667944465741086E-2"/>
    <s v="Premium"/>
    <x v="2"/>
  </r>
  <r>
    <x v="10"/>
    <x v="457"/>
    <x v="273"/>
    <x v="21"/>
    <x v="7"/>
    <n v="4.3"/>
    <n v="116999"/>
    <n v="139999"/>
    <n v="23000"/>
    <n v="0.16428688776348402"/>
    <n v="3.6752450875648504E-2"/>
    <s v="Premium"/>
    <x v="0"/>
  </r>
  <r>
    <x v="10"/>
    <x v="404"/>
    <x v="282"/>
    <x v="3"/>
    <x v="1"/>
    <n v="4.3"/>
    <n v="39999"/>
    <n v="45000"/>
    <n v="5001"/>
    <n v="0.11113333333333333"/>
    <n v="0.10750268756718918"/>
    <s v="Mid Range"/>
    <x v="0"/>
  </r>
  <r>
    <x v="10"/>
    <x v="391"/>
    <x v="271"/>
    <x v="1"/>
    <x v="1"/>
    <n v="4.4000000000000004"/>
    <n v="16998"/>
    <n v="18439"/>
    <n v="1441"/>
    <n v="7.8149574271923636E-2"/>
    <n v="0.25885398282150845"/>
    <s v="Mid Range"/>
    <x v="0"/>
  </r>
  <r>
    <x v="10"/>
    <x v="396"/>
    <x v="278"/>
    <x v="3"/>
    <x v="1"/>
    <n v="4.5"/>
    <n v="40999"/>
    <n v="43999"/>
    <n v="3000"/>
    <n v="6.8183367803813719E-2"/>
    <n v="0.10975877460425865"/>
    <s v="Mid Range"/>
    <x v="0"/>
  </r>
  <r>
    <x v="10"/>
    <x v="524"/>
    <x v="348"/>
    <x v="8"/>
    <x v="4"/>
    <n v="4.3"/>
    <n v="17000"/>
    <n v="17000"/>
    <n v="0"/>
    <n v="0"/>
    <n v="0.25294117647058822"/>
    <s v="Mid Range"/>
    <x v="0"/>
  </r>
  <r>
    <x v="10"/>
    <x v="431"/>
    <x v="66"/>
    <x v="2"/>
    <x v="2"/>
    <n v="4.3"/>
    <n v="11000"/>
    <n v="11000"/>
    <n v="0"/>
    <n v="0"/>
    <n v="0.39090909090909093"/>
    <s v="Budget"/>
    <x v="0"/>
  </r>
  <r>
    <x v="10"/>
    <x v="525"/>
    <x v="21"/>
    <x v="0"/>
    <x v="0"/>
    <n v="4.4000000000000004"/>
    <n v="26600"/>
    <n v="26600"/>
    <n v="0"/>
    <n v="0"/>
    <n v="0.16541353383458648"/>
    <s v="Mid Range"/>
    <x v="0"/>
  </r>
  <r>
    <x v="10"/>
    <x v="522"/>
    <x v="349"/>
    <x v="0"/>
    <x v="2"/>
    <n v="4.4000000000000004"/>
    <n v="41900"/>
    <n v="41900"/>
    <n v="0"/>
    <n v="0"/>
    <n v="0.10501193317422435"/>
    <s v="Mid Range"/>
    <x v="0"/>
  </r>
  <r>
    <x v="10"/>
    <x v="463"/>
    <x v="5"/>
    <x v="0"/>
    <x v="0"/>
    <n v="4.3"/>
    <n v="14090"/>
    <n v="15500"/>
    <n v="1410"/>
    <n v="9.0967741935483876E-2"/>
    <n v="0.30518097941802691"/>
    <s v="Budget"/>
    <x v="0"/>
  </r>
  <r>
    <x v="10"/>
    <x v="525"/>
    <x v="57"/>
    <x v="0"/>
    <x v="0"/>
    <n v="4.4000000000000004"/>
    <n v="26600"/>
    <n v="26600"/>
    <n v="0"/>
    <n v="0"/>
    <n v="0.16541353383458648"/>
    <s v="Mid Range"/>
    <x v="0"/>
  </r>
  <r>
    <x v="10"/>
    <x v="463"/>
    <x v="5"/>
    <x v="0"/>
    <x v="1"/>
    <n v="4.3"/>
    <n v="13990"/>
    <n v="16590"/>
    <n v="2600"/>
    <n v="0.15672091621458711"/>
    <n v="0.30736240171551105"/>
    <s v="Budget"/>
    <x v="0"/>
  </r>
  <r>
    <x v="10"/>
    <x v="490"/>
    <x v="57"/>
    <x v="8"/>
    <x v="5"/>
    <n v="4"/>
    <n v="6990"/>
    <n v="6990"/>
    <n v="0"/>
    <n v="0"/>
    <n v="0.57224606580829762"/>
    <s v="Budget"/>
    <x v="1"/>
  </r>
  <r>
    <x v="10"/>
    <x v="432"/>
    <x v="36"/>
    <x v="1"/>
    <x v="1"/>
    <n v="4.2"/>
    <n v="15499"/>
    <n v="15499"/>
    <n v="0"/>
    <n v="0"/>
    <n v="0.27098522485321636"/>
    <s v="Mid Range"/>
    <x v="0"/>
  </r>
  <r>
    <x v="10"/>
    <x v="484"/>
    <x v="321"/>
    <x v="0"/>
    <x v="0"/>
    <n v="4.3"/>
    <n v="11990"/>
    <n v="12250"/>
    <n v="260"/>
    <n v="2.1224489795918369E-2"/>
    <n v="0.35863219349457881"/>
    <s v="Budget"/>
    <x v="0"/>
  </r>
  <r>
    <x v="10"/>
    <x v="435"/>
    <x v="5"/>
    <x v="2"/>
    <x v="2"/>
    <n v="4.3"/>
    <n v="10399"/>
    <n v="11000"/>
    <n v="601"/>
    <n v="5.4636363636363636E-2"/>
    <n v="0.41350129820175019"/>
    <s v="Budget"/>
    <x v="0"/>
  </r>
  <r>
    <x v="10"/>
    <x v="390"/>
    <x v="275"/>
    <x v="3"/>
    <x v="3"/>
    <n v="4.3"/>
    <n v="37999"/>
    <n v="43999"/>
    <n v="6000"/>
    <n v="0.13636673560762744"/>
    <n v="0.11316087265454354"/>
    <s v="Mid Range"/>
    <x v="0"/>
  </r>
  <r>
    <x v="10"/>
    <x v="425"/>
    <x v="350"/>
    <x v="3"/>
    <x v="1"/>
    <n v="4"/>
    <n v="49999"/>
    <n v="65999"/>
    <n v="16000"/>
    <n v="0.2424279155744784"/>
    <n v="8.0001600032000644E-2"/>
    <s v="Mid Range"/>
    <x v="1"/>
  </r>
  <r>
    <x v="10"/>
    <x v="526"/>
    <x v="351"/>
    <x v="4"/>
    <x v="4"/>
    <n v="3.7"/>
    <n v="27330"/>
    <n v="27330"/>
    <n v="0"/>
    <n v="0"/>
    <n v="0.13538236370289061"/>
    <s v="Mid Range"/>
    <x v="1"/>
  </r>
  <r>
    <x v="10"/>
    <x v="414"/>
    <x v="57"/>
    <x v="0"/>
    <x v="2"/>
    <n v="4.3"/>
    <n v="12499"/>
    <n v="22000"/>
    <n v="9501"/>
    <n v="0.43186363636363634"/>
    <n v="0.34402752220177613"/>
    <s v="Budget"/>
    <x v="0"/>
  </r>
  <r>
    <x v="10"/>
    <x v="426"/>
    <x v="287"/>
    <x v="0"/>
    <x v="0"/>
    <n v="4.3"/>
    <n v="18900"/>
    <n v="18900"/>
    <n v="0"/>
    <n v="0"/>
    <n v="0.2275132275132275"/>
    <s v="Mid Range"/>
    <x v="0"/>
  </r>
  <r>
    <x v="10"/>
    <x v="492"/>
    <x v="311"/>
    <x v="5"/>
    <x v="7"/>
    <n v="4.5999999999999996"/>
    <n v="95000"/>
    <n v="95000"/>
    <n v="0"/>
    <n v="0"/>
    <n v="4.8421052631578941E-2"/>
    <s v="Premium"/>
    <x v="2"/>
  </r>
  <r>
    <x v="10"/>
    <x v="517"/>
    <x v="311"/>
    <x v="3"/>
    <x v="3"/>
    <n v="4.5"/>
    <n v="73600"/>
    <n v="75000"/>
    <n v="1400"/>
    <n v="1.8666666666666668E-2"/>
    <n v="6.1141304347826095E-2"/>
    <s v="Premium"/>
    <x v="0"/>
  </r>
  <r>
    <x v="10"/>
    <x v="527"/>
    <x v="4"/>
    <x v="22"/>
    <x v="22"/>
    <n v="5"/>
    <n v="1949"/>
    <n v="1949"/>
    <n v="0"/>
    <n v="0"/>
    <n v="2.565418163160595"/>
    <s v="Budget"/>
    <x v="2"/>
  </r>
  <r>
    <x v="10"/>
    <x v="497"/>
    <x v="298"/>
    <x v="3"/>
    <x v="1"/>
    <n v="4.3"/>
    <n v="52905"/>
    <n v="52905"/>
    <n v="0"/>
    <n v="0"/>
    <n v="8.1277762026273501E-2"/>
    <s v="Premium"/>
    <x v="0"/>
  </r>
  <r>
    <x v="10"/>
    <x v="425"/>
    <x v="352"/>
    <x v="3"/>
    <x v="1"/>
    <n v="4"/>
    <n v="49999"/>
    <n v="65999"/>
    <n v="16000"/>
    <n v="0.2424279155744784"/>
    <n v="8.0001600032000644E-2"/>
    <s v="Mid Range"/>
    <x v="1"/>
  </r>
  <r>
    <x v="10"/>
    <x v="390"/>
    <x v="275"/>
    <x v="3"/>
    <x v="1"/>
    <n v="4.3"/>
    <n v="34999"/>
    <n v="41999"/>
    <n v="7000"/>
    <n v="0.16667063501511942"/>
    <n v="0.1228606531615189"/>
    <s v="Mid Range"/>
    <x v="0"/>
  </r>
  <r>
    <x v="10"/>
    <x v="528"/>
    <x v="57"/>
    <x v="4"/>
    <x v="4"/>
    <n v="4.2"/>
    <n v="10990"/>
    <n v="10990"/>
    <n v="0"/>
    <n v="0"/>
    <n v="0.38216560509554137"/>
    <s v="Budget"/>
    <x v="0"/>
  </r>
  <r>
    <x v="10"/>
    <x v="528"/>
    <x v="4"/>
    <x v="4"/>
    <x v="4"/>
    <n v="4.2"/>
    <n v="10990"/>
    <n v="10990"/>
    <n v="0"/>
    <n v="0"/>
    <n v="0.38216560509554137"/>
    <s v="Budget"/>
    <x v="0"/>
  </r>
  <r>
    <x v="10"/>
    <x v="528"/>
    <x v="75"/>
    <x v="4"/>
    <x v="4"/>
    <n v="4.2"/>
    <n v="10990"/>
    <n v="10990"/>
    <n v="0"/>
    <n v="0"/>
    <n v="0.38216560509554137"/>
    <s v="Budget"/>
    <x v="0"/>
  </r>
  <r>
    <x v="10"/>
    <x v="474"/>
    <x v="87"/>
    <x v="1"/>
    <x v="1"/>
    <n v="4.3"/>
    <n v="17194"/>
    <n v="17194"/>
    <n v="0"/>
    <n v="0"/>
    <n v="0.25008723973479119"/>
    <s v="Mid Range"/>
    <x v="0"/>
  </r>
  <r>
    <x v="10"/>
    <x v="448"/>
    <x v="4"/>
    <x v="0"/>
    <x v="0"/>
    <n v="4.3"/>
    <n v="21000"/>
    <n v="21000"/>
    <n v="0"/>
    <n v="0"/>
    <n v="0.20476190476190476"/>
    <s v="Mid Range"/>
    <x v="0"/>
  </r>
  <r>
    <x v="10"/>
    <x v="425"/>
    <x v="353"/>
    <x v="3"/>
    <x v="1"/>
    <n v="4"/>
    <n v="49999"/>
    <n v="65999"/>
    <n v="16000"/>
    <n v="0.2424279155744784"/>
    <n v="8.0001600032000644E-2"/>
    <s v="Mid Range"/>
    <x v="1"/>
  </r>
  <r>
    <x v="10"/>
    <x v="432"/>
    <x v="354"/>
    <x v="1"/>
    <x v="1"/>
    <n v="4.2"/>
    <n v="15499"/>
    <n v="15499"/>
    <n v="0"/>
    <n v="0"/>
    <n v="0.27098522485321636"/>
    <s v="Mid Range"/>
    <x v="0"/>
  </r>
  <r>
    <x v="10"/>
    <x v="451"/>
    <x v="4"/>
    <x v="8"/>
    <x v="5"/>
    <n v="4.0999999999999996"/>
    <n v="9999"/>
    <n v="9999"/>
    <n v="0"/>
    <n v="0"/>
    <n v="0.41004100410041"/>
    <s v="Budget"/>
    <x v="0"/>
  </r>
  <r>
    <x v="10"/>
    <x v="413"/>
    <x v="4"/>
    <x v="18"/>
    <x v="10"/>
    <n v="4.0999999999999996"/>
    <n v="2200"/>
    <n v="2200"/>
    <n v="0"/>
    <n v="0"/>
    <n v="1.8636363636363635"/>
    <s v="Budget"/>
    <x v="0"/>
  </r>
  <r>
    <x v="10"/>
    <x v="466"/>
    <x v="347"/>
    <x v="3"/>
    <x v="1"/>
    <n v="4.4000000000000004"/>
    <n v="71999"/>
    <n v="100999"/>
    <n v="29000"/>
    <n v="0.28713155575797777"/>
    <n v="6.111195988833179E-2"/>
    <s v="Premium"/>
    <x v="0"/>
  </r>
  <r>
    <x v="10"/>
    <x v="444"/>
    <x v="4"/>
    <x v="4"/>
    <x v="2"/>
    <n v="4.3"/>
    <n v="8700"/>
    <n v="8700"/>
    <n v="0"/>
    <n v="0"/>
    <n v="0.49425287356321834"/>
    <s v="Budget"/>
    <x v="0"/>
  </r>
  <r>
    <x v="10"/>
    <x v="529"/>
    <x v="4"/>
    <x v="11"/>
    <x v="22"/>
    <n v="4.2"/>
    <n v="3499"/>
    <n v="3499"/>
    <n v="0"/>
    <n v="0"/>
    <n v="1.2003429551300373"/>
    <s v="Budget"/>
    <x v="0"/>
  </r>
  <r>
    <x v="10"/>
    <x v="400"/>
    <x v="324"/>
    <x v="3"/>
    <x v="1"/>
    <n v="4.5999999999999996"/>
    <n v="39999"/>
    <n v="71000"/>
    <n v="31001"/>
    <n v="0.4366338028169014"/>
    <n v="0.11500287507187679"/>
    <s v="Mid Range"/>
    <x v="2"/>
  </r>
  <r>
    <x v="10"/>
    <x v="400"/>
    <x v="43"/>
    <x v="3"/>
    <x v="1"/>
    <n v="4.5999999999999996"/>
    <n v="39999"/>
    <n v="71000"/>
    <n v="31001"/>
    <n v="0.4366338028169014"/>
    <n v="0.11500287507187679"/>
    <s v="Mid Range"/>
    <x v="2"/>
  </r>
  <r>
    <x v="10"/>
    <x v="530"/>
    <x v="4"/>
    <x v="6"/>
    <x v="5"/>
    <n v="3.4"/>
    <n v="5590"/>
    <n v="5590"/>
    <n v="0"/>
    <n v="0"/>
    <n v="0.60822898032200357"/>
    <s v="Budget"/>
    <x v="3"/>
  </r>
  <r>
    <x v="10"/>
    <x v="424"/>
    <x v="4"/>
    <x v="2"/>
    <x v="2"/>
    <n v="4.2"/>
    <n v="15300"/>
    <n v="15300"/>
    <n v="0"/>
    <n v="0"/>
    <n v="0.2745098039215686"/>
    <s v="Mid Range"/>
    <x v="0"/>
  </r>
  <r>
    <x v="10"/>
    <x v="462"/>
    <x v="273"/>
    <x v="3"/>
    <x v="1"/>
    <n v="4.4000000000000004"/>
    <n v="29899"/>
    <n v="29899"/>
    <n v="0"/>
    <n v="0"/>
    <n v="0.14716211244523231"/>
    <s v="Mid Range"/>
    <x v="0"/>
  </r>
  <r>
    <x v="10"/>
    <x v="531"/>
    <x v="57"/>
    <x v="6"/>
    <x v="5"/>
    <n v="4"/>
    <n v="9833"/>
    <n v="9833"/>
    <n v="0"/>
    <n v="0"/>
    <n v="0.40679345062544492"/>
    <s v="Budget"/>
    <x v="1"/>
  </r>
  <r>
    <x v="10"/>
    <x v="484"/>
    <x v="87"/>
    <x v="2"/>
    <x v="2"/>
    <n v="4.3"/>
    <n v="10990"/>
    <n v="11290"/>
    <n v="300"/>
    <n v="2.6572187776793623E-2"/>
    <n v="0.39126478616924476"/>
    <s v="Budget"/>
    <x v="0"/>
  </r>
  <r>
    <x v="10"/>
    <x v="432"/>
    <x v="285"/>
    <x v="1"/>
    <x v="1"/>
    <n v="4.2"/>
    <n v="15990"/>
    <n v="15990"/>
    <n v="0"/>
    <n v="0"/>
    <n v="0.26266416510318952"/>
    <s v="Mid Range"/>
    <x v="0"/>
  </r>
  <r>
    <x v="10"/>
    <x v="435"/>
    <x v="355"/>
    <x v="0"/>
    <x v="0"/>
    <n v="4.4000000000000004"/>
    <n v="13589"/>
    <n v="16490"/>
    <n v="2901"/>
    <n v="0.17592480291085508"/>
    <n v="0.32379130178821108"/>
    <s v="Budget"/>
    <x v="0"/>
  </r>
  <r>
    <x v="10"/>
    <x v="468"/>
    <x v="310"/>
    <x v="3"/>
    <x v="1"/>
    <n v="4.3"/>
    <n v="69999"/>
    <n v="83999"/>
    <n v="14000"/>
    <n v="0.16666865081727164"/>
    <n v="6.1429448992128453E-2"/>
    <s v="Premium"/>
    <x v="0"/>
  </r>
  <r>
    <x v="10"/>
    <x v="423"/>
    <x v="4"/>
    <x v="2"/>
    <x v="2"/>
    <n v="4.3"/>
    <n v="11599"/>
    <n v="12900"/>
    <n v="1301"/>
    <n v="0.10085271317829457"/>
    <n v="0.37072161393223552"/>
    <s v="Budget"/>
    <x v="0"/>
  </r>
  <r>
    <x v="10"/>
    <x v="474"/>
    <x v="285"/>
    <x v="1"/>
    <x v="1"/>
    <n v="4.3"/>
    <n v="17259"/>
    <n v="17259"/>
    <n v="0"/>
    <n v="0"/>
    <n v="0.24914537342835621"/>
    <s v="Mid Range"/>
    <x v="0"/>
  </r>
  <r>
    <x v="10"/>
    <x v="463"/>
    <x v="4"/>
    <x v="0"/>
    <x v="1"/>
    <n v="4.3"/>
    <n v="15499"/>
    <n v="17999"/>
    <n v="2500"/>
    <n v="0.13889660536696483"/>
    <n v="0.27743725401638814"/>
    <s v="Mid Range"/>
    <x v="0"/>
  </r>
  <r>
    <x v="10"/>
    <x v="532"/>
    <x v="4"/>
    <x v="7"/>
    <x v="6"/>
    <n v="3.8"/>
    <n v="5795"/>
    <n v="5795"/>
    <n v="0"/>
    <n v="0"/>
    <n v="0.65573770491803274"/>
    <s v="Budget"/>
    <x v="1"/>
  </r>
  <r>
    <x v="10"/>
    <x v="435"/>
    <x v="4"/>
    <x v="2"/>
    <x v="2"/>
    <n v="4.3"/>
    <n v="10399"/>
    <n v="11000"/>
    <n v="601"/>
    <n v="5.4636363636363636E-2"/>
    <n v="0.41350129820175019"/>
    <s v="Budget"/>
    <x v="0"/>
  </r>
  <r>
    <x v="10"/>
    <x v="498"/>
    <x v="55"/>
    <x v="4"/>
    <x v="2"/>
    <n v="3.6"/>
    <n v="19999"/>
    <n v="19999"/>
    <n v="0"/>
    <n v="0"/>
    <n v="0.18000900045002249"/>
    <s v="Mid Range"/>
    <x v="1"/>
  </r>
  <r>
    <x v="10"/>
    <x v="496"/>
    <x v="75"/>
    <x v="6"/>
    <x v="5"/>
    <n v="4"/>
    <n v="7550"/>
    <n v="7550"/>
    <n v="0"/>
    <n v="0"/>
    <n v="0.5298013245033113"/>
    <s v="Budget"/>
    <x v="1"/>
  </r>
  <r>
    <x v="10"/>
    <x v="404"/>
    <x v="311"/>
    <x v="1"/>
    <x v="1"/>
    <n v="4.3"/>
    <n v="37999"/>
    <n v="43000"/>
    <n v="5001"/>
    <n v="0.11630232558139535"/>
    <n v="0.11316087265454354"/>
    <s v="Mid Range"/>
    <x v="0"/>
  </r>
  <r>
    <x v="10"/>
    <x v="427"/>
    <x v="57"/>
    <x v="0"/>
    <x v="0"/>
    <n v="4.4000000000000004"/>
    <n v="22300"/>
    <n v="22300"/>
    <n v="0"/>
    <n v="0"/>
    <n v="0.19730941704035876"/>
    <s v="Mid Range"/>
    <x v="0"/>
  </r>
  <r>
    <x v="10"/>
    <x v="390"/>
    <x v="270"/>
    <x v="3"/>
    <x v="3"/>
    <n v="4.3"/>
    <n v="37999"/>
    <n v="43999"/>
    <n v="6000"/>
    <n v="0.13636673560762744"/>
    <n v="0.11316087265454354"/>
    <s v="Mid Range"/>
    <x v="0"/>
  </r>
  <r>
    <x v="10"/>
    <x v="423"/>
    <x v="5"/>
    <x v="0"/>
    <x v="0"/>
    <n v="4.3"/>
    <n v="13695"/>
    <n v="14900"/>
    <n v="1205"/>
    <n v="8.0872483221476513E-2"/>
    <n v="0.31398320554947062"/>
    <s v="Budget"/>
    <x v="0"/>
  </r>
  <r>
    <x v="10"/>
    <x v="487"/>
    <x v="304"/>
    <x v="0"/>
    <x v="2"/>
    <n v="3.9"/>
    <n v="30495"/>
    <n v="30495"/>
    <n v="0"/>
    <n v="0"/>
    <n v="0.12788981800295129"/>
    <s v="Mid Range"/>
    <x v="1"/>
  </r>
  <r>
    <x v="10"/>
    <x v="457"/>
    <x v="347"/>
    <x v="5"/>
    <x v="3"/>
    <n v="4.5"/>
    <n v="105999"/>
    <n v="128999"/>
    <n v="23000"/>
    <n v="0.17829595578260296"/>
    <n v="4.2453230690855576E-2"/>
    <s v="Premium"/>
    <x v="0"/>
  </r>
  <r>
    <x v="10"/>
    <x v="484"/>
    <x v="321"/>
    <x v="2"/>
    <x v="2"/>
    <n v="4.3"/>
    <n v="10848"/>
    <n v="11290"/>
    <n v="442"/>
    <n v="3.9149689991142607E-2"/>
    <n v="0.39638643067846607"/>
    <s v="Budget"/>
    <x v="0"/>
  </r>
  <r>
    <x v="10"/>
    <x v="533"/>
    <x v="82"/>
    <x v="6"/>
    <x v="5"/>
    <n v="4.0999999999999996"/>
    <n v="5490"/>
    <n v="5490"/>
    <n v="0"/>
    <n v="0"/>
    <n v="0.74681238615664836"/>
    <s v="Budget"/>
    <x v="0"/>
  </r>
  <r>
    <x v="10"/>
    <x v="534"/>
    <x v="57"/>
    <x v="4"/>
    <x v="4"/>
    <n v="4.2"/>
    <n v="6480"/>
    <n v="7990"/>
    <n v="1510"/>
    <n v="0.18898623279098872"/>
    <n v="0.64814814814814814"/>
    <s v="Budget"/>
    <x v="0"/>
  </r>
  <r>
    <x v="10"/>
    <x v="473"/>
    <x v="321"/>
    <x v="4"/>
    <x v="4"/>
    <n v="4.3"/>
    <n v="8170"/>
    <n v="8170"/>
    <n v="0"/>
    <n v="0"/>
    <n v="0.52631578947368418"/>
    <s v="Budget"/>
    <x v="0"/>
  </r>
  <r>
    <x v="10"/>
    <x v="535"/>
    <x v="30"/>
    <x v="4"/>
    <x v="4"/>
    <n v="4.0999999999999996"/>
    <n v="17990"/>
    <n v="17990"/>
    <n v="0"/>
    <n v="0"/>
    <n v="0.22790439132851584"/>
    <s v="Mid Range"/>
    <x v="0"/>
  </r>
  <r>
    <x v="10"/>
    <x v="410"/>
    <x v="287"/>
    <x v="1"/>
    <x v="1"/>
    <n v="4.3"/>
    <n v="21099"/>
    <n v="26900"/>
    <n v="5801"/>
    <n v="0.21565055762081783"/>
    <n v="0.20380112801554576"/>
    <s v="Mid Range"/>
    <x v="0"/>
  </r>
  <r>
    <x v="10"/>
    <x v="448"/>
    <x v="4"/>
    <x v="1"/>
    <x v="0"/>
    <n v="4.4000000000000004"/>
    <n v="24000"/>
    <n v="24000"/>
    <n v="0"/>
    <n v="0"/>
    <n v="0.18333333333333335"/>
    <s v="Mid Range"/>
    <x v="0"/>
  </r>
  <r>
    <x v="10"/>
    <x v="463"/>
    <x v="75"/>
    <x v="1"/>
    <x v="1"/>
    <n v="4.0999999999999996"/>
    <n v="16999"/>
    <n v="16999"/>
    <n v="0"/>
    <n v="0"/>
    <n v="0.24119065827401609"/>
    <s v="Mid Range"/>
    <x v="0"/>
  </r>
  <r>
    <x v="10"/>
    <x v="471"/>
    <x v="356"/>
    <x v="3"/>
    <x v="1"/>
    <n v="4.4000000000000004"/>
    <n v="54999"/>
    <n v="83000"/>
    <n v="28001"/>
    <n v="0.33736144578313254"/>
    <n v="8.0001454571901318E-2"/>
    <s v="Premium"/>
    <x v="0"/>
  </r>
  <r>
    <x v="10"/>
    <x v="487"/>
    <x v="335"/>
    <x v="0"/>
    <x v="2"/>
    <n v="3.9"/>
    <n v="29990"/>
    <n v="29990"/>
    <n v="0"/>
    <n v="0"/>
    <n v="0.13004334778259419"/>
    <s v="Mid Range"/>
    <x v="1"/>
  </r>
  <r>
    <x v="10"/>
    <x v="487"/>
    <x v="335"/>
    <x v="0"/>
    <x v="0"/>
    <n v="3.9"/>
    <n v="49990"/>
    <n v="49990"/>
    <n v="0"/>
    <n v="0"/>
    <n v="7.8015603120624125E-2"/>
    <s v="Mid Range"/>
    <x v="1"/>
  </r>
  <r>
    <x v="10"/>
    <x v="414"/>
    <x v="4"/>
    <x v="0"/>
    <x v="2"/>
    <n v="4.3"/>
    <n v="12499"/>
    <n v="22990"/>
    <n v="10491"/>
    <n v="0.45632883862548934"/>
    <n v="0.34402752220177613"/>
    <s v="Budget"/>
    <x v="0"/>
  </r>
  <r>
    <x v="10"/>
    <x v="487"/>
    <x v="338"/>
    <x v="0"/>
    <x v="2"/>
    <n v="3.9"/>
    <n v="29990"/>
    <n v="29990"/>
    <n v="0"/>
    <n v="0"/>
    <n v="0.13004334778259419"/>
    <s v="Mid Range"/>
    <x v="1"/>
  </r>
  <r>
    <x v="10"/>
    <x v="533"/>
    <x v="223"/>
    <x v="6"/>
    <x v="5"/>
    <n v="4.0999999999999996"/>
    <n v="5490"/>
    <n v="9700"/>
    <n v="4210"/>
    <n v="0.43402061855670104"/>
    <n v="0.74681238615664836"/>
    <s v="Budget"/>
    <x v="0"/>
  </r>
  <r>
    <x v="10"/>
    <x v="536"/>
    <x v="357"/>
    <x v="7"/>
    <x v="6"/>
    <n v="3.8"/>
    <n v="4199"/>
    <n v="4199"/>
    <n v="0"/>
    <n v="0"/>
    <n v="0.90497737556561075"/>
    <s v="Budget"/>
    <x v="1"/>
  </r>
  <r>
    <x v="10"/>
    <x v="537"/>
    <x v="75"/>
    <x v="6"/>
    <x v="5"/>
    <n v="4"/>
    <n v="5999"/>
    <n v="5999"/>
    <n v="0"/>
    <n v="0"/>
    <n v="0.66677779629938327"/>
    <s v="Budget"/>
    <x v="1"/>
  </r>
  <r>
    <x v="10"/>
    <x v="399"/>
    <x v="275"/>
    <x v="1"/>
    <x v="1"/>
    <n v="4.0999999999999996"/>
    <n v="21999"/>
    <n v="24999"/>
    <n v="3000"/>
    <n v="0.12000480019200768"/>
    <n v="0.18637210782308283"/>
    <s v="Mid Range"/>
    <x v="0"/>
  </r>
  <r>
    <x v="10"/>
    <x v="426"/>
    <x v="290"/>
    <x v="0"/>
    <x v="0"/>
    <n v="4.3"/>
    <n v="18900"/>
    <n v="18900"/>
    <n v="0"/>
    <n v="0"/>
    <n v="0.2275132275132275"/>
    <s v="Mid Range"/>
    <x v="0"/>
  </r>
  <r>
    <x v="10"/>
    <x v="534"/>
    <x v="4"/>
    <x v="4"/>
    <x v="4"/>
    <n v="4.2"/>
    <n v="6990"/>
    <n v="6990"/>
    <n v="0"/>
    <n v="0"/>
    <n v="0.60085836909871249"/>
    <s v="Budget"/>
    <x v="0"/>
  </r>
  <r>
    <x v="10"/>
    <x v="481"/>
    <x v="286"/>
    <x v="2"/>
    <x v="2"/>
    <n v="4.4000000000000004"/>
    <n v="8990"/>
    <n v="10000"/>
    <n v="1010"/>
    <n v="0.10100000000000001"/>
    <n v="0.48943270300333713"/>
    <s v="Budget"/>
    <x v="0"/>
  </r>
  <r>
    <x v="10"/>
    <x v="538"/>
    <x v="358"/>
    <x v="2"/>
    <x v="2"/>
    <n v="3.3"/>
    <n v="30000"/>
    <n v="30000"/>
    <n v="0"/>
    <n v="0"/>
    <n v="0.10999999999999999"/>
    <s v="Mid Range"/>
    <x v="3"/>
  </r>
  <r>
    <x v="10"/>
    <x v="539"/>
    <x v="303"/>
    <x v="2"/>
    <x v="0"/>
    <n v="4"/>
    <n v="55900"/>
    <n v="55900"/>
    <n v="0"/>
    <n v="0"/>
    <n v="7.1556350626118065E-2"/>
    <s v="Premium"/>
    <x v="1"/>
  </r>
  <r>
    <x v="10"/>
    <x v="540"/>
    <x v="75"/>
    <x v="6"/>
    <x v="5"/>
    <n v="4"/>
    <n v="7992"/>
    <n v="7992"/>
    <n v="0"/>
    <n v="0"/>
    <n v="0.50050050050050054"/>
    <s v="Budget"/>
    <x v="1"/>
  </r>
  <r>
    <x v="10"/>
    <x v="452"/>
    <x v="43"/>
    <x v="3"/>
    <x v="1"/>
    <n v="4.5999999999999996"/>
    <n v="79000"/>
    <n v="79000"/>
    <n v="0"/>
    <n v="0"/>
    <n v="5.8227848101265821E-2"/>
    <s v="Premium"/>
    <x v="2"/>
  </r>
  <r>
    <x v="10"/>
    <x v="477"/>
    <x v="30"/>
    <x v="0"/>
    <x v="3"/>
    <n v="4.4000000000000004"/>
    <n v="65900"/>
    <n v="65900"/>
    <n v="0"/>
    <n v="0"/>
    <n v="6.676783004552353E-2"/>
    <s v="Premium"/>
    <x v="0"/>
  </r>
  <r>
    <x v="10"/>
    <x v="541"/>
    <x v="30"/>
    <x v="1"/>
    <x v="1"/>
    <n v="4.5999999999999996"/>
    <n v="48669"/>
    <n v="48669"/>
    <n v="0"/>
    <n v="0"/>
    <n v="9.451601635538022E-2"/>
    <s v="Mid Range"/>
    <x v="2"/>
  </r>
  <r>
    <x v="10"/>
    <x v="463"/>
    <x v="4"/>
    <x v="0"/>
    <x v="0"/>
    <n v="4.3"/>
    <n v="14069"/>
    <n v="15500"/>
    <n v="1431"/>
    <n v="9.2322580645161287E-2"/>
    <n v="0.30563650579287793"/>
    <s v="Budget"/>
    <x v="0"/>
  </r>
  <r>
    <x v="10"/>
    <x v="535"/>
    <x v="4"/>
    <x v="4"/>
    <x v="4"/>
    <n v="4.0999999999999996"/>
    <n v="14490"/>
    <n v="14490"/>
    <n v="0"/>
    <n v="0"/>
    <n v="0.28295376121463073"/>
    <s v="Budget"/>
    <x v="0"/>
  </r>
  <r>
    <x v="10"/>
    <x v="542"/>
    <x v="4"/>
    <x v="23"/>
    <x v="14"/>
    <n v="3.3"/>
    <n v="3400"/>
    <n v="3400"/>
    <n v="0"/>
    <n v="0"/>
    <n v="0.97058823529411764"/>
    <s v="Budget"/>
    <x v="3"/>
  </r>
  <r>
    <x v="10"/>
    <x v="426"/>
    <x v="294"/>
    <x v="0"/>
    <x v="1"/>
    <n v="4.3"/>
    <n v="19900"/>
    <n v="19900"/>
    <n v="0"/>
    <n v="0"/>
    <n v="0.21608040201005024"/>
    <s v="Mid Range"/>
    <x v="0"/>
  </r>
  <r>
    <x v="10"/>
    <x v="537"/>
    <x v="30"/>
    <x v="6"/>
    <x v="5"/>
    <n v="4"/>
    <n v="5999"/>
    <n v="5999"/>
    <n v="0"/>
    <n v="0"/>
    <n v="0.66677779629938327"/>
    <s v="Budget"/>
    <x v="1"/>
  </r>
  <r>
    <x v="10"/>
    <x v="531"/>
    <x v="75"/>
    <x v="6"/>
    <x v="5"/>
    <n v="4"/>
    <n v="7999"/>
    <n v="7999"/>
    <n v="0"/>
    <n v="0"/>
    <n v="0.50006250781347672"/>
    <s v="Budget"/>
    <x v="1"/>
  </r>
  <r>
    <x v="10"/>
    <x v="405"/>
    <x v="290"/>
    <x v="3"/>
    <x v="1"/>
    <n v="4.4000000000000004"/>
    <n v="27499"/>
    <n v="34999"/>
    <n v="7500"/>
    <n v="0.214291836909626"/>
    <n v="0.16000581839339614"/>
    <s v="Mid Range"/>
    <x v="0"/>
  </r>
  <r>
    <x v="10"/>
    <x v="396"/>
    <x v="324"/>
    <x v="3"/>
    <x v="1"/>
    <n v="4.5"/>
    <n v="40999"/>
    <n v="43999"/>
    <n v="3000"/>
    <n v="6.8183367803813719E-2"/>
    <n v="0.10975877460425865"/>
    <s v="Mid Range"/>
    <x v="0"/>
  </r>
  <r>
    <x v="10"/>
    <x v="519"/>
    <x v="358"/>
    <x v="2"/>
    <x v="2"/>
    <n v="4.0999999999999996"/>
    <n v="27990"/>
    <n v="27990"/>
    <n v="0"/>
    <n v="0"/>
    <n v="0.14648088603072523"/>
    <s v="Mid Range"/>
    <x v="0"/>
  </r>
  <r>
    <x v="10"/>
    <x v="502"/>
    <x v="359"/>
    <x v="1"/>
    <x v="0"/>
    <n v="4.5999999999999996"/>
    <n v="35990"/>
    <n v="74000"/>
    <n v="38010"/>
    <n v="0.51364864864864868"/>
    <n v="0.12781328146707419"/>
    <s v="Mid Range"/>
    <x v="2"/>
  </r>
  <r>
    <x v="10"/>
    <x v="523"/>
    <x v="75"/>
    <x v="1"/>
    <x v="0"/>
    <n v="4.3"/>
    <n v="18990"/>
    <n v="18990"/>
    <n v="0"/>
    <n v="0"/>
    <n v="0.22643496577145866"/>
    <s v="Mid Range"/>
    <x v="0"/>
  </r>
  <r>
    <x v="10"/>
    <x v="537"/>
    <x v="57"/>
    <x v="6"/>
    <x v="5"/>
    <n v="4"/>
    <n v="6999"/>
    <n v="6999"/>
    <n v="0"/>
    <n v="0"/>
    <n v="0.57151021574510652"/>
    <s v="Budget"/>
    <x v="1"/>
  </r>
  <r>
    <x v="10"/>
    <x v="456"/>
    <x v="338"/>
    <x v="2"/>
    <x v="2"/>
    <n v="4"/>
    <n v="29999"/>
    <n v="29999"/>
    <n v="0"/>
    <n v="0"/>
    <n v="0.13333777792593088"/>
    <s v="Mid Range"/>
    <x v="1"/>
  </r>
  <r>
    <x v="10"/>
    <x v="543"/>
    <x v="335"/>
    <x v="0"/>
    <x v="2"/>
    <n v="4.4000000000000004"/>
    <n v="23500"/>
    <n v="45500"/>
    <n v="22000"/>
    <n v="0.48351648351648352"/>
    <n v="0.18723404255319151"/>
    <s v="Mid Range"/>
    <x v="0"/>
  </r>
  <r>
    <x v="10"/>
    <x v="543"/>
    <x v="338"/>
    <x v="0"/>
    <x v="2"/>
    <n v="4.4000000000000004"/>
    <n v="22222"/>
    <n v="52000"/>
    <n v="29778"/>
    <n v="0.57265384615384618"/>
    <n v="0.19800198001980021"/>
    <s v="Mid Range"/>
    <x v="0"/>
  </r>
  <r>
    <x v="10"/>
    <x v="479"/>
    <x v="4"/>
    <x v="11"/>
    <x v="9"/>
    <n v="4.2"/>
    <n v="3285"/>
    <n v="3285"/>
    <n v="0"/>
    <n v="0"/>
    <n v="1.2785388127853881"/>
    <s v="Budget"/>
    <x v="0"/>
  </r>
  <r>
    <x v="10"/>
    <x v="524"/>
    <x v="360"/>
    <x v="8"/>
    <x v="4"/>
    <n v="4.3"/>
    <n v="13499"/>
    <n v="13500"/>
    <n v="1"/>
    <n v="7.4074074074074073E-5"/>
    <n v="0.31854211423068374"/>
    <s v="Budget"/>
    <x v="0"/>
  </r>
  <r>
    <x v="10"/>
    <x v="535"/>
    <x v="219"/>
    <x v="4"/>
    <x v="4"/>
    <n v="4.0999999999999996"/>
    <n v="17990"/>
    <n v="17990"/>
    <n v="0"/>
    <n v="0"/>
    <n v="0.22790439132851584"/>
    <s v="Mid Range"/>
    <x v="0"/>
  </r>
  <r>
    <x v="10"/>
    <x v="544"/>
    <x v="107"/>
    <x v="8"/>
    <x v="4"/>
    <n v="4.2"/>
    <n v="20400"/>
    <n v="20400"/>
    <n v="0"/>
    <n v="0"/>
    <n v="0.20588235294117649"/>
    <s v="Mid Range"/>
    <x v="0"/>
  </r>
  <r>
    <x v="10"/>
    <x v="491"/>
    <x v="82"/>
    <x v="4"/>
    <x v="4"/>
    <n v="4.2"/>
    <n v="8200"/>
    <n v="8200"/>
    <n v="0"/>
    <n v="0"/>
    <n v="0.51219512195121952"/>
    <s v="Budget"/>
    <x v="0"/>
  </r>
  <r>
    <x v="10"/>
    <x v="516"/>
    <x v="286"/>
    <x v="6"/>
    <x v="5"/>
    <n v="4"/>
    <n v="7999"/>
    <n v="7999"/>
    <n v="0"/>
    <n v="0"/>
    <n v="0.50006250781347672"/>
    <s v="Budget"/>
    <x v="1"/>
  </r>
  <r>
    <x v="10"/>
    <x v="459"/>
    <x v="333"/>
    <x v="2"/>
    <x v="2"/>
    <n v="3.8"/>
    <n v="25900"/>
    <n v="25900"/>
    <n v="0"/>
    <n v="0"/>
    <n v="0.14671814671814673"/>
    <s v="Mid Range"/>
    <x v="1"/>
  </r>
  <r>
    <x v="10"/>
    <x v="480"/>
    <x v="57"/>
    <x v="6"/>
    <x v="5"/>
    <n v="3.6"/>
    <n v="4790"/>
    <n v="4790"/>
    <n v="0"/>
    <n v="0"/>
    <n v="0.75156576200417535"/>
    <s v="Budget"/>
    <x v="1"/>
  </r>
  <r>
    <x v="10"/>
    <x v="519"/>
    <x v="361"/>
    <x v="2"/>
    <x v="2"/>
    <n v="4.0999999999999996"/>
    <n v="51000"/>
    <n v="51000"/>
    <n v="0"/>
    <n v="0"/>
    <n v="8.039215686274509E-2"/>
    <s v="Premium"/>
    <x v="0"/>
  </r>
  <r>
    <x v="10"/>
    <x v="435"/>
    <x v="295"/>
    <x v="1"/>
    <x v="1"/>
    <n v="4.3"/>
    <n v="15890"/>
    <n v="15990"/>
    <n v="100"/>
    <n v="6.2539086929330832E-3"/>
    <n v="0.27061044682190055"/>
    <s v="Mid Range"/>
    <x v="0"/>
  </r>
  <r>
    <x v="10"/>
    <x v="497"/>
    <x v="313"/>
    <x v="3"/>
    <x v="1"/>
    <n v="4.3"/>
    <n v="49980"/>
    <n v="49980"/>
    <n v="0"/>
    <n v="0"/>
    <n v="8.6034413765506204E-2"/>
    <s v="Mid Range"/>
    <x v="0"/>
  </r>
  <r>
    <x v="10"/>
    <x v="506"/>
    <x v="4"/>
    <x v="8"/>
    <x v="5"/>
    <n v="4.0999999999999996"/>
    <n v="8090"/>
    <n v="8090"/>
    <n v="0"/>
    <n v="0"/>
    <n v="0.50679851668726816"/>
    <s v="Budget"/>
    <x v="0"/>
  </r>
  <r>
    <x v="10"/>
    <x v="461"/>
    <x v="4"/>
    <x v="1"/>
    <x v="0"/>
    <n v="4.2"/>
    <n v="16860"/>
    <n v="34000"/>
    <n v="17140"/>
    <n v="0.50411764705882356"/>
    <n v="0.24911032028469751"/>
    <s v="Mid Range"/>
    <x v="0"/>
  </r>
  <r>
    <x v="10"/>
    <x v="489"/>
    <x v="57"/>
    <x v="0"/>
    <x v="2"/>
    <n v="4.3"/>
    <n v="19980"/>
    <n v="19980"/>
    <n v="0"/>
    <n v="0"/>
    <n v="0.21521521521521522"/>
    <s v="Mid Range"/>
    <x v="0"/>
  </r>
  <r>
    <x v="10"/>
    <x v="398"/>
    <x v="275"/>
    <x v="1"/>
    <x v="1"/>
    <n v="4.3"/>
    <n v="27499"/>
    <n v="30499"/>
    <n v="3000"/>
    <n v="9.836388078297649E-2"/>
    <n v="0.15636932252081892"/>
    <s v="Mid Range"/>
    <x v="0"/>
  </r>
  <r>
    <x v="10"/>
    <x v="539"/>
    <x v="304"/>
    <x v="2"/>
    <x v="2"/>
    <n v="4"/>
    <n v="33900"/>
    <n v="33900"/>
    <n v="0"/>
    <n v="0"/>
    <n v="0.11799410029498526"/>
    <s v="Mid Range"/>
    <x v="1"/>
  </r>
  <r>
    <x v="10"/>
    <x v="540"/>
    <x v="67"/>
    <x v="6"/>
    <x v="5"/>
    <n v="4"/>
    <n v="10899"/>
    <n v="10899"/>
    <n v="0"/>
    <n v="0"/>
    <n v="0.36700614735296816"/>
    <s v="Budget"/>
    <x v="1"/>
  </r>
  <r>
    <x v="10"/>
    <x v="398"/>
    <x v="275"/>
    <x v="3"/>
    <x v="1"/>
    <n v="4.4000000000000004"/>
    <n v="28999"/>
    <n v="31999"/>
    <n v="3000"/>
    <n v="9.3752929779055597E-2"/>
    <n v="0.15172936997827513"/>
    <s v="Mid Range"/>
    <x v="0"/>
  </r>
  <r>
    <x v="10"/>
    <x v="482"/>
    <x v="75"/>
    <x v="7"/>
    <x v="6"/>
    <n v="3.9"/>
    <n v="5110"/>
    <n v="5110"/>
    <n v="0"/>
    <n v="0"/>
    <n v="0.76320939334637961"/>
    <s v="Budget"/>
    <x v="1"/>
  </r>
  <r>
    <x v="10"/>
    <x v="435"/>
    <x v="355"/>
    <x v="1"/>
    <x v="1"/>
    <n v="4.3"/>
    <n v="15900"/>
    <n v="19590"/>
    <n v="3690"/>
    <n v="0.18836140888208269"/>
    <n v="0.27044025157232704"/>
    <s v="Mid Range"/>
    <x v="0"/>
  </r>
  <r>
    <x v="10"/>
    <x v="545"/>
    <x v="75"/>
    <x v="7"/>
    <x v="6"/>
    <n v="3.8"/>
    <n v="4199"/>
    <n v="4199"/>
    <n v="0"/>
    <n v="0"/>
    <n v="0.90497737556561075"/>
    <s v="Budget"/>
    <x v="1"/>
  </r>
  <r>
    <x v="10"/>
    <x v="491"/>
    <x v="57"/>
    <x v="4"/>
    <x v="4"/>
    <n v="4.2"/>
    <n v="8200"/>
    <n v="8200"/>
    <n v="0"/>
    <n v="0"/>
    <n v="0.51219512195121952"/>
    <s v="Budget"/>
    <x v="0"/>
  </r>
  <r>
    <x v="10"/>
    <x v="546"/>
    <x v="30"/>
    <x v="7"/>
    <x v="6"/>
    <n v="3.6"/>
    <n v="4999"/>
    <n v="4999"/>
    <n v="0"/>
    <n v="0"/>
    <n v="0.72014402880576123"/>
    <s v="Budget"/>
    <x v="1"/>
  </r>
  <r>
    <x v="10"/>
    <x v="547"/>
    <x v="362"/>
    <x v="6"/>
    <x v="5"/>
    <n v="3"/>
    <n v="8999"/>
    <n v="8999"/>
    <n v="0"/>
    <n v="0"/>
    <n v="0.333370374486054"/>
    <s v="Budget"/>
    <x v="3"/>
  </r>
  <r>
    <x v="10"/>
    <x v="463"/>
    <x v="5"/>
    <x v="1"/>
    <x v="1"/>
    <n v="4.0999999999999996"/>
    <n v="15990"/>
    <n v="15990"/>
    <n v="0"/>
    <n v="0"/>
    <n v="0.25641025641025639"/>
    <s v="Mid Range"/>
    <x v="0"/>
  </r>
  <r>
    <x v="10"/>
    <x v="544"/>
    <x v="75"/>
    <x v="8"/>
    <x v="4"/>
    <n v="4.2"/>
    <n v="8490"/>
    <n v="8490"/>
    <n v="0"/>
    <n v="0"/>
    <n v="0.4946996466431095"/>
    <s v="Budget"/>
    <x v="0"/>
  </r>
  <r>
    <x v="10"/>
    <x v="548"/>
    <x v="302"/>
    <x v="6"/>
    <x v="5"/>
    <n v="4"/>
    <n v="6999"/>
    <n v="6999"/>
    <n v="0"/>
    <n v="0"/>
    <n v="0.57151021574510652"/>
    <s v="Budget"/>
    <x v="1"/>
  </r>
  <r>
    <x v="10"/>
    <x v="520"/>
    <x v="4"/>
    <x v="4"/>
    <x v="4"/>
    <n v="4.0999999999999996"/>
    <n v="6549"/>
    <n v="9490"/>
    <n v="2941"/>
    <n v="0.30990516332982088"/>
    <n v="0.62604977859215138"/>
    <s v="Budget"/>
    <x v="0"/>
  </r>
  <r>
    <x v="10"/>
    <x v="549"/>
    <x v="286"/>
    <x v="6"/>
    <x v="5"/>
    <n v="4"/>
    <n v="8999"/>
    <n v="8999"/>
    <n v="0"/>
    <n v="0"/>
    <n v="0.44449383264807202"/>
    <s v="Budget"/>
    <x v="1"/>
  </r>
  <r>
    <x v="10"/>
    <x v="463"/>
    <x v="4"/>
    <x v="0"/>
    <x v="0"/>
    <n v="4.3"/>
    <n v="14990"/>
    <n v="14990"/>
    <n v="0"/>
    <n v="0"/>
    <n v="0.28685790527018012"/>
    <s v="Budget"/>
    <x v="0"/>
  </r>
  <r>
    <x v="10"/>
    <x v="427"/>
    <x v="30"/>
    <x v="4"/>
    <x v="4"/>
    <n v="4.0999999999999996"/>
    <n v="19990"/>
    <n v="19990"/>
    <n v="0"/>
    <n v="0"/>
    <n v="0.20510255127563781"/>
    <s v="Mid Range"/>
    <x v="0"/>
  </r>
  <r>
    <x v="10"/>
    <x v="442"/>
    <x v="356"/>
    <x v="5"/>
    <x v="1"/>
    <n v="4.2"/>
    <n v="70490"/>
    <n v="70999"/>
    <n v="509"/>
    <n v="7.1691150579585626E-3"/>
    <n v="5.9582919563058591E-2"/>
    <s v="Premium"/>
    <x v="0"/>
  </r>
  <r>
    <x v="10"/>
    <x v="427"/>
    <x v="176"/>
    <x v="4"/>
    <x v="4"/>
    <n v="4.0999999999999996"/>
    <n v="19990"/>
    <n v="19990"/>
    <n v="0"/>
    <n v="0"/>
    <n v="0.20510255127563781"/>
    <s v="Mid Range"/>
    <x v="0"/>
  </r>
  <r>
    <x v="10"/>
    <x v="532"/>
    <x v="302"/>
    <x v="7"/>
    <x v="6"/>
    <n v="3.8"/>
    <n v="5490"/>
    <n v="5490"/>
    <n v="0"/>
    <n v="0"/>
    <n v="0.69216757741347901"/>
    <s v="Budget"/>
    <x v="1"/>
  </r>
  <r>
    <x v="10"/>
    <x v="550"/>
    <x v="4"/>
    <x v="8"/>
    <x v="5"/>
    <n v="3.8"/>
    <n v="26000"/>
    <n v="26000"/>
    <n v="0"/>
    <n v="0"/>
    <n v="0.14615384615384616"/>
    <s v="Mid Range"/>
    <x v="1"/>
  </r>
  <r>
    <x v="10"/>
    <x v="496"/>
    <x v="75"/>
    <x v="7"/>
    <x v="6"/>
    <n v="4"/>
    <n v="6190"/>
    <n v="6190"/>
    <n v="0"/>
    <n v="0"/>
    <n v="0.64620355411954766"/>
    <s v="Budget"/>
    <x v="1"/>
  </r>
  <r>
    <x v="10"/>
    <x v="510"/>
    <x v="30"/>
    <x v="6"/>
    <x v="4"/>
    <n v="4"/>
    <n v="9999"/>
    <n v="9999"/>
    <n v="0"/>
    <n v="0"/>
    <n v="0.40004000400040007"/>
    <s v="Budget"/>
    <x v="1"/>
  </r>
  <r>
    <x v="10"/>
    <x v="448"/>
    <x v="5"/>
    <x v="0"/>
    <x v="0"/>
    <n v="4.3"/>
    <n v="21000"/>
    <n v="21000"/>
    <n v="0"/>
    <n v="0"/>
    <n v="0.20476190476190476"/>
    <s v="Mid Range"/>
    <x v="0"/>
  </r>
  <r>
    <x v="10"/>
    <x v="551"/>
    <x v="338"/>
    <x v="0"/>
    <x v="2"/>
    <n v="4.0999999999999996"/>
    <n v="39899"/>
    <n v="39899"/>
    <n v="0"/>
    <n v="0"/>
    <n v="0.10275946765583097"/>
    <s v="Mid Range"/>
    <x v="0"/>
  </r>
  <r>
    <x v="10"/>
    <x v="427"/>
    <x v="4"/>
    <x v="0"/>
    <x v="0"/>
    <n v="4.4000000000000004"/>
    <n v="22300"/>
    <n v="22300"/>
    <n v="0"/>
    <n v="0"/>
    <n v="0.19730941704035876"/>
    <s v="Mid Range"/>
    <x v="0"/>
  </r>
  <r>
    <x v="10"/>
    <x v="519"/>
    <x v="363"/>
    <x v="2"/>
    <x v="2"/>
    <n v="4.0999999999999996"/>
    <n v="49990"/>
    <n v="49990"/>
    <n v="0"/>
    <n v="0"/>
    <n v="8.2016403280656125E-2"/>
    <s v="Mid Range"/>
    <x v="0"/>
  </r>
  <r>
    <x v="10"/>
    <x v="446"/>
    <x v="364"/>
    <x v="1"/>
    <x v="1"/>
    <n v="4.0999999999999996"/>
    <n v="15490"/>
    <n v="15490"/>
    <n v="0"/>
    <n v="0"/>
    <n v="0.26468689477081986"/>
    <s v="Mid Range"/>
    <x v="0"/>
  </r>
  <r>
    <x v="10"/>
    <x v="501"/>
    <x v="5"/>
    <x v="4"/>
    <x v="4"/>
    <n v="4.3"/>
    <n v="18340"/>
    <n v="18340"/>
    <n v="0"/>
    <n v="0"/>
    <n v="0.23446019629225734"/>
    <s v="Mid Range"/>
    <x v="0"/>
  </r>
  <r>
    <x v="10"/>
    <x v="504"/>
    <x v="82"/>
    <x v="6"/>
    <x v="5"/>
    <n v="3.3"/>
    <n v="4999"/>
    <n v="8999"/>
    <n v="4000"/>
    <n v="0.44449383264807202"/>
    <n v="0.66013202640528101"/>
    <s v="Budget"/>
    <x v="3"/>
  </r>
  <r>
    <x v="10"/>
    <x v="535"/>
    <x v="176"/>
    <x v="4"/>
    <x v="4"/>
    <n v="4.0999999999999996"/>
    <n v="17990"/>
    <n v="17990"/>
    <n v="0"/>
    <n v="0"/>
    <n v="0.22790439132851584"/>
    <s v="Mid Range"/>
    <x v="0"/>
  </r>
  <r>
    <x v="10"/>
    <x v="548"/>
    <x v="365"/>
    <x v="6"/>
    <x v="5"/>
    <n v="4"/>
    <n v="5999"/>
    <n v="5999"/>
    <n v="0"/>
    <n v="0"/>
    <n v="0.66677779629938327"/>
    <s v="Budget"/>
    <x v="1"/>
  </r>
  <r>
    <x v="10"/>
    <x v="502"/>
    <x v="30"/>
    <x v="1"/>
    <x v="0"/>
    <n v="4.5999999999999996"/>
    <n v="34899"/>
    <n v="74000"/>
    <n v="39101"/>
    <n v="0.52839189189189184"/>
    <n v="0.13180893435341987"/>
    <s v="Mid Range"/>
    <x v="2"/>
  </r>
  <r>
    <x v="10"/>
    <x v="544"/>
    <x v="4"/>
    <x v="8"/>
    <x v="4"/>
    <n v="4.2"/>
    <n v="9890"/>
    <n v="9890"/>
    <n v="0"/>
    <n v="0"/>
    <n v="0.42467138523761377"/>
    <s v="Budget"/>
    <x v="0"/>
  </r>
  <r>
    <x v="10"/>
    <x v="552"/>
    <x v="75"/>
    <x v="9"/>
    <x v="6"/>
    <n v="3.9"/>
    <n v="5940"/>
    <n v="5940"/>
    <n v="0"/>
    <n v="0"/>
    <n v="0.65656565656565657"/>
    <s v="Budget"/>
    <x v="1"/>
  </r>
  <r>
    <x v="10"/>
    <x v="451"/>
    <x v="75"/>
    <x v="8"/>
    <x v="5"/>
    <n v="4.0999999999999996"/>
    <n v="10990"/>
    <n v="10990"/>
    <n v="0"/>
    <n v="0"/>
    <n v="0.37306642402183798"/>
    <s v="Budget"/>
    <x v="0"/>
  </r>
  <r>
    <x v="10"/>
    <x v="522"/>
    <x v="338"/>
    <x v="0"/>
    <x v="2"/>
    <n v="4.4000000000000004"/>
    <n v="41900"/>
    <n v="41900"/>
    <n v="0"/>
    <n v="0"/>
    <n v="0.10501193317422435"/>
    <s v="Mid Range"/>
    <x v="0"/>
  </r>
  <r>
    <x v="10"/>
    <x v="533"/>
    <x v="82"/>
    <x v="6"/>
    <x v="5"/>
    <n v="4.0999999999999996"/>
    <n v="6995"/>
    <n v="6995"/>
    <n v="0"/>
    <n v="0"/>
    <n v="0.58613295210864902"/>
    <s v="Budget"/>
    <x v="0"/>
  </r>
  <r>
    <x v="10"/>
    <x v="546"/>
    <x v="302"/>
    <x v="7"/>
    <x v="6"/>
    <n v="3.6"/>
    <n v="4999"/>
    <n v="4999"/>
    <n v="0"/>
    <n v="0"/>
    <n v="0.72014402880576123"/>
    <s v="Budget"/>
    <x v="1"/>
  </r>
  <r>
    <x v="10"/>
    <x v="545"/>
    <x v="30"/>
    <x v="7"/>
    <x v="6"/>
    <n v="3.8"/>
    <n v="4299"/>
    <n v="4299"/>
    <n v="0"/>
    <n v="0"/>
    <n v="0.88392649453361249"/>
    <s v="Budget"/>
    <x v="1"/>
  </r>
  <r>
    <x v="10"/>
    <x v="474"/>
    <x v="87"/>
    <x v="1"/>
    <x v="0"/>
    <n v="4.3"/>
    <n v="16000"/>
    <n v="16000"/>
    <n v="0"/>
    <n v="0"/>
    <n v="0.26874999999999999"/>
    <s v="Mid Range"/>
    <x v="0"/>
  </r>
  <r>
    <x v="10"/>
    <x v="456"/>
    <x v="4"/>
    <x v="2"/>
    <x v="0"/>
    <n v="4"/>
    <n v="39999"/>
    <n v="39999"/>
    <n v="0"/>
    <n v="0"/>
    <n v="0.10000250006250157"/>
    <s v="Mid Range"/>
    <x v="1"/>
  </r>
  <r>
    <x v="10"/>
    <x v="495"/>
    <x v="4"/>
    <x v="7"/>
    <x v="6"/>
    <n v="3.8"/>
    <n v="3500"/>
    <n v="3500"/>
    <n v="0"/>
    <n v="0"/>
    <n v="1.0857142857142856"/>
    <s v="Budget"/>
    <x v="1"/>
  </r>
  <r>
    <x v="10"/>
    <x v="546"/>
    <x v="351"/>
    <x v="7"/>
    <x v="6"/>
    <n v="3.6"/>
    <n v="6999"/>
    <n v="8740"/>
    <n v="1741"/>
    <n v="0.19919908466819222"/>
    <n v="0.51435919417059572"/>
    <s v="Budget"/>
    <x v="1"/>
  </r>
  <r>
    <x v="10"/>
    <x v="524"/>
    <x v="4"/>
    <x v="8"/>
    <x v="4"/>
    <n v="4.3"/>
    <n v="13499"/>
    <n v="13499"/>
    <n v="0"/>
    <n v="0"/>
    <n v="0.31854211423068374"/>
    <s v="Budget"/>
    <x v="0"/>
  </r>
  <r>
    <x v="10"/>
    <x v="501"/>
    <x v="75"/>
    <x v="4"/>
    <x v="4"/>
    <n v="4.3"/>
    <n v="12999"/>
    <n v="12999"/>
    <n v="0"/>
    <n v="0"/>
    <n v="0.33079467651357791"/>
    <s v="Budget"/>
    <x v="0"/>
  </r>
  <r>
    <x v="10"/>
    <x v="553"/>
    <x v="366"/>
    <x v="7"/>
    <x v="6"/>
    <n v="3.9"/>
    <n v="5000"/>
    <n v="5000"/>
    <n v="0"/>
    <n v="0"/>
    <n v="0.78"/>
    <s v="Budget"/>
    <x v="1"/>
  </r>
  <r>
    <x v="10"/>
    <x v="554"/>
    <x v="367"/>
    <x v="7"/>
    <x v="6"/>
    <n v="4"/>
    <n v="5999"/>
    <n v="5999"/>
    <n v="0"/>
    <n v="0"/>
    <n v="0.66677779629938327"/>
    <s v="Budget"/>
    <x v="1"/>
  </r>
  <r>
    <x v="10"/>
    <x v="555"/>
    <x v="75"/>
    <x v="8"/>
    <x v="5"/>
    <n v="3.8"/>
    <n v="19999"/>
    <n v="19999"/>
    <n v="0"/>
    <n v="0"/>
    <n v="0.19000950047502374"/>
    <s v="Mid Range"/>
    <x v="1"/>
  </r>
  <r>
    <x v="10"/>
    <x v="552"/>
    <x v="4"/>
    <x v="9"/>
    <x v="6"/>
    <n v="3.9"/>
    <n v="5920"/>
    <n v="5920"/>
    <n v="0"/>
    <n v="0"/>
    <n v="0.65878378378378377"/>
    <s v="Budget"/>
    <x v="1"/>
  </r>
  <r>
    <x v="10"/>
    <x v="554"/>
    <x v="4"/>
    <x v="7"/>
    <x v="6"/>
    <n v="4"/>
    <n v="5999"/>
    <n v="5999"/>
    <n v="0"/>
    <n v="0"/>
    <n v="0.66677779629938327"/>
    <s v="Budget"/>
    <x v="1"/>
  </r>
  <r>
    <x v="10"/>
    <x v="511"/>
    <x v="75"/>
    <x v="4"/>
    <x v="4"/>
    <n v="4.2"/>
    <n v="11250"/>
    <n v="11250"/>
    <n v="0"/>
    <n v="0"/>
    <n v="0.37333333333333335"/>
    <s v="Budget"/>
    <x v="0"/>
  </r>
  <r>
    <x v="10"/>
    <x v="543"/>
    <x v="349"/>
    <x v="0"/>
    <x v="2"/>
    <n v="4.4000000000000004"/>
    <n v="24999"/>
    <n v="24999"/>
    <n v="0"/>
    <n v="0"/>
    <n v="0.17600704028161127"/>
    <s v="Mid Range"/>
    <x v="0"/>
  </r>
  <r>
    <x v="10"/>
    <x v="504"/>
    <x v="4"/>
    <x v="6"/>
    <x v="5"/>
    <n v="3.3"/>
    <n v="4999"/>
    <n v="4999"/>
    <n v="0"/>
    <n v="0"/>
    <n v="0.66013202640528101"/>
    <s v="Budget"/>
    <x v="3"/>
  </r>
  <r>
    <x v="10"/>
    <x v="556"/>
    <x v="67"/>
    <x v="6"/>
    <x v="5"/>
    <n v="3.9"/>
    <n v="8250"/>
    <n v="8250"/>
    <n v="0"/>
    <n v="0"/>
    <n v="0.47272727272727272"/>
    <s v="Budget"/>
    <x v="1"/>
  </r>
  <r>
    <x v="10"/>
    <x v="539"/>
    <x v="338"/>
    <x v="2"/>
    <x v="2"/>
    <n v="4"/>
    <n v="33900"/>
    <n v="33900"/>
    <n v="0"/>
    <n v="0"/>
    <n v="0.11799410029498526"/>
    <s v="Mid Range"/>
    <x v="1"/>
  </r>
  <r>
    <x v="10"/>
    <x v="557"/>
    <x v="368"/>
    <x v="0"/>
    <x v="1"/>
    <n v="4.3"/>
    <n v="36900"/>
    <n v="36900"/>
    <n v="0"/>
    <n v="0"/>
    <n v="0.11653116531165311"/>
    <s v="Mid Range"/>
    <x v="0"/>
  </r>
  <r>
    <x v="10"/>
    <x v="558"/>
    <x v="335"/>
    <x v="0"/>
    <x v="2"/>
    <n v="4.2"/>
    <n v="34999"/>
    <n v="34999"/>
    <n v="0"/>
    <n v="0"/>
    <n v="0.12000342866939057"/>
    <s v="Mid Range"/>
    <x v="0"/>
  </r>
  <r>
    <x v="10"/>
    <x v="558"/>
    <x v="338"/>
    <x v="0"/>
    <x v="2"/>
    <n v="4.2"/>
    <n v="28000"/>
    <n v="61988"/>
    <n v="33988"/>
    <n v="0.54829967090404597"/>
    <n v="0.15000000000000002"/>
    <s v="Mid Range"/>
    <x v="0"/>
  </r>
  <r>
    <x v="10"/>
    <x v="522"/>
    <x v="369"/>
    <x v="0"/>
    <x v="2"/>
    <n v="4.4000000000000004"/>
    <n v="36900"/>
    <n v="36900"/>
    <n v="0"/>
    <n v="0"/>
    <n v="0.11924119241192413"/>
    <s v="Mid Range"/>
    <x v="0"/>
  </r>
  <r>
    <x v="11"/>
    <x v="559"/>
    <x v="4"/>
    <x v="4"/>
    <x v="4"/>
    <n v="4"/>
    <n v="7999"/>
    <n v="7999"/>
    <n v="0"/>
    <n v="0"/>
    <n v="0.50006250781347672"/>
    <s v="Budget"/>
    <x v="1"/>
  </r>
  <r>
    <x v="11"/>
    <x v="560"/>
    <x v="370"/>
    <x v="2"/>
    <x v="2"/>
    <n v="4.2"/>
    <n v="10999"/>
    <n v="10999"/>
    <n v="0"/>
    <n v="0"/>
    <n v="0.38185289571779252"/>
    <s v="Budget"/>
    <x v="0"/>
  </r>
  <r>
    <x v="11"/>
    <x v="561"/>
    <x v="125"/>
    <x v="4"/>
    <x v="4"/>
    <n v="4"/>
    <n v="7999"/>
    <n v="7999"/>
    <n v="0"/>
    <n v="0"/>
    <n v="0.50006250781347672"/>
    <s v="Budget"/>
    <x v="1"/>
  </r>
  <r>
    <x v="11"/>
    <x v="562"/>
    <x v="82"/>
    <x v="6"/>
    <x v="5"/>
    <n v="4.3"/>
    <n v="13604"/>
    <n v="13604"/>
    <n v="0"/>
    <n v="0"/>
    <n v="0.31608350485151426"/>
    <s v="Budget"/>
    <x v="0"/>
  </r>
  <r>
    <x v="11"/>
    <x v="560"/>
    <x v="371"/>
    <x v="2"/>
    <x v="2"/>
    <n v="4.2"/>
    <n v="10999"/>
    <n v="10999"/>
    <n v="0"/>
    <n v="0"/>
    <n v="0.38185289571779252"/>
    <s v="Budget"/>
    <x v="0"/>
  </r>
  <r>
    <x v="11"/>
    <x v="561"/>
    <x v="4"/>
    <x v="4"/>
    <x v="4"/>
    <n v="4"/>
    <n v="9900"/>
    <n v="9900"/>
    <n v="0"/>
    <n v="0"/>
    <n v="0.40404040404040403"/>
    <s v="Budget"/>
    <x v="1"/>
  </r>
  <r>
    <x v="11"/>
    <x v="563"/>
    <x v="4"/>
    <x v="7"/>
    <x v="20"/>
    <n v="3.7"/>
    <n v="5499"/>
    <n v="5499"/>
    <n v="0"/>
    <n v="0"/>
    <n v="0.67284960901982171"/>
    <s v="Budget"/>
    <x v="1"/>
  </r>
  <r>
    <x v="11"/>
    <x v="564"/>
    <x v="4"/>
    <x v="4"/>
    <x v="2"/>
    <n v="4"/>
    <n v="7490"/>
    <n v="8490"/>
    <n v="1000"/>
    <n v="0.11778563015312132"/>
    <n v="0.53404539385847793"/>
    <s v="Budget"/>
    <x v="1"/>
  </r>
  <r>
    <x v="11"/>
    <x v="564"/>
    <x v="5"/>
    <x v="4"/>
    <x v="2"/>
    <n v="4"/>
    <n v="6950"/>
    <n v="8490"/>
    <n v="1540"/>
    <n v="0.18138987043580684"/>
    <n v="0.57553956834532372"/>
    <s v="Budget"/>
    <x v="1"/>
  </r>
  <r>
    <x v="11"/>
    <x v="565"/>
    <x v="57"/>
    <x v="2"/>
    <x v="2"/>
    <n v="4.0999999999999996"/>
    <n v="7999"/>
    <n v="7999"/>
    <n v="0"/>
    <n v="0"/>
    <n v="0.51256407050881359"/>
    <s v="Budget"/>
    <x v="0"/>
  </r>
  <r>
    <x v="11"/>
    <x v="565"/>
    <x v="4"/>
    <x v="4"/>
    <x v="4"/>
    <n v="4.0999999999999996"/>
    <n v="6999"/>
    <n v="6999"/>
    <n v="0"/>
    <n v="0"/>
    <n v="0.58579797113873411"/>
    <s v="Budget"/>
    <x v="0"/>
  </r>
  <r>
    <x v="11"/>
    <x v="566"/>
    <x v="75"/>
    <x v="6"/>
    <x v="5"/>
    <n v="3.9"/>
    <n v="4990"/>
    <n v="4990"/>
    <n v="0"/>
    <n v="0"/>
    <n v="0.78156312625250501"/>
    <s v="Budget"/>
    <x v="1"/>
  </r>
  <r>
    <x v="11"/>
    <x v="567"/>
    <x v="67"/>
    <x v="2"/>
    <x v="2"/>
    <n v="3.7"/>
    <n v="9799"/>
    <n v="9799"/>
    <n v="0"/>
    <n v="0"/>
    <n v="0.37758954995407695"/>
    <s v="Budget"/>
    <x v="1"/>
  </r>
  <r>
    <x v="11"/>
    <x v="568"/>
    <x v="4"/>
    <x v="4"/>
    <x v="4"/>
    <n v="3.9"/>
    <n v="6499"/>
    <n v="6499"/>
    <n v="0"/>
    <n v="0"/>
    <n v="0.60009232189567618"/>
    <s v="Budget"/>
    <x v="1"/>
  </r>
  <r>
    <x v="11"/>
    <x v="569"/>
    <x v="370"/>
    <x v="2"/>
    <x v="2"/>
    <n v="4.0999999999999996"/>
    <n v="7490"/>
    <n v="7490"/>
    <n v="0"/>
    <n v="0"/>
    <n v="0.54739652870493982"/>
    <s v="Budget"/>
    <x v="0"/>
  </r>
  <r>
    <x v="11"/>
    <x v="570"/>
    <x v="4"/>
    <x v="2"/>
    <x v="2"/>
    <n v="4.2"/>
    <n v="9999"/>
    <n v="9999"/>
    <n v="0"/>
    <n v="0"/>
    <n v="0.42004200420042004"/>
    <s v="Budget"/>
    <x v="0"/>
  </r>
  <r>
    <x v="11"/>
    <x v="561"/>
    <x v="75"/>
    <x v="4"/>
    <x v="4"/>
    <n v="4"/>
    <n v="7000"/>
    <n v="7000"/>
    <n v="0"/>
    <n v="0"/>
    <n v="0.57142857142857151"/>
    <s v="Budget"/>
    <x v="1"/>
  </r>
  <r>
    <x v="11"/>
    <x v="571"/>
    <x v="75"/>
    <x v="4"/>
    <x v="4"/>
    <n v="4.0999999999999996"/>
    <n v="6999"/>
    <n v="6999"/>
    <n v="0"/>
    <n v="0"/>
    <n v="0.58579797113873411"/>
    <s v="Budget"/>
    <x v="0"/>
  </r>
  <r>
    <x v="11"/>
    <x v="571"/>
    <x v="4"/>
    <x v="4"/>
    <x v="4"/>
    <n v="4.0999999999999996"/>
    <n v="6999"/>
    <n v="6999"/>
    <n v="0"/>
    <n v="0"/>
    <n v="0.58579797113873411"/>
    <s v="Budget"/>
    <x v="0"/>
  </r>
  <r>
    <x v="11"/>
    <x v="569"/>
    <x v="370"/>
    <x v="0"/>
    <x v="0"/>
    <n v="4.0999999999999996"/>
    <n v="8499"/>
    <n v="8499"/>
    <n v="0"/>
    <n v="0"/>
    <n v="0.4824096952582656"/>
    <s v="Budget"/>
    <x v="0"/>
  </r>
  <r>
    <x v="11"/>
    <x v="569"/>
    <x v="371"/>
    <x v="0"/>
    <x v="0"/>
    <n v="4.0999999999999996"/>
    <n v="12999"/>
    <n v="12999"/>
    <n v="0"/>
    <n v="0"/>
    <n v="0.31540887760596964"/>
    <s v="Budget"/>
    <x v="0"/>
  </r>
  <r>
    <x v="11"/>
    <x v="572"/>
    <x v="4"/>
    <x v="0"/>
    <x v="0"/>
    <n v="3.8"/>
    <n v="19999"/>
    <n v="19999"/>
    <n v="0"/>
    <n v="0"/>
    <n v="0.19000950047502374"/>
    <s v="Mid Range"/>
    <x v="1"/>
  </r>
  <r>
    <x v="11"/>
    <x v="564"/>
    <x v="4"/>
    <x v="0"/>
    <x v="0"/>
    <n v="3.9"/>
    <n v="8490"/>
    <n v="9999"/>
    <n v="1509"/>
    <n v="0.15091509150915092"/>
    <n v="0.45936395759717313"/>
    <s v="Budget"/>
    <x v="1"/>
  </r>
  <r>
    <x v="11"/>
    <x v="564"/>
    <x v="5"/>
    <x v="0"/>
    <x v="0"/>
    <n v="3.9"/>
    <n v="7990"/>
    <n v="9999"/>
    <n v="2009"/>
    <n v="0.20092009200920091"/>
    <n v="0.48811013767209011"/>
    <s v="Budget"/>
    <x v="1"/>
  </r>
  <r>
    <x v="11"/>
    <x v="564"/>
    <x v="5"/>
    <x v="0"/>
    <x v="0"/>
    <n v="3.9"/>
    <n v="7990"/>
    <n v="9999"/>
    <n v="2009"/>
    <n v="0.20092009200920091"/>
    <n v="0.48811013767209011"/>
    <s v="Budget"/>
    <x v="1"/>
  </r>
  <r>
    <x v="11"/>
    <x v="573"/>
    <x v="67"/>
    <x v="2"/>
    <x v="2"/>
    <n v="4.0999999999999996"/>
    <n v="10999"/>
    <n v="10999"/>
    <n v="0"/>
    <n v="0"/>
    <n v="0.37276116010546406"/>
    <s v="Budget"/>
    <x v="0"/>
  </r>
  <r>
    <x v="11"/>
    <x v="573"/>
    <x v="67"/>
    <x v="0"/>
    <x v="2"/>
    <n v="4.0999999999999996"/>
    <n v="12499"/>
    <n v="12499"/>
    <n v="0"/>
    <n v="0"/>
    <n v="0.32802624209936793"/>
    <s v="Budget"/>
    <x v="0"/>
  </r>
  <r>
    <x v="11"/>
    <x v="566"/>
    <x v="4"/>
    <x v="6"/>
    <x v="5"/>
    <n v="3.9"/>
    <n v="5490"/>
    <n v="5490"/>
    <n v="0"/>
    <n v="0"/>
    <n v="0.7103825136612022"/>
    <s v="Budget"/>
    <x v="1"/>
  </r>
  <r>
    <x v="11"/>
    <x v="574"/>
    <x v="4"/>
    <x v="6"/>
    <x v="5"/>
    <n v="3.8"/>
    <n v="4890"/>
    <n v="4890"/>
    <n v="0"/>
    <n v="0"/>
    <n v="0.77709611451942739"/>
    <s v="Budget"/>
    <x v="1"/>
  </r>
  <r>
    <x v="11"/>
    <x v="569"/>
    <x v="371"/>
    <x v="2"/>
    <x v="2"/>
    <n v="4.0999999999999996"/>
    <n v="7819"/>
    <n v="7819"/>
    <n v="0"/>
    <n v="0"/>
    <n v="0.52436372937715814"/>
    <s v="Budget"/>
    <x v="0"/>
  </r>
  <r>
    <x v="11"/>
    <x v="573"/>
    <x v="57"/>
    <x v="0"/>
    <x v="0"/>
    <n v="4.0999999999999996"/>
    <n v="13499"/>
    <n v="13499"/>
    <n v="0"/>
    <n v="0"/>
    <n v="0.30372620194088445"/>
    <s v="Budget"/>
    <x v="0"/>
  </r>
  <r>
    <x v="11"/>
    <x v="575"/>
    <x v="75"/>
    <x v="6"/>
    <x v="4"/>
    <n v="4"/>
    <n v="18499"/>
    <n v="18499"/>
    <n v="0"/>
    <n v="0"/>
    <n v="0.21622790421103844"/>
    <s v="Mid Range"/>
    <x v="1"/>
  </r>
  <r>
    <x v="11"/>
    <x v="576"/>
    <x v="4"/>
    <x v="6"/>
    <x v="4"/>
    <n v="3.8"/>
    <n v="5499"/>
    <n v="5499"/>
    <n v="0"/>
    <n v="0"/>
    <n v="0.69103473358792511"/>
    <s v="Budget"/>
    <x v="1"/>
  </r>
  <r>
    <x v="11"/>
    <x v="577"/>
    <x v="75"/>
    <x v="6"/>
    <x v="5"/>
    <n v="4"/>
    <n v="9999"/>
    <n v="9999"/>
    <n v="0"/>
    <n v="0"/>
    <n v="0.40004000400040007"/>
    <s v="Budget"/>
    <x v="1"/>
  </r>
  <r>
    <x v="11"/>
    <x v="578"/>
    <x v="75"/>
    <x v="4"/>
    <x v="4"/>
    <n v="3.9"/>
    <n v="6266"/>
    <n v="6266"/>
    <n v="0"/>
    <n v="0"/>
    <n v="0.62240663900414939"/>
    <s v="Budget"/>
    <x v="1"/>
  </r>
  <r>
    <x v="11"/>
    <x v="579"/>
    <x v="4"/>
    <x v="6"/>
    <x v="5"/>
    <n v="3.8"/>
    <n v="7700"/>
    <n v="7700"/>
    <n v="0"/>
    <n v="0"/>
    <n v="0.4935064935064935"/>
    <s v="Budget"/>
    <x v="1"/>
  </r>
  <r>
    <x v="11"/>
    <x v="580"/>
    <x v="75"/>
    <x v="4"/>
    <x v="5"/>
    <n v="4"/>
    <n v="8999"/>
    <n v="8999"/>
    <n v="0"/>
    <n v="0"/>
    <n v="0.44449383264807202"/>
    <s v="Budget"/>
    <x v="1"/>
  </r>
  <r>
    <x v="11"/>
    <x v="581"/>
    <x v="4"/>
    <x v="0"/>
    <x v="0"/>
    <n v="4.0999999999999996"/>
    <n v="16999"/>
    <n v="16999"/>
    <n v="0"/>
    <n v="0"/>
    <n v="0.24119065827401609"/>
    <s v="Mid Range"/>
    <x v="0"/>
  </r>
  <r>
    <x v="11"/>
    <x v="580"/>
    <x v="4"/>
    <x v="4"/>
    <x v="5"/>
    <n v="4"/>
    <n v="5499"/>
    <n v="5499"/>
    <n v="0"/>
    <n v="0"/>
    <n v="0.72740498272413168"/>
    <s v="Budget"/>
    <x v="1"/>
  </r>
  <r>
    <x v="11"/>
    <x v="582"/>
    <x v="4"/>
    <x v="4"/>
    <x v="4"/>
    <n v="3.8"/>
    <n v="5999"/>
    <n v="5999"/>
    <n v="0"/>
    <n v="0"/>
    <n v="0.63343890648441403"/>
    <s v="Budget"/>
    <x v="1"/>
  </r>
  <r>
    <x v="11"/>
    <x v="583"/>
    <x v="82"/>
    <x v="4"/>
    <x v="4"/>
    <n v="4"/>
    <n v="8499"/>
    <n v="8499"/>
    <n v="0"/>
    <n v="0"/>
    <n v="0.4706436051300153"/>
    <s v="Budget"/>
    <x v="1"/>
  </r>
  <r>
    <x v="11"/>
    <x v="583"/>
    <x v="244"/>
    <x v="4"/>
    <x v="4"/>
    <n v="4"/>
    <n v="8499"/>
    <n v="8499"/>
    <n v="0"/>
    <n v="0"/>
    <n v="0.4706436051300153"/>
    <s v="Budget"/>
    <x v="1"/>
  </r>
  <r>
    <x v="11"/>
    <x v="583"/>
    <x v="244"/>
    <x v="2"/>
    <x v="4"/>
    <n v="4"/>
    <n v="7999"/>
    <n v="7999"/>
    <n v="0"/>
    <n v="0"/>
    <n v="0.50006250781347672"/>
    <s v="Budget"/>
    <x v="1"/>
  </r>
  <r>
    <x v="11"/>
    <x v="583"/>
    <x v="82"/>
    <x v="2"/>
    <x v="4"/>
    <n v="4"/>
    <n v="8499"/>
    <n v="8499"/>
    <n v="0"/>
    <n v="0"/>
    <n v="0.4706436051300153"/>
    <s v="Budget"/>
    <x v="1"/>
  </r>
  <r>
    <x v="11"/>
    <x v="583"/>
    <x v="57"/>
    <x v="2"/>
    <x v="4"/>
    <n v="4"/>
    <n v="7999"/>
    <n v="7999"/>
    <n v="0"/>
    <n v="0"/>
    <n v="0.50006250781347672"/>
    <s v="Budget"/>
    <x v="1"/>
  </r>
  <r>
    <x v="11"/>
    <x v="575"/>
    <x v="215"/>
    <x v="6"/>
    <x v="4"/>
    <n v="4"/>
    <n v="15999"/>
    <n v="15999"/>
    <n v="0"/>
    <n v="0"/>
    <n v="0.25001562597662352"/>
    <s v="Mid Range"/>
    <x v="1"/>
  </r>
  <r>
    <x v="11"/>
    <x v="584"/>
    <x v="67"/>
    <x v="0"/>
    <x v="2"/>
    <n v="4"/>
    <n v="9150"/>
    <n v="9150"/>
    <n v="0"/>
    <n v="0"/>
    <n v="0.43715846994535518"/>
    <s v="Budget"/>
    <x v="1"/>
  </r>
  <r>
    <x v="11"/>
    <x v="585"/>
    <x v="67"/>
    <x v="0"/>
    <x v="2"/>
    <n v="4"/>
    <n v="8999"/>
    <n v="8999"/>
    <n v="0"/>
    <n v="0"/>
    <n v="0.44449383264807202"/>
    <s v="Budget"/>
    <x v="1"/>
  </r>
  <r>
    <x v="11"/>
    <x v="573"/>
    <x v="82"/>
    <x v="2"/>
    <x v="2"/>
    <n v="4.0999999999999996"/>
    <n v="10999"/>
    <n v="10999"/>
    <n v="0"/>
    <n v="0"/>
    <n v="0.37276116010546406"/>
    <s v="Budget"/>
    <x v="0"/>
  </r>
  <r>
    <x v="11"/>
    <x v="586"/>
    <x v="57"/>
    <x v="4"/>
    <x v="2"/>
    <n v="3.7"/>
    <n v="17499"/>
    <n v="17499"/>
    <n v="0"/>
    <n v="0"/>
    <n v="0.21144065375164295"/>
    <s v="Mid Range"/>
    <x v="1"/>
  </r>
  <r>
    <x v="11"/>
    <x v="566"/>
    <x v="67"/>
    <x v="6"/>
    <x v="5"/>
    <n v="3.9"/>
    <n v="5499"/>
    <n v="5499"/>
    <n v="0"/>
    <n v="0"/>
    <n v="0.70921985815602828"/>
    <s v="Budget"/>
    <x v="1"/>
  </r>
  <r>
    <x v="11"/>
    <x v="573"/>
    <x v="57"/>
    <x v="2"/>
    <x v="2"/>
    <n v="4.0999999999999996"/>
    <n v="10999"/>
    <n v="10999"/>
    <n v="0"/>
    <n v="0"/>
    <n v="0.37276116010546406"/>
    <s v="Budget"/>
    <x v="0"/>
  </r>
  <r>
    <x v="11"/>
    <x v="585"/>
    <x v="372"/>
    <x v="2"/>
    <x v="2"/>
    <n v="4.0999999999999996"/>
    <n v="7499"/>
    <n v="7499"/>
    <n v="0"/>
    <n v="0"/>
    <n v="0.54673956527537004"/>
    <s v="Budget"/>
    <x v="0"/>
  </r>
  <r>
    <x v="11"/>
    <x v="584"/>
    <x v="57"/>
    <x v="0"/>
    <x v="2"/>
    <n v="4"/>
    <n v="7490"/>
    <n v="7490"/>
    <n v="0"/>
    <n v="0"/>
    <n v="0.53404539385847793"/>
    <s v="Budget"/>
    <x v="1"/>
  </r>
  <r>
    <x v="11"/>
    <x v="584"/>
    <x v="82"/>
    <x v="2"/>
    <x v="2"/>
    <n v="4.0999999999999996"/>
    <n v="7490"/>
    <n v="14890"/>
    <n v="7400"/>
    <n v="0.49697783747481533"/>
    <n v="0.54739652870493982"/>
    <s v="Budget"/>
    <x v="0"/>
  </r>
  <r>
    <x v="11"/>
    <x v="584"/>
    <x v="57"/>
    <x v="2"/>
    <x v="2"/>
    <n v="4.0999999999999996"/>
    <n v="6250"/>
    <n v="6250"/>
    <n v="0"/>
    <n v="0"/>
    <n v="0.65599999999999992"/>
    <s v="Budget"/>
    <x v="0"/>
  </r>
  <r>
    <x v="11"/>
    <x v="572"/>
    <x v="75"/>
    <x v="0"/>
    <x v="0"/>
    <n v="3.8"/>
    <n v="19999"/>
    <n v="19999"/>
    <n v="0"/>
    <n v="0"/>
    <n v="0.19000950047502374"/>
    <s v="Mid Range"/>
    <x v="1"/>
  </r>
  <r>
    <x v="11"/>
    <x v="579"/>
    <x v="75"/>
    <x v="6"/>
    <x v="5"/>
    <n v="3.8"/>
    <n v="9999"/>
    <n v="9999"/>
    <n v="0"/>
    <n v="0"/>
    <n v="0.38003800380038"/>
    <s v="Budget"/>
    <x v="1"/>
  </r>
  <r>
    <x v="11"/>
    <x v="587"/>
    <x v="4"/>
    <x v="0"/>
    <x v="0"/>
    <n v="4.0999999999999996"/>
    <n v="13999"/>
    <n v="13999"/>
    <n v="0"/>
    <n v="0"/>
    <n v="0.2928780627187656"/>
    <s v="Budget"/>
    <x v="0"/>
  </r>
  <r>
    <x v="11"/>
    <x v="588"/>
    <x v="67"/>
    <x v="6"/>
    <x v="6"/>
    <n v="4.3"/>
    <n v="12899"/>
    <n v="12899"/>
    <n v="0"/>
    <n v="0"/>
    <n v="0.33335917512985502"/>
    <s v="Budget"/>
    <x v="0"/>
  </r>
  <r>
    <x v="11"/>
    <x v="589"/>
    <x v="67"/>
    <x v="4"/>
    <x v="2"/>
    <n v="4.0999999999999996"/>
    <n v="15999"/>
    <n v="15999"/>
    <n v="0"/>
    <n v="0"/>
    <n v="0.25626601662603909"/>
    <s v="Mid Range"/>
    <x v="0"/>
  </r>
  <r>
    <x v="11"/>
    <x v="590"/>
    <x v="373"/>
    <x v="2"/>
    <x v="4"/>
    <n v="3.9"/>
    <n v="7999"/>
    <n v="7999"/>
    <n v="0"/>
    <n v="0"/>
    <n v="0.48756094511813974"/>
    <s v="Budget"/>
    <x v="1"/>
  </r>
  <r>
    <x v="11"/>
    <x v="566"/>
    <x v="4"/>
    <x v="6"/>
    <x v="5"/>
    <n v="3.9"/>
    <n v="4599"/>
    <n v="4599"/>
    <n v="0"/>
    <n v="0"/>
    <n v="0.84801043705153289"/>
    <s v="Budget"/>
    <x v="1"/>
  </r>
  <r>
    <x v="11"/>
    <x v="591"/>
    <x v="57"/>
    <x v="6"/>
    <x v="5"/>
    <n v="4"/>
    <n v="14999"/>
    <n v="14999"/>
    <n v="0"/>
    <n v="0"/>
    <n v="0.26668444562970867"/>
    <s v="Budget"/>
    <x v="1"/>
  </r>
  <r>
    <x v="11"/>
    <x v="592"/>
    <x v="374"/>
    <x v="2"/>
    <x v="2"/>
    <n v="4"/>
    <n v="29999"/>
    <n v="29999"/>
    <n v="0"/>
    <n v="0"/>
    <n v="0.13333777792593088"/>
    <s v="Mid Range"/>
    <x v="1"/>
  </r>
  <r>
    <x v="11"/>
    <x v="565"/>
    <x v="57"/>
    <x v="4"/>
    <x v="4"/>
    <n v="4.0999999999999996"/>
    <n v="6999"/>
    <n v="6999"/>
    <n v="0"/>
    <n v="0"/>
    <n v="0.58579797113873411"/>
    <s v="Budget"/>
    <x v="0"/>
  </r>
  <r>
    <x v="11"/>
    <x v="565"/>
    <x v="4"/>
    <x v="2"/>
    <x v="2"/>
    <n v="4.0999999999999996"/>
    <n v="7999"/>
    <n v="7999"/>
    <n v="0"/>
    <n v="0"/>
    <n v="0.51256407050881359"/>
    <s v="Budget"/>
    <x v="0"/>
  </r>
  <r>
    <x v="11"/>
    <x v="593"/>
    <x v="57"/>
    <x v="0"/>
    <x v="0"/>
    <n v="4.0999999999999996"/>
    <n v="11999"/>
    <n v="11999"/>
    <n v="0"/>
    <n v="0"/>
    <n v="0.34169514126177181"/>
    <s v="Budget"/>
    <x v="0"/>
  </r>
  <r>
    <x v="11"/>
    <x v="570"/>
    <x v="5"/>
    <x v="2"/>
    <x v="2"/>
    <n v="4.2"/>
    <n v="9999"/>
    <n v="9999"/>
    <n v="0"/>
    <n v="0"/>
    <n v="0.42004200420042004"/>
    <s v="Budget"/>
    <x v="0"/>
  </r>
  <r>
    <x v="11"/>
    <x v="594"/>
    <x v="336"/>
    <x v="6"/>
    <x v="6"/>
    <n v="4.0999999999999996"/>
    <n v="15410"/>
    <n v="15410"/>
    <n v="0"/>
    <n v="0"/>
    <n v="0.26606099935107069"/>
    <s v="Mid Range"/>
    <x v="0"/>
  </r>
  <r>
    <x v="11"/>
    <x v="595"/>
    <x v="75"/>
    <x v="6"/>
    <x v="6"/>
    <n v="4.0999999999999996"/>
    <n v="15999"/>
    <n v="15999"/>
    <n v="0"/>
    <n v="0"/>
    <n v="0.25626601662603909"/>
    <s v="Mid Range"/>
    <x v="0"/>
  </r>
  <r>
    <x v="11"/>
    <x v="596"/>
    <x v="75"/>
    <x v="7"/>
    <x v="6"/>
    <n v="3.7"/>
    <n v="7580"/>
    <n v="7580"/>
    <n v="0"/>
    <n v="0"/>
    <n v="0.48812664907651715"/>
    <s v="Budget"/>
    <x v="1"/>
  </r>
  <r>
    <x v="11"/>
    <x v="587"/>
    <x v="375"/>
    <x v="0"/>
    <x v="0"/>
    <n v="4.0999999999999996"/>
    <n v="13999"/>
    <n v="13999"/>
    <n v="0"/>
    <n v="0"/>
    <n v="0.2928780627187656"/>
    <s v="Budget"/>
    <x v="0"/>
  </r>
  <r>
    <x v="11"/>
    <x v="560"/>
    <x v="370"/>
    <x v="0"/>
    <x v="2"/>
    <n v="4.0999999999999996"/>
    <n v="11999"/>
    <n v="11999"/>
    <n v="0"/>
    <n v="0"/>
    <n v="0.34169514126177181"/>
    <s v="Budget"/>
    <x v="0"/>
  </r>
  <r>
    <x v="11"/>
    <x v="573"/>
    <x v="82"/>
    <x v="0"/>
    <x v="2"/>
    <n v="4.0999999999999996"/>
    <n v="12499"/>
    <n v="12499"/>
    <n v="0"/>
    <n v="0"/>
    <n v="0.32802624209936793"/>
    <s v="Budget"/>
    <x v="0"/>
  </r>
  <r>
    <x v="11"/>
    <x v="597"/>
    <x v="57"/>
    <x v="0"/>
    <x v="2"/>
    <n v="4.3"/>
    <n v="17999"/>
    <n v="17999"/>
    <n v="0"/>
    <n v="0"/>
    <n v="0.23890216123117949"/>
    <s v="Mid Range"/>
    <x v="0"/>
  </r>
  <r>
    <x v="11"/>
    <x v="597"/>
    <x v="67"/>
    <x v="0"/>
    <x v="2"/>
    <n v="4.3"/>
    <n v="17999"/>
    <n v="17999"/>
    <n v="0"/>
    <n v="0"/>
    <n v="0.23890216123117949"/>
    <s v="Mid Range"/>
    <x v="0"/>
  </r>
  <r>
    <x v="11"/>
    <x v="598"/>
    <x v="4"/>
    <x v="6"/>
    <x v="6"/>
    <n v="3.8"/>
    <n v="7499"/>
    <n v="7499"/>
    <n v="0"/>
    <n v="0"/>
    <n v="0.50673423123083072"/>
    <s v="Budget"/>
    <x v="1"/>
  </r>
  <r>
    <x v="11"/>
    <x v="581"/>
    <x v="4"/>
    <x v="1"/>
    <x v="1"/>
    <n v="4.0999999999999996"/>
    <n v="18999"/>
    <n v="18999"/>
    <n v="0"/>
    <n v="0"/>
    <n v="0.21580083162271696"/>
    <s v="Mid Range"/>
    <x v="0"/>
  </r>
  <r>
    <x v="11"/>
    <x v="560"/>
    <x v="371"/>
    <x v="0"/>
    <x v="2"/>
    <n v="4.0999999999999996"/>
    <n v="11999"/>
    <n v="11999"/>
    <n v="0"/>
    <n v="0"/>
    <n v="0.34169514126177181"/>
    <s v="Budget"/>
    <x v="0"/>
  </r>
  <r>
    <x v="11"/>
    <x v="599"/>
    <x v="4"/>
    <x v="2"/>
    <x v="2"/>
    <n v="4.2"/>
    <n v="9999"/>
    <n v="9999"/>
    <n v="0"/>
    <n v="0"/>
    <n v="0.42004200420042004"/>
    <s v="Budget"/>
    <x v="0"/>
  </r>
  <r>
    <x v="11"/>
    <x v="597"/>
    <x v="67"/>
    <x v="2"/>
    <x v="2"/>
    <n v="4.3"/>
    <n v="16999"/>
    <n v="16999"/>
    <n v="0"/>
    <n v="0"/>
    <n v="0.25295605623860223"/>
    <s v="Mid Range"/>
    <x v="0"/>
  </r>
  <r>
    <x v="11"/>
    <x v="597"/>
    <x v="57"/>
    <x v="2"/>
    <x v="2"/>
    <n v="4.3"/>
    <n v="16999"/>
    <n v="16999"/>
    <n v="0"/>
    <n v="0"/>
    <n v="0.25295605623860223"/>
    <s v="Mid Range"/>
    <x v="0"/>
  </r>
  <r>
    <x v="11"/>
    <x v="599"/>
    <x v="5"/>
    <x v="2"/>
    <x v="2"/>
    <n v="4.2"/>
    <n v="9999"/>
    <n v="9999"/>
    <n v="0"/>
    <n v="0"/>
    <n v="0.42004200420042004"/>
    <s v="Budget"/>
    <x v="0"/>
  </r>
  <r>
    <x v="11"/>
    <x v="600"/>
    <x v="82"/>
    <x v="2"/>
    <x v="2"/>
    <n v="3.7"/>
    <n v="7650"/>
    <n v="7650"/>
    <n v="0"/>
    <n v="0"/>
    <n v="0.48366013071895431"/>
    <s v="Budget"/>
    <x v="1"/>
  </r>
  <r>
    <x v="11"/>
    <x v="601"/>
    <x v="4"/>
    <x v="6"/>
    <x v="5"/>
    <n v="3.8"/>
    <n v="3549"/>
    <n v="3549"/>
    <n v="0"/>
    <n v="0"/>
    <n v="1.0707241476472245"/>
    <s v="Budget"/>
    <x v="1"/>
  </r>
  <r>
    <x v="11"/>
    <x v="572"/>
    <x v="75"/>
    <x v="2"/>
    <x v="2"/>
    <n v="3.9"/>
    <n v="17999"/>
    <n v="17999"/>
    <n v="0"/>
    <n v="0"/>
    <n v="0.21667870437246511"/>
    <s v="Mid Range"/>
    <x v="1"/>
  </r>
  <r>
    <x v="11"/>
    <x v="116"/>
    <x v="371"/>
    <x v="2"/>
    <x v="2"/>
    <n v="4.0999999999999996"/>
    <n v="7490"/>
    <n v="11499"/>
    <n v="4009"/>
    <n v="0.34863901208800763"/>
    <n v="0.54739652870493982"/>
    <s v="Budget"/>
    <x v="0"/>
  </r>
  <r>
    <x v="11"/>
    <x v="116"/>
    <x v="370"/>
    <x v="2"/>
    <x v="2"/>
    <n v="4.0999999999999996"/>
    <n v="6990"/>
    <n v="6990"/>
    <n v="0"/>
    <n v="0"/>
    <n v="0.58655221745350494"/>
    <s v="Budget"/>
    <x v="0"/>
  </r>
  <r>
    <x v="11"/>
    <x v="572"/>
    <x v="4"/>
    <x v="2"/>
    <x v="2"/>
    <n v="3.9"/>
    <n v="8250"/>
    <n v="8250"/>
    <n v="0"/>
    <n v="0"/>
    <n v="0.47272727272727272"/>
    <s v="Budget"/>
    <x v="1"/>
  </r>
  <r>
    <x v="11"/>
    <x v="602"/>
    <x v="39"/>
    <x v="4"/>
    <x v="4"/>
    <n v="4.0999999999999996"/>
    <n v="7499"/>
    <n v="7499"/>
    <n v="0"/>
    <n v="0"/>
    <n v="0.54673956527537004"/>
    <s v="Budget"/>
    <x v="0"/>
  </r>
  <r>
    <x v="11"/>
    <x v="602"/>
    <x v="4"/>
    <x v="4"/>
    <x v="4"/>
    <n v="4.0999999999999996"/>
    <n v="7499"/>
    <n v="7499"/>
    <n v="0"/>
    <n v="0"/>
    <n v="0.54673956527537004"/>
    <s v="Budget"/>
    <x v="0"/>
  </r>
  <r>
    <x v="11"/>
    <x v="602"/>
    <x v="75"/>
    <x v="4"/>
    <x v="4"/>
    <n v="4.0999999999999996"/>
    <n v="7499"/>
    <n v="7499"/>
    <n v="0"/>
    <n v="0"/>
    <n v="0.54673956527537004"/>
    <s v="Budget"/>
    <x v="0"/>
  </r>
  <r>
    <x v="11"/>
    <x v="577"/>
    <x v="4"/>
    <x v="6"/>
    <x v="5"/>
    <n v="4"/>
    <n v="6499"/>
    <n v="6499"/>
    <n v="0"/>
    <n v="0"/>
    <n v="0.61547930450838595"/>
    <s v="Budget"/>
    <x v="1"/>
  </r>
  <r>
    <x v="11"/>
    <x v="603"/>
    <x v="336"/>
    <x v="6"/>
    <x v="5"/>
    <n v="4.0999999999999996"/>
    <n v="19999"/>
    <n v="19999"/>
    <n v="0"/>
    <n v="0"/>
    <n v="0.20501025051252561"/>
    <s v="Mid Range"/>
    <x v="0"/>
  </r>
  <r>
    <x v="11"/>
    <x v="593"/>
    <x v="4"/>
    <x v="0"/>
    <x v="0"/>
    <n v="4.0999999999999996"/>
    <n v="11999"/>
    <n v="11999"/>
    <n v="0"/>
    <n v="0"/>
    <n v="0.34169514126177181"/>
    <s v="Budget"/>
    <x v="0"/>
  </r>
  <r>
    <x v="11"/>
    <x v="593"/>
    <x v="4"/>
    <x v="0"/>
    <x v="0"/>
    <n v="4.0999999999999996"/>
    <n v="11999"/>
    <n v="11999"/>
    <n v="0"/>
    <n v="0"/>
    <n v="0.34169514126177181"/>
    <s v="Budget"/>
    <x v="0"/>
  </r>
  <r>
    <x v="11"/>
    <x v="584"/>
    <x v="82"/>
    <x v="0"/>
    <x v="2"/>
    <n v="4"/>
    <n v="7599"/>
    <n v="7599"/>
    <n v="0"/>
    <n v="0"/>
    <n v="0.5263850506645612"/>
    <s v="Budget"/>
    <x v="1"/>
  </r>
  <r>
    <x v="11"/>
    <x v="582"/>
    <x v="75"/>
    <x v="4"/>
    <x v="4"/>
    <n v="3.8"/>
    <n v="8999"/>
    <n v="8999"/>
    <n v="0"/>
    <n v="0"/>
    <n v="0.42226914101566843"/>
    <s v="Budget"/>
    <x v="1"/>
  </r>
  <r>
    <x v="11"/>
    <x v="600"/>
    <x v="67"/>
    <x v="2"/>
    <x v="2"/>
    <n v="3.7"/>
    <n v="9229"/>
    <n v="9229"/>
    <n v="0"/>
    <n v="0"/>
    <n v="0.40091017445010296"/>
    <s v="Budget"/>
    <x v="1"/>
  </r>
  <r>
    <x v="11"/>
    <x v="574"/>
    <x v="75"/>
    <x v="6"/>
    <x v="5"/>
    <n v="3.8"/>
    <n v="6799"/>
    <n v="6799"/>
    <n v="0"/>
    <n v="0"/>
    <n v="0.55890572142962192"/>
    <s v="Budget"/>
    <x v="1"/>
  </r>
  <r>
    <x v="11"/>
    <x v="584"/>
    <x v="67"/>
    <x v="2"/>
    <x v="2"/>
    <n v="4.0999999999999996"/>
    <n v="6999"/>
    <n v="6999"/>
    <n v="0"/>
    <n v="0"/>
    <n v="0.58579797113873411"/>
    <s v="Budget"/>
    <x v="0"/>
  </r>
  <r>
    <x v="11"/>
    <x v="604"/>
    <x v="67"/>
    <x v="4"/>
    <x v="5"/>
    <n v="3.5"/>
    <n v="6980"/>
    <n v="6980"/>
    <n v="0"/>
    <n v="0"/>
    <n v="0.50143266475644699"/>
    <s v="Budget"/>
    <x v="3"/>
  </r>
  <r>
    <x v="11"/>
    <x v="604"/>
    <x v="75"/>
    <x v="4"/>
    <x v="5"/>
    <n v="3.5"/>
    <n v="13999"/>
    <n v="13999"/>
    <n v="0"/>
    <n v="0"/>
    <n v="0.25001785841845842"/>
    <s v="Budget"/>
    <x v="3"/>
  </r>
  <r>
    <x v="11"/>
    <x v="590"/>
    <x v="75"/>
    <x v="2"/>
    <x v="4"/>
    <n v="3.9"/>
    <n v="7999"/>
    <n v="7999"/>
    <n v="0"/>
    <n v="0"/>
    <n v="0.48756094511813974"/>
    <s v="Budget"/>
    <x v="1"/>
  </r>
  <r>
    <x v="11"/>
    <x v="568"/>
    <x v="75"/>
    <x v="4"/>
    <x v="4"/>
    <n v="3.9"/>
    <n v="6750"/>
    <n v="6750"/>
    <n v="0"/>
    <n v="0"/>
    <n v="0.57777777777777772"/>
    <s v="Budget"/>
    <x v="1"/>
  </r>
  <r>
    <x v="11"/>
    <x v="576"/>
    <x v="75"/>
    <x v="6"/>
    <x v="4"/>
    <n v="3.8"/>
    <n v="4499"/>
    <n v="7499"/>
    <n v="3000"/>
    <n v="0.4000533404453927"/>
    <n v="0.84463214047566126"/>
    <s v="Budget"/>
    <x v="1"/>
  </r>
  <r>
    <x v="11"/>
    <x v="605"/>
    <x v="5"/>
    <x v="4"/>
    <x v="4"/>
    <n v="3.5"/>
    <n v="6989"/>
    <n v="6989"/>
    <n v="0"/>
    <n v="0"/>
    <n v="0.50078695092287873"/>
    <s v="Budget"/>
    <x v="3"/>
  </r>
  <r>
    <x v="11"/>
    <x v="606"/>
    <x v="4"/>
    <x v="7"/>
    <x v="6"/>
    <n v="3.6"/>
    <n v="4200"/>
    <n v="4200"/>
    <n v="0"/>
    <n v="0"/>
    <n v="0.85714285714285721"/>
    <s v="Budget"/>
    <x v="1"/>
  </r>
  <r>
    <x v="11"/>
    <x v="601"/>
    <x v="75"/>
    <x v="6"/>
    <x v="5"/>
    <n v="3.8"/>
    <n v="3549"/>
    <n v="3549"/>
    <n v="0"/>
    <n v="0"/>
    <n v="1.0707241476472245"/>
    <s v="Budget"/>
    <x v="1"/>
  </r>
  <r>
    <x v="11"/>
    <x v="567"/>
    <x v="39"/>
    <x v="2"/>
    <x v="2"/>
    <n v="3.7"/>
    <n v="18999"/>
    <n v="18999"/>
    <n v="0"/>
    <n v="0"/>
    <n v="0.19474709195220802"/>
    <s v="Mid Range"/>
    <x v="1"/>
  </r>
  <r>
    <x v="11"/>
    <x v="607"/>
    <x v="67"/>
    <x v="4"/>
    <x v="2"/>
    <n v="3.6"/>
    <n v="12999"/>
    <n v="12999"/>
    <n v="0"/>
    <n v="0"/>
    <n v="0.27694438033694901"/>
    <s v="Budget"/>
    <x v="1"/>
  </r>
  <r>
    <x v="11"/>
    <x v="608"/>
    <x v="4"/>
    <x v="4"/>
    <x v="4"/>
    <n v="3.7"/>
    <n v="6200"/>
    <n v="9991"/>
    <n v="3791"/>
    <n v="0.37944149734761284"/>
    <n v="0.59677419354838712"/>
    <s v="Budget"/>
    <x v="1"/>
  </r>
  <r>
    <x v="11"/>
    <x v="585"/>
    <x v="376"/>
    <x v="0"/>
    <x v="2"/>
    <n v="4"/>
    <n v="7999"/>
    <n v="7999"/>
    <n v="0"/>
    <n v="0"/>
    <n v="0.50006250781347672"/>
    <s v="Budget"/>
    <x v="1"/>
  </r>
  <r>
    <x v="11"/>
    <x v="609"/>
    <x v="125"/>
    <x v="4"/>
    <x v="4"/>
    <n v="3.7"/>
    <n v="9795"/>
    <n v="9795"/>
    <n v="0"/>
    <n v="0"/>
    <n v="0.37774374680959671"/>
    <s v="Budget"/>
    <x v="1"/>
  </r>
  <r>
    <x v="11"/>
    <x v="608"/>
    <x v="75"/>
    <x v="4"/>
    <x v="4"/>
    <n v="3.7"/>
    <n v="7990"/>
    <n v="7990"/>
    <n v="0"/>
    <n v="0"/>
    <n v="0.46307884856070086"/>
    <s v="Budget"/>
    <x v="1"/>
  </r>
  <r>
    <x v="11"/>
    <x v="586"/>
    <x v="75"/>
    <x v="4"/>
    <x v="2"/>
    <n v="3.7"/>
    <n v="9999"/>
    <n v="9999"/>
    <n v="0"/>
    <n v="0"/>
    <n v="0.37003700370037007"/>
    <s v="Budget"/>
    <x v="1"/>
  </r>
  <r>
    <x v="11"/>
    <x v="610"/>
    <x v="257"/>
    <x v="2"/>
    <x v="0"/>
    <n v="3.4"/>
    <n v="7499"/>
    <n v="13499"/>
    <n v="6000"/>
    <n v="0.44447736869397736"/>
    <n v="0.45339378583811174"/>
    <s v="Budget"/>
    <x v="3"/>
  </r>
  <r>
    <x v="12"/>
    <x v="611"/>
    <x v="377"/>
    <x v="0"/>
    <x v="0"/>
    <n v="4.0999999999999996"/>
    <n v="8799"/>
    <n v="11999"/>
    <n v="3200"/>
    <n v="0.26668889074089508"/>
    <n v="0.46596204114103873"/>
    <s v="Budget"/>
    <x v="0"/>
  </r>
  <r>
    <x v="12"/>
    <x v="612"/>
    <x v="378"/>
    <x v="0"/>
    <x v="0"/>
    <n v="4.0999999999999996"/>
    <n v="10499"/>
    <n v="12999"/>
    <n v="2500"/>
    <n v="0.19232248634510346"/>
    <n v="0.3905133822268787"/>
    <s v="Budget"/>
    <x v="0"/>
  </r>
  <r>
    <x v="12"/>
    <x v="613"/>
    <x v="379"/>
    <x v="1"/>
    <x v="1"/>
    <n v="4.2"/>
    <n v="17999"/>
    <n v="21999"/>
    <n v="4000"/>
    <n v="0.18182644665666622"/>
    <n v="0.23334629701650095"/>
    <s v="Mid Range"/>
    <x v="0"/>
  </r>
  <r>
    <x v="12"/>
    <x v="614"/>
    <x v="380"/>
    <x v="1"/>
    <x v="1"/>
    <n v="4.3"/>
    <n v="16499"/>
    <n v="19999"/>
    <n v="3500"/>
    <n v="0.17500875043752187"/>
    <n v="0.26062185587005271"/>
    <s v="Mid Range"/>
    <x v="0"/>
  </r>
  <r>
    <x v="12"/>
    <x v="611"/>
    <x v="381"/>
    <x v="0"/>
    <x v="0"/>
    <n v="4.0999999999999996"/>
    <n v="8799"/>
    <n v="11999"/>
    <n v="3200"/>
    <n v="0.26668889074089508"/>
    <n v="0.46596204114103873"/>
    <s v="Budget"/>
    <x v="0"/>
  </r>
  <r>
    <x v="12"/>
    <x v="614"/>
    <x v="380"/>
    <x v="0"/>
    <x v="0"/>
    <n v="4.3"/>
    <n v="14499"/>
    <n v="16999"/>
    <n v="2500"/>
    <n v="0.14706747455732691"/>
    <n v="0.29657217739154423"/>
    <s v="Budget"/>
    <x v="0"/>
  </r>
  <r>
    <x v="12"/>
    <x v="613"/>
    <x v="380"/>
    <x v="1"/>
    <x v="1"/>
    <n v="4.2"/>
    <n v="17999"/>
    <n v="21999"/>
    <n v="4000"/>
    <n v="0.18182644665666622"/>
    <n v="0.23334629701650095"/>
    <s v="Mid Range"/>
    <x v="0"/>
  </r>
  <r>
    <x v="12"/>
    <x v="614"/>
    <x v="379"/>
    <x v="1"/>
    <x v="1"/>
    <n v="4.3"/>
    <n v="16499"/>
    <n v="19999"/>
    <n v="3500"/>
    <n v="0.17500875043752187"/>
    <n v="0.26062185587005271"/>
    <s v="Mid Range"/>
    <x v="0"/>
  </r>
  <r>
    <x v="12"/>
    <x v="614"/>
    <x v="379"/>
    <x v="0"/>
    <x v="0"/>
    <n v="4.3"/>
    <n v="14499"/>
    <n v="16999"/>
    <n v="2500"/>
    <n v="0.14706747455732691"/>
    <n v="0.29657217739154423"/>
    <s v="Budget"/>
    <x v="0"/>
  </r>
  <r>
    <x v="12"/>
    <x v="612"/>
    <x v="382"/>
    <x v="0"/>
    <x v="0"/>
    <n v="4.0999999999999996"/>
    <n v="10499"/>
    <n v="12999"/>
    <n v="2500"/>
    <n v="0.19232248634510346"/>
    <n v="0.3905133822268787"/>
    <s v="Budget"/>
    <x v="0"/>
  </r>
  <r>
    <x v="12"/>
    <x v="615"/>
    <x v="4"/>
    <x v="6"/>
    <x v="4"/>
    <n v="4.2"/>
    <n v="8999"/>
    <n v="8999"/>
    <n v="0"/>
    <n v="0"/>
    <n v="0.46671852428047561"/>
    <s v="Budget"/>
    <x v="0"/>
  </r>
  <r>
    <x v="12"/>
    <x v="616"/>
    <x v="383"/>
    <x v="3"/>
    <x v="1"/>
    <n v="4.4000000000000004"/>
    <n v="29999"/>
    <n v="34999"/>
    <n v="5000"/>
    <n v="0.14286122460641731"/>
    <n v="0.14667155571852394"/>
    <s v="Mid Range"/>
    <x v="0"/>
  </r>
  <r>
    <x v="12"/>
    <x v="617"/>
    <x v="214"/>
    <x v="0"/>
    <x v="0"/>
    <n v="4.3"/>
    <n v="9999"/>
    <n v="9999"/>
    <n v="0"/>
    <n v="0"/>
    <n v="0.43004300430043002"/>
    <s v="Budget"/>
    <x v="0"/>
  </r>
  <r>
    <x v="12"/>
    <x v="618"/>
    <x v="384"/>
    <x v="1"/>
    <x v="1"/>
    <n v="3.9"/>
    <n v="21499"/>
    <n v="24999"/>
    <n v="3500"/>
    <n v="0.14000560022400896"/>
    <n v="0.18140378622261499"/>
    <s v="Mid Range"/>
    <x v="1"/>
  </r>
  <r>
    <x v="12"/>
    <x v="619"/>
    <x v="385"/>
    <x v="2"/>
    <x v="2"/>
    <n v="4.3"/>
    <n v="21999"/>
    <n v="21999"/>
    <n v="0"/>
    <n v="0"/>
    <n v="0.19546343015591616"/>
    <s v="Mid Range"/>
    <x v="0"/>
  </r>
  <r>
    <x v="12"/>
    <x v="618"/>
    <x v="386"/>
    <x v="1"/>
    <x v="1"/>
    <n v="3.9"/>
    <n v="21499"/>
    <n v="24999"/>
    <n v="3500"/>
    <n v="0.14000560022400896"/>
    <n v="0.18140378622261499"/>
    <s v="Mid Range"/>
    <x v="1"/>
  </r>
  <r>
    <x v="12"/>
    <x v="620"/>
    <x v="387"/>
    <x v="3"/>
    <x v="3"/>
    <n v="4"/>
    <n v="89999"/>
    <n v="149999"/>
    <n v="60000"/>
    <n v="0.40000266668444456"/>
    <n v="4.4444938277091971E-2"/>
    <s v="Premium"/>
    <x v="1"/>
  </r>
  <r>
    <x v="12"/>
    <x v="621"/>
    <x v="67"/>
    <x v="4"/>
    <x v="4"/>
    <n v="4.3"/>
    <n v="12000"/>
    <n v="12000"/>
    <n v="0"/>
    <n v="0"/>
    <n v="0.35833333333333334"/>
    <s v="Budget"/>
    <x v="0"/>
  </r>
  <r>
    <x v="12"/>
    <x v="622"/>
    <x v="4"/>
    <x v="1"/>
    <x v="1"/>
    <n v="3.8"/>
    <n v="74999"/>
    <n v="149999"/>
    <n v="75000"/>
    <n v="0.50000333335555569"/>
    <n v="5.0667342231229748E-2"/>
    <s v="Premium"/>
    <x v="1"/>
  </r>
  <r>
    <x v="12"/>
    <x v="623"/>
    <x v="75"/>
    <x v="4"/>
    <x v="4"/>
    <n v="4.2"/>
    <n v="17499"/>
    <n v="17499"/>
    <n v="0"/>
    <n v="0"/>
    <n v="0.24001371506943256"/>
    <s v="Mid Range"/>
    <x v="0"/>
  </r>
  <r>
    <x v="12"/>
    <x v="616"/>
    <x v="388"/>
    <x v="3"/>
    <x v="1"/>
    <n v="4.4000000000000004"/>
    <n v="29999"/>
    <n v="34999"/>
    <n v="5000"/>
    <n v="0.14286122460641731"/>
    <n v="0.14667155571852394"/>
    <s v="Mid Range"/>
    <x v="0"/>
  </r>
  <r>
    <x v="12"/>
    <x v="624"/>
    <x v="176"/>
    <x v="4"/>
    <x v="4"/>
    <n v="4.2"/>
    <n v="6900"/>
    <n v="6900"/>
    <n v="0"/>
    <n v="0"/>
    <n v="0.60869565217391308"/>
    <s v="Budget"/>
    <x v="0"/>
  </r>
  <r>
    <x v="12"/>
    <x v="625"/>
    <x v="389"/>
    <x v="0"/>
    <x v="0"/>
    <n v="4.2"/>
    <n v="20000"/>
    <n v="20000"/>
    <n v="0"/>
    <n v="0"/>
    <n v="0.21000000000000002"/>
    <s v="Mid Range"/>
    <x v="0"/>
  </r>
  <r>
    <x v="12"/>
    <x v="626"/>
    <x v="57"/>
    <x v="0"/>
    <x v="0"/>
    <n v="3.9"/>
    <n v="12999"/>
    <n v="12999"/>
    <n v="0"/>
    <n v="0"/>
    <n v="0.30002307869836142"/>
    <s v="Budget"/>
    <x v="1"/>
  </r>
  <r>
    <x v="12"/>
    <x v="627"/>
    <x v="390"/>
    <x v="0"/>
    <x v="1"/>
    <n v="4.2"/>
    <n v="14999"/>
    <n v="22999"/>
    <n v="8000"/>
    <n v="0.34784121048741251"/>
    <n v="0.28001866791119412"/>
    <s v="Budget"/>
    <x v="0"/>
  </r>
  <r>
    <x v="12"/>
    <x v="628"/>
    <x v="391"/>
    <x v="0"/>
    <x v="0"/>
    <n v="4.0999999999999996"/>
    <n v="10999"/>
    <n v="14999"/>
    <n v="4000"/>
    <n v="0.26668444562970867"/>
    <n v="0.37276116010546406"/>
    <s v="Budget"/>
    <x v="0"/>
  </r>
  <r>
    <x v="12"/>
    <x v="629"/>
    <x v="392"/>
    <x v="1"/>
    <x v="1"/>
    <n v="4.2"/>
    <n v="20999"/>
    <n v="24999"/>
    <n v="4000"/>
    <n v="0.16000640025601023"/>
    <n v="0.20000952426306015"/>
    <s v="Mid Range"/>
    <x v="0"/>
  </r>
  <r>
    <x v="12"/>
    <x v="630"/>
    <x v="393"/>
    <x v="0"/>
    <x v="0"/>
    <n v="4.0999999999999996"/>
    <n v="11999"/>
    <n v="15999"/>
    <n v="4000"/>
    <n v="0.25001562597662352"/>
    <n v="0.34169514126177181"/>
    <s v="Budget"/>
    <x v="0"/>
  </r>
  <r>
    <x v="12"/>
    <x v="611"/>
    <x v="377"/>
    <x v="4"/>
    <x v="2"/>
    <n v="4.0999999999999996"/>
    <n v="6999"/>
    <n v="9999"/>
    <n v="3000"/>
    <n v="0.30003000300030003"/>
    <n v="0.58579797113873411"/>
    <s v="Budget"/>
    <x v="0"/>
  </r>
  <r>
    <x v="12"/>
    <x v="631"/>
    <x v="75"/>
    <x v="6"/>
    <x v="4"/>
    <n v="4.2"/>
    <n v="8999"/>
    <n v="8999"/>
    <n v="0"/>
    <n v="0"/>
    <n v="0.46671852428047561"/>
    <s v="Budget"/>
    <x v="0"/>
  </r>
  <r>
    <x v="12"/>
    <x v="628"/>
    <x v="394"/>
    <x v="0"/>
    <x v="0"/>
    <n v="4.0999999999999996"/>
    <n v="10999"/>
    <n v="14999"/>
    <n v="4000"/>
    <n v="0.26668444562970867"/>
    <n v="0.37276116010546406"/>
    <s v="Budget"/>
    <x v="0"/>
  </r>
  <r>
    <x v="12"/>
    <x v="632"/>
    <x v="395"/>
    <x v="1"/>
    <x v="1"/>
    <n v="4.4000000000000004"/>
    <n v="17499"/>
    <n v="19999"/>
    <n v="2500"/>
    <n v="0.12500625031251564"/>
    <n v="0.2514429395965484"/>
    <s v="Mid Range"/>
    <x v="0"/>
  </r>
  <r>
    <x v="12"/>
    <x v="621"/>
    <x v="370"/>
    <x v="4"/>
    <x v="4"/>
    <n v="4.3"/>
    <n v="10999"/>
    <n v="10999"/>
    <n v="0"/>
    <n v="0"/>
    <n v="0.39094463133012086"/>
    <s v="Budget"/>
    <x v="0"/>
  </r>
  <r>
    <x v="12"/>
    <x v="633"/>
    <x v="396"/>
    <x v="0"/>
    <x v="0"/>
    <n v="4.2"/>
    <n v="10999"/>
    <n v="14999"/>
    <n v="4000"/>
    <n v="0.26668444562970867"/>
    <n v="0.38185289571779252"/>
    <s v="Budget"/>
    <x v="0"/>
  </r>
  <r>
    <x v="12"/>
    <x v="634"/>
    <x v="397"/>
    <x v="0"/>
    <x v="0"/>
    <n v="4.2"/>
    <n v="8999"/>
    <n v="12999"/>
    <n v="4000"/>
    <n v="0.30771597815216556"/>
    <n v="0.46671852428047561"/>
    <s v="Budget"/>
    <x v="0"/>
  </r>
  <r>
    <x v="12"/>
    <x v="632"/>
    <x v="69"/>
    <x v="1"/>
    <x v="1"/>
    <n v="4.4000000000000004"/>
    <n v="17499"/>
    <n v="19999"/>
    <n v="2500"/>
    <n v="0.12500625031251564"/>
    <n v="0.2514429395965484"/>
    <s v="Mid Range"/>
    <x v="0"/>
  </r>
  <r>
    <x v="12"/>
    <x v="629"/>
    <x v="398"/>
    <x v="1"/>
    <x v="1"/>
    <n v="4.2"/>
    <n v="20999"/>
    <n v="24999"/>
    <n v="4000"/>
    <n v="0.16000640025601023"/>
    <n v="0.20000952426306015"/>
    <s v="Mid Range"/>
    <x v="0"/>
  </r>
  <r>
    <x v="12"/>
    <x v="635"/>
    <x v="259"/>
    <x v="0"/>
    <x v="1"/>
    <n v="4.2"/>
    <n v="10999"/>
    <n v="16999"/>
    <n v="6000"/>
    <n v="0.35296193893758454"/>
    <n v="0.38185289571779252"/>
    <s v="Budget"/>
    <x v="0"/>
  </r>
  <r>
    <x v="12"/>
    <x v="636"/>
    <x v="75"/>
    <x v="6"/>
    <x v="5"/>
    <n v="4.0999999999999996"/>
    <n v="5999"/>
    <n v="5999"/>
    <n v="0"/>
    <n v="0"/>
    <n v="0.68344724120686773"/>
    <s v="Budget"/>
    <x v="0"/>
  </r>
  <r>
    <x v="12"/>
    <x v="617"/>
    <x v="266"/>
    <x v="0"/>
    <x v="0"/>
    <n v="4.3"/>
    <n v="9999"/>
    <n v="9999"/>
    <n v="0"/>
    <n v="0"/>
    <n v="0.43004300430043002"/>
    <s v="Budget"/>
    <x v="0"/>
  </r>
  <r>
    <x v="12"/>
    <x v="637"/>
    <x v="387"/>
    <x v="0"/>
    <x v="0"/>
    <n v="4.0999999999999996"/>
    <n v="7999"/>
    <n v="9999"/>
    <n v="2000"/>
    <n v="0.20002000200020001"/>
    <n v="0.51256407050881359"/>
    <s v="Budget"/>
    <x v="0"/>
  </r>
  <r>
    <x v="12"/>
    <x v="638"/>
    <x v="176"/>
    <x v="6"/>
    <x v="4"/>
    <n v="3.9"/>
    <n v="5499"/>
    <n v="5499"/>
    <n v="0"/>
    <n v="0"/>
    <n v="0.70921985815602828"/>
    <s v="Budget"/>
    <x v="1"/>
  </r>
  <r>
    <x v="12"/>
    <x v="639"/>
    <x v="4"/>
    <x v="2"/>
    <x v="2"/>
    <n v="4.2"/>
    <n v="11999"/>
    <n v="11999"/>
    <n v="0"/>
    <n v="0"/>
    <n v="0.35002916909742476"/>
    <s v="Budget"/>
    <x v="0"/>
  </r>
  <r>
    <x v="12"/>
    <x v="639"/>
    <x v="370"/>
    <x v="2"/>
    <x v="2"/>
    <n v="4.2"/>
    <n v="11999"/>
    <n v="11999"/>
    <n v="0"/>
    <n v="0"/>
    <n v="0.35002916909742476"/>
    <s v="Budget"/>
    <x v="0"/>
  </r>
  <r>
    <x v="12"/>
    <x v="633"/>
    <x v="204"/>
    <x v="0"/>
    <x v="0"/>
    <n v="4.2"/>
    <n v="10999"/>
    <n v="14999"/>
    <n v="4000"/>
    <n v="0.26668444562970867"/>
    <n v="0.38185289571779252"/>
    <s v="Budget"/>
    <x v="0"/>
  </r>
  <r>
    <x v="12"/>
    <x v="640"/>
    <x v="399"/>
    <x v="5"/>
    <x v="3"/>
    <n v="4.0999999999999996"/>
    <n v="64999"/>
    <n v="89999"/>
    <n v="25000"/>
    <n v="0.2777808642318248"/>
    <n v="6.3077893506053931E-2"/>
    <s v="Premium"/>
    <x v="0"/>
  </r>
  <r>
    <x v="12"/>
    <x v="622"/>
    <x v="57"/>
    <x v="1"/>
    <x v="1"/>
    <n v="3.8"/>
    <n v="74999"/>
    <n v="149999"/>
    <n v="75000"/>
    <n v="0.50000333335555569"/>
    <n v="5.0667342231229748E-2"/>
    <s v="Premium"/>
    <x v="1"/>
  </r>
  <r>
    <x v="12"/>
    <x v="641"/>
    <x v="75"/>
    <x v="6"/>
    <x v="5"/>
    <n v="4.2"/>
    <n v="11999"/>
    <n v="11999"/>
    <n v="0"/>
    <n v="0"/>
    <n v="0.35002916909742476"/>
    <s v="Budget"/>
    <x v="0"/>
  </r>
  <r>
    <x v="12"/>
    <x v="642"/>
    <x v="400"/>
    <x v="0"/>
    <x v="0"/>
    <n v="4.3"/>
    <n v="9499"/>
    <n v="11999"/>
    <n v="2500"/>
    <n v="0.20835069589132427"/>
    <n v="0.45267922939256761"/>
    <s v="Budget"/>
    <x v="0"/>
  </r>
  <r>
    <x v="12"/>
    <x v="643"/>
    <x v="401"/>
    <x v="0"/>
    <x v="2"/>
    <n v="4.0999999999999996"/>
    <n v="7350"/>
    <n v="7350"/>
    <n v="0"/>
    <n v="0"/>
    <n v="0.55782312925170063"/>
    <s v="Budget"/>
    <x v="0"/>
  </r>
  <r>
    <x v="12"/>
    <x v="644"/>
    <x v="4"/>
    <x v="4"/>
    <x v="4"/>
    <n v="4.2"/>
    <n v="14500"/>
    <n v="14500"/>
    <n v="0"/>
    <n v="0"/>
    <n v="0.28965517241379313"/>
    <s v="Budget"/>
    <x v="0"/>
  </r>
  <r>
    <x v="12"/>
    <x v="645"/>
    <x v="4"/>
    <x v="0"/>
    <x v="0"/>
    <n v="4.3"/>
    <n v="9999"/>
    <n v="18999"/>
    <n v="9000"/>
    <n v="0.47370914258645191"/>
    <n v="0.43004300430043002"/>
    <s v="Budget"/>
    <x v="0"/>
  </r>
  <r>
    <x v="12"/>
    <x v="645"/>
    <x v="75"/>
    <x v="0"/>
    <x v="0"/>
    <n v="4.3"/>
    <n v="9999"/>
    <n v="18999"/>
    <n v="9000"/>
    <n v="0.47370914258645191"/>
    <n v="0.43004300430043002"/>
    <s v="Budget"/>
    <x v="0"/>
  </r>
  <r>
    <x v="12"/>
    <x v="619"/>
    <x v="402"/>
    <x v="1"/>
    <x v="0"/>
    <n v="4.3"/>
    <n v="24999"/>
    <n v="24999"/>
    <n v="0"/>
    <n v="0"/>
    <n v="0.17200688027521099"/>
    <s v="Mid Range"/>
    <x v="0"/>
  </r>
  <r>
    <x v="12"/>
    <x v="637"/>
    <x v="403"/>
    <x v="0"/>
    <x v="0"/>
    <n v="4.0999999999999996"/>
    <n v="7999"/>
    <n v="9999"/>
    <n v="2000"/>
    <n v="0.20002000200020001"/>
    <n v="0.51256407050881359"/>
    <s v="Budget"/>
    <x v="0"/>
  </r>
  <r>
    <x v="12"/>
    <x v="642"/>
    <x v="178"/>
    <x v="0"/>
    <x v="0"/>
    <n v="4.3"/>
    <n v="9999"/>
    <n v="11999"/>
    <n v="2000"/>
    <n v="0.16668055671305942"/>
    <n v="0.43004300430043002"/>
    <s v="Budget"/>
    <x v="0"/>
  </r>
  <r>
    <x v="12"/>
    <x v="643"/>
    <x v="404"/>
    <x v="0"/>
    <x v="2"/>
    <n v="4.0999999999999996"/>
    <n v="9869"/>
    <n v="9869"/>
    <n v="0"/>
    <n v="0"/>
    <n v="0.41544229405208222"/>
    <s v="Budget"/>
    <x v="0"/>
  </r>
  <r>
    <x v="12"/>
    <x v="646"/>
    <x v="4"/>
    <x v="0"/>
    <x v="0"/>
    <n v="4.0999999999999996"/>
    <n v="14999"/>
    <n v="14999"/>
    <n v="0"/>
    <n v="0"/>
    <n v="0.27335155677045131"/>
    <s v="Budget"/>
    <x v="0"/>
  </r>
  <r>
    <x v="12"/>
    <x v="647"/>
    <x v="370"/>
    <x v="0"/>
    <x v="0"/>
    <n v="4.4000000000000004"/>
    <n v="27999"/>
    <n v="27999"/>
    <n v="0"/>
    <n v="0"/>
    <n v="0.15714846958819959"/>
    <s v="Mid Range"/>
    <x v="0"/>
  </r>
  <r>
    <x v="12"/>
    <x v="647"/>
    <x v="401"/>
    <x v="0"/>
    <x v="0"/>
    <n v="4.4000000000000004"/>
    <n v="27999"/>
    <n v="27999"/>
    <n v="0"/>
    <n v="0"/>
    <n v="0.15714846958819959"/>
    <s v="Mid Range"/>
    <x v="0"/>
  </r>
  <r>
    <x v="12"/>
    <x v="648"/>
    <x v="4"/>
    <x v="0"/>
    <x v="0"/>
    <n v="4.3"/>
    <n v="18999"/>
    <n v="18999"/>
    <n v="0"/>
    <n v="0"/>
    <n v="0.22632770145797146"/>
    <s v="Mid Range"/>
    <x v="0"/>
  </r>
  <r>
    <x v="12"/>
    <x v="646"/>
    <x v="75"/>
    <x v="0"/>
    <x v="0"/>
    <n v="4.0999999999999996"/>
    <n v="14999"/>
    <n v="14999"/>
    <n v="0"/>
    <n v="0"/>
    <n v="0.27335155677045131"/>
    <s v="Budget"/>
    <x v="0"/>
  </r>
  <r>
    <x v="12"/>
    <x v="649"/>
    <x v="4"/>
    <x v="7"/>
    <x v="4"/>
    <n v="2.4"/>
    <n v="14939"/>
    <n v="14939"/>
    <n v="0"/>
    <n v="0"/>
    <n v="0.16065332351563022"/>
    <s v="Budget"/>
    <x v="3"/>
  </r>
  <r>
    <x v="12"/>
    <x v="619"/>
    <x v="402"/>
    <x v="0"/>
    <x v="0"/>
    <n v="4.3"/>
    <n v="23999"/>
    <n v="23999"/>
    <n v="0"/>
    <n v="0"/>
    <n v="0.17917413225551065"/>
    <s v="Mid Range"/>
    <x v="0"/>
  </r>
  <r>
    <x v="12"/>
    <x v="650"/>
    <x v="405"/>
    <x v="0"/>
    <x v="0"/>
    <n v="4.3"/>
    <n v="12999"/>
    <n v="15999"/>
    <n v="3000"/>
    <n v="0.18751171948246764"/>
    <n v="0.33079467651357791"/>
    <s v="Budget"/>
    <x v="0"/>
  </r>
  <r>
    <x v="12"/>
    <x v="651"/>
    <x v="4"/>
    <x v="6"/>
    <x v="4"/>
    <n v="4.4000000000000004"/>
    <n v="9999"/>
    <n v="9999"/>
    <n v="0"/>
    <n v="0"/>
    <n v="0.44004400440044006"/>
    <s v="Budget"/>
    <x v="0"/>
  </r>
  <r>
    <x v="12"/>
    <x v="627"/>
    <x v="406"/>
    <x v="0"/>
    <x v="1"/>
    <n v="4.2"/>
    <n v="14999"/>
    <n v="22999"/>
    <n v="8000"/>
    <n v="0.34784121048741251"/>
    <n v="0.28001866791119412"/>
    <s v="Budget"/>
    <x v="0"/>
  </r>
  <r>
    <x v="12"/>
    <x v="627"/>
    <x v="406"/>
    <x v="0"/>
    <x v="1"/>
    <n v="4.2"/>
    <n v="14999"/>
    <n v="22999"/>
    <n v="8000"/>
    <n v="0.34784121048741251"/>
    <n v="0.28001866791119412"/>
    <s v="Budget"/>
    <x v="0"/>
  </r>
  <r>
    <x v="12"/>
    <x v="652"/>
    <x v="370"/>
    <x v="2"/>
    <x v="2"/>
    <n v="4.0999999999999996"/>
    <n v="12999"/>
    <n v="12999"/>
    <n v="0"/>
    <n v="0"/>
    <n v="0.31540887760596964"/>
    <s v="Budget"/>
    <x v="0"/>
  </r>
  <r>
    <x v="12"/>
    <x v="653"/>
    <x v="4"/>
    <x v="7"/>
    <x v="4"/>
    <n v="3.8"/>
    <n v="15990"/>
    <n v="15990"/>
    <n v="0"/>
    <n v="0"/>
    <n v="0.23764853033145716"/>
    <s v="Mid Range"/>
    <x v="1"/>
  </r>
  <r>
    <x v="12"/>
    <x v="654"/>
    <x v="389"/>
    <x v="1"/>
    <x v="0"/>
    <n v="4.3"/>
    <n v="11829"/>
    <n v="11829"/>
    <n v="0"/>
    <n v="0"/>
    <n v="0.36351339927297316"/>
    <s v="Budget"/>
    <x v="0"/>
  </r>
  <r>
    <x v="12"/>
    <x v="655"/>
    <x v="75"/>
    <x v="4"/>
    <x v="4"/>
    <n v="4"/>
    <n v="5999"/>
    <n v="5999"/>
    <n v="0"/>
    <n v="0"/>
    <n v="0.66677779629938327"/>
    <s v="Budget"/>
    <x v="1"/>
  </r>
  <r>
    <x v="12"/>
    <x v="656"/>
    <x v="301"/>
    <x v="0"/>
    <x v="0"/>
    <n v="4.3"/>
    <n v="15999"/>
    <n v="15999"/>
    <n v="0"/>
    <n v="0"/>
    <n v="0.26876679792487029"/>
    <s v="Mid Range"/>
    <x v="0"/>
  </r>
  <r>
    <x v="12"/>
    <x v="657"/>
    <x v="75"/>
    <x v="4"/>
    <x v="4"/>
    <n v="3.9"/>
    <n v="6999"/>
    <n v="6999"/>
    <n v="0"/>
    <n v="0"/>
    <n v="0.55722246035147871"/>
    <s v="Budget"/>
    <x v="1"/>
  </r>
  <r>
    <x v="12"/>
    <x v="611"/>
    <x v="381"/>
    <x v="4"/>
    <x v="2"/>
    <n v="4.0999999999999996"/>
    <n v="6999"/>
    <n v="9999"/>
    <n v="3000"/>
    <n v="0.30003000300030003"/>
    <n v="0.58579797113873411"/>
    <s v="Budget"/>
    <x v="0"/>
  </r>
  <r>
    <x v="12"/>
    <x v="658"/>
    <x v="4"/>
    <x v="2"/>
    <x v="2"/>
    <n v="4.4000000000000004"/>
    <n v="24999"/>
    <n v="24999"/>
    <n v="0"/>
    <n v="0"/>
    <n v="0.17600704028161127"/>
    <s v="Mid Range"/>
    <x v="0"/>
  </r>
  <r>
    <x v="12"/>
    <x v="658"/>
    <x v="75"/>
    <x v="2"/>
    <x v="2"/>
    <n v="4.4000000000000004"/>
    <n v="24999"/>
    <n v="24999"/>
    <n v="0"/>
    <n v="0"/>
    <n v="0.17600704028161127"/>
    <s v="Mid Range"/>
    <x v="0"/>
  </r>
  <r>
    <x v="12"/>
    <x v="650"/>
    <x v="407"/>
    <x v="0"/>
    <x v="0"/>
    <n v="4.3"/>
    <n v="12999"/>
    <n v="15999"/>
    <n v="3000"/>
    <n v="0.18751171948246764"/>
    <n v="0.33079467651357791"/>
    <s v="Budget"/>
    <x v="0"/>
  </r>
  <r>
    <x v="12"/>
    <x v="641"/>
    <x v="4"/>
    <x v="6"/>
    <x v="5"/>
    <n v="4.2"/>
    <n v="9999"/>
    <n v="9999"/>
    <n v="0"/>
    <n v="0"/>
    <n v="0.42004200420042004"/>
    <s v="Budget"/>
    <x v="0"/>
  </r>
  <r>
    <x v="12"/>
    <x v="634"/>
    <x v="408"/>
    <x v="0"/>
    <x v="0"/>
    <n v="4.2"/>
    <n v="8999"/>
    <n v="12999"/>
    <n v="4000"/>
    <n v="0.30771597815216556"/>
    <n v="0.46671852428047561"/>
    <s v="Budget"/>
    <x v="0"/>
  </r>
  <r>
    <x v="12"/>
    <x v="637"/>
    <x v="409"/>
    <x v="0"/>
    <x v="0"/>
    <n v="4.0999999999999996"/>
    <n v="7999"/>
    <n v="9999"/>
    <n v="2000"/>
    <n v="0.20002000200020001"/>
    <n v="0.51256407050881359"/>
    <s v="Budget"/>
    <x v="0"/>
  </r>
  <r>
    <x v="12"/>
    <x v="630"/>
    <x v="410"/>
    <x v="0"/>
    <x v="0"/>
    <n v="4.0999999999999996"/>
    <n v="11999"/>
    <n v="15999"/>
    <n v="4000"/>
    <n v="0.25001562597662352"/>
    <n v="0.34169514126177181"/>
    <s v="Budget"/>
    <x v="0"/>
  </r>
  <r>
    <x v="12"/>
    <x v="624"/>
    <x v="38"/>
    <x v="4"/>
    <x v="4"/>
    <n v="4.2"/>
    <n v="6999"/>
    <n v="6999"/>
    <n v="0"/>
    <n v="0"/>
    <n v="0.60008572653236181"/>
    <s v="Budget"/>
    <x v="0"/>
  </r>
  <r>
    <x v="12"/>
    <x v="624"/>
    <x v="370"/>
    <x v="4"/>
    <x v="4"/>
    <n v="4.2"/>
    <n v="6999"/>
    <n v="6999"/>
    <n v="0"/>
    <n v="0"/>
    <n v="0.60008572653236181"/>
    <s v="Budget"/>
    <x v="0"/>
  </r>
  <r>
    <x v="12"/>
    <x v="629"/>
    <x v="411"/>
    <x v="2"/>
    <x v="4"/>
    <n v="4.2"/>
    <n v="5450"/>
    <n v="5450"/>
    <n v="0"/>
    <n v="0"/>
    <n v="0.77064220183486243"/>
    <s v="Budget"/>
    <x v="0"/>
  </r>
  <r>
    <x v="12"/>
    <x v="659"/>
    <x v="411"/>
    <x v="2"/>
    <x v="2"/>
    <n v="3.7"/>
    <n v="10999"/>
    <n v="10999"/>
    <n v="0"/>
    <n v="0"/>
    <n v="0.33639421765615057"/>
    <s v="Budget"/>
    <x v="1"/>
  </r>
  <r>
    <x v="12"/>
    <x v="644"/>
    <x v="4"/>
    <x v="4"/>
    <x v="2"/>
    <n v="4.2"/>
    <n v="24999"/>
    <n v="24999"/>
    <n v="0"/>
    <n v="0"/>
    <n v="0.16800672026881078"/>
    <s v="Mid Range"/>
    <x v="0"/>
  </r>
  <r>
    <x v="12"/>
    <x v="644"/>
    <x v="412"/>
    <x v="4"/>
    <x v="4"/>
    <n v="4.2"/>
    <n v="23999"/>
    <n v="23999"/>
    <n v="0"/>
    <n v="0"/>
    <n v="0.17500729197049877"/>
    <s v="Mid Range"/>
    <x v="0"/>
  </r>
  <r>
    <x v="12"/>
    <x v="619"/>
    <x v="385"/>
    <x v="1"/>
    <x v="0"/>
    <n v="4.3"/>
    <n v="24999"/>
    <n v="24999"/>
    <n v="0"/>
    <n v="0"/>
    <n v="0.17200688027521099"/>
    <s v="Mid Range"/>
    <x v="0"/>
  </r>
  <r>
    <x v="12"/>
    <x v="660"/>
    <x v="385"/>
    <x v="1"/>
    <x v="0"/>
    <n v="4.0999999999999996"/>
    <n v="14999"/>
    <n v="44999"/>
    <n v="30000"/>
    <n v="0.66668148181070686"/>
    <n v="0.27335155677045131"/>
    <s v="Budget"/>
    <x v="0"/>
  </r>
  <r>
    <x v="12"/>
    <x v="625"/>
    <x v="389"/>
    <x v="2"/>
    <x v="2"/>
    <n v="4.2"/>
    <n v="13999"/>
    <n v="13999"/>
    <n v="0"/>
    <n v="0"/>
    <n v="0.30002143010215016"/>
    <s v="Budget"/>
    <x v="0"/>
  </r>
  <r>
    <x v="12"/>
    <x v="643"/>
    <x v="370"/>
    <x v="0"/>
    <x v="2"/>
    <n v="4.0999999999999996"/>
    <n v="8390"/>
    <n v="14999"/>
    <n v="6609"/>
    <n v="0.44062937529168611"/>
    <n v="0.48867699642431467"/>
    <s v="Budget"/>
    <x v="0"/>
  </r>
  <r>
    <x v="12"/>
    <x v="652"/>
    <x v="389"/>
    <x v="2"/>
    <x v="2"/>
    <n v="4.0999999999999996"/>
    <n v="12999"/>
    <n v="12999"/>
    <n v="0"/>
    <n v="0"/>
    <n v="0.31540887760596964"/>
    <s v="Budget"/>
    <x v="0"/>
  </r>
  <r>
    <x v="12"/>
    <x v="619"/>
    <x v="385"/>
    <x v="0"/>
    <x v="0"/>
    <n v="4.3"/>
    <n v="23999"/>
    <n v="23999"/>
    <n v="0"/>
    <n v="0"/>
    <n v="0.17917413225551065"/>
    <s v="Mid Range"/>
    <x v="0"/>
  </r>
  <r>
    <x v="12"/>
    <x v="657"/>
    <x v="4"/>
    <x v="4"/>
    <x v="4"/>
    <n v="3.9"/>
    <n v="6399"/>
    <n v="6399"/>
    <n v="0"/>
    <n v="0"/>
    <n v="0.60947022972339426"/>
    <s v="Budget"/>
    <x v="1"/>
  </r>
  <r>
    <x v="12"/>
    <x v="626"/>
    <x v="67"/>
    <x v="2"/>
    <x v="2"/>
    <n v="3.9"/>
    <n v="14999"/>
    <n v="14999"/>
    <n v="0"/>
    <n v="0"/>
    <n v="0.26001733448896591"/>
    <s v="Budget"/>
    <x v="1"/>
  </r>
  <r>
    <x v="12"/>
    <x v="626"/>
    <x v="82"/>
    <x v="2"/>
    <x v="2"/>
    <n v="3.9"/>
    <n v="14999"/>
    <n v="14999"/>
    <n v="0"/>
    <n v="0"/>
    <n v="0.26001733448896591"/>
    <s v="Budget"/>
    <x v="1"/>
  </r>
  <r>
    <x v="12"/>
    <x v="626"/>
    <x v="57"/>
    <x v="2"/>
    <x v="2"/>
    <n v="3.9"/>
    <n v="14999"/>
    <n v="14999"/>
    <n v="0"/>
    <n v="0"/>
    <n v="0.26001733448896591"/>
    <s v="Budget"/>
    <x v="1"/>
  </r>
  <r>
    <x v="12"/>
    <x v="655"/>
    <x v="75"/>
    <x v="2"/>
    <x v="2"/>
    <n v="4"/>
    <n v="6999"/>
    <n v="6999"/>
    <n v="0"/>
    <n v="0"/>
    <n v="0.57151021574510652"/>
    <s v="Budget"/>
    <x v="1"/>
  </r>
  <r>
    <x v="12"/>
    <x v="626"/>
    <x v="67"/>
    <x v="0"/>
    <x v="0"/>
    <n v="3.9"/>
    <n v="9999"/>
    <n v="9999"/>
    <n v="0"/>
    <n v="0"/>
    <n v="0.39003900390038998"/>
    <s v="Budget"/>
    <x v="1"/>
  </r>
  <r>
    <x v="12"/>
    <x v="635"/>
    <x v="176"/>
    <x v="0"/>
    <x v="1"/>
    <n v="4.2"/>
    <n v="10999"/>
    <n v="16999"/>
    <n v="6000"/>
    <n v="0.35296193893758454"/>
    <n v="0.38185289571779252"/>
    <s v="Budget"/>
    <x v="0"/>
  </r>
  <r>
    <x v="12"/>
    <x v="655"/>
    <x v="4"/>
    <x v="4"/>
    <x v="4"/>
    <n v="4"/>
    <n v="6999"/>
    <n v="13499"/>
    <n v="6500"/>
    <n v="0.48151714941847545"/>
    <n v="0.57151021574510652"/>
    <s v="Budget"/>
    <x v="1"/>
  </r>
  <r>
    <x v="12"/>
    <x v="626"/>
    <x v="82"/>
    <x v="0"/>
    <x v="0"/>
    <n v="3.9"/>
    <n v="10910"/>
    <n v="10910"/>
    <n v="0"/>
    <n v="0"/>
    <n v="0.3574702108157653"/>
    <s v="Budget"/>
    <x v="1"/>
  </r>
  <r>
    <x v="11"/>
    <x v="599"/>
    <x v="4"/>
    <x v="2"/>
    <x v="2"/>
    <n v="4.2"/>
    <n v="9999"/>
    <n v="9999"/>
    <n v="0"/>
    <n v="0"/>
    <n v="0.42004200420042004"/>
    <s v="Budget"/>
    <x v="0"/>
  </r>
  <r>
    <x v="11"/>
    <x v="599"/>
    <x v="5"/>
    <x v="2"/>
    <x v="2"/>
    <n v="4.2"/>
    <n v="9999"/>
    <n v="9999"/>
    <n v="0"/>
    <n v="0"/>
    <n v="0.42004200420042004"/>
    <s v="Budget"/>
    <x v="0"/>
  </r>
  <r>
    <x v="13"/>
    <x v="661"/>
    <x v="413"/>
    <x v="3"/>
    <x v="1"/>
    <n v="4.4000000000000004"/>
    <n v="20999"/>
    <n v="25999"/>
    <n v="5000"/>
    <n v="0.19231508904188624"/>
    <n v="0.20953378732320588"/>
    <s v="Mid Range"/>
    <x v="0"/>
  </r>
  <r>
    <x v="13"/>
    <x v="661"/>
    <x v="414"/>
    <x v="3"/>
    <x v="1"/>
    <n v="4.4000000000000004"/>
    <n v="20999"/>
    <n v="25999"/>
    <n v="5000"/>
    <n v="0.19231508904188624"/>
    <n v="0.20953378732320588"/>
    <s v="Mid Range"/>
    <x v="0"/>
  </r>
  <r>
    <x v="13"/>
    <x v="661"/>
    <x v="413"/>
    <x v="1"/>
    <x v="1"/>
    <n v="4.4000000000000004"/>
    <n v="18999"/>
    <n v="23999"/>
    <n v="5000"/>
    <n v="0.20834201425059379"/>
    <n v="0.23159113637559872"/>
    <s v="Mid Range"/>
    <x v="0"/>
  </r>
  <r>
    <x v="13"/>
    <x v="661"/>
    <x v="414"/>
    <x v="1"/>
    <x v="1"/>
    <n v="4.4000000000000004"/>
    <n v="18999"/>
    <n v="23999"/>
    <n v="5000"/>
    <n v="0.20834201425059379"/>
    <n v="0.23159113637559872"/>
    <s v="Mid Range"/>
    <x v="0"/>
  </r>
  <r>
    <x v="13"/>
    <x v="662"/>
    <x v="130"/>
    <x v="1"/>
    <x v="1"/>
    <n v="4.2"/>
    <n v="16499"/>
    <n v="17999"/>
    <n v="1500"/>
    <n v="8.3337963220178904E-2"/>
    <n v="0.25456088247772596"/>
    <s v="Mid Range"/>
    <x v="0"/>
  </r>
  <r>
    <x v="13"/>
    <x v="662"/>
    <x v="125"/>
    <x v="1"/>
    <x v="1"/>
    <n v="4.2"/>
    <n v="16499"/>
    <n v="17999"/>
    <n v="1500"/>
    <n v="8.3337963220178904E-2"/>
    <n v="0.25456088247772596"/>
    <s v="Mid Range"/>
    <x v="0"/>
  </r>
  <r>
    <x v="13"/>
    <x v="257"/>
    <x v="130"/>
    <x v="1"/>
    <x v="0"/>
    <n v="4.3"/>
    <n v="11999"/>
    <n v="12999"/>
    <n v="1000"/>
    <n v="7.692899453804139E-2"/>
    <n v="0.35836319693307778"/>
    <s v="Budget"/>
    <x v="0"/>
  </r>
  <r>
    <x v="13"/>
    <x v="257"/>
    <x v="415"/>
    <x v="1"/>
    <x v="0"/>
    <n v="4.3"/>
    <n v="11999"/>
    <n v="12999"/>
    <n v="1000"/>
    <n v="7.692899453804139E-2"/>
    <n v="0.35836319693307778"/>
    <s v="Budget"/>
    <x v="0"/>
  </r>
  <r>
    <x v="13"/>
    <x v="257"/>
    <x v="125"/>
    <x v="1"/>
    <x v="0"/>
    <n v="4.3"/>
    <n v="11999"/>
    <n v="12999"/>
    <n v="1000"/>
    <n v="7.692899453804139E-2"/>
    <n v="0.35836319693307778"/>
    <s v="Budget"/>
    <x v="0"/>
  </r>
  <r>
    <x v="13"/>
    <x v="663"/>
    <x v="67"/>
    <x v="0"/>
    <x v="0"/>
    <n v="4.3"/>
    <n v="9999"/>
    <n v="11999"/>
    <n v="2000"/>
    <n v="0.16668055671305942"/>
    <n v="0.43004300430043002"/>
    <s v="Budget"/>
    <x v="0"/>
  </r>
  <r>
    <x v="13"/>
    <x v="663"/>
    <x v="416"/>
    <x v="0"/>
    <x v="0"/>
    <n v="4.3"/>
    <n v="9999"/>
    <n v="11999"/>
    <n v="2000"/>
    <n v="0.16668055671305942"/>
    <n v="0.43004300430043002"/>
    <s v="Budget"/>
    <x v="0"/>
  </r>
  <r>
    <x v="13"/>
    <x v="257"/>
    <x v="130"/>
    <x v="0"/>
    <x v="0"/>
    <n v="4.3"/>
    <n v="10999"/>
    <n v="11999"/>
    <n v="1000"/>
    <n v="8.3340278356529712E-2"/>
    <n v="0.39094463133012086"/>
    <s v="Budget"/>
    <x v="0"/>
  </r>
  <r>
    <x v="13"/>
    <x v="257"/>
    <x v="415"/>
    <x v="0"/>
    <x v="0"/>
    <n v="4.3"/>
    <n v="10999"/>
    <n v="11999"/>
    <n v="1000"/>
    <n v="8.3340278356529712E-2"/>
    <n v="0.39094463133012086"/>
    <s v="Budget"/>
    <x v="0"/>
  </r>
  <r>
    <x v="13"/>
    <x v="257"/>
    <x v="125"/>
    <x v="0"/>
    <x v="0"/>
    <n v="4.3"/>
    <n v="10999"/>
    <n v="11999"/>
    <n v="1000"/>
    <n v="8.3340278356529712E-2"/>
    <n v="0.39094463133012086"/>
    <s v="Budget"/>
    <x v="0"/>
  </r>
  <r>
    <x v="13"/>
    <x v="190"/>
    <x v="266"/>
    <x v="0"/>
    <x v="0"/>
    <n v="4.3"/>
    <n v="8999"/>
    <n v="10999"/>
    <n v="2000"/>
    <n v="0.18183471224656786"/>
    <n v="0.47783087009667735"/>
    <s v="Budget"/>
    <x v="0"/>
  </r>
  <r>
    <x v="13"/>
    <x v="190"/>
    <x v="417"/>
    <x v="0"/>
    <x v="0"/>
    <n v="4.3"/>
    <n v="8999"/>
    <n v="10999"/>
    <n v="2000"/>
    <n v="0.18183471224656786"/>
    <n v="0.47783087009667735"/>
    <s v="Budget"/>
    <x v="0"/>
  </r>
  <r>
    <x v="13"/>
    <x v="190"/>
    <x v="12"/>
    <x v="0"/>
    <x v="0"/>
    <n v="4.3"/>
    <n v="8999"/>
    <n v="10999"/>
    <n v="2000"/>
    <n v="0.18183471224656786"/>
    <n v="0.47783087009667735"/>
    <s v="Budget"/>
    <x v="0"/>
  </r>
  <r>
    <x v="13"/>
    <x v="190"/>
    <x v="266"/>
    <x v="2"/>
    <x v="2"/>
    <n v="4.3"/>
    <n v="7999"/>
    <n v="9999"/>
    <n v="2000"/>
    <n v="0.20002000200020001"/>
    <n v="0.53756719589948743"/>
    <s v="Budget"/>
    <x v="0"/>
  </r>
  <r>
    <x v="13"/>
    <x v="190"/>
    <x v="417"/>
    <x v="2"/>
    <x v="2"/>
    <n v="4.3"/>
    <n v="7999"/>
    <n v="9999"/>
    <n v="2000"/>
    <n v="0.20002000200020001"/>
    <n v="0.53756719589948743"/>
    <s v="Budget"/>
    <x v="0"/>
  </r>
  <r>
    <x v="13"/>
    <x v="190"/>
    <x v="12"/>
    <x v="2"/>
    <x v="2"/>
    <n v="4.3"/>
    <n v="7999"/>
    <n v="9999"/>
    <n v="2000"/>
    <n v="0.20002000200020001"/>
    <n v="0.53756719589948743"/>
    <s v="Budget"/>
    <x v="0"/>
  </r>
  <r>
    <x v="14"/>
    <x v="664"/>
    <x v="418"/>
    <x v="1"/>
    <x v="1"/>
    <n v="4.3"/>
    <n v="13400"/>
    <n v="13400"/>
    <n v="0"/>
    <n v="0"/>
    <n v="0.32089552238805968"/>
    <s v="Budget"/>
    <x v="0"/>
  </r>
  <r>
    <x v="14"/>
    <x v="665"/>
    <x v="36"/>
    <x v="3"/>
    <x v="3"/>
    <n v="4.4000000000000004"/>
    <n v="49990"/>
    <n v="54990"/>
    <n v="5000"/>
    <n v="9.092562284051646E-2"/>
    <n v="8.8017603520704146E-2"/>
    <s v="Mid Range"/>
    <x v="0"/>
  </r>
  <r>
    <x v="14"/>
    <x v="664"/>
    <x v="419"/>
    <x v="4"/>
    <x v="2"/>
    <n v="4.2"/>
    <n v="49990"/>
    <n v="54990"/>
    <n v="5000"/>
    <n v="9.092562284051646E-2"/>
    <n v="8.4016803360672132E-2"/>
    <s v="Mid Range"/>
    <x v="0"/>
  </r>
  <r>
    <x v="14"/>
    <x v="666"/>
    <x v="73"/>
    <x v="2"/>
    <x v="0"/>
    <n v="4.4000000000000004"/>
    <n v="39990"/>
    <n v="46990"/>
    <n v="7000"/>
    <n v="0.14896786550329857"/>
    <n v="0.11002750687671919"/>
    <s v="Mid Range"/>
    <x v="0"/>
  </r>
  <r>
    <x v="14"/>
    <x v="666"/>
    <x v="420"/>
    <x v="1"/>
    <x v="0"/>
    <n v="4.4000000000000004"/>
    <n v="37990"/>
    <n v="44990"/>
    <n v="7000"/>
    <n v="0.15559013114025338"/>
    <n v="0.11581995261911029"/>
    <s v="Mid Range"/>
    <x v="0"/>
  </r>
  <r>
    <x v="14"/>
    <x v="667"/>
    <x v="421"/>
    <x v="2"/>
    <x v="0"/>
    <n v="4.4000000000000004"/>
    <n v="36990"/>
    <n v="36990"/>
    <n v="0"/>
    <n v="0"/>
    <n v="0.11895106785617734"/>
    <s v="Mid Range"/>
    <x v="0"/>
  </r>
  <r>
    <x v="14"/>
    <x v="665"/>
    <x v="422"/>
    <x v="4"/>
    <x v="2"/>
    <n v="4.3"/>
    <n v="34990"/>
    <n v="39990"/>
    <n v="5000"/>
    <n v="0.12503125781445362"/>
    <n v="0.12289225492998"/>
    <s v="Mid Range"/>
    <x v="0"/>
  </r>
  <r>
    <x v="14"/>
    <x v="665"/>
    <x v="422"/>
    <x v="1"/>
    <x v="1"/>
    <n v="4.3"/>
    <n v="32990"/>
    <n v="32990"/>
    <n v="0"/>
    <n v="0"/>
    <n v="0.13034252803879962"/>
    <s v="Mid Range"/>
    <x v="0"/>
  </r>
  <r>
    <x v="14"/>
    <x v="668"/>
    <x v="83"/>
    <x v="2"/>
    <x v="2"/>
    <n v="4.4000000000000004"/>
    <n v="32990"/>
    <n v="32990"/>
    <n v="0"/>
    <n v="0"/>
    <n v="0.13337374962109733"/>
    <s v="Mid Range"/>
    <x v="0"/>
  </r>
  <r>
    <x v="14"/>
    <x v="668"/>
    <x v="273"/>
    <x v="0"/>
    <x v="0"/>
    <n v="4.4000000000000004"/>
    <n v="32990"/>
    <n v="35990"/>
    <n v="3000"/>
    <n v="8.3356487913309255E-2"/>
    <n v="0.13337374962109733"/>
    <s v="Mid Range"/>
    <x v="0"/>
  </r>
  <r>
    <x v="14"/>
    <x v="669"/>
    <x v="418"/>
    <x v="1"/>
    <x v="1"/>
    <n v="4.3"/>
    <n v="29990"/>
    <n v="34990"/>
    <n v="5000"/>
    <n v="0.14289797084881395"/>
    <n v="0.14338112704234743"/>
    <s v="Mid Range"/>
    <x v="0"/>
  </r>
  <r>
    <x v="14"/>
    <x v="670"/>
    <x v="423"/>
    <x v="2"/>
    <x v="0"/>
    <n v="4.4000000000000004"/>
    <n v="29990"/>
    <n v="32990"/>
    <n v="3000"/>
    <n v="9.0936647468929974E-2"/>
    <n v="0.14671557185728576"/>
    <s v="Mid Range"/>
    <x v="0"/>
  </r>
  <r>
    <x v="14"/>
    <x v="671"/>
    <x v="424"/>
    <x v="2"/>
    <x v="0"/>
    <n v="4.4000000000000004"/>
    <n v="28990"/>
    <n v="28990"/>
    <n v="0"/>
    <n v="0"/>
    <n v="0.15177647464642979"/>
    <s v="Mid Range"/>
    <x v="0"/>
  </r>
  <r>
    <x v="14"/>
    <x v="672"/>
    <x v="425"/>
    <x v="1"/>
    <x v="0"/>
    <n v="4.4000000000000004"/>
    <n v="28499"/>
    <n v="34990"/>
    <n v="6491"/>
    <n v="0.18551014575593028"/>
    <n v="0.15439138215375978"/>
    <s v="Mid Range"/>
    <x v="0"/>
  </r>
  <r>
    <x v="14"/>
    <x v="673"/>
    <x v="273"/>
    <x v="2"/>
    <x v="0"/>
    <n v="4.4000000000000004"/>
    <n v="27990"/>
    <n v="27990"/>
    <n v="0"/>
    <n v="0"/>
    <n v="0.15719899964272957"/>
    <s v="Mid Range"/>
    <x v="0"/>
  </r>
  <r>
    <x v="14"/>
    <x v="674"/>
    <x v="426"/>
    <x v="2"/>
    <x v="4"/>
    <n v="4.3"/>
    <n v="23990"/>
    <n v="23990"/>
    <n v="0"/>
    <n v="0"/>
    <n v="0.17924135056273446"/>
    <s v="Mid Range"/>
    <x v="0"/>
  </r>
  <r>
    <x v="14"/>
    <x v="664"/>
    <x v="418"/>
    <x v="0"/>
    <x v="0"/>
    <n v="4.4000000000000004"/>
    <n v="23990"/>
    <n v="23990"/>
    <n v="0"/>
    <n v="0"/>
    <n v="0.18340975406419344"/>
    <s v="Mid Range"/>
    <x v="0"/>
  </r>
  <r>
    <x v="14"/>
    <x v="672"/>
    <x v="61"/>
    <x v="0"/>
    <x v="2"/>
    <n v="4.4000000000000004"/>
    <n v="22990"/>
    <n v="27990"/>
    <n v="5000"/>
    <n v="0.17863522686673813"/>
    <n v="0.19138755980861244"/>
    <s v="Mid Range"/>
    <x v="0"/>
  </r>
  <r>
    <x v="14"/>
    <x v="672"/>
    <x v="61"/>
    <x v="0"/>
    <x v="2"/>
    <n v="4.4000000000000004"/>
    <n v="22654"/>
    <n v="22654"/>
    <n v="0"/>
    <n v="0"/>
    <n v="0.19422618522115301"/>
    <s v="Mid Range"/>
    <x v="0"/>
  </r>
  <r>
    <x v="14"/>
    <x v="675"/>
    <x v="427"/>
    <x v="3"/>
    <x v="1"/>
    <n v="4.4000000000000004"/>
    <n v="21990"/>
    <n v="21990"/>
    <n v="0"/>
    <n v="0"/>
    <n v="0.20009095043201458"/>
    <s v="Mid Range"/>
    <x v="0"/>
  </r>
  <r>
    <x v="14"/>
    <x v="675"/>
    <x v="427"/>
    <x v="0"/>
    <x v="1"/>
    <n v="4.4000000000000004"/>
    <n v="21099"/>
    <n v="32990"/>
    <n v="11891"/>
    <n v="0.36044255835101546"/>
    <n v="0.20854068913218637"/>
    <s v="Mid Range"/>
    <x v="0"/>
  </r>
  <r>
    <x v="14"/>
    <x v="667"/>
    <x v="423"/>
    <x v="0"/>
    <x v="1"/>
    <n v="4.4000000000000004"/>
    <n v="20600"/>
    <n v="20600"/>
    <n v="0"/>
    <n v="0"/>
    <n v="0.21359223300970875"/>
    <s v="Mid Range"/>
    <x v="0"/>
  </r>
  <r>
    <x v="14"/>
    <x v="676"/>
    <x v="391"/>
    <x v="1"/>
    <x v="0"/>
    <n v="4.5"/>
    <n v="19990"/>
    <n v="24990"/>
    <n v="5000"/>
    <n v="0.20008003201280511"/>
    <n v="0.22511255627813909"/>
    <s v="Mid Range"/>
    <x v="0"/>
  </r>
  <r>
    <x v="14"/>
    <x v="675"/>
    <x v="428"/>
    <x v="0"/>
    <x v="0"/>
    <n v="4.4000000000000004"/>
    <n v="19990"/>
    <n v="24990"/>
    <n v="5000"/>
    <n v="0.20008003201280511"/>
    <n v="0.22011005502751377"/>
    <s v="Mid Range"/>
    <x v="0"/>
  </r>
  <r>
    <x v="14"/>
    <x v="674"/>
    <x v="429"/>
    <x v="0"/>
    <x v="2"/>
    <n v="4.4000000000000004"/>
    <n v="19490"/>
    <n v="22990"/>
    <n v="3500"/>
    <n v="0.15224010439321445"/>
    <n v="0.22575679835813239"/>
    <s v="Mid Range"/>
    <x v="0"/>
  </r>
  <r>
    <x v="14"/>
    <x v="677"/>
    <x v="419"/>
    <x v="0"/>
    <x v="2"/>
    <n v="4.4000000000000004"/>
    <n v="19490"/>
    <n v="22990"/>
    <n v="3500"/>
    <n v="0.15224010439321445"/>
    <n v="0.22575679835813239"/>
    <s v="Mid Range"/>
    <x v="0"/>
  </r>
  <r>
    <x v="14"/>
    <x v="676"/>
    <x v="430"/>
    <x v="2"/>
    <x v="4"/>
    <n v="4.3"/>
    <n v="18990"/>
    <n v="18990"/>
    <n v="0"/>
    <n v="0"/>
    <n v="0.22643496577145866"/>
    <s v="Mid Range"/>
    <x v="0"/>
  </r>
  <r>
    <x v="14"/>
    <x v="664"/>
    <x v="419"/>
    <x v="2"/>
    <x v="4"/>
    <n v="4.3"/>
    <n v="18990"/>
    <n v="20990"/>
    <n v="2000"/>
    <n v="9.5283468318246786E-2"/>
    <n v="0.22643496577145866"/>
    <s v="Mid Range"/>
    <x v="0"/>
  </r>
  <r>
    <x v="14"/>
    <x v="678"/>
    <x v="431"/>
    <x v="2"/>
    <x v="2"/>
    <n v="4.3"/>
    <n v="17999"/>
    <n v="17999"/>
    <n v="0"/>
    <n v="0"/>
    <n v="0.23890216123117949"/>
    <s v="Mid Range"/>
    <x v="0"/>
  </r>
  <r>
    <x v="14"/>
    <x v="679"/>
    <x v="432"/>
    <x v="0"/>
    <x v="0"/>
    <n v="4.4000000000000004"/>
    <n v="16990"/>
    <n v="20990"/>
    <n v="4000"/>
    <n v="0.19056693663649357"/>
    <n v="0.25897586815773987"/>
    <s v="Mid Range"/>
    <x v="0"/>
  </r>
  <r>
    <x v="14"/>
    <x v="680"/>
    <x v="433"/>
    <x v="1"/>
    <x v="0"/>
    <n v="4.5"/>
    <n v="16989"/>
    <n v="16989"/>
    <n v="0"/>
    <n v="0"/>
    <n v="0.26487727352993112"/>
    <s v="Mid Range"/>
    <x v="0"/>
  </r>
  <r>
    <x v="14"/>
    <x v="681"/>
    <x v="30"/>
    <x v="0"/>
    <x v="0"/>
    <n v="4.4000000000000004"/>
    <n v="16490"/>
    <n v="16490"/>
    <n v="0"/>
    <n v="0"/>
    <n v="0.26682838083687088"/>
    <s v="Mid Range"/>
    <x v="0"/>
  </r>
  <r>
    <x v="14"/>
    <x v="673"/>
    <x v="83"/>
    <x v="1"/>
    <x v="1"/>
    <n v="4.5"/>
    <n v="15990"/>
    <n v="15990"/>
    <n v="0"/>
    <n v="0"/>
    <n v="0.28142589118198874"/>
    <s v="Mid Range"/>
    <x v="0"/>
  </r>
  <r>
    <x v="14"/>
    <x v="673"/>
    <x v="83"/>
    <x v="0"/>
    <x v="0"/>
    <n v="4.5"/>
    <n v="15990"/>
    <n v="15990"/>
    <n v="0"/>
    <n v="0"/>
    <n v="0.28142589118198874"/>
    <s v="Mid Range"/>
    <x v="0"/>
  </r>
  <r>
    <x v="14"/>
    <x v="673"/>
    <x v="273"/>
    <x v="5"/>
    <x v="3"/>
    <n v="4.4000000000000004"/>
    <n v="15900"/>
    <n v="15900"/>
    <n v="0"/>
    <n v="0"/>
    <n v="0.27672955974842772"/>
    <s v="Mid Range"/>
    <x v="0"/>
  </r>
  <r>
    <x v="14"/>
    <x v="682"/>
    <x v="434"/>
    <x v="5"/>
    <x v="3"/>
    <n v="4.4000000000000004"/>
    <n v="15490"/>
    <n v="19490"/>
    <n v="4000"/>
    <n v="0.20523345305284763"/>
    <n v="0.28405422853453843"/>
    <s v="Mid Range"/>
    <x v="0"/>
  </r>
  <r>
    <x v="14"/>
    <x v="683"/>
    <x v="435"/>
    <x v="3"/>
    <x v="3"/>
    <n v="4.5"/>
    <n v="15490"/>
    <n v="19490"/>
    <n v="4000"/>
    <n v="0.20523345305284763"/>
    <n v="0.2905100064557779"/>
    <s v="Mid Range"/>
    <x v="0"/>
  </r>
  <r>
    <x v="14"/>
    <x v="683"/>
    <x v="435"/>
    <x v="5"/>
    <x v="3"/>
    <n v="4.4000000000000004"/>
    <n v="14990"/>
    <n v="14990"/>
    <n v="0"/>
    <n v="0"/>
    <n v="0.29352901934623082"/>
    <s v="Budget"/>
    <x v="0"/>
  </r>
  <r>
    <x v="14"/>
    <x v="683"/>
    <x v="436"/>
    <x v="5"/>
    <x v="3"/>
    <n v="4.4000000000000004"/>
    <n v="14990"/>
    <n v="14990"/>
    <n v="0"/>
    <n v="0"/>
    <n v="0.29352901934623082"/>
    <s v="Budget"/>
    <x v="0"/>
  </r>
  <r>
    <x v="14"/>
    <x v="683"/>
    <x v="164"/>
    <x v="3"/>
    <x v="3"/>
    <n v="4.3"/>
    <n v="14990"/>
    <n v="14990"/>
    <n v="0"/>
    <n v="0"/>
    <n v="0.28685790527018012"/>
    <s v="Budget"/>
    <x v="0"/>
  </r>
  <r>
    <x v="14"/>
    <x v="683"/>
    <x v="436"/>
    <x v="3"/>
    <x v="3"/>
    <n v="4.3"/>
    <n v="14990"/>
    <n v="14990"/>
    <n v="0"/>
    <n v="0"/>
    <n v="0.28685790527018012"/>
    <s v="Budget"/>
    <x v="0"/>
  </r>
  <r>
    <x v="14"/>
    <x v="684"/>
    <x v="308"/>
    <x v="3"/>
    <x v="1"/>
    <n v="4.4000000000000004"/>
    <n v="14990"/>
    <n v="14990"/>
    <n v="0"/>
    <n v="0"/>
    <n v="0.29352901934623082"/>
    <s v="Budget"/>
    <x v="0"/>
  </r>
  <r>
    <x v="14"/>
    <x v="680"/>
    <x v="437"/>
    <x v="3"/>
    <x v="1"/>
    <n v="4.3"/>
    <n v="14500"/>
    <n v="14500"/>
    <n v="0"/>
    <n v="0"/>
    <n v="0.29655172413793102"/>
    <s v="Budget"/>
    <x v="0"/>
  </r>
  <r>
    <x v="14"/>
    <x v="677"/>
    <x v="418"/>
    <x v="3"/>
    <x v="3"/>
    <n v="4.3"/>
    <n v="13995"/>
    <n v="13995"/>
    <n v="0"/>
    <n v="0"/>
    <n v="0.3072525902107896"/>
    <s v="Budget"/>
    <x v="0"/>
  </r>
  <r>
    <x v="14"/>
    <x v="685"/>
    <x v="87"/>
    <x v="3"/>
    <x v="3"/>
    <n v="4.3"/>
    <n v="13990"/>
    <n v="13990"/>
    <n v="0"/>
    <n v="0"/>
    <n v="0.30736240171551105"/>
    <s v="Budget"/>
    <x v="0"/>
  </r>
  <r>
    <x v="14"/>
    <x v="686"/>
    <x v="438"/>
    <x v="3"/>
    <x v="1"/>
    <n v="4.4000000000000004"/>
    <n v="13990"/>
    <n v="18990"/>
    <n v="5000"/>
    <n v="0.2632964718272775"/>
    <n v="0.31451036454610443"/>
    <s v="Budget"/>
    <x v="0"/>
  </r>
  <r>
    <x v="14"/>
    <x v="681"/>
    <x v="30"/>
    <x v="3"/>
    <x v="1"/>
    <n v="4.3"/>
    <n v="13990"/>
    <n v="16990"/>
    <n v="3000"/>
    <n v="0.17657445556209536"/>
    <n v="0.30736240171551105"/>
    <s v="Budget"/>
    <x v="0"/>
  </r>
  <r>
    <x v="14"/>
    <x v="672"/>
    <x v="425"/>
    <x v="3"/>
    <x v="1"/>
    <n v="4.3"/>
    <n v="13890"/>
    <n v="13990"/>
    <n v="100"/>
    <n v="7.1479628305932807E-3"/>
    <n v="0.30957523398128151"/>
    <s v="Budget"/>
    <x v="0"/>
  </r>
  <r>
    <x v="14"/>
    <x v="672"/>
    <x v="61"/>
    <x v="3"/>
    <x v="1"/>
    <n v="4.4000000000000004"/>
    <n v="13890"/>
    <n v="13990"/>
    <n v="100"/>
    <n v="7.1479628305932807E-3"/>
    <n v="0.31677465802735782"/>
    <s v="Budget"/>
    <x v="0"/>
  </r>
  <r>
    <x v="14"/>
    <x v="678"/>
    <x v="439"/>
    <x v="3"/>
    <x v="1"/>
    <n v="4.3"/>
    <n v="12900"/>
    <n v="12900"/>
    <n v="0"/>
    <n v="0"/>
    <n v="0.33333333333333331"/>
    <s v="Budget"/>
    <x v="0"/>
  </r>
  <r>
    <x v="14"/>
    <x v="682"/>
    <x v="434"/>
    <x v="3"/>
    <x v="1"/>
    <n v="4.3"/>
    <n v="11990"/>
    <n v="15490"/>
    <n v="3500"/>
    <n v="0.22595222724338282"/>
    <n v="0.35863219349457881"/>
    <s v="Budget"/>
    <x v="0"/>
  </r>
  <r>
    <x v="14"/>
    <x v="687"/>
    <x v="440"/>
    <x v="0"/>
    <x v="1"/>
    <n v="4.3"/>
    <n v="10990"/>
    <n v="10990"/>
    <n v="0"/>
    <n v="0"/>
    <n v="0.39126478616924476"/>
    <s v="Budget"/>
    <x v="0"/>
  </r>
  <r>
    <x v="14"/>
    <x v="681"/>
    <x v="441"/>
    <x v="2"/>
    <x v="0"/>
    <n v="4.4000000000000004"/>
    <n v="8205"/>
    <n v="8205"/>
    <n v="0"/>
    <n v="0"/>
    <n v="0.53625837903717244"/>
    <s v="Budget"/>
    <x v="0"/>
  </r>
  <r>
    <x v="15"/>
    <x v="688"/>
    <x v="442"/>
    <x v="3"/>
    <x v="3"/>
    <n v="4.2"/>
    <n v="54999"/>
    <n v="59999"/>
    <n v="5000"/>
    <n v="8.3334722245370751E-2"/>
    <n v="7.6365024818633082E-2"/>
    <s v="Premium"/>
    <x v="0"/>
  </r>
  <r>
    <x v="15"/>
    <x v="688"/>
    <x v="443"/>
    <x v="3"/>
    <x v="3"/>
    <n v="4.2"/>
    <n v="45871"/>
    <n v="45871"/>
    <n v="0"/>
    <n v="0"/>
    <n v="9.1561117045627957E-2"/>
    <s v="Mid Range"/>
    <x v="0"/>
  </r>
  <r>
    <x v="15"/>
    <x v="689"/>
    <x v="444"/>
    <x v="3"/>
    <x v="1"/>
    <n v="4.3"/>
    <n v="24890"/>
    <n v="24988"/>
    <n v="98"/>
    <n v="3.9218825036017287E-3"/>
    <n v="0.17276014463640016"/>
    <s v="Mid Range"/>
    <x v="0"/>
  </r>
  <r>
    <x v="15"/>
    <x v="689"/>
    <x v="444"/>
    <x v="1"/>
    <x v="1"/>
    <n v="4.3"/>
    <n v="22650"/>
    <n v="24198"/>
    <n v="1548"/>
    <n v="6.3972229109843792E-2"/>
    <n v="0.18984547461368653"/>
    <s v="Mid Range"/>
    <x v="0"/>
  </r>
  <r>
    <x v="15"/>
    <x v="689"/>
    <x v="30"/>
    <x v="1"/>
    <x v="1"/>
    <n v="4.3"/>
    <n v="22950"/>
    <n v="24198"/>
    <n v="1248"/>
    <n v="5.1574510290106623E-2"/>
    <n v="0.18736383442265794"/>
    <s v="Mid Range"/>
    <x v="0"/>
  </r>
  <r>
    <x v="15"/>
    <x v="689"/>
    <x v="445"/>
    <x v="3"/>
    <x v="1"/>
    <n v="4.3"/>
    <n v="26989"/>
    <n v="26989"/>
    <n v="0"/>
    <n v="0"/>
    <n v="0.15932416910593206"/>
    <s v="Mid Range"/>
    <x v="0"/>
  </r>
  <r>
    <x v="15"/>
    <x v="690"/>
    <x v="356"/>
    <x v="1"/>
    <x v="1"/>
    <n v="4.2"/>
    <n v="32999"/>
    <n v="39999"/>
    <n v="7000"/>
    <n v="0.17500437510937775"/>
    <n v="0.1272765841389133"/>
    <s v="Mid Range"/>
    <x v="0"/>
  </r>
  <r>
    <x v="15"/>
    <x v="690"/>
    <x v="356"/>
    <x v="3"/>
    <x v="1"/>
    <n v="4.4000000000000004"/>
    <n v="34999"/>
    <n v="42999"/>
    <n v="8000"/>
    <n v="0.18605083839159051"/>
    <n v="0.12571787765364725"/>
    <s v="Mid Range"/>
    <x v="0"/>
  </r>
  <r>
    <x v="15"/>
    <x v="690"/>
    <x v="446"/>
    <x v="1"/>
    <x v="1"/>
    <n v="4.3"/>
    <n v="32999"/>
    <n v="39999"/>
    <n v="7000"/>
    <n v="0.17500437510937775"/>
    <n v="0.13030697899936361"/>
    <s v="Mid Range"/>
    <x v="0"/>
  </r>
  <r>
    <x v="15"/>
    <x v="691"/>
    <x v="447"/>
    <x v="3"/>
    <x v="1"/>
    <n v="4.2"/>
    <n v="23999"/>
    <n v="25999"/>
    <n v="2000"/>
    <n v="7.6926035616754485E-2"/>
    <n v="0.17500729197049877"/>
    <s v="Mid Range"/>
    <x v="0"/>
  </r>
  <r>
    <x v="15"/>
    <x v="691"/>
    <x v="447"/>
    <x v="1"/>
    <x v="1"/>
    <n v="4.2"/>
    <n v="21999"/>
    <n v="24999"/>
    <n v="3000"/>
    <n v="0.12000480019200768"/>
    <n v="0.19091776898949953"/>
    <s v="Mid Range"/>
    <x v="0"/>
  </r>
  <r>
    <x v="15"/>
    <x v="691"/>
    <x v="448"/>
    <x v="1"/>
    <x v="1"/>
    <n v="4.2"/>
    <n v="21999"/>
    <n v="24999"/>
    <n v="3000"/>
    <n v="0.12000480019200768"/>
    <n v="0.19091776898949953"/>
    <s v="Mid Range"/>
    <x v="0"/>
  </r>
  <r>
    <x v="15"/>
    <x v="691"/>
    <x v="448"/>
    <x v="3"/>
    <x v="1"/>
    <n v="4.3"/>
    <n v="23999"/>
    <n v="25999"/>
    <n v="2000"/>
    <n v="7.6926035616754485E-2"/>
    <n v="0.17917413225551065"/>
    <s v="Mid Range"/>
    <x v="0"/>
  </r>
  <r>
    <x v="15"/>
    <x v="691"/>
    <x v="449"/>
    <x v="3"/>
    <x v="1"/>
    <n v="4.2"/>
    <n v="23999"/>
    <n v="25999"/>
    <n v="2000"/>
    <n v="7.6926035616754485E-2"/>
    <n v="0.17500729197049877"/>
    <s v="Mid Range"/>
    <x v="0"/>
  </r>
  <r>
    <x v="15"/>
    <x v="691"/>
    <x v="449"/>
    <x v="1"/>
    <x v="1"/>
    <n v="4.3"/>
    <n v="21999"/>
    <n v="24999"/>
    <n v="3000"/>
    <n v="0.12000480019200768"/>
    <n v="0.19546343015591616"/>
    <s v="Mid Range"/>
    <x v="0"/>
  </r>
  <r>
    <x v="15"/>
    <x v="692"/>
    <x v="450"/>
    <x v="3"/>
    <x v="1"/>
    <n v="4.4000000000000004"/>
    <n v="26824"/>
    <n v="26824"/>
    <n v="0"/>
    <n v="0"/>
    <n v="0.16403220996122875"/>
    <s v="Mid Range"/>
    <x v="0"/>
  </r>
  <r>
    <x v="15"/>
    <x v="692"/>
    <x v="450"/>
    <x v="1"/>
    <x v="1"/>
    <n v="4.2"/>
    <n v="24744"/>
    <n v="25990"/>
    <n v="1246"/>
    <n v="4.7941515967679878E-2"/>
    <n v="0.16973811833171679"/>
    <s v="Mid Range"/>
    <x v="0"/>
  </r>
  <r>
    <x v="15"/>
    <x v="692"/>
    <x v="356"/>
    <x v="3"/>
    <x v="1"/>
    <n v="4.2"/>
    <n v="26828"/>
    <n v="26828"/>
    <n v="0"/>
    <n v="0"/>
    <n v="0.15655285522588339"/>
    <s v="Mid Range"/>
    <x v="0"/>
  </r>
  <r>
    <x v="15"/>
    <x v="692"/>
    <x v="356"/>
    <x v="1"/>
    <x v="1"/>
    <n v="4.4000000000000004"/>
    <n v="24283"/>
    <n v="28700"/>
    <n v="4417"/>
    <n v="0.15390243902439024"/>
    <n v="0.18119672198657499"/>
    <s v="Mid Range"/>
    <x v="0"/>
  </r>
  <r>
    <x v="15"/>
    <x v="692"/>
    <x v="175"/>
    <x v="1"/>
    <x v="1"/>
    <n v="4.3"/>
    <n v="24338"/>
    <n v="25989"/>
    <n v="1651"/>
    <n v="6.3526876755550424E-2"/>
    <n v="0.17667844522968196"/>
    <s v="Mid Range"/>
    <x v="0"/>
  </r>
  <r>
    <x v="15"/>
    <x v="692"/>
    <x v="175"/>
    <x v="3"/>
    <x v="1"/>
    <n v="4.2"/>
    <n v="27950"/>
    <n v="31983"/>
    <n v="4033"/>
    <n v="0.12609823968983522"/>
    <n v="0.15026833631484793"/>
    <s v="Mid Range"/>
    <x v="0"/>
  </r>
  <r>
    <x v="15"/>
    <x v="692"/>
    <x v="175"/>
    <x v="3"/>
    <x v="1"/>
    <n v="4.5"/>
    <n v="26758"/>
    <n v="26758"/>
    <n v="0"/>
    <n v="0"/>
    <n v="0.16817400403617608"/>
    <s v="Mid Range"/>
    <x v="0"/>
  </r>
  <r>
    <x v="15"/>
    <x v="693"/>
    <x v="450"/>
    <x v="1"/>
    <x v="1"/>
    <n v="4.0999999999999996"/>
    <n v="26295"/>
    <n v="27395"/>
    <n v="1100"/>
    <n v="4.0153312648293485E-2"/>
    <n v="0.1559231793116562"/>
    <s v="Mid Range"/>
    <x v="0"/>
  </r>
  <r>
    <x v="15"/>
    <x v="693"/>
    <x v="356"/>
    <x v="1"/>
    <x v="1"/>
    <n v="4.0999999999999996"/>
    <n v="24492"/>
    <n v="27995"/>
    <n v="3503"/>
    <n v="0.1251294874084658"/>
    <n v="0.1674016005226196"/>
    <s v="Mid Range"/>
    <x v="0"/>
  </r>
  <r>
    <x v="15"/>
    <x v="693"/>
    <x v="175"/>
    <x v="1"/>
    <x v="1"/>
    <n v="4.4000000000000004"/>
    <n v="26495"/>
    <n v="28990"/>
    <n v="2495"/>
    <n v="8.6064160055191449E-2"/>
    <n v="0.16606906963578036"/>
    <s v="Mid Range"/>
    <x v="0"/>
  </r>
  <r>
    <x v="15"/>
    <x v="694"/>
    <x v="450"/>
    <x v="3"/>
    <x v="1"/>
    <n v="4.2"/>
    <n v="36290"/>
    <n v="37490"/>
    <n v="1200"/>
    <n v="3.2008535609495868E-2"/>
    <n v="0.11573436208321852"/>
    <s v="Mid Range"/>
    <x v="0"/>
  </r>
  <r>
    <x v="15"/>
    <x v="694"/>
    <x v="356"/>
    <x v="3"/>
    <x v="1"/>
    <n v="4.4000000000000004"/>
    <n v="39999"/>
    <n v="39999"/>
    <n v="0"/>
    <n v="0"/>
    <n v="0.11000275006875174"/>
    <s v="Mid Range"/>
    <x v="0"/>
  </r>
  <r>
    <x v="15"/>
    <x v="694"/>
    <x v="356"/>
    <x v="3"/>
    <x v="3"/>
    <n v="4.2"/>
    <n v="38950"/>
    <n v="39990"/>
    <n v="1040"/>
    <n v="2.6006501625406353E-2"/>
    <n v="0.10783055198973043"/>
    <s v="Mid Range"/>
    <x v="0"/>
  </r>
  <r>
    <x v="15"/>
    <x v="694"/>
    <x v="175"/>
    <x v="3"/>
    <x v="3"/>
    <n v="4.4000000000000004"/>
    <n v="38999"/>
    <n v="38999"/>
    <n v="0"/>
    <n v="0"/>
    <n v="0.11282340572835201"/>
    <s v="Mid Range"/>
    <x v="0"/>
  </r>
  <r>
    <x v="15"/>
    <x v="695"/>
    <x v="4"/>
    <x v="1"/>
    <x v="1"/>
    <n v="3.8"/>
    <n v="14949"/>
    <n v="14949"/>
    <n v="0"/>
    <n v="0"/>
    <n v="0.25419760519098267"/>
    <s v="Budget"/>
    <x v="1"/>
  </r>
  <r>
    <x v="15"/>
    <x v="695"/>
    <x v="4"/>
    <x v="0"/>
    <x v="0"/>
    <n v="4.3"/>
    <n v="11990"/>
    <n v="12899"/>
    <n v="909"/>
    <n v="7.0470579114660051E-2"/>
    <n v="0.35863219349457881"/>
    <s v="Budget"/>
    <x v="0"/>
  </r>
  <r>
    <x v="15"/>
    <x v="695"/>
    <x v="57"/>
    <x v="1"/>
    <x v="1"/>
    <n v="4.3"/>
    <n v="14398"/>
    <n v="14398"/>
    <n v="0"/>
    <n v="0"/>
    <n v="0.29865259063758853"/>
    <s v="Budget"/>
    <x v="0"/>
  </r>
  <r>
    <x v="15"/>
    <x v="695"/>
    <x v="57"/>
    <x v="0"/>
    <x v="0"/>
    <n v="4.4000000000000004"/>
    <n v="12499"/>
    <n v="12499"/>
    <n v="0"/>
    <n v="0"/>
    <n v="0.35202816225298028"/>
    <s v="Budget"/>
    <x v="0"/>
  </r>
  <r>
    <x v="15"/>
    <x v="695"/>
    <x v="39"/>
    <x v="1"/>
    <x v="1"/>
    <n v="4.4000000000000004"/>
    <n v="14443"/>
    <n v="14443"/>
    <n v="0"/>
    <n v="0"/>
    <n v="0.30464584920030469"/>
    <s v="Budget"/>
    <x v="0"/>
  </r>
  <r>
    <x v="15"/>
    <x v="695"/>
    <x v="39"/>
    <x v="0"/>
    <x v="0"/>
    <n v="4.4000000000000004"/>
    <n v="11948"/>
    <n v="11948"/>
    <n v="0"/>
    <n v="0"/>
    <n v="0.3682624707063944"/>
    <s v="Budget"/>
    <x v="0"/>
  </r>
  <r>
    <x v="15"/>
    <x v="696"/>
    <x v="451"/>
    <x v="0"/>
    <x v="0"/>
    <n v="4.3"/>
    <n v="12990"/>
    <n v="14990"/>
    <n v="2000"/>
    <n v="0.13342228152101401"/>
    <n v="0.33102386451116245"/>
    <s v="Budget"/>
    <x v="0"/>
  </r>
  <r>
    <x v="15"/>
    <x v="696"/>
    <x v="452"/>
    <x v="0"/>
    <x v="0"/>
    <n v="4.4000000000000004"/>
    <n v="12990"/>
    <n v="14990"/>
    <n v="2000"/>
    <n v="0.13342228152101401"/>
    <n v="0.3387220939183988"/>
    <s v="Budget"/>
    <x v="0"/>
  </r>
  <r>
    <x v="15"/>
    <x v="697"/>
    <x v="4"/>
    <x v="0"/>
    <x v="0"/>
    <n v="4.4000000000000004"/>
    <n v="13990"/>
    <n v="13990"/>
    <n v="0"/>
    <n v="0"/>
    <n v="0.31451036454610443"/>
    <s v="Budget"/>
    <x v="0"/>
  </r>
  <r>
    <x v="15"/>
    <x v="698"/>
    <x v="453"/>
    <x v="4"/>
    <x v="4"/>
    <n v="4.3"/>
    <n v="7999"/>
    <n v="7999"/>
    <n v="0"/>
    <n v="0"/>
    <n v="0.53756719589948743"/>
    <s v="Budget"/>
    <x v="0"/>
  </r>
  <r>
    <x v="15"/>
    <x v="699"/>
    <x v="4"/>
    <x v="2"/>
    <x v="2"/>
    <n v="4.4000000000000004"/>
    <n v="9900"/>
    <n v="9900"/>
    <n v="0"/>
    <n v="0"/>
    <n v="0.44444444444444448"/>
    <s v="Budget"/>
    <x v="0"/>
  </r>
  <r>
    <x v="15"/>
    <x v="699"/>
    <x v="57"/>
    <x v="2"/>
    <x v="2"/>
    <n v="4.4000000000000004"/>
    <n v="9399"/>
    <n v="9399"/>
    <n v="0"/>
    <n v="0"/>
    <n v="0.46813490796893287"/>
    <s v="Budget"/>
    <x v="0"/>
  </r>
  <r>
    <x v="15"/>
    <x v="699"/>
    <x v="57"/>
    <x v="0"/>
    <x v="0"/>
    <n v="4.2"/>
    <n v="10990"/>
    <n v="10990"/>
    <n v="0"/>
    <n v="0"/>
    <n v="0.38216560509554137"/>
    <s v="Budget"/>
    <x v="0"/>
  </r>
  <r>
    <x v="15"/>
    <x v="699"/>
    <x v="454"/>
    <x v="2"/>
    <x v="2"/>
    <n v="4.2"/>
    <n v="8990"/>
    <n v="8990"/>
    <n v="0"/>
    <n v="0"/>
    <n v="0.46718576195773087"/>
    <s v="Budget"/>
    <x v="0"/>
  </r>
  <r>
    <x v="15"/>
    <x v="700"/>
    <x v="4"/>
    <x v="2"/>
    <x v="0"/>
    <n v="4.2"/>
    <n v="10450"/>
    <n v="10450"/>
    <n v="0"/>
    <n v="0"/>
    <n v="0.40191387559808611"/>
    <s v="Budget"/>
    <x v="0"/>
  </r>
  <r>
    <x v="15"/>
    <x v="701"/>
    <x v="57"/>
    <x v="0"/>
    <x v="0"/>
    <n v="4.5"/>
    <n v="12349"/>
    <n v="12999"/>
    <n v="650"/>
    <n v="5.0003846449726899E-2"/>
    <n v="0.36440197586849138"/>
    <s v="Budget"/>
    <x v="0"/>
  </r>
  <r>
    <x v="15"/>
    <x v="701"/>
    <x v="454"/>
    <x v="0"/>
    <x v="0"/>
    <n v="4.4000000000000004"/>
    <n v="11999"/>
    <n v="11999"/>
    <n v="0"/>
    <n v="0"/>
    <n v="0.36669722476873073"/>
    <s v="Budget"/>
    <x v="0"/>
  </r>
  <r>
    <x v="15"/>
    <x v="701"/>
    <x v="39"/>
    <x v="2"/>
    <x v="2"/>
    <n v="4.5"/>
    <n v="9990"/>
    <n v="9990"/>
    <n v="0"/>
    <n v="0"/>
    <n v="0.45045045045045046"/>
    <s v="Budget"/>
    <x v="0"/>
  </r>
  <r>
    <x v="15"/>
    <x v="701"/>
    <x v="39"/>
    <x v="0"/>
    <x v="0"/>
    <n v="4.4000000000000004"/>
    <n v="11999"/>
    <n v="12990"/>
    <n v="991"/>
    <n v="7.6289453425712084E-2"/>
    <n v="0.36669722476873073"/>
    <s v="Budget"/>
    <x v="0"/>
  </r>
  <r>
    <x v="15"/>
    <x v="702"/>
    <x v="4"/>
    <x v="4"/>
    <x v="2"/>
    <n v="4.3"/>
    <n v="7989"/>
    <n v="7989"/>
    <n v="0"/>
    <n v="0"/>
    <n v="0.53824008011015145"/>
    <s v="Budget"/>
    <x v="0"/>
  </r>
  <r>
    <x v="15"/>
    <x v="702"/>
    <x v="57"/>
    <x v="4"/>
    <x v="2"/>
    <n v="4.3"/>
    <n v="7499"/>
    <n v="7499"/>
    <n v="0"/>
    <n v="0"/>
    <n v="0.57340978797172948"/>
    <s v="Budget"/>
    <x v="0"/>
  </r>
  <r>
    <x v="15"/>
    <x v="702"/>
    <x v="56"/>
    <x v="4"/>
    <x v="2"/>
    <n v="4.3"/>
    <n v="7699"/>
    <n v="7699"/>
    <n v="0"/>
    <n v="0"/>
    <n v="0.55851409273931674"/>
    <s v="Budget"/>
    <x v="0"/>
  </r>
  <r>
    <x v="15"/>
    <x v="703"/>
    <x v="169"/>
    <x v="4"/>
    <x v="2"/>
    <n v="4.5"/>
    <n v="9490"/>
    <n v="9490"/>
    <n v="0"/>
    <n v="0"/>
    <n v="0.4741833508956797"/>
    <s v="Budget"/>
    <x v="0"/>
  </r>
  <r>
    <x v="15"/>
    <x v="703"/>
    <x v="173"/>
    <x v="4"/>
    <x v="2"/>
    <n v="4.3"/>
    <n v="9490"/>
    <n v="9490"/>
    <n v="0"/>
    <n v="0"/>
    <n v="0.45310853530031608"/>
    <s v="Budget"/>
    <x v="0"/>
  </r>
  <r>
    <x v="15"/>
    <x v="704"/>
    <x v="455"/>
    <x v="4"/>
    <x v="4"/>
    <n v="4.5"/>
    <n v="6499"/>
    <n v="6499"/>
    <n v="0"/>
    <n v="0"/>
    <n v="0.69241421757193411"/>
    <s v="Budget"/>
    <x v="0"/>
  </r>
  <r>
    <x v="15"/>
    <x v="704"/>
    <x v="455"/>
    <x v="4"/>
    <x v="2"/>
    <n v="4.5"/>
    <n v="6999"/>
    <n v="6999"/>
    <n v="0"/>
    <n v="0"/>
    <n v="0.64294899271324479"/>
    <s v="Budget"/>
    <x v="0"/>
  </r>
  <r>
    <x v="15"/>
    <x v="705"/>
    <x v="456"/>
    <x v="0"/>
    <x v="0"/>
    <n v="4.3"/>
    <n v="10999"/>
    <n v="10999"/>
    <n v="0"/>
    <n v="0"/>
    <n v="0.39094463133012086"/>
    <s v="Budget"/>
    <x v="0"/>
  </r>
  <r>
    <x v="15"/>
    <x v="705"/>
    <x v="457"/>
    <x v="0"/>
    <x v="0"/>
    <n v="4.5"/>
    <n v="10999"/>
    <n v="10999"/>
    <n v="0"/>
    <n v="0"/>
    <n v="0.40912810255477766"/>
    <s v="Budget"/>
    <x v="0"/>
  </r>
  <r>
    <x v="15"/>
    <x v="705"/>
    <x v="396"/>
    <x v="0"/>
    <x v="0"/>
    <n v="4.3"/>
    <n v="10999"/>
    <n v="10999"/>
    <n v="0"/>
    <n v="0"/>
    <n v="0.39094463133012086"/>
    <s v="Budget"/>
    <x v="0"/>
  </r>
  <r>
    <x v="15"/>
    <x v="706"/>
    <x v="30"/>
    <x v="4"/>
    <x v="2"/>
    <n v="4.4000000000000004"/>
    <n v="7999"/>
    <n v="7999"/>
    <n v="0"/>
    <n v="0"/>
    <n v="0.55006875859482429"/>
    <s v="Budget"/>
    <x v="0"/>
  </r>
  <r>
    <x v="15"/>
    <x v="706"/>
    <x v="458"/>
    <x v="4"/>
    <x v="2"/>
    <n v="4.2"/>
    <n v="7999"/>
    <n v="7999"/>
    <n v="0"/>
    <n v="0"/>
    <n v="0.52506563320415056"/>
    <s v="Budget"/>
    <x v="0"/>
  </r>
  <r>
    <x v="15"/>
    <x v="707"/>
    <x v="459"/>
    <x v="2"/>
    <x v="2"/>
    <n v="4.4000000000000004"/>
    <n v="8299"/>
    <n v="8499"/>
    <n v="200"/>
    <n v="2.3532180256500765E-2"/>
    <n v="0.53018435956139298"/>
    <s v="Budget"/>
    <x v="0"/>
  </r>
  <r>
    <x v="15"/>
    <x v="707"/>
    <x v="459"/>
    <x v="2"/>
    <x v="0"/>
    <n v="4.5"/>
    <n v="9199"/>
    <n v="9290"/>
    <n v="91"/>
    <n v="9.7954790096878366E-3"/>
    <n v="0.48918360691379498"/>
    <s v="Budget"/>
    <x v="0"/>
  </r>
  <r>
    <x v="15"/>
    <x v="707"/>
    <x v="460"/>
    <x v="2"/>
    <x v="0"/>
    <n v="4.4000000000000004"/>
    <n v="9499"/>
    <n v="9499"/>
    <n v="0"/>
    <n v="0"/>
    <n v="0.46320665333192973"/>
    <s v="Budget"/>
    <x v="0"/>
  </r>
  <r>
    <x v="15"/>
    <x v="707"/>
    <x v="29"/>
    <x v="2"/>
    <x v="2"/>
    <n v="4.4000000000000004"/>
    <n v="8299"/>
    <n v="8999"/>
    <n v="700"/>
    <n v="7.7786420713412602E-2"/>
    <n v="0.53018435956139298"/>
    <s v="Budget"/>
    <x v="0"/>
  </r>
  <r>
    <x v="15"/>
    <x v="707"/>
    <x v="29"/>
    <x v="2"/>
    <x v="0"/>
    <n v="4.2"/>
    <n v="8561"/>
    <n v="8561"/>
    <n v="0"/>
    <n v="0"/>
    <n v="0.49059689288634512"/>
    <s v="Budget"/>
    <x v="0"/>
  </r>
  <r>
    <x v="15"/>
    <x v="707"/>
    <x v="29"/>
    <x v="2"/>
    <x v="0"/>
    <n v="4.4000000000000004"/>
    <n v="8561"/>
    <n v="8561"/>
    <n v="0"/>
    <n v="0"/>
    <n v="0.51395864969045668"/>
    <s v="Budget"/>
    <x v="0"/>
  </r>
  <r>
    <x v="15"/>
    <x v="708"/>
    <x v="159"/>
    <x v="0"/>
    <x v="0"/>
    <n v="4.2"/>
    <n v="10070"/>
    <n v="10129"/>
    <n v="59"/>
    <n v="5.8248593148385822E-3"/>
    <n v="0.41708043694141017"/>
    <s v="Budget"/>
    <x v="0"/>
  </r>
  <r>
    <x v="15"/>
    <x v="708"/>
    <x v="261"/>
    <x v="0"/>
    <x v="1"/>
    <n v="4.4000000000000004"/>
    <n v="11199"/>
    <n v="11990"/>
    <n v="791"/>
    <n v="6.5971643035863226E-2"/>
    <n v="0.39289222251986788"/>
    <s v="Budget"/>
    <x v="0"/>
  </r>
  <r>
    <x v="15"/>
    <x v="708"/>
    <x v="261"/>
    <x v="0"/>
    <x v="0"/>
    <n v="4.4000000000000004"/>
    <n v="10121"/>
    <n v="10121"/>
    <n v="0"/>
    <n v="0"/>
    <n v="0.43473965023219052"/>
    <s v="Budget"/>
    <x v="0"/>
  </r>
  <r>
    <x v="15"/>
    <x v="708"/>
    <x v="461"/>
    <x v="0"/>
    <x v="0"/>
    <n v="4.4000000000000004"/>
    <n v="9828"/>
    <n v="10760"/>
    <n v="932"/>
    <n v="8.6617100371747219E-2"/>
    <n v="0.4477004477004477"/>
    <s v="Budget"/>
    <x v="0"/>
  </r>
  <r>
    <x v="15"/>
    <x v="709"/>
    <x v="58"/>
    <x v="1"/>
    <x v="1"/>
    <n v="4.2"/>
    <n v="13499"/>
    <n v="16999"/>
    <n v="3500"/>
    <n v="0.20589446438025766"/>
    <n v="0.3111341580857841"/>
    <s v="Budget"/>
    <x v="0"/>
  </r>
  <r>
    <x v="15"/>
    <x v="709"/>
    <x v="58"/>
    <x v="0"/>
    <x v="0"/>
    <n v="4.4000000000000004"/>
    <n v="11499"/>
    <n v="13999"/>
    <n v="2500"/>
    <n v="0.1785841845846132"/>
    <n v="0.38264196886685803"/>
    <s v="Budget"/>
    <x v="0"/>
  </r>
  <r>
    <x v="15"/>
    <x v="709"/>
    <x v="462"/>
    <x v="0"/>
    <x v="0"/>
    <n v="4.2"/>
    <n v="11499"/>
    <n v="13999"/>
    <n v="2500"/>
    <n v="0.1785841845846132"/>
    <n v="0.36524915210018266"/>
    <s v="Budget"/>
    <x v="0"/>
  </r>
  <r>
    <x v="15"/>
    <x v="709"/>
    <x v="463"/>
    <x v="1"/>
    <x v="1"/>
    <n v="4.0999999999999996"/>
    <n v="13499"/>
    <n v="16999"/>
    <n v="3500"/>
    <n v="0.20589446438025766"/>
    <n v="0.30372620194088445"/>
    <s v="Budget"/>
    <x v="0"/>
  </r>
  <r>
    <x v="15"/>
    <x v="709"/>
    <x v="464"/>
    <x v="0"/>
    <x v="0"/>
    <n v="4.4000000000000004"/>
    <n v="11499"/>
    <n v="13999"/>
    <n v="2500"/>
    <n v="0.1785841845846132"/>
    <n v="0.38264196886685803"/>
    <s v="Budget"/>
    <x v="0"/>
  </r>
  <r>
    <x v="15"/>
    <x v="710"/>
    <x v="12"/>
    <x v="0"/>
    <x v="0"/>
    <n v="4.4000000000000004"/>
    <n v="10499"/>
    <n v="11999"/>
    <n v="1500"/>
    <n v="0.12501041753479455"/>
    <n v="0.41908753214591871"/>
    <s v="Budget"/>
    <x v="0"/>
  </r>
  <r>
    <x v="15"/>
    <x v="710"/>
    <x v="158"/>
    <x v="0"/>
    <x v="0"/>
    <n v="4.4000000000000004"/>
    <n v="10499"/>
    <n v="11999"/>
    <n v="1500"/>
    <n v="0.12501041753479455"/>
    <n v="0.41908753214591871"/>
    <s v="Budget"/>
    <x v="0"/>
  </r>
  <r>
    <x v="15"/>
    <x v="710"/>
    <x v="178"/>
    <x v="0"/>
    <x v="0"/>
    <n v="4.3"/>
    <n v="10499"/>
    <n v="11999"/>
    <n v="1500"/>
    <n v="0.12501041753479455"/>
    <n v="0.40956281550623869"/>
    <s v="Budget"/>
    <x v="0"/>
  </r>
  <r>
    <x v="15"/>
    <x v="710"/>
    <x v="465"/>
    <x v="0"/>
    <x v="1"/>
    <n v="4.3"/>
    <n v="13999"/>
    <n v="13999"/>
    <n v="0"/>
    <n v="0"/>
    <n v="0.30716479748553466"/>
    <s v="Budget"/>
    <x v="0"/>
  </r>
  <r>
    <x v="15"/>
    <x v="711"/>
    <x v="30"/>
    <x v="4"/>
    <x v="2"/>
    <n v="4.5"/>
    <n v="7589"/>
    <n v="7589"/>
    <n v="0"/>
    <n v="0"/>
    <n v="0.59296349980234553"/>
    <s v="Budget"/>
    <x v="0"/>
  </r>
  <r>
    <x v="15"/>
    <x v="711"/>
    <x v="30"/>
    <x v="2"/>
    <x v="2"/>
    <n v="4.4000000000000004"/>
    <n v="8389"/>
    <n v="8389"/>
    <n v="0"/>
    <n v="0"/>
    <n v="0.52449636428656576"/>
    <s v="Budget"/>
    <x v="0"/>
  </r>
  <r>
    <x v="15"/>
    <x v="711"/>
    <x v="466"/>
    <x v="4"/>
    <x v="2"/>
    <n v="4.0999999999999996"/>
    <n v="7698"/>
    <n v="7698"/>
    <n v="0"/>
    <n v="0"/>
    <n v="0.5326058716549753"/>
    <s v="Budget"/>
    <x v="0"/>
  </r>
  <r>
    <x v="15"/>
    <x v="711"/>
    <x v="466"/>
    <x v="2"/>
    <x v="2"/>
    <n v="4.5"/>
    <n v="8498"/>
    <n v="8498"/>
    <n v="0"/>
    <n v="0"/>
    <n v="0.52953636149682271"/>
    <s v="Budget"/>
    <x v="0"/>
  </r>
  <r>
    <x v="15"/>
    <x v="711"/>
    <x v="460"/>
    <x v="2"/>
    <x v="2"/>
    <n v="4.0999999999999996"/>
    <n v="8498"/>
    <n v="8525"/>
    <n v="27"/>
    <n v="3.1671554252199413E-3"/>
    <n v="0.48246646269710514"/>
    <s v="Budget"/>
    <x v="0"/>
  </r>
  <r>
    <x v="15"/>
    <x v="711"/>
    <x v="467"/>
    <x v="4"/>
    <x v="2"/>
    <n v="4.5"/>
    <n v="7619"/>
    <n v="7619"/>
    <n v="0"/>
    <n v="0"/>
    <n v="0.5906286914293214"/>
    <s v="Budget"/>
    <x v="0"/>
  </r>
  <r>
    <x v="15"/>
    <x v="712"/>
    <x v="30"/>
    <x v="0"/>
    <x v="0"/>
    <n v="4.2"/>
    <n v="8799"/>
    <n v="9999"/>
    <n v="1200"/>
    <n v="0.12001200120012001"/>
    <n v="0.47732696897374705"/>
    <s v="Budget"/>
    <x v="0"/>
  </r>
  <r>
    <x v="15"/>
    <x v="712"/>
    <x v="466"/>
    <x v="0"/>
    <x v="0"/>
    <n v="4.5"/>
    <n v="8799"/>
    <n v="9999"/>
    <n v="1200"/>
    <n v="0.12001200120012001"/>
    <n v="0.51142175247187183"/>
    <s v="Budget"/>
    <x v="0"/>
  </r>
  <r>
    <x v="15"/>
    <x v="713"/>
    <x v="159"/>
    <x v="1"/>
    <x v="1"/>
    <n v="4.0999999999999996"/>
    <n v="18429"/>
    <n v="18429"/>
    <n v="0"/>
    <n v="0"/>
    <n v="0.2224754463074502"/>
    <s v="Mid Range"/>
    <x v="0"/>
  </r>
  <r>
    <x v="15"/>
    <x v="713"/>
    <x v="159"/>
    <x v="1"/>
    <x v="0"/>
    <n v="3.8"/>
    <n v="22999"/>
    <n v="22999"/>
    <n v="0"/>
    <n v="0"/>
    <n v="0.16522457498152093"/>
    <s v="Mid Range"/>
    <x v="1"/>
  </r>
  <r>
    <x v="15"/>
    <x v="713"/>
    <x v="468"/>
    <x v="1"/>
    <x v="1"/>
    <n v="4.5"/>
    <n v="21349"/>
    <n v="21349"/>
    <n v="0"/>
    <n v="0"/>
    <n v="0.21078270644995084"/>
    <s v="Mid Range"/>
    <x v="0"/>
  </r>
  <r>
    <x v="15"/>
    <x v="713"/>
    <x v="176"/>
    <x v="1"/>
    <x v="0"/>
    <n v="4.5"/>
    <n v="20899"/>
    <n v="21999"/>
    <n v="1100"/>
    <n v="5.0002272830583207E-2"/>
    <n v="0.21532130723958084"/>
    <s v="Mid Range"/>
    <x v="0"/>
  </r>
  <r>
    <x v="15"/>
    <x v="714"/>
    <x v="159"/>
    <x v="1"/>
    <x v="1"/>
    <n v="4.5"/>
    <n v="28999"/>
    <n v="28999"/>
    <n v="0"/>
    <n v="0"/>
    <n v="0.15517776475050862"/>
    <s v="Mid Range"/>
    <x v="0"/>
  </r>
  <r>
    <x v="15"/>
    <x v="714"/>
    <x v="159"/>
    <x v="3"/>
    <x v="3"/>
    <n v="4.4000000000000004"/>
    <n v="29999"/>
    <n v="29999"/>
    <n v="0"/>
    <n v="0"/>
    <n v="0.14667155571852394"/>
    <s v="Mid Range"/>
    <x v="0"/>
  </r>
  <r>
    <x v="15"/>
    <x v="714"/>
    <x v="83"/>
    <x v="1"/>
    <x v="1"/>
    <n v="4.4000000000000004"/>
    <n v="28999"/>
    <n v="28999"/>
    <n v="0"/>
    <n v="0"/>
    <n v="0.15172936997827513"/>
    <s v="Mid Range"/>
    <x v="0"/>
  </r>
  <r>
    <x v="15"/>
    <x v="715"/>
    <x v="469"/>
    <x v="1"/>
    <x v="1"/>
    <n v="4.4000000000000004"/>
    <n v="19799"/>
    <n v="19799"/>
    <n v="0"/>
    <n v="0"/>
    <n v="0.22223344613364315"/>
    <s v="Mid Range"/>
    <x v="0"/>
  </r>
  <r>
    <x v="15"/>
    <x v="715"/>
    <x v="470"/>
    <x v="1"/>
    <x v="1"/>
    <n v="4.3"/>
    <n v="18887"/>
    <n v="19618"/>
    <n v="731"/>
    <n v="3.726169844020797E-2"/>
    <n v="0.22766982580611003"/>
    <s v="Mid Range"/>
    <x v="0"/>
  </r>
  <r>
    <x v="15"/>
    <x v="716"/>
    <x v="471"/>
    <x v="1"/>
    <x v="1"/>
    <n v="4.4000000000000004"/>
    <n v="17765"/>
    <n v="17765"/>
    <n v="0"/>
    <n v="0"/>
    <n v="0.24767801857585139"/>
    <s v="Mid Range"/>
    <x v="0"/>
  </r>
  <r>
    <x v="15"/>
    <x v="716"/>
    <x v="433"/>
    <x v="1"/>
    <x v="1"/>
    <n v="4.3"/>
    <n v="17995"/>
    <n v="18950"/>
    <n v="955"/>
    <n v="5.0395778364116094E-2"/>
    <n v="0.23895526535148651"/>
    <s v="Mid Range"/>
    <x v="0"/>
  </r>
  <r>
    <x v="15"/>
    <x v="717"/>
    <x v="4"/>
    <x v="2"/>
    <x v="2"/>
    <n v="4.3"/>
    <n v="9499"/>
    <n v="9499"/>
    <n v="0"/>
    <n v="0"/>
    <n v="0.45267922939256761"/>
    <s v="Budget"/>
    <x v="0"/>
  </r>
  <r>
    <x v="15"/>
    <x v="717"/>
    <x v="4"/>
    <x v="0"/>
    <x v="0"/>
    <n v="4.5"/>
    <n v="9999"/>
    <n v="9999"/>
    <n v="0"/>
    <n v="0"/>
    <n v="0.45004500450045004"/>
    <s v="Budget"/>
    <x v="0"/>
  </r>
  <r>
    <x v="15"/>
    <x v="717"/>
    <x v="57"/>
    <x v="2"/>
    <x v="2"/>
    <n v="4.4000000000000004"/>
    <n v="8590"/>
    <n v="8590"/>
    <n v="0"/>
    <n v="0"/>
    <n v="0.51222351571594882"/>
    <s v="Budget"/>
    <x v="0"/>
  </r>
  <r>
    <x v="15"/>
    <x v="718"/>
    <x v="4"/>
    <x v="2"/>
    <x v="2"/>
    <n v="4.2"/>
    <n v="9990"/>
    <n v="9990"/>
    <n v="0"/>
    <n v="0"/>
    <n v="0.42042042042042044"/>
    <s v="Budget"/>
    <x v="0"/>
  </r>
  <r>
    <x v="15"/>
    <x v="718"/>
    <x v="4"/>
    <x v="0"/>
    <x v="0"/>
    <n v="4.3"/>
    <n v="10999"/>
    <n v="11499"/>
    <n v="500"/>
    <n v="4.3482041916688405E-2"/>
    <n v="0.39094463133012086"/>
    <s v="Budget"/>
    <x v="0"/>
  </r>
  <r>
    <x v="15"/>
    <x v="718"/>
    <x v="57"/>
    <x v="0"/>
    <x v="0"/>
    <n v="4.4000000000000004"/>
    <n v="11499"/>
    <n v="11499"/>
    <n v="0"/>
    <n v="0"/>
    <n v="0.38264196886685803"/>
    <s v="Budget"/>
    <x v="0"/>
  </r>
  <r>
    <x v="15"/>
    <x v="718"/>
    <x v="56"/>
    <x v="2"/>
    <x v="2"/>
    <n v="4.4000000000000004"/>
    <n v="9998"/>
    <n v="9998"/>
    <n v="0"/>
    <n v="0"/>
    <n v="0.44008801760352073"/>
    <s v="Budget"/>
    <x v="0"/>
  </r>
  <r>
    <x v="15"/>
    <x v="719"/>
    <x v="5"/>
    <x v="0"/>
    <x v="0"/>
    <n v="4.4000000000000004"/>
    <n v="14999"/>
    <n v="14999"/>
    <n v="0"/>
    <n v="0"/>
    <n v="0.29335289019267952"/>
    <s v="Budget"/>
    <x v="0"/>
  </r>
  <r>
    <x v="15"/>
    <x v="719"/>
    <x v="57"/>
    <x v="1"/>
    <x v="0"/>
    <n v="4.2"/>
    <n v="16999"/>
    <n v="16999"/>
    <n v="0"/>
    <n v="0"/>
    <n v="0.24707335725630922"/>
    <s v="Mid Range"/>
    <x v="0"/>
  </r>
  <r>
    <x v="15"/>
    <x v="719"/>
    <x v="57"/>
    <x v="0"/>
    <x v="0"/>
    <n v="4.5"/>
    <n v="14999"/>
    <n v="14999"/>
    <n v="0"/>
    <n v="0"/>
    <n v="0.30002000133342221"/>
    <s v="Budget"/>
    <x v="0"/>
  </r>
  <r>
    <x v="15"/>
    <x v="720"/>
    <x v="4"/>
    <x v="1"/>
    <x v="0"/>
    <n v="4.0999999999999996"/>
    <n v="14999"/>
    <n v="14999"/>
    <n v="0"/>
    <n v="0"/>
    <n v="0.27335155677045131"/>
    <s v="Budget"/>
    <x v="0"/>
  </r>
  <r>
    <x v="15"/>
    <x v="720"/>
    <x v="4"/>
    <x v="0"/>
    <x v="0"/>
    <n v="4.4000000000000004"/>
    <n v="12349"/>
    <n v="12349"/>
    <n v="0"/>
    <n v="0"/>
    <n v="0.35630415418252492"/>
    <s v="Budget"/>
    <x v="0"/>
  </r>
  <r>
    <x v="15"/>
    <x v="720"/>
    <x v="5"/>
    <x v="0"/>
    <x v="0"/>
    <n v="4.4000000000000004"/>
    <n v="12999"/>
    <n v="12999"/>
    <n v="0"/>
    <n v="0"/>
    <n v="0.33848757596738216"/>
    <s v="Budget"/>
    <x v="0"/>
  </r>
  <r>
    <x v="15"/>
    <x v="720"/>
    <x v="5"/>
    <x v="1"/>
    <x v="0"/>
    <n v="4.5"/>
    <n v="14990"/>
    <n v="14990"/>
    <n v="0"/>
    <n v="0"/>
    <n v="0.30020013342228152"/>
    <s v="Budget"/>
    <x v="0"/>
  </r>
  <r>
    <x v="15"/>
    <x v="720"/>
    <x v="39"/>
    <x v="1"/>
    <x v="0"/>
    <n v="4.5"/>
    <n v="17999"/>
    <n v="17999"/>
    <n v="0"/>
    <n v="0"/>
    <n v="0.25001388966053667"/>
    <s v="Mid Range"/>
    <x v="0"/>
  </r>
  <r>
    <x v="15"/>
    <x v="720"/>
    <x v="39"/>
    <x v="0"/>
    <x v="0"/>
    <n v="4.4000000000000004"/>
    <n v="12499"/>
    <n v="12499"/>
    <n v="0"/>
    <n v="0"/>
    <n v="0.35202816225298028"/>
    <s v="Budget"/>
    <x v="0"/>
  </r>
  <r>
    <x v="15"/>
    <x v="720"/>
    <x v="56"/>
    <x v="0"/>
    <x v="0"/>
    <n v="4.4000000000000004"/>
    <n v="12449"/>
    <n v="15990"/>
    <n v="3541"/>
    <n v="0.22145090681676047"/>
    <n v="0.35344204353763353"/>
    <s v="Budget"/>
    <x v="0"/>
  </r>
  <r>
    <x v="15"/>
    <x v="720"/>
    <x v="56"/>
    <x v="1"/>
    <x v="0"/>
    <n v="4.3"/>
    <n v="14999"/>
    <n v="14999"/>
    <n v="0"/>
    <n v="0"/>
    <n v="0.28668577905193682"/>
    <s v="Budget"/>
    <x v="0"/>
  </r>
  <r>
    <x v="15"/>
    <x v="721"/>
    <x v="456"/>
    <x v="0"/>
    <x v="0"/>
    <n v="4.3"/>
    <n v="11748"/>
    <n v="12690"/>
    <n v="942"/>
    <n v="7.4231678486997632E-2"/>
    <n v="0.36601974804221993"/>
    <s v="Budget"/>
    <x v="0"/>
  </r>
  <r>
    <x v="15"/>
    <x v="721"/>
    <x v="457"/>
    <x v="2"/>
    <x v="2"/>
    <n v="4.2"/>
    <n v="11900"/>
    <n v="11900"/>
    <n v="0"/>
    <n v="0"/>
    <n v="0.35294117647058826"/>
    <s v="Budget"/>
    <x v="0"/>
  </r>
  <r>
    <x v="15"/>
    <x v="721"/>
    <x v="457"/>
    <x v="0"/>
    <x v="0"/>
    <n v="4.0999999999999996"/>
    <n v="13399"/>
    <n v="14399"/>
    <n v="1000"/>
    <n v="6.9449267310229879E-2"/>
    <n v="0.30599298455108587"/>
    <s v="Budget"/>
    <x v="0"/>
  </r>
  <r>
    <x v="15"/>
    <x v="721"/>
    <x v="396"/>
    <x v="2"/>
    <x v="2"/>
    <n v="4.4000000000000004"/>
    <n v="11946"/>
    <n v="11946"/>
    <n v="0"/>
    <n v="0"/>
    <n v="0.36832412523020264"/>
    <s v="Budget"/>
    <x v="0"/>
  </r>
  <r>
    <x v="15"/>
    <x v="722"/>
    <x v="5"/>
    <x v="0"/>
    <x v="0"/>
    <n v="4.5"/>
    <n v="14450"/>
    <n v="14899"/>
    <n v="449"/>
    <n v="3.0136250755084235E-2"/>
    <n v="0.31141868512110726"/>
    <s v="Budget"/>
    <x v="0"/>
  </r>
  <r>
    <x v="15"/>
    <x v="722"/>
    <x v="395"/>
    <x v="1"/>
    <x v="1"/>
    <n v="4.5"/>
    <n v="15449"/>
    <n v="15990"/>
    <n v="541"/>
    <n v="3.3833646028767983E-2"/>
    <n v="0.29128098906078065"/>
    <s v="Mid Range"/>
    <x v="0"/>
  </r>
  <r>
    <x v="15"/>
    <x v="722"/>
    <x v="395"/>
    <x v="1"/>
    <x v="0"/>
    <n v="4.5"/>
    <n v="14980"/>
    <n v="14990"/>
    <n v="10"/>
    <n v="6.6711140760506999E-4"/>
    <n v="0.30040053404539391"/>
    <s v="Budget"/>
    <x v="0"/>
  </r>
  <r>
    <x v="15"/>
    <x v="722"/>
    <x v="472"/>
    <x v="0"/>
    <x v="0"/>
    <n v="4.3"/>
    <n v="14999"/>
    <n v="14999"/>
    <n v="0"/>
    <n v="0"/>
    <n v="0.28668577905193682"/>
    <s v="Budget"/>
    <x v="0"/>
  </r>
  <r>
    <x v="15"/>
    <x v="722"/>
    <x v="212"/>
    <x v="1"/>
    <x v="1"/>
    <n v="3.8"/>
    <n v="16399"/>
    <n v="16399"/>
    <n v="0"/>
    <n v="0"/>
    <n v="0.23172144642966033"/>
    <s v="Mid Range"/>
    <x v="1"/>
  </r>
  <r>
    <x v="15"/>
    <x v="722"/>
    <x v="212"/>
    <x v="1"/>
    <x v="0"/>
    <n v="4.3"/>
    <n v="16999"/>
    <n v="16999"/>
    <n v="0"/>
    <n v="0"/>
    <n v="0.25295605623860223"/>
    <s v="Mid Range"/>
    <x v="0"/>
  </r>
  <r>
    <x v="15"/>
    <x v="722"/>
    <x v="268"/>
    <x v="1"/>
    <x v="1"/>
    <n v="4.0999999999999996"/>
    <n v="17999"/>
    <n v="17999"/>
    <n v="0"/>
    <n v="0"/>
    <n v="0.22779043280182232"/>
    <s v="Mid Range"/>
    <x v="0"/>
  </r>
  <r>
    <x v="15"/>
    <x v="722"/>
    <x v="268"/>
    <x v="0"/>
    <x v="0"/>
    <n v="4.5"/>
    <n v="13499"/>
    <n v="14500"/>
    <n v="1001"/>
    <n v="6.9034482758620688E-2"/>
    <n v="0.33335802652048296"/>
    <s v="Budget"/>
    <x v="0"/>
  </r>
  <r>
    <x v="15"/>
    <x v="722"/>
    <x v="268"/>
    <x v="1"/>
    <x v="0"/>
    <n v="4.5"/>
    <n v="15999"/>
    <n v="15999"/>
    <n v="0"/>
    <n v="0"/>
    <n v="0.28126757922370149"/>
    <s v="Mid Range"/>
    <x v="0"/>
  </r>
  <r>
    <x v="15"/>
    <x v="723"/>
    <x v="473"/>
    <x v="0"/>
    <x v="0"/>
    <n v="4.4000000000000004"/>
    <n v="13999"/>
    <n v="13999"/>
    <n v="0"/>
    <n v="0"/>
    <n v="0.31430816486891927"/>
    <s v="Budget"/>
    <x v="0"/>
  </r>
  <r>
    <x v="15"/>
    <x v="723"/>
    <x v="456"/>
    <x v="0"/>
    <x v="0"/>
    <n v="4.4000000000000004"/>
    <n v="13900"/>
    <n v="13900"/>
    <n v="0"/>
    <n v="0"/>
    <n v="0.31654676258992809"/>
    <s v="Budget"/>
    <x v="0"/>
  </r>
  <r>
    <x v="15"/>
    <x v="723"/>
    <x v="457"/>
    <x v="0"/>
    <x v="0"/>
    <n v="4.2"/>
    <n v="13900"/>
    <n v="13900"/>
    <n v="0"/>
    <n v="0"/>
    <n v="0.30215827338129497"/>
    <s v="Budget"/>
    <x v="0"/>
  </r>
  <r>
    <x v="15"/>
    <x v="723"/>
    <x v="396"/>
    <x v="0"/>
    <x v="0"/>
    <n v="4.3"/>
    <n v="13500"/>
    <n v="13500"/>
    <n v="0"/>
    <n v="0"/>
    <n v="0.31851851851851848"/>
    <s v="Budget"/>
    <x v="0"/>
  </r>
  <r>
    <x v="15"/>
    <x v="724"/>
    <x v="471"/>
    <x v="0"/>
    <x v="0"/>
    <n v="4.3"/>
    <n v="12999"/>
    <n v="12999"/>
    <n v="0"/>
    <n v="0"/>
    <n v="0.33079467651357791"/>
    <s v="Budget"/>
    <x v="0"/>
  </r>
  <r>
    <x v="15"/>
    <x v="724"/>
    <x v="212"/>
    <x v="0"/>
    <x v="0"/>
    <n v="4.4000000000000004"/>
    <n v="12999"/>
    <n v="12999"/>
    <n v="0"/>
    <n v="0"/>
    <n v="0.33848757596738216"/>
    <s v="Budget"/>
    <x v="0"/>
  </r>
  <r>
    <x v="15"/>
    <x v="724"/>
    <x v="268"/>
    <x v="0"/>
    <x v="0"/>
    <n v="2.2999999999999998"/>
    <n v="11999"/>
    <n v="11999"/>
    <n v="0"/>
    <n v="0"/>
    <n v="0.19168264022001832"/>
    <s v="Budget"/>
    <x v="3"/>
  </r>
  <r>
    <x v="15"/>
    <x v="725"/>
    <x v="164"/>
    <x v="0"/>
    <x v="0"/>
    <n v="4.3"/>
    <n v="11999"/>
    <n v="14999"/>
    <n v="3000"/>
    <n v="0.20001333422228149"/>
    <n v="0.35836319693307778"/>
    <s v="Budget"/>
    <x v="0"/>
  </r>
  <r>
    <x v="15"/>
    <x v="725"/>
    <x v="474"/>
    <x v="0"/>
    <x v="0"/>
    <n v="4.4000000000000004"/>
    <n v="11999"/>
    <n v="14999"/>
    <n v="3000"/>
    <n v="0.20001333422228149"/>
    <n v="0.36669722476873073"/>
    <s v="Budget"/>
    <x v="0"/>
  </r>
  <r>
    <x v="15"/>
    <x v="726"/>
    <x v="61"/>
    <x v="0"/>
    <x v="0"/>
    <n v="4.3"/>
    <n v="15990"/>
    <n v="16999"/>
    <n v="1009"/>
    <n v="5.9356432731337137E-2"/>
    <n v="0.26891807379612259"/>
    <s v="Mid Range"/>
    <x v="0"/>
  </r>
  <r>
    <x v="15"/>
    <x v="726"/>
    <x v="219"/>
    <x v="0"/>
    <x v="1"/>
    <n v="4.5"/>
    <n v="15998"/>
    <n v="15998"/>
    <n v="0"/>
    <n v="0"/>
    <n v="0.28128516064508063"/>
    <s v="Mid Range"/>
    <x v="0"/>
  </r>
  <r>
    <x v="15"/>
    <x v="726"/>
    <x v="219"/>
    <x v="1"/>
    <x v="1"/>
    <n v="4.3"/>
    <n v="18499"/>
    <n v="18999"/>
    <n v="500"/>
    <n v="2.6317174588136219E-2"/>
    <n v="0.2324449970268663"/>
    <s v="Mid Range"/>
    <x v="0"/>
  </r>
  <r>
    <x v="15"/>
    <x v="726"/>
    <x v="219"/>
    <x v="0"/>
    <x v="0"/>
    <n v="4.3"/>
    <n v="14999"/>
    <n v="14999"/>
    <n v="0"/>
    <n v="0"/>
    <n v="0.28668577905193682"/>
    <s v="Budget"/>
    <x v="0"/>
  </r>
  <r>
    <x v="15"/>
    <x v="726"/>
    <x v="475"/>
    <x v="0"/>
    <x v="0"/>
    <n v="4.3"/>
    <n v="16488"/>
    <n v="16999"/>
    <n v="511"/>
    <n v="3.006059179951762E-2"/>
    <n v="0.26079573022804464"/>
    <s v="Mid Range"/>
    <x v="0"/>
  </r>
  <r>
    <x v="15"/>
    <x v="727"/>
    <x v="56"/>
    <x v="2"/>
    <x v="2"/>
    <n v="4.3"/>
    <n v="8990"/>
    <n v="8990"/>
    <n v="0"/>
    <n v="0"/>
    <n v="0.47830923248053392"/>
    <s v="Budget"/>
    <x v="0"/>
  </r>
  <r>
    <x v="15"/>
    <x v="728"/>
    <x v="4"/>
    <x v="2"/>
    <x v="2"/>
    <n v="4.3"/>
    <n v="9478"/>
    <n v="9478"/>
    <n v="0"/>
    <n v="0"/>
    <n v="0.45368221143701198"/>
    <s v="Budget"/>
    <x v="0"/>
  </r>
  <r>
    <x v="15"/>
    <x v="728"/>
    <x v="4"/>
    <x v="0"/>
    <x v="0"/>
    <n v="4.3"/>
    <n v="10999"/>
    <n v="10999"/>
    <n v="0"/>
    <n v="0"/>
    <n v="0.39094463133012086"/>
    <s v="Budget"/>
    <x v="0"/>
  </r>
  <r>
    <x v="15"/>
    <x v="728"/>
    <x v="5"/>
    <x v="2"/>
    <x v="2"/>
    <n v="4.3"/>
    <n v="9499"/>
    <n v="9499"/>
    <n v="0"/>
    <n v="0"/>
    <n v="0.45267922939256761"/>
    <s v="Budget"/>
    <x v="0"/>
  </r>
  <r>
    <x v="15"/>
    <x v="728"/>
    <x v="5"/>
    <x v="0"/>
    <x v="0"/>
    <n v="4.3"/>
    <n v="10999"/>
    <n v="10999"/>
    <n v="0"/>
    <n v="0"/>
    <n v="0.39094463133012086"/>
    <s v="Budget"/>
    <x v="0"/>
  </r>
  <r>
    <x v="15"/>
    <x v="728"/>
    <x v="244"/>
    <x v="2"/>
    <x v="2"/>
    <n v="4.2"/>
    <n v="9499"/>
    <n v="9499"/>
    <n v="0"/>
    <n v="0"/>
    <n v="0.44215180545320559"/>
    <s v="Budget"/>
    <x v="0"/>
  </r>
  <r>
    <x v="15"/>
    <x v="728"/>
    <x v="244"/>
    <x v="0"/>
    <x v="0"/>
    <n v="4.3"/>
    <n v="10888"/>
    <n v="10888"/>
    <n v="0"/>
    <n v="0"/>
    <n v="0.39493019838354154"/>
    <s v="Budget"/>
    <x v="0"/>
  </r>
  <r>
    <x v="15"/>
    <x v="728"/>
    <x v="57"/>
    <x v="2"/>
    <x v="2"/>
    <n v="4.2"/>
    <n v="9468"/>
    <n v="10499"/>
    <n v="1031"/>
    <n v="9.8199828555100482E-2"/>
    <n v="0.44359949302915086"/>
    <s v="Budget"/>
    <x v="0"/>
  </r>
  <r>
    <x v="15"/>
    <x v="728"/>
    <x v="57"/>
    <x v="0"/>
    <x v="0"/>
    <n v="4.3"/>
    <n v="10999"/>
    <n v="10999"/>
    <n v="0"/>
    <n v="0"/>
    <n v="0.39094463133012086"/>
    <s v="Budget"/>
    <x v="0"/>
  </r>
  <r>
    <x v="15"/>
    <x v="728"/>
    <x v="56"/>
    <x v="2"/>
    <x v="2"/>
    <n v="4.3"/>
    <n v="9999"/>
    <n v="9999"/>
    <n v="0"/>
    <n v="0"/>
    <n v="0.43004300430043002"/>
    <s v="Budget"/>
    <x v="0"/>
  </r>
  <r>
    <x v="15"/>
    <x v="729"/>
    <x v="476"/>
    <x v="0"/>
    <x v="0"/>
    <n v="4.3"/>
    <n v="12999"/>
    <n v="13999"/>
    <n v="1000"/>
    <n v="7.1433673833845274E-2"/>
    <n v="0.33079467651357791"/>
    <s v="Budget"/>
    <x v="0"/>
  </r>
  <r>
    <x v="15"/>
    <x v="729"/>
    <x v="477"/>
    <x v="2"/>
    <x v="2"/>
    <n v="4.3"/>
    <n v="9450"/>
    <n v="9450"/>
    <n v="0"/>
    <n v="0"/>
    <n v="0.455026455026455"/>
    <s v="Budget"/>
    <x v="0"/>
  </r>
  <r>
    <x v="15"/>
    <x v="729"/>
    <x v="477"/>
    <x v="0"/>
    <x v="0"/>
    <n v="4.2"/>
    <n v="12999"/>
    <n v="12999"/>
    <n v="0"/>
    <n v="0"/>
    <n v="0.32310177705977383"/>
    <s v="Budget"/>
    <x v="0"/>
  </r>
  <r>
    <x v="15"/>
    <x v="729"/>
    <x v="478"/>
    <x v="2"/>
    <x v="2"/>
    <n v="4.2"/>
    <n v="9950"/>
    <n v="9950"/>
    <n v="0"/>
    <n v="0"/>
    <n v="0.42211055276381909"/>
    <s v="Budget"/>
    <x v="0"/>
  </r>
  <r>
    <x v="15"/>
    <x v="729"/>
    <x v="478"/>
    <x v="0"/>
    <x v="0"/>
    <n v="4.3"/>
    <n v="12499"/>
    <n v="13999"/>
    <n v="1500"/>
    <n v="0.10715051075076791"/>
    <n v="0.34402752220177613"/>
    <s v="Budget"/>
    <x v="0"/>
  </r>
  <r>
    <x v="1"/>
    <x v="730"/>
    <x v="200"/>
    <x v="1"/>
    <x v="1"/>
    <n v="4.5999999999999996"/>
    <n v="53990"/>
    <n v="53990"/>
    <n v="0"/>
    <n v="0"/>
    <n v="8.5200963141322458E-2"/>
    <s v="Premium"/>
    <x v="2"/>
  </r>
  <r>
    <x v="1"/>
    <x v="731"/>
    <x v="479"/>
    <x v="0"/>
    <x v="0"/>
    <n v="4"/>
    <n v="62990"/>
    <n v="62990"/>
    <n v="0"/>
    <n v="0"/>
    <n v="6.3502143197332911E-2"/>
    <s v="Premium"/>
    <x v="1"/>
  </r>
  <r>
    <x v="1"/>
    <x v="731"/>
    <x v="396"/>
    <x v="0"/>
    <x v="0"/>
    <n v="4"/>
    <n v="62990"/>
    <n v="62990"/>
    <n v="0"/>
    <n v="0"/>
    <n v="6.3502143197332911E-2"/>
    <s v="Premium"/>
    <x v="1"/>
  </r>
  <r>
    <x v="1"/>
    <x v="730"/>
    <x v="479"/>
    <x v="1"/>
    <x v="1"/>
    <n v="4.5999999999999996"/>
    <n v="53990"/>
    <n v="53990"/>
    <n v="0"/>
    <n v="0"/>
    <n v="8.5200963141322458E-2"/>
    <s v="Premium"/>
    <x v="2"/>
  </r>
  <r>
    <x v="1"/>
    <x v="730"/>
    <x v="88"/>
    <x v="1"/>
    <x v="1"/>
    <n v="4.5999999999999996"/>
    <n v="53990"/>
    <n v="53990"/>
    <n v="0"/>
    <n v="0"/>
    <n v="8.5200963141322458E-2"/>
    <s v="Premium"/>
    <x v="2"/>
  </r>
  <r>
    <x v="1"/>
    <x v="730"/>
    <x v="396"/>
    <x v="1"/>
    <x v="1"/>
    <n v="4.5999999999999996"/>
    <n v="53990"/>
    <n v="53990"/>
    <n v="0"/>
    <n v="0"/>
    <n v="8.5200963141322458E-2"/>
    <s v="Premium"/>
    <x v="2"/>
  </r>
  <r>
    <x v="1"/>
    <x v="732"/>
    <x v="480"/>
    <x v="4"/>
    <x v="4"/>
    <n v="3.8"/>
    <n v="12570"/>
    <n v="12570"/>
    <n v="0"/>
    <n v="0"/>
    <n v="0.30230708035003973"/>
    <s v="Budget"/>
    <x v="1"/>
  </r>
  <r>
    <x v="1"/>
    <x v="733"/>
    <x v="481"/>
    <x v="0"/>
    <x v="2"/>
    <n v="4.2"/>
    <n v="47990"/>
    <n v="47990"/>
    <n v="0"/>
    <n v="0"/>
    <n v="8.7518232965201087E-2"/>
    <s v="Mid Range"/>
    <x v="0"/>
  </r>
  <r>
    <x v="1"/>
    <x v="733"/>
    <x v="482"/>
    <x v="0"/>
    <x v="2"/>
    <n v="4.2"/>
    <n v="56690"/>
    <n v="56690"/>
    <n v="0"/>
    <n v="0"/>
    <n v="7.4087140589169168E-2"/>
    <s v="Premium"/>
    <x v="0"/>
  </r>
  <r>
    <x v="1"/>
    <x v="734"/>
    <x v="483"/>
    <x v="2"/>
    <x v="2"/>
    <n v="3.7"/>
    <n v="15400"/>
    <n v="15400"/>
    <n v="0"/>
    <n v="0"/>
    <n v="0.24025974025974028"/>
    <s v="Mid Range"/>
    <x v="1"/>
  </r>
  <r>
    <x v="1"/>
    <x v="735"/>
    <x v="484"/>
    <x v="4"/>
    <x v="4"/>
    <n v="3.7"/>
    <n v="11810"/>
    <n v="11810"/>
    <n v="0"/>
    <n v="0"/>
    <n v="0.31329381879762919"/>
    <s v="Budget"/>
    <x v="1"/>
  </r>
  <r>
    <x v="1"/>
    <x v="735"/>
    <x v="485"/>
    <x v="4"/>
    <x v="4"/>
    <n v="3.7"/>
    <n v="13200"/>
    <n v="13200"/>
    <n v="0"/>
    <n v="0"/>
    <n v="0.28030303030303028"/>
    <s v="Budget"/>
    <x v="1"/>
  </r>
  <r>
    <x v="1"/>
    <x v="735"/>
    <x v="244"/>
    <x v="4"/>
    <x v="4"/>
    <n v="3.7"/>
    <n v="15490"/>
    <n v="15490"/>
    <n v="0"/>
    <n v="0"/>
    <n v="0.23886378308586184"/>
    <s v="Mid Range"/>
    <x v="1"/>
  </r>
  <r>
    <x v="1"/>
    <x v="736"/>
    <x v="176"/>
    <x v="4"/>
    <x v="4"/>
    <n v="3.7"/>
    <n v="16990"/>
    <n v="16990"/>
    <n v="0"/>
    <n v="0"/>
    <n v="0.2177751618599176"/>
    <s v="Mid Range"/>
    <x v="1"/>
  </r>
  <r>
    <x v="1"/>
    <x v="737"/>
    <x v="485"/>
    <x v="4"/>
    <x v="4"/>
    <n v="3.7"/>
    <n v="26999"/>
    <n v="26999"/>
    <n v="0"/>
    <n v="0"/>
    <n v="0.13704211267083968"/>
    <s v="Mid Range"/>
    <x v="1"/>
  </r>
  <r>
    <x v="1"/>
    <x v="737"/>
    <x v="484"/>
    <x v="4"/>
    <x v="4"/>
    <n v="3.7"/>
    <n v="18249"/>
    <n v="18249"/>
    <n v="0"/>
    <n v="0"/>
    <n v="0.20275083566222807"/>
    <s v="Mid Range"/>
    <x v="1"/>
  </r>
  <r>
    <x v="1"/>
    <x v="738"/>
    <x v="486"/>
    <x v="6"/>
    <x v="4"/>
    <n v="3.9"/>
    <n v="19695"/>
    <n v="19695"/>
    <n v="0"/>
    <n v="0"/>
    <n v="0.198019801980198"/>
    <s v="Mid Range"/>
    <x v="1"/>
  </r>
  <r>
    <x v="1"/>
    <x v="739"/>
    <x v="484"/>
    <x v="6"/>
    <x v="5"/>
    <n v="3.7"/>
    <n v="9590"/>
    <n v="9590"/>
    <n v="0"/>
    <n v="0"/>
    <n v="0.38581856100104278"/>
    <s v="Budget"/>
    <x v="1"/>
  </r>
  <r>
    <x v="1"/>
    <x v="739"/>
    <x v="349"/>
    <x v="6"/>
    <x v="5"/>
    <n v="3.7"/>
    <n v="9590"/>
    <n v="9590"/>
    <n v="0"/>
    <n v="0"/>
    <n v="0.38581856100104278"/>
    <s v="Budget"/>
    <x v="1"/>
  </r>
  <r>
    <x v="1"/>
    <x v="740"/>
    <x v="487"/>
    <x v="2"/>
    <x v="2"/>
    <n v="3.9"/>
    <n v="38800"/>
    <n v="38800"/>
    <n v="0"/>
    <n v="0"/>
    <n v="0.10051546391752576"/>
    <s v="Mid Range"/>
    <x v="1"/>
  </r>
  <r>
    <x v="1"/>
    <x v="740"/>
    <x v="488"/>
    <x v="2"/>
    <x v="2"/>
    <n v="3.9"/>
    <n v="38800"/>
    <n v="38800"/>
    <n v="0"/>
    <n v="0"/>
    <n v="0.10051546391752576"/>
    <s v="Mid Range"/>
    <x v="1"/>
  </r>
  <r>
    <x v="1"/>
    <x v="740"/>
    <x v="489"/>
    <x v="2"/>
    <x v="2"/>
    <n v="4.0999999999999996"/>
    <n v="53900"/>
    <n v="53900"/>
    <n v="0"/>
    <n v="0"/>
    <n v="7.6066790352504632E-2"/>
    <s v="Premium"/>
    <x v="0"/>
  </r>
  <r>
    <x v="1"/>
    <x v="741"/>
    <x v="485"/>
    <x v="6"/>
    <x v="5"/>
    <n v="3.9"/>
    <n v="8999"/>
    <n v="8999"/>
    <n v="0"/>
    <n v="0"/>
    <n v="0.43338148683187022"/>
    <s v="Budget"/>
    <x v="1"/>
  </r>
  <r>
    <x v="1"/>
    <x v="742"/>
    <x v="484"/>
    <x v="4"/>
    <x v="4"/>
    <n v="3.7"/>
    <n v="27990"/>
    <n v="27990"/>
    <n v="0"/>
    <n v="0"/>
    <n v="0.13219006788138621"/>
    <s v="Mid Range"/>
    <x v="1"/>
  </r>
  <r>
    <x v="1"/>
    <x v="741"/>
    <x v="484"/>
    <x v="6"/>
    <x v="5"/>
    <n v="3.9"/>
    <n v="8999"/>
    <n v="8999"/>
    <n v="0"/>
    <n v="0"/>
    <n v="0.43338148683187022"/>
    <s v="Budget"/>
    <x v="1"/>
  </r>
  <r>
    <x v="1"/>
    <x v="743"/>
    <x v="490"/>
    <x v="6"/>
    <x v="4"/>
    <n v="4"/>
    <n v="12400"/>
    <n v="12400"/>
    <n v="0"/>
    <n v="0"/>
    <n v="0.32258064516129031"/>
    <s v="Budget"/>
    <x v="1"/>
  </r>
  <r>
    <x v="1"/>
    <x v="744"/>
    <x v="486"/>
    <x v="4"/>
    <x v="4"/>
    <n v="3.9"/>
    <n v="25500"/>
    <n v="25500"/>
    <n v="0"/>
    <n v="0"/>
    <n v="0.15294117647058822"/>
    <s v="Mid Range"/>
    <x v="1"/>
  </r>
  <r>
    <x v="1"/>
    <x v="744"/>
    <x v="491"/>
    <x v="4"/>
    <x v="4"/>
    <n v="3.9"/>
    <n v="25500"/>
    <n v="25500"/>
    <n v="0"/>
    <n v="0"/>
    <n v="0.15294117647058822"/>
    <s v="Mid Range"/>
    <x v="1"/>
  </r>
  <r>
    <x v="1"/>
    <x v="745"/>
    <x v="492"/>
    <x v="4"/>
    <x v="4"/>
    <n v="4.0999999999999996"/>
    <n v="25999"/>
    <n v="25999"/>
    <n v="0"/>
    <n v="0"/>
    <n v="0.15769837301434669"/>
    <s v="Mid Range"/>
    <x v="0"/>
  </r>
  <r>
    <x v="1"/>
    <x v="746"/>
    <x v="493"/>
    <x v="6"/>
    <x v="4"/>
    <n v="4"/>
    <n v="9900"/>
    <n v="9900"/>
    <n v="0"/>
    <n v="0"/>
    <n v="0.40404040404040403"/>
    <s v="Budget"/>
    <x v="1"/>
  </r>
  <r>
    <x v="1"/>
    <x v="746"/>
    <x v="83"/>
    <x v="6"/>
    <x v="4"/>
    <n v="4"/>
    <n v="6999"/>
    <n v="6999"/>
    <n v="0"/>
    <n v="0"/>
    <n v="0.57151021574510652"/>
    <s v="Budget"/>
    <x v="1"/>
  </r>
  <r>
    <x v="1"/>
    <x v="747"/>
    <x v="75"/>
    <x v="6"/>
    <x v="4"/>
    <n v="3.9"/>
    <n v="21990"/>
    <n v="21990"/>
    <n v="0"/>
    <n v="0"/>
    <n v="0.17735334242837653"/>
    <s v="Mid Range"/>
    <x v="1"/>
  </r>
  <r>
    <x v="1"/>
    <x v="747"/>
    <x v="5"/>
    <x v="6"/>
    <x v="4"/>
    <n v="3.9"/>
    <n v="21990"/>
    <n v="21990"/>
    <n v="0"/>
    <n v="0"/>
    <n v="0.17735334242837653"/>
    <s v="Mid Range"/>
    <x v="1"/>
  </r>
  <r>
    <x v="1"/>
    <x v="748"/>
    <x v="491"/>
    <x v="6"/>
    <x v="5"/>
    <n v="3.9"/>
    <n v="7999"/>
    <n v="7999"/>
    <n v="0"/>
    <n v="0"/>
    <n v="0.48756094511813974"/>
    <s v="Budget"/>
    <x v="1"/>
  </r>
  <r>
    <x v="1"/>
    <x v="748"/>
    <x v="486"/>
    <x v="6"/>
    <x v="4"/>
    <n v="4.0999999999999996"/>
    <n v="23999"/>
    <n v="23999"/>
    <n v="0"/>
    <n v="0"/>
    <n v="0.17084045168548687"/>
    <s v="Mid Range"/>
    <x v="0"/>
  </r>
  <r>
    <x v="1"/>
    <x v="745"/>
    <x v="491"/>
    <x v="4"/>
    <x v="4"/>
    <n v="4"/>
    <n v="25999"/>
    <n v="25999"/>
    <n v="0"/>
    <n v="0"/>
    <n v="0.15385207123350897"/>
    <s v="Mid Range"/>
    <x v="1"/>
  </r>
  <r>
    <x v="1"/>
    <x v="749"/>
    <x v="5"/>
    <x v="6"/>
    <x v="4"/>
    <n v="4"/>
    <n v="21999"/>
    <n v="21999"/>
    <n v="0"/>
    <n v="0"/>
    <n v="0.18182644665666622"/>
    <s v="Mid Range"/>
    <x v="1"/>
  </r>
  <r>
    <x v="1"/>
    <x v="750"/>
    <x v="244"/>
    <x v="6"/>
    <x v="6"/>
    <n v="3.8"/>
    <n v="17200"/>
    <n v="17200"/>
    <n v="0"/>
    <n v="0"/>
    <n v="0.22093023255813954"/>
    <s v="Mid Range"/>
    <x v="1"/>
  </r>
  <r>
    <x v="1"/>
    <x v="750"/>
    <x v="176"/>
    <x v="6"/>
    <x v="6"/>
    <n v="3.8"/>
    <n v="17200"/>
    <n v="17200"/>
    <n v="0"/>
    <n v="0"/>
    <n v="0.22093023255813954"/>
    <s v="Mid Range"/>
    <x v="1"/>
  </r>
  <r>
    <x v="1"/>
    <x v="751"/>
    <x v="176"/>
    <x v="6"/>
    <x v="6"/>
    <n v="3.5"/>
    <n v="15200"/>
    <n v="15200"/>
    <n v="0"/>
    <n v="0"/>
    <n v="0.23026315789473684"/>
    <s v="Mid Range"/>
    <x v="3"/>
  </r>
  <r>
    <x v="1"/>
    <x v="751"/>
    <x v="244"/>
    <x v="6"/>
    <x v="6"/>
    <n v="3.5"/>
    <n v="15200"/>
    <n v="15200"/>
    <n v="0"/>
    <n v="0"/>
    <n v="0.23026315789473684"/>
    <s v="Mid Range"/>
    <x v="3"/>
  </r>
  <r>
    <x v="1"/>
    <x v="752"/>
    <x v="494"/>
    <x v="4"/>
    <x v="4"/>
    <n v="4.4000000000000004"/>
    <n v="59900"/>
    <n v="59900"/>
    <n v="0"/>
    <n v="0"/>
    <n v="7.3455759599332232E-2"/>
    <s v="Premium"/>
    <x v="0"/>
  </r>
  <r>
    <x v="1"/>
    <x v="753"/>
    <x v="495"/>
    <x v="8"/>
    <x v="5"/>
    <n v="4.0999999999999996"/>
    <n v="27390"/>
    <n v="27390"/>
    <n v="0"/>
    <n v="0"/>
    <n v="0.14968966776195691"/>
    <s v="Mid Range"/>
    <x v="0"/>
  </r>
  <r>
    <x v="1"/>
    <x v="753"/>
    <x v="244"/>
    <x v="8"/>
    <x v="5"/>
    <n v="4.0999999999999996"/>
    <n v="27390"/>
    <n v="27390"/>
    <n v="0"/>
    <n v="0"/>
    <n v="0.14968966776195691"/>
    <s v="Mid Range"/>
    <x v="0"/>
  </r>
  <r>
    <x v="1"/>
    <x v="754"/>
    <x v="4"/>
    <x v="7"/>
    <x v="6"/>
    <n v="3.6"/>
    <n v="9990"/>
    <n v="9990"/>
    <n v="0"/>
    <n v="0"/>
    <n v="0.36036036036036034"/>
    <s v="Budget"/>
    <x v="1"/>
  </r>
  <r>
    <x v="1"/>
    <x v="754"/>
    <x v="75"/>
    <x v="7"/>
    <x v="6"/>
    <n v="3.6"/>
    <n v="9990"/>
    <n v="9990"/>
    <n v="0"/>
    <n v="0"/>
    <n v="0.36036036036036034"/>
    <s v="Budget"/>
    <x v="1"/>
  </r>
  <r>
    <x v="1"/>
    <x v="752"/>
    <x v="82"/>
    <x v="4"/>
    <x v="4"/>
    <n v="4.4000000000000004"/>
    <n v="59900"/>
    <n v="59900"/>
    <n v="0"/>
    <n v="0"/>
    <n v="7.3455759599332232E-2"/>
    <s v="Premium"/>
    <x v="0"/>
  </r>
  <r>
    <x v="1"/>
    <x v="752"/>
    <x v="496"/>
    <x v="4"/>
    <x v="4"/>
    <n v="4.4000000000000004"/>
    <n v="59900"/>
    <n v="59900"/>
    <n v="0"/>
    <n v="0"/>
    <n v="7.3455759599332232E-2"/>
    <s v="Premium"/>
    <x v="0"/>
  </r>
  <r>
    <x v="1"/>
    <x v="755"/>
    <x v="4"/>
    <x v="6"/>
    <x v="5"/>
    <n v="3.8"/>
    <n v="35490"/>
    <n v="35490"/>
    <n v="0"/>
    <n v="0"/>
    <n v="0.10707241476472246"/>
    <s v="Mid Range"/>
    <x v="1"/>
  </r>
  <r>
    <x v="1"/>
    <x v="756"/>
    <x v="82"/>
    <x v="4"/>
    <x v="2"/>
    <n v="4.0999999999999996"/>
    <n v="59590"/>
    <n v="59590"/>
    <n v="0"/>
    <n v="0"/>
    <n v="6.880349051854337E-2"/>
    <s v="Premium"/>
    <x v="0"/>
  </r>
  <r>
    <x v="8"/>
    <x v="757"/>
    <x v="497"/>
    <x v="1"/>
    <x v="1"/>
    <n v="4.3"/>
    <n v="46988"/>
    <n v="46988"/>
    <n v="0"/>
    <n v="0"/>
    <n v="9.151272665361368E-2"/>
    <s v="Mid Range"/>
    <x v="0"/>
  </r>
  <r>
    <x v="0"/>
    <x v="758"/>
    <x v="5"/>
    <x v="2"/>
    <x v="2"/>
    <n v="3.7"/>
    <n v="10490"/>
    <n v="10490"/>
    <n v="0"/>
    <n v="0"/>
    <n v="0.35271687321258344"/>
    <s v="Budget"/>
    <x v="1"/>
  </r>
  <r>
    <x v="0"/>
    <x v="758"/>
    <x v="4"/>
    <x v="2"/>
    <x v="2"/>
    <n v="3.7"/>
    <n v="10490"/>
    <n v="10490"/>
    <n v="0"/>
    <n v="0"/>
    <n v="0.35271687321258344"/>
    <s v="Budget"/>
    <x v="1"/>
  </r>
  <r>
    <x v="0"/>
    <x v="758"/>
    <x v="75"/>
    <x v="2"/>
    <x v="2"/>
    <n v="3.7"/>
    <n v="10490"/>
    <n v="10490"/>
    <n v="0"/>
    <n v="0"/>
    <n v="0.35271687321258344"/>
    <s v="Budget"/>
    <x v="1"/>
  </r>
  <r>
    <x v="0"/>
    <x v="759"/>
    <x v="158"/>
    <x v="0"/>
    <x v="0"/>
    <n v="4.3"/>
    <n v="15490"/>
    <n v="15490"/>
    <n v="0"/>
    <n v="0"/>
    <n v="0.27759845061329891"/>
    <s v="Mid Range"/>
    <x v="0"/>
  </r>
  <r>
    <x v="0"/>
    <x v="759"/>
    <x v="498"/>
    <x v="0"/>
    <x v="0"/>
    <n v="4.3"/>
    <n v="15490"/>
    <n v="18990"/>
    <n v="3500"/>
    <n v="0.18430753027909427"/>
    <n v="0.27759845061329891"/>
    <s v="Mid Range"/>
    <x v="0"/>
  </r>
  <r>
    <x v="0"/>
    <x v="759"/>
    <x v="498"/>
    <x v="1"/>
    <x v="1"/>
    <n v="3.8"/>
    <n v="17490"/>
    <n v="20990"/>
    <n v="3500"/>
    <n v="0.16674606955693186"/>
    <n v="0.21726700971983989"/>
    <s v="Mid Range"/>
    <x v="1"/>
  </r>
  <r>
    <x v="0"/>
    <x v="759"/>
    <x v="38"/>
    <x v="1"/>
    <x v="1"/>
    <n v="3.8"/>
    <n v="17490"/>
    <n v="20990"/>
    <n v="3500"/>
    <n v="0.16674606955693186"/>
    <n v="0.21726700971983989"/>
    <s v="Mid Range"/>
    <x v="1"/>
  </r>
  <r>
    <x v="0"/>
    <x v="759"/>
    <x v="38"/>
    <x v="0"/>
    <x v="0"/>
    <n v="4.3"/>
    <n v="15490"/>
    <n v="15490"/>
    <n v="0"/>
    <n v="0"/>
    <n v="0.27759845061329891"/>
    <s v="Mid Range"/>
    <x v="0"/>
  </r>
  <r>
    <x v="13"/>
    <x v="760"/>
    <x v="499"/>
    <x v="3"/>
    <x v="1"/>
    <n v="4.3"/>
    <n v="28999"/>
    <n v="34999"/>
    <n v="6000"/>
    <n v="0.1714334695277008"/>
    <n v="0.14828097520604158"/>
    <s v="Mid Range"/>
    <x v="0"/>
  </r>
  <r>
    <x v="13"/>
    <x v="760"/>
    <x v="499"/>
    <x v="1"/>
    <x v="1"/>
    <n v="4.3"/>
    <n v="28999"/>
    <n v="32999"/>
    <n v="4000"/>
    <n v="0.12121579441801267"/>
    <n v="0.14828097520604158"/>
    <s v="Mid Range"/>
    <x v="0"/>
  </r>
  <r>
    <x v="13"/>
    <x v="760"/>
    <x v="499"/>
    <x v="3"/>
    <x v="3"/>
    <n v="4.3"/>
    <n v="30999"/>
    <n v="36999"/>
    <n v="6000"/>
    <n v="0.1621665450417579"/>
    <n v="0.13871415206942159"/>
    <s v="Mid Range"/>
    <x v="0"/>
  </r>
  <r>
    <x v="13"/>
    <x v="760"/>
    <x v="500"/>
    <x v="3"/>
    <x v="1"/>
    <n v="4.3"/>
    <n v="28999"/>
    <n v="34999"/>
    <n v="6000"/>
    <n v="0.1714334695277008"/>
    <n v="0.14828097520604158"/>
    <s v="Mid Range"/>
    <x v="0"/>
  </r>
  <r>
    <x v="13"/>
    <x v="662"/>
    <x v="415"/>
    <x v="1"/>
    <x v="1"/>
    <n v="4.2"/>
    <n v="16499"/>
    <n v="17999"/>
    <n v="1500"/>
    <n v="8.3337963220178904E-2"/>
    <n v="0.25456088247772596"/>
    <s v="Mid Range"/>
    <x v="0"/>
  </r>
  <r>
    <x v="13"/>
    <x v="62"/>
    <x v="413"/>
    <x v="1"/>
    <x v="1"/>
    <n v="4.5"/>
    <n v="24999"/>
    <n v="24999"/>
    <n v="0"/>
    <n v="0"/>
    <n v="0.18000720028801154"/>
    <s v="Mid Range"/>
    <x v="0"/>
  </r>
  <r>
    <x v="13"/>
    <x v="62"/>
    <x v="413"/>
    <x v="1"/>
    <x v="3"/>
    <n v="4.5"/>
    <n v="28999"/>
    <n v="28999"/>
    <n v="0"/>
    <n v="0"/>
    <n v="0.15517776475050862"/>
    <s v="Mid Range"/>
    <x v="0"/>
  </r>
  <r>
    <x v="13"/>
    <x v="62"/>
    <x v="501"/>
    <x v="3"/>
    <x v="3"/>
    <n v="4.5"/>
    <n v="30999"/>
    <n v="30999"/>
    <n v="0"/>
    <n v="0"/>
    <n v="0.14516597309590631"/>
    <s v="Mid Range"/>
    <x v="0"/>
  </r>
  <r>
    <x v="13"/>
    <x v="62"/>
    <x v="414"/>
    <x v="1"/>
    <x v="0"/>
    <n v="4.5"/>
    <n v="21999"/>
    <n v="21999"/>
    <n v="0"/>
    <n v="0"/>
    <n v="0.20455475248874949"/>
    <s v="Mid Range"/>
    <x v="0"/>
  </r>
  <r>
    <x v="13"/>
    <x v="760"/>
    <x v="500"/>
    <x v="1"/>
    <x v="1"/>
    <n v="4.3"/>
    <n v="28999"/>
    <n v="32999"/>
    <n v="4000"/>
    <n v="0.12121579441801267"/>
    <n v="0.14828097520604158"/>
    <s v="Mid Range"/>
    <x v="0"/>
  </r>
  <r>
    <x v="13"/>
    <x v="761"/>
    <x v="502"/>
    <x v="1"/>
    <x v="0"/>
    <n v="4.4000000000000004"/>
    <n v="14999"/>
    <n v="17999"/>
    <n v="3000"/>
    <n v="0.16667592644035781"/>
    <n v="0.29335289019267952"/>
    <s v="Budget"/>
    <x v="0"/>
  </r>
  <r>
    <x v="13"/>
    <x v="761"/>
    <x v="503"/>
    <x v="0"/>
    <x v="0"/>
    <n v="4.3"/>
    <n v="13999"/>
    <n v="16999"/>
    <n v="3000"/>
    <n v="0.17648096946879227"/>
    <n v="0.30716479748553466"/>
    <s v="Budget"/>
    <x v="0"/>
  </r>
  <r>
    <x v="13"/>
    <x v="761"/>
    <x v="503"/>
    <x v="1"/>
    <x v="0"/>
    <n v="4.3"/>
    <n v="14999"/>
    <n v="16999"/>
    <n v="2000"/>
    <n v="0.11765397964586152"/>
    <n v="0.28668577905193682"/>
    <s v="Budget"/>
    <x v="0"/>
  </r>
  <r>
    <x v="13"/>
    <x v="761"/>
    <x v="504"/>
    <x v="1"/>
    <x v="1"/>
    <n v="4.4000000000000004"/>
    <n v="15999"/>
    <n v="19999"/>
    <n v="4000"/>
    <n v="0.20001000050002501"/>
    <n v="0.27501718857428592"/>
    <s v="Mid Range"/>
    <x v="0"/>
  </r>
  <r>
    <x v="13"/>
    <x v="761"/>
    <x v="502"/>
    <x v="0"/>
    <x v="0"/>
    <n v="4.4000000000000004"/>
    <n v="13999"/>
    <n v="17999"/>
    <n v="4000"/>
    <n v="0.22223456858714374"/>
    <n v="0.31430816486891927"/>
    <s v="Budget"/>
    <x v="0"/>
  </r>
  <r>
    <x v="13"/>
    <x v="761"/>
    <x v="504"/>
    <x v="1"/>
    <x v="0"/>
    <n v="4.4000000000000004"/>
    <n v="14999"/>
    <n v="19999"/>
    <n v="5000"/>
    <n v="0.25001250062503128"/>
    <n v="0.29335289019267952"/>
    <s v="Budget"/>
    <x v="0"/>
  </r>
  <r>
    <x v="13"/>
    <x v="761"/>
    <x v="504"/>
    <x v="0"/>
    <x v="0"/>
    <n v="4.4000000000000004"/>
    <n v="13999"/>
    <n v="16999"/>
    <n v="3000"/>
    <n v="0.17648096946879227"/>
    <n v="0.31430816486891927"/>
    <s v="Budget"/>
    <x v="0"/>
  </r>
  <r>
    <x v="13"/>
    <x v="761"/>
    <x v="503"/>
    <x v="1"/>
    <x v="1"/>
    <n v="4.3"/>
    <n v="15999"/>
    <n v="19999"/>
    <n v="4000"/>
    <n v="0.20001000050002501"/>
    <n v="0.26876679792487029"/>
    <s v="Mid Range"/>
    <x v="0"/>
  </r>
  <r>
    <x v="13"/>
    <x v="762"/>
    <x v="505"/>
    <x v="1"/>
    <x v="1"/>
    <n v="4.4000000000000004"/>
    <n v="11499"/>
    <n v="14999"/>
    <n v="3500"/>
    <n v="0.23334888992599506"/>
    <n v="0.38264196886685803"/>
    <s v="Budget"/>
    <x v="0"/>
  </r>
  <r>
    <x v="13"/>
    <x v="762"/>
    <x v="506"/>
    <x v="1"/>
    <x v="1"/>
    <n v="4.4000000000000004"/>
    <n v="11499"/>
    <n v="14999"/>
    <n v="3500"/>
    <n v="0.23334888992599506"/>
    <n v="0.38264196886685803"/>
    <s v="Budget"/>
    <x v="0"/>
  </r>
  <r>
    <x v="13"/>
    <x v="762"/>
    <x v="507"/>
    <x v="1"/>
    <x v="1"/>
    <n v="4.4000000000000004"/>
    <n v="11499"/>
    <n v="14999"/>
    <n v="3500"/>
    <n v="0.23334888992599506"/>
    <n v="0.38264196886685803"/>
    <s v="Budget"/>
    <x v="0"/>
  </r>
  <r>
    <x v="13"/>
    <x v="762"/>
    <x v="507"/>
    <x v="1"/>
    <x v="0"/>
    <n v="4.4000000000000004"/>
    <n v="10499"/>
    <n v="12999"/>
    <n v="2500"/>
    <n v="0.19232248634510346"/>
    <n v="0.41908753214591871"/>
    <s v="Budget"/>
    <x v="0"/>
  </r>
  <r>
    <x v="13"/>
    <x v="763"/>
    <x v="444"/>
    <x v="1"/>
    <x v="0"/>
    <n v="4.5"/>
    <n v="14999"/>
    <n v="18999"/>
    <n v="4000"/>
    <n v="0.21053739670508975"/>
    <n v="0.30002000133342221"/>
    <s v="Budget"/>
    <x v="0"/>
  </r>
  <r>
    <x v="13"/>
    <x v="764"/>
    <x v="444"/>
    <x v="1"/>
    <x v="1"/>
    <n v="4.5"/>
    <n v="15999"/>
    <n v="19999"/>
    <n v="4000"/>
    <n v="0.20001000050002501"/>
    <n v="0.28126757922370149"/>
    <s v="Mid Range"/>
    <x v="0"/>
  </r>
  <r>
    <x v="13"/>
    <x v="763"/>
    <x v="508"/>
    <x v="1"/>
    <x v="1"/>
    <n v="4.5"/>
    <n v="15999"/>
    <n v="19999"/>
    <n v="4000"/>
    <n v="0.20001000050002501"/>
    <n v="0.28126757922370149"/>
    <s v="Mid Range"/>
    <x v="0"/>
  </r>
  <r>
    <x v="13"/>
    <x v="763"/>
    <x v="508"/>
    <x v="3"/>
    <x v="3"/>
    <n v="4.5"/>
    <n v="21499"/>
    <n v="22999"/>
    <n v="1500"/>
    <n v="6.5220226966389849E-2"/>
    <n v="0.20931206102609423"/>
    <s v="Mid Range"/>
    <x v="0"/>
  </r>
  <r>
    <x v="13"/>
    <x v="763"/>
    <x v="509"/>
    <x v="1"/>
    <x v="0"/>
    <n v="4.5"/>
    <n v="14999"/>
    <n v="18999"/>
    <n v="4000"/>
    <n v="0.21053739670508975"/>
    <n v="0.30002000133342221"/>
    <s v="Budget"/>
    <x v="0"/>
  </r>
  <r>
    <x v="13"/>
    <x v="764"/>
    <x v="508"/>
    <x v="1"/>
    <x v="1"/>
    <n v="4.5"/>
    <n v="19999"/>
    <n v="19999"/>
    <n v="0"/>
    <n v="0"/>
    <n v="0.2250112505625281"/>
    <s v="Mid Range"/>
    <x v="0"/>
  </r>
  <r>
    <x v="13"/>
    <x v="763"/>
    <x v="509"/>
    <x v="1"/>
    <x v="1"/>
    <n v="4.5"/>
    <n v="15999"/>
    <n v="19999"/>
    <n v="4000"/>
    <n v="0.20001000050002501"/>
    <n v="0.28126757922370149"/>
    <s v="Mid Range"/>
    <x v="0"/>
  </r>
  <r>
    <x v="13"/>
    <x v="763"/>
    <x v="509"/>
    <x v="3"/>
    <x v="3"/>
    <n v="4.5"/>
    <n v="21499"/>
    <n v="22999"/>
    <n v="1500"/>
    <n v="6.5220226966389849E-2"/>
    <n v="0.20931206102609423"/>
    <s v="Mid Range"/>
    <x v="0"/>
  </r>
  <r>
    <x v="13"/>
    <x v="62"/>
    <x v="510"/>
    <x v="3"/>
    <x v="3"/>
    <n v="4.5"/>
    <n v="30999"/>
    <n v="30999"/>
    <n v="0"/>
    <n v="0"/>
    <n v="0.14516597309590631"/>
    <s v="Mid Range"/>
    <x v="0"/>
  </r>
  <r>
    <x v="13"/>
    <x v="62"/>
    <x v="510"/>
    <x v="1"/>
    <x v="1"/>
    <n v="4.5"/>
    <n v="24999"/>
    <n v="24999"/>
    <n v="0"/>
    <n v="0"/>
    <n v="0.18000720028801154"/>
    <s v="Mid Range"/>
    <x v="0"/>
  </r>
  <r>
    <x v="13"/>
    <x v="62"/>
    <x v="413"/>
    <x v="1"/>
    <x v="0"/>
    <n v="4.5"/>
    <n v="21999"/>
    <n v="21999"/>
    <n v="0"/>
    <n v="0"/>
    <n v="0.20455475248874949"/>
    <s v="Mid Range"/>
    <x v="0"/>
  </r>
  <r>
    <x v="13"/>
    <x v="62"/>
    <x v="414"/>
    <x v="3"/>
    <x v="3"/>
    <n v="4.5"/>
    <n v="30999"/>
    <n v="30999"/>
    <n v="0"/>
    <n v="0"/>
    <n v="0.14516597309590631"/>
    <s v="Mid Range"/>
    <x v="0"/>
  </r>
  <r>
    <x v="6"/>
    <x v="765"/>
    <x v="324"/>
    <x v="1"/>
    <x v="1"/>
    <n v="4.4000000000000004"/>
    <n v="15999"/>
    <n v="17999"/>
    <n v="2000"/>
    <n v="0.11111728429357187"/>
    <n v="0.27501718857428592"/>
    <s v="Mid Range"/>
    <x v="0"/>
  </r>
  <r>
    <x v="6"/>
    <x v="765"/>
    <x v="43"/>
    <x v="1"/>
    <x v="1"/>
    <n v="4.4000000000000004"/>
    <n v="15999"/>
    <n v="17999"/>
    <n v="2000"/>
    <n v="0.11111728429357187"/>
    <n v="0.27501718857428592"/>
    <s v="Mid Range"/>
    <x v="0"/>
  </r>
  <r>
    <x v="6"/>
    <x v="765"/>
    <x v="324"/>
    <x v="0"/>
    <x v="0"/>
    <n v="4.5"/>
    <n v="13999"/>
    <n v="15999"/>
    <n v="2000"/>
    <n v="0.12500781298831176"/>
    <n v="0.32145153225230377"/>
    <s v="Budget"/>
    <x v="0"/>
  </r>
  <r>
    <x v="6"/>
    <x v="765"/>
    <x v="43"/>
    <x v="0"/>
    <x v="0"/>
    <n v="4.5"/>
    <n v="13999"/>
    <n v="15999"/>
    <n v="2000"/>
    <n v="0.12500781298831176"/>
    <n v="0.32145153225230377"/>
    <s v="Budget"/>
    <x v="0"/>
  </r>
  <r>
    <x v="6"/>
    <x v="205"/>
    <x v="511"/>
    <x v="1"/>
    <x v="1"/>
    <n v="4.3"/>
    <n v="25999"/>
    <n v="29999"/>
    <n v="4000"/>
    <n v="0.13333777792593088"/>
    <n v="0.16539097657602217"/>
    <s v="Mid Range"/>
    <x v="0"/>
  </r>
  <r>
    <x v="6"/>
    <x v="205"/>
    <x v="511"/>
    <x v="3"/>
    <x v="1"/>
    <n v="4.4000000000000004"/>
    <n v="27999"/>
    <n v="29999"/>
    <n v="2000"/>
    <n v="6.6668888962965439E-2"/>
    <n v="0.15714846958819959"/>
    <s v="Mid Range"/>
    <x v="0"/>
  </r>
  <r>
    <x v="6"/>
    <x v="766"/>
    <x v="512"/>
    <x v="0"/>
    <x v="0"/>
    <n v="4.5"/>
    <n v="10999"/>
    <n v="12999"/>
    <n v="2000"/>
    <n v="0.15385798907608278"/>
    <n v="0.40912810255477766"/>
    <s v="Budget"/>
    <x v="0"/>
  </r>
  <r>
    <x v="6"/>
    <x v="766"/>
    <x v="83"/>
    <x v="0"/>
    <x v="0"/>
    <n v="4.5"/>
    <n v="10999"/>
    <n v="12999"/>
    <n v="2000"/>
    <n v="0.15385798907608278"/>
    <n v="0.40912810255477766"/>
    <s v="Budget"/>
    <x v="0"/>
  </r>
  <r>
    <x v="6"/>
    <x v="767"/>
    <x v="513"/>
    <x v="5"/>
    <x v="3"/>
    <n v="4.4000000000000004"/>
    <n v="35999"/>
    <n v="38999"/>
    <n v="3000"/>
    <n v="7.692504936024E-2"/>
    <n v="0.12222561737826053"/>
    <s v="Mid Range"/>
    <x v="0"/>
  </r>
  <r>
    <x v="6"/>
    <x v="767"/>
    <x v="514"/>
    <x v="5"/>
    <x v="3"/>
    <n v="4.4000000000000004"/>
    <n v="35999"/>
    <n v="38999"/>
    <n v="3000"/>
    <n v="7.692504936024E-2"/>
    <n v="0.12222561737826053"/>
    <s v="Mid Range"/>
    <x v="0"/>
  </r>
  <r>
    <x v="6"/>
    <x v="767"/>
    <x v="513"/>
    <x v="3"/>
    <x v="1"/>
    <n v="4.4000000000000004"/>
    <n v="31999"/>
    <n v="34999"/>
    <n v="3000"/>
    <n v="8.5716734763850402E-2"/>
    <n v="0.13750429700928155"/>
    <s v="Mid Range"/>
    <x v="0"/>
  </r>
  <r>
    <x v="6"/>
    <x v="767"/>
    <x v="514"/>
    <x v="3"/>
    <x v="1"/>
    <n v="4.4000000000000004"/>
    <n v="31999"/>
    <n v="34999"/>
    <n v="3000"/>
    <n v="8.5716734763850402E-2"/>
    <n v="0.13750429700928155"/>
    <s v="Mid Range"/>
    <x v="0"/>
  </r>
  <r>
    <x v="6"/>
    <x v="766"/>
    <x v="512"/>
    <x v="0"/>
    <x v="1"/>
    <n v="4.5"/>
    <n v="12049"/>
    <n v="13999"/>
    <n v="1950"/>
    <n v="0.1392956639759983"/>
    <n v="0.37347497717652922"/>
    <s v="Budget"/>
    <x v="0"/>
  </r>
  <r>
    <x v="6"/>
    <x v="205"/>
    <x v="515"/>
    <x v="3"/>
    <x v="1"/>
    <n v="4.3"/>
    <n v="27999"/>
    <n v="29999"/>
    <n v="2000"/>
    <n v="6.6668888962965439E-2"/>
    <n v="0.15357691346119504"/>
    <s v="Mid Range"/>
    <x v="0"/>
  </r>
  <r>
    <x v="6"/>
    <x v="205"/>
    <x v="516"/>
    <x v="3"/>
    <x v="3"/>
    <n v="4.3"/>
    <n v="29999"/>
    <n v="29999"/>
    <n v="0"/>
    <n v="0"/>
    <n v="0.14333811127037566"/>
    <s v="Mid Range"/>
    <x v="0"/>
  </r>
  <r>
    <x v="6"/>
    <x v="768"/>
    <x v="517"/>
    <x v="3"/>
    <x v="1"/>
    <n v="4.4000000000000004"/>
    <n v="26999"/>
    <n v="29999"/>
    <n v="3000"/>
    <n v="0.10000333344444814"/>
    <n v="0.16296899885180932"/>
    <s v="Mid Range"/>
    <x v="0"/>
  </r>
  <r>
    <x v="6"/>
    <x v="768"/>
    <x v="486"/>
    <x v="5"/>
    <x v="3"/>
    <n v="4.3"/>
    <n v="29999"/>
    <n v="32999"/>
    <n v="3000"/>
    <n v="9.0911845813509501E-2"/>
    <n v="0.14333811127037566"/>
    <s v="Mid Range"/>
    <x v="0"/>
  </r>
  <r>
    <x v="6"/>
    <x v="768"/>
    <x v="518"/>
    <x v="5"/>
    <x v="3"/>
    <n v="4.3"/>
    <n v="29999"/>
    <n v="32999"/>
    <n v="3000"/>
    <n v="9.0911845813509501E-2"/>
    <n v="0.14333811127037566"/>
    <s v="Mid Range"/>
    <x v="0"/>
  </r>
  <r>
    <x v="6"/>
    <x v="768"/>
    <x v="518"/>
    <x v="3"/>
    <x v="1"/>
    <n v="4.3"/>
    <n v="26999"/>
    <n v="29999"/>
    <n v="3000"/>
    <n v="0.10000333344444814"/>
    <n v="0.15926515796881366"/>
    <s v="Mid Range"/>
    <x v="0"/>
  </r>
  <r>
    <x v="6"/>
    <x v="768"/>
    <x v="486"/>
    <x v="3"/>
    <x v="1"/>
    <n v="4.3"/>
    <n v="26999"/>
    <n v="29999"/>
    <n v="3000"/>
    <n v="0.10000333344444814"/>
    <n v="0.15926515796881366"/>
    <s v="Mid Range"/>
    <x v="0"/>
  </r>
  <r>
    <x v="6"/>
    <x v="768"/>
    <x v="517"/>
    <x v="5"/>
    <x v="3"/>
    <n v="4.4000000000000004"/>
    <n v="29999"/>
    <n v="32999"/>
    <n v="3000"/>
    <n v="9.0911845813509501E-2"/>
    <n v="0.14667155571852394"/>
    <s v="Mid Range"/>
    <x v="0"/>
  </r>
  <r>
    <x v="10"/>
    <x v="394"/>
    <x v="519"/>
    <x v="3"/>
    <x v="1"/>
    <n v="4.3"/>
    <n v="37499"/>
    <n v="40999"/>
    <n v="3500"/>
    <n v="8.536793580331227E-2"/>
    <n v="0.11466972452598735"/>
    <s v="Mid Range"/>
    <x v="0"/>
  </r>
  <r>
    <x v="10"/>
    <x v="407"/>
    <x v="520"/>
    <x v="5"/>
    <x v="3"/>
    <n v="4.4000000000000004"/>
    <n v="149999"/>
    <n v="171999"/>
    <n v="22000"/>
    <n v="0.12790772039372322"/>
    <n v="2.9333528890192601E-2"/>
    <s v="Premium"/>
    <x v="0"/>
  </r>
  <r>
    <x v="10"/>
    <x v="407"/>
    <x v="347"/>
    <x v="5"/>
    <x v="3"/>
    <n v="4.4000000000000004"/>
    <n v="149999"/>
    <n v="171999"/>
    <n v="22000"/>
    <n v="0.12790772039372322"/>
    <n v="2.9333528890192601E-2"/>
    <s v="Premium"/>
    <x v="0"/>
  </r>
  <r>
    <x v="10"/>
    <x v="386"/>
    <x v="521"/>
    <x v="3"/>
    <x v="1"/>
    <n v="4.3"/>
    <n v="88999"/>
    <n v="95999"/>
    <n v="7000"/>
    <n v="7.2917426223189821E-2"/>
    <n v="4.8315149608422564E-2"/>
    <s v="Premium"/>
    <x v="0"/>
  </r>
  <r>
    <x v="10"/>
    <x v="769"/>
    <x v="12"/>
    <x v="1"/>
    <x v="1"/>
    <n v="4.0999999999999996"/>
    <n v="20999"/>
    <n v="23999"/>
    <n v="3000"/>
    <n v="0.12500520855035627"/>
    <n v="0.19524739273298727"/>
    <s v="Mid Range"/>
    <x v="0"/>
  </r>
  <r>
    <x v="10"/>
    <x v="769"/>
    <x v="12"/>
    <x v="3"/>
    <x v="1"/>
    <n v="4.0999999999999996"/>
    <n v="22999"/>
    <n v="25999"/>
    <n v="3000"/>
    <n v="0.11538905342513174"/>
    <n v="0.17826862037479888"/>
    <s v="Mid Range"/>
    <x v="0"/>
  </r>
  <r>
    <x v="10"/>
    <x v="769"/>
    <x v="522"/>
    <x v="3"/>
    <x v="1"/>
    <n v="4.0999999999999996"/>
    <n v="22999"/>
    <n v="25999"/>
    <n v="3000"/>
    <n v="0.11538905342513174"/>
    <n v="0.17826862037479888"/>
    <s v="Mid Range"/>
    <x v="0"/>
  </r>
  <r>
    <x v="10"/>
    <x v="769"/>
    <x v="522"/>
    <x v="1"/>
    <x v="1"/>
    <n v="4.0999999999999996"/>
    <n v="20999"/>
    <n v="23999"/>
    <n v="3000"/>
    <n v="0.12500520855035627"/>
    <n v="0.19524739273298727"/>
    <s v="Mid Range"/>
    <x v="0"/>
  </r>
  <r>
    <x v="14"/>
    <x v="770"/>
    <x v="36"/>
    <x v="0"/>
    <x v="0"/>
    <n v="4.0999999999999996"/>
    <n v="14449"/>
    <n v="14449"/>
    <n v="0"/>
    <n v="0"/>
    <n v="0.28375666136064776"/>
    <s v="Budget"/>
    <x v="0"/>
  </r>
  <r>
    <x v="14"/>
    <x v="771"/>
    <x v="420"/>
    <x v="3"/>
    <x v="1"/>
    <n v="3.9"/>
    <n v="18990"/>
    <n v="22990"/>
    <n v="4000"/>
    <n v="0.17398869073510223"/>
    <n v="0.20537124802527645"/>
    <s v="Mid Range"/>
    <x v="1"/>
  </r>
  <r>
    <x v="14"/>
    <x v="771"/>
    <x v="73"/>
    <x v="3"/>
    <x v="1"/>
    <n v="4.9000000000000004"/>
    <n v="22990"/>
    <n v="22990"/>
    <n v="0"/>
    <n v="0"/>
    <n v="0.21313614615050022"/>
    <s v="Mid Range"/>
    <x v="2"/>
  </r>
  <r>
    <x v="14"/>
    <x v="772"/>
    <x v="36"/>
    <x v="0"/>
    <x v="1"/>
    <n v="4.0999999999999996"/>
    <n v="16490"/>
    <n v="19990"/>
    <n v="3500"/>
    <n v="0.17508754377188596"/>
    <n v="0.24863553668890234"/>
    <s v="Mid Range"/>
    <x v="0"/>
  </r>
  <r>
    <x v="14"/>
    <x v="772"/>
    <x v="176"/>
    <x v="0"/>
    <x v="1"/>
    <n v="4.0999999999999996"/>
    <n v="16490"/>
    <n v="19990"/>
    <n v="3500"/>
    <n v="0.17508754377188596"/>
    <n v="0.24863553668890234"/>
    <s v="Mid Range"/>
    <x v="0"/>
  </r>
  <r>
    <x v="14"/>
    <x v="773"/>
    <x v="523"/>
    <x v="5"/>
    <x v="3"/>
    <n v="4.4000000000000004"/>
    <n v="34990"/>
    <n v="37990"/>
    <n v="3000"/>
    <n v="7.8968149513029745E-2"/>
    <n v="0.12575021434695627"/>
    <s v="Mid Range"/>
    <x v="0"/>
  </r>
  <r>
    <x v="14"/>
    <x v="773"/>
    <x v="524"/>
    <x v="3"/>
    <x v="1"/>
    <n v="4.4000000000000004"/>
    <n v="29990"/>
    <n v="34990"/>
    <n v="5000"/>
    <n v="0.14289797084881395"/>
    <n v="0.14671557185728576"/>
    <s v="Mid Range"/>
    <x v="0"/>
  </r>
  <r>
    <x v="14"/>
    <x v="773"/>
    <x v="523"/>
    <x v="3"/>
    <x v="1"/>
    <n v="4.4000000000000004"/>
    <n v="29990"/>
    <n v="34990"/>
    <n v="5000"/>
    <n v="0.14289797084881395"/>
    <n v="0.14671557185728576"/>
    <s v="Mid Range"/>
    <x v="0"/>
  </r>
  <r>
    <x v="14"/>
    <x v="773"/>
    <x v="524"/>
    <x v="5"/>
    <x v="3"/>
    <n v="4.4000000000000004"/>
    <n v="34990"/>
    <n v="37990"/>
    <n v="3000"/>
    <n v="7.8968149513029745E-2"/>
    <n v="0.12575021434695627"/>
    <s v="Mid Range"/>
    <x v="0"/>
  </r>
  <r>
    <x v="14"/>
    <x v="774"/>
    <x v="524"/>
    <x v="3"/>
    <x v="1"/>
    <n v="4.3"/>
    <n v="38990"/>
    <n v="41990"/>
    <n v="3000"/>
    <n v="7.1445582281495598E-2"/>
    <n v="0.11028468838163631"/>
    <s v="Mid Range"/>
    <x v="0"/>
  </r>
  <r>
    <x v="14"/>
    <x v="774"/>
    <x v="524"/>
    <x v="5"/>
    <x v="3"/>
    <n v="4.0999999999999996"/>
    <n v="43990"/>
    <n v="45990"/>
    <n v="2000"/>
    <n v="4.3487714720591431E-2"/>
    <n v="9.3203000681973167E-2"/>
    <s v="Mid Range"/>
    <x v="0"/>
  </r>
  <r>
    <x v="14"/>
    <x v="774"/>
    <x v="523"/>
    <x v="5"/>
    <x v="3"/>
    <n v="4.0999999999999996"/>
    <n v="43990"/>
    <n v="45990"/>
    <n v="2000"/>
    <n v="4.3487714720591431E-2"/>
    <n v="9.3203000681973167E-2"/>
    <s v="Mid Range"/>
    <x v="0"/>
  </r>
  <r>
    <x v="14"/>
    <x v="683"/>
    <x v="525"/>
    <x v="3"/>
    <x v="1"/>
    <n v="4.3"/>
    <n v="32990"/>
    <n v="32990"/>
    <n v="0"/>
    <n v="0"/>
    <n v="0.13034252803879962"/>
    <s v="Mid Range"/>
    <x v="0"/>
  </r>
  <r>
    <x v="14"/>
    <x v="775"/>
    <x v="418"/>
    <x v="1"/>
    <x v="0"/>
    <n v="4.3"/>
    <n v="15490"/>
    <n v="19490"/>
    <n v="4000"/>
    <n v="0.20523345305284763"/>
    <n v="0.27759845061329891"/>
    <s v="Mid Range"/>
    <x v="0"/>
  </r>
  <r>
    <x v="14"/>
    <x v="775"/>
    <x v="419"/>
    <x v="1"/>
    <x v="0"/>
    <n v="4.3"/>
    <n v="15490"/>
    <n v="15490"/>
    <n v="0"/>
    <n v="0"/>
    <n v="0.27759845061329891"/>
    <s v="Mid Range"/>
    <x v="0"/>
  </r>
  <r>
    <x v="14"/>
    <x v="776"/>
    <x v="526"/>
    <x v="5"/>
    <x v="3"/>
    <n v="4.5"/>
    <n v="79990"/>
    <n v="84990"/>
    <n v="5000"/>
    <n v="5.8830450641251912E-2"/>
    <n v="5.625703212901613E-2"/>
    <s v="Premium"/>
    <x v="0"/>
  </r>
  <r>
    <x v="14"/>
    <x v="777"/>
    <x v="527"/>
    <x v="3"/>
    <x v="3"/>
    <n v="4.5"/>
    <n v="49990"/>
    <n v="54990"/>
    <n v="5000"/>
    <n v="9.092562284051646E-2"/>
    <n v="9.0018003600720153E-2"/>
    <s v="Mid Range"/>
    <x v="0"/>
  </r>
  <r>
    <x v="14"/>
    <x v="777"/>
    <x v="356"/>
    <x v="5"/>
    <x v="3"/>
    <n v="4.5"/>
    <n v="52990"/>
    <n v="57990"/>
    <n v="5000"/>
    <n v="8.6221762372822905E-2"/>
    <n v="8.4921683336478579E-2"/>
    <s v="Premium"/>
    <x v="0"/>
  </r>
  <r>
    <x v="14"/>
    <x v="777"/>
    <x v="527"/>
    <x v="3"/>
    <x v="1"/>
    <n v="4.5"/>
    <n v="46990"/>
    <n v="51990"/>
    <n v="5000"/>
    <n v="9.6172340834775924E-2"/>
    <n v="9.5765056394977649E-2"/>
    <s v="Mid Range"/>
    <x v="0"/>
  </r>
  <r>
    <x v="14"/>
    <x v="778"/>
    <x v="30"/>
    <x v="5"/>
    <x v="3"/>
    <n v="4.4000000000000004"/>
    <n v="54990"/>
    <n v="54990"/>
    <n v="0"/>
    <n v="0"/>
    <n v="8.0014548099654484E-2"/>
    <s v="Premium"/>
    <x v="0"/>
  </r>
  <r>
    <x v="14"/>
    <x v="778"/>
    <x v="441"/>
    <x v="5"/>
    <x v="3"/>
    <n v="5"/>
    <n v="48780"/>
    <n v="48780"/>
    <n v="0"/>
    <n v="0"/>
    <n v="0.1025010250102501"/>
    <s v="Mid Range"/>
    <x v="2"/>
  </r>
  <r>
    <x v="14"/>
    <x v="779"/>
    <x v="528"/>
    <x v="3"/>
    <x v="3"/>
    <n v="4.5"/>
    <n v="54990"/>
    <n v="54990"/>
    <n v="0"/>
    <n v="0"/>
    <n v="8.1833060556464818E-2"/>
    <s v="Premium"/>
    <x v="0"/>
  </r>
  <r>
    <x v="14"/>
    <x v="780"/>
    <x v="529"/>
    <x v="3"/>
    <x v="3"/>
    <n v="5"/>
    <n v="44990"/>
    <n v="44990"/>
    <n v="0"/>
    <n v="0"/>
    <n v="0.11113580795732385"/>
    <s v="Mid Range"/>
    <x v="2"/>
  </r>
  <r>
    <x v="14"/>
    <x v="781"/>
    <x v="80"/>
    <x v="2"/>
    <x v="2"/>
    <n v="4.4000000000000004"/>
    <n v="10990"/>
    <n v="10990"/>
    <n v="0"/>
    <n v="0"/>
    <n v="0.40036396724294815"/>
    <s v="Budget"/>
    <x v="0"/>
  </r>
  <r>
    <x v="14"/>
    <x v="730"/>
    <x v="306"/>
    <x v="2"/>
    <x v="0"/>
    <n v="4.4000000000000004"/>
    <n v="11990"/>
    <n v="11990"/>
    <n v="0"/>
    <n v="0"/>
    <n v="0.36697247706422026"/>
    <s v="Budget"/>
    <x v="0"/>
  </r>
  <r>
    <x v="14"/>
    <x v="782"/>
    <x v="306"/>
    <x v="0"/>
    <x v="0"/>
    <n v="4.4000000000000004"/>
    <n v="13990"/>
    <n v="13990"/>
    <n v="0"/>
    <n v="0"/>
    <n v="0.31451036454610443"/>
    <s v="Budget"/>
    <x v="0"/>
  </r>
  <r>
    <x v="14"/>
    <x v="783"/>
    <x v="530"/>
    <x v="1"/>
    <x v="0"/>
    <n v="4.4000000000000004"/>
    <n v="20990"/>
    <n v="20990"/>
    <n v="0"/>
    <n v="0"/>
    <n v="0.20962363030014294"/>
    <s v="Mid Range"/>
    <x v="0"/>
  </r>
  <r>
    <x v="14"/>
    <x v="784"/>
    <x v="183"/>
    <x v="1"/>
    <x v="0"/>
    <n v="4.5"/>
    <n v="19990"/>
    <n v="19990"/>
    <n v="0"/>
    <n v="0"/>
    <n v="0.22511255627813909"/>
    <s v="Mid Range"/>
    <x v="0"/>
  </r>
  <r>
    <x v="14"/>
    <x v="784"/>
    <x v="531"/>
    <x v="1"/>
    <x v="0"/>
    <n v="5"/>
    <n v="19990"/>
    <n v="19990"/>
    <n v="0"/>
    <n v="0"/>
    <n v="0.2501250625312656"/>
    <s v="Mid Range"/>
    <x v="2"/>
  </r>
  <r>
    <x v="14"/>
    <x v="783"/>
    <x v="530"/>
    <x v="0"/>
    <x v="1"/>
    <n v="4.4000000000000004"/>
    <n v="19990"/>
    <n v="19990"/>
    <n v="0"/>
    <n v="0"/>
    <n v="0.22011005502751377"/>
    <s v="Mid Range"/>
    <x v="0"/>
  </r>
  <r>
    <x v="14"/>
    <x v="785"/>
    <x v="171"/>
    <x v="0"/>
    <x v="1"/>
    <n v="5"/>
    <n v="19990"/>
    <n v="19990"/>
    <n v="0"/>
    <n v="0"/>
    <n v="0.2501250625312656"/>
    <s v="Mid Range"/>
    <x v="2"/>
  </r>
  <r>
    <x v="14"/>
    <x v="786"/>
    <x v="73"/>
    <x v="0"/>
    <x v="0"/>
    <n v="4.5"/>
    <n v="15990"/>
    <n v="15990"/>
    <n v="0"/>
    <n v="0"/>
    <n v="0.28142589118198874"/>
    <s v="Mid Range"/>
    <x v="0"/>
  </r>
  <r>
    <x v="14"/>
    <x v="786"/>
    <x v="532"/>
    <x v="1"/>
    <x v="0"/>
    <n v="4.5"/>
    <n v="17990"/>
    <n v="17990"/>
    <n v="0"/>
    <n v="0"/>
    <n v="0.25013896609227348"/>
    <s v="Mid Range"/>
    <x v="0"/>
  </r>
  <r>
    <x v="14"/>
    <x v="786"/>
    <x v="533"/>
    <x v="0"/>
    <x v="0"/>
    <n v="4.5"/>
    <n v="15990"/>
    <n v="15990"/>
    <n v="0"/>
    <n v="0"/>
    <n v="0.28142589118198874"/>
    <s v="Mid Range"/>
    <x v="0"/>
  </r>
  <r>
    <x v="14"/>
    <x v="780"/>
    <x v="529"/>
    <x v="3"/>
    <x v="1"/>
    <n v="4.3"/>
    <n v="39990"/>
    <n v="39990"/>
    <n v="0"/>
    <n v="0"/>
    <n v="0.10752688172043011"/>
    <s v="Mid Range"/>
    <x v="0"/>
  </r>
  <r>
    <x v="14"/>
    <x v="783"/>
    <x v="171"/>
    <x v="1"/>
    <x v="1"/>
    <n v="4.4000000000000004"/>
    <n v="22990"/>
    <n v="22990"/>
    <n v="0"/>
    <n v="0"/>
    <n v="0.19138755980861244"/>
    <s v="Mid Range"/>
    <x v="0"/>
  </r>
  <r>
    <x v="14"/>
    <x v="787"/>
    <x v="4"/>
    <x v="4"/>
    <x v="4"/>
    <n v="4.4000000000000004"/>
    <n v="7990"/>
    <n v="7990"/>
    <n v="0"/>
    <n v="0"/>
    <n v="0.55068836045056335"/>
    <s v="Budget"/>
    <x v="0"/>
  </r>
  <r>
    <x v="14"/>
    <x v="788"/>
    <x v="534"/>
    <x v="2"/>
    <x v="0"/>
    <n v="4.4000000000000004"/>
    <n v="11990"/>
    <n v="11990"/>
    <n v="0"/>
    <n v="0"/>
    <n v="0.36697247706422026"/>
    <s v="Budget"/>
    <x v="0"/>
  </r>
  <r>
    <x v="14"/>
    <x v="789"/>
    <x v="534"/>
    <x v="0"/>
    <x v="2"/>
    <n v="4.4000000000000004"/>
    <n v="15990"/>
    <n v="15990"/>
    <n v="0"/>
    <n v="0"/>
    <n v="0.27517198248905567"/>
    <s v="Mid Range"/>
    <x v="0"/>
  </r>
  <r>
    <x v="14"/>
    <x v="790"/>
    <x v="38"/>
    <x v="0"/>
    <x v="2"/>
    <n v="4.4000000000000004"/>
    <n v="17000"/>
    <n v="17000"/>
    <n v="0"/>
    <n v="0"/>
    <n v="0.25882352941176473"/>
    <s v="Mid Range"/>
    <x v="0"/>
  </r>
  <r>
    <x v="14"/>
    <x v="790"/>
    <x v="38"/>
    <x v="0"/>
    <x v="0"/>
    <n v="4.4000000000000004"/>
    <n v="18990"/>
    <n v="18990"/>
    <n v="0"/>
    <n v="0"/>
    <n v="0.23170089520800424"/>
    <s v="Mid Range"/>
    <x v="0"/>
  </r>
  <r>
    <x v="14"/>
    <x v="791"/>
    <x v="57"/>
    <x v="0"/>
    <x v="2"/>
    <n v="4.4000000000000004"/>
    <n v="15990"/>
    <n v="15990"/>
    <n v="0"/>
    <n v="0"/>
    <n v="0.27517198248905567"/>
    <s v="Mid Range"/>
    <x v="0"/>
  </r>
  <r>
    <x v="14"/>
    <x v="792"/>
    <x v="396"/>
    <x v="0"/>
    <x v="0"/>
    <n v="4.5"/>
    <n v="23400"/>
    <n v="23990"/>
    <n v="590"/>
    <n v="2.4593580658607752E-2"/>
    <n v="0.19230769230769232"/>
    <s v="Mid Range"/>
    <x v="0"/>
  </r>
  <r>
    <x v="14"/>
    <x v="793"/>
    <x v="4"/>
    <x v="1"/>
    <x v="1"/>
    <n v="4.3"/>
    <n v="35399"/>
    <n v="36900"/>
    <n v="1501"/>
    <n v="4.0677506775067748E-2"/>
    <n v="0.12147235797621402"/>
    <s v="Mid Range"/>
    <x v="0"/>
  </r>
  <r>
    <x v="14"/>
    <x v="794"/>
    <x v="4"/>
    <x v="0"/>
    <x v="2"/>
    <n v="4.4000000000000004"/>
    <n v="19899"/>
    <n v="19990"/>
    <n v="91"/>
    <n v="4.5522761380690346E-3"/>
    <n v="0.22111663902708681"/>
    <s v="Mid Range"/>
    <x v="0"/>
  </r>
  <r>
    <x v="14"/>
    <x v="792"/>
    <x v="57"/>
    <x v="0"/>
    <x v="0"/>
    <n v="4.5"/>
    <n v="20990"/>
    <n v="20990"/>
    <n v="0"/>
    <n v="0"/>
    <n v="0.21438780371605526"/>
    <s v="Mid Range"/>
    <x v="0"/>
  </r>
  <r>
    <x v="14"/>
    <x v="795"/>
    <x v="57"/>
    <x v="0"/>
    <x v="0"/>
    <n v="4.4000000000000004"/>
    <n v="22099"/>
    <n v="22221"/>
    <n v="122"/>
    <n v="5.4903019666081637E-3"/>
    <n v="0.1991040318566451"/>
    <s v="Mid Range"/>
    <x v="0"/>
  </r>
  <r>
    <x v="14"/>
    <x v="796"/>
    <x v="57"/>
    <x v="2"/>
    <x v="2"/>
    <n v="4.3"/>
    <n v="11999"/>
    <n v="11999"/>
    <n v="0"/>
    <n v="0"/>
    <n v="0.35836319693307778"/>
    <s v="Budget"/>
    <x v="0"/>
  </r>
  <r>
    <x v="14"/>
    <x v="790"/>
    <x v="534"/>
    <x v="0"/>
    <x v="0"/>
    <n v="4.4000000000000004"/>
    <n v="20000"/>
    <n v="20000"/>
    <n v="0"/>
    <n v="0"/>
    <n v="0.22"/>
    <s v="Mid Range"/>
    <x v="0"/>
  </r>
  <r>
    <x v="14"/>
    <x v="797"/>
    <x v="534"/>
    <x v="0"/>
    <x v="0"/>
    <n v="4.4000000000000004"/>
    <n v="14500"/>
    <n v="14500"/>
    <n v="0"/>
    <n v="0"/>
    <n v="0.30344827586206896"/>
    <s v="Budget"/>
    <x v="0"/>
  </r>
  <r>
    <x v="14"/>
    <x v="798"/>
    <x v="535"/>
    <x v="1"/>
    <x v="0"/>
    <n v="4.5"/>
    <n v="25990"/>
    <n v="25990"/>
    <n v="0"/>
    <n v="0"/>
    <n v="0.1731435167372066"/>
    <s v="Mid Range"/>
    <x v="0"/>
  </r>
  <r>
    <x v="14"/>
    <x v="797"/>
    <x v="4"/>
    <x v="0"/>
    <x v="0"/>
    <n v="4.4000000000000004"/>
    <n v="15900"/>
    <n v="15900"/>
    <n v="0"/>
    <n v="0"/>
    <n v="0.27672955974842772"/>
    <s v="Mid Range"/>
    <x v="0"/>
  </r>
  <r>
    <x v="14"/>
    <x v="799"/>
    <x v="57"/>
    <x v="4"/>
    <x v="4"/>
    <n v="4.3"/>
    <n v="8990"/>
    <n v="8990"/>
    <n v="0"/>
    <n v="0"/>
    <n v="0.47830923248053392"/>
    <s v="Budget"/>
    <x v="0"/>
  </r>
  <r>
    <x v="14"/>
    <x v="799"/>
    <x v="12"/>
    <x v="4"/>
    <x v="4"/>
    <n v="4.3"/>
    <n v="8990"/>
    <n v="8990"/>
    <n v="0"/>
    <n v="0"/>
    <n v="0.47830923248053392"/>
    <s v="Budget"/>
    <x v="0"/>
  </r>
  <r>
    <x v="14"/>
    <x v="792"/>
    <x v="536"/>
    <x v="0"/>
    <x v="0"/>
    <n v="4.5"/>
    <n v="18990"/>
    <n v="18990"/>
    <n v="0"/>
    <n v="0"/>
    <n v="0.23696682464454977"/>
    <s v="Mid Range"/>
    <x v="0"/>
  </r>
  <r>
    <x v="14"/>
    <x v="794"/>
    <x v="57"/>
    <x v="0"/>
    <x v="2"/>
    <n v="4.4000000000000004"/>
    <n v="17990"/>
    <n v="17990"/>
    <n v="0"/>
    <n v="0"/>
    <n v="0.24458032240133409"/>
    <s v="Mid Range"/>
    <x v="0"/>
  </r>
  <r>
    <x v="14"/>
    <x v="800"/>
    <x v="537"/>
    <x v="0"/>
    <x v="2"/>
    <n v="4.4000000000000004"/>
    <n v="15990"/>
    <n v="15990"/>
    <n v="0"/>
    <n v="0"/>
    <n v="0.27517198248905567"/>
    <s v="Mid Range"/>
    <x v="0"/>
  </r>
  <r>
    <x v="14"/>
    <x v="796"/>
    <x v="12"/>
    <x v="2"/>
    <x v="2"/>
    <n v="4.3"/>
    <n v="13990"/>
    <n v="13990"/>
    <n v="0"/>
    <n v="0"/>
    <n v="0.30736240171551105"/>
    <s v="Budget"/>
    <x v="0"/>
  </r>
  <r>
    <x v="15"/>
    <x v="801"/>
    <x v="538"/>
    <x v="3"/>
    <x v="3"/>
    <n v="4.3"/>
    <n v="42999"/>
    <n v="42999"/>
    <n v="0"/>
    <n v="0"/>
    <n v="0.10000232563547989"/>
    <s v="Mid Range"/>
    <x v="0"/>
  </r>
  <r>
    <x v="15"/>
    <x v="802"/>
    <x v="539"/>
    <x v="1"/>
    <x v="1"/>
    <n v="4.3"/>
    <n v="24999"/>
    <n v="29999"/>
    <n v="5000"/>
    <n v="0.16667222240741358"/>
    <n v="0.17200688027521099"/>
    <s v="Mid Range"/>
    <x v="0"/>
  </r>
  <r>
    <x v="15"/>
    <x v="802"/>
    <x v="539"/>
    <x v="3"/>
    <x v="1"/>
    <n v="4.3"/>
    <n v="28999"/>
    <n v="33999"/>
    <n v="5000"/>
    <n v="0.14706314891614458"/>
    <n v="0.14828097520604158"/>
    <s v="Mid Range"/>
    <x v="0"/>
  </r>
  <r>
    <x v="15"/>
    <x v="802"/>
    <x v="540"/>
    <x v="1"/>
    <x v="1"/>
    <n v="4.3"/>
    <n v="24999"/>
    <n v="29999"/>
    <n v="5000"/>
    <n v="0.16667222240741358"/>
    <n v="0.17200688027521099"/>
    <s v="Mid Range"/>
    <x v="0"/>
  </r>
  <r>
    <x v="15"/>
    <x v="803"/>
    <x v="540"/>
    <x v="1"/>
    <x v="1"/>
    <n v="4.2"/>
    <n v="26999"/>
    <n v="31999"/>
    <n v="5000"/>
    <n v="0.15625488296509266"/>
    <n v="0.155561317085818"/>
    <s v="Mid Range"/>
    <x v="0"/>
  </r>
  <r>
    <x v="15"/>
    <x v="803"/>
    <x v="539"/>
    <x v="1"/>
    <x v="1"/>
    <n v="4.2"/>
    <n v="26999"/>
    <n v="31999"/>
    <n v="5000"/>
    <n v="0.15625488296509266"/>
    <n v="0.155561317085818"/>
    <s v="Mid Range"/>
    <x v="0"/>
  </r>
  <r>
    <x v="15"/>
    <x v="803"/>
    <x v="541"/>
    <x v="3"/>
    <x v="1"/>
    <n v="4.3"/>
    <n v="28999"/>
    <n v="33999"/>
    <n v="5000"/>
    <n v="0.14706314891614458"/>
    <n v="0.14828097520604158"/>
    <s v="Mid Range"/>
    <x v="0"/>
  </r>
  <r>
    <x v="15"/>
    <x v="802"/>
    <x v="541"/>
    <x v="1"/>
    <x v="1"/>
    <n v="4.3"/>
    <n v="24999"/>
    <n v="29999"/>
    <n v="5000"/>
    <n v="0.16667222240741358"/>
    <n v="0.17200688027521099"/>
    <s v="Mid Range"/>
    <x v="0"/>
  </r>
  <r>
    <x v="15"/>
    <x v="802"/>
    <x v="540"/>
    <x v="3"/>
    <x v="1"/>
    <n v="4.3"/>
    <n v="28999"/>
    <n v="33999"/>
    <n v="5000"/>
    <n v="0.14706314891614458"/>
    <n v="0.14828097520604158"/>
    <s v="Mid Range"/>
    <x v="0"/>
  </r>
  <r>
    <x v="15"/>
    <x v="803"/>
    <x v="542"/>
    <x v="1"/>
    <x v="1"/>
    <n v="4.2"/>
    <n v="26999"/>
    <n v="31999"/>
    <n v="5000"/>
    <n v="0.15625488296509266"/>
    <n v="0.155561317085818"/>
    <s v="Mid Range"/>
    <x v="0"/>
  </r>
  <r>
    <x v="15"/>
    <x v="804"/>
    <x v="12"/>
    <x v="1"/>
    <x v="0"/>
    <n v="4.3"/>
    <n v="18979"/>
    <n v="18999"/>
    <n v="20"/>
    <n v="1.0526869835254487E-3"/>
    <n v="0.22656620475262132"/>
    <s v="Mid Range"/>
    <x v="0"/>
  </r>
  <r>
    <x v="15"/>
    <x v="804"/>
    <x v="543"/>
    <x v="3"/>
    <x v="1"/>
    <n v="4.3"/>
    <n v="21736"/>
    <n v="22999"/>
    <n v="1263"/>
    <n v="5.4915431105700248E-2"/>
    <n v="0.19782848730217151"/>
    <s v="Mid Range"/>
    <x v="0"/>
  </r>
  <r>
    <x v="15"/>
    <x v="804"/>
    <x v="544"/>
    <x v="1"/>
    <x v="23"/>
    <n v="4.2"/>
    <n v="19119"/>
    <n v="19119"/>
    <n v="0"/>
    <n v="0"/>
    <n v="0.21967676133689001"/>
    <s v="Mid Range"/>
    <x v="0"/>
  </r>
  <r>
    <x v="15"/>
    <x v="804"/>
    <x v="12"/>
    <x v="1"/>
    <x v="24"/>
    <n v="4.2"/>
    <n v="19100"/>
    <n v="19100"/>
    <n v="0"/>
    <n v="0"/>
    <n v="0.21989528795811519"/>
    <s v="Mid Range"/>
    <x v="0"/>
  </r>
  <r>
    <x v="15"/>
    <x v="804"/>
    <x v="543"/>
    <x v="1"/>
    <x v="1"/>
    <n v="4.2"/>
    <n v="18778"/>
    <n v="18990"/>
    <n v="212"/>
    <n v="1.1163770405476567E-2"/>
    <n v="0.22366599211843649"/>
    <s v="Mid Range"/>
    <x v="0"/>
  </r>
  <r>
    <x v="15"/>
    <x v="804"/>
    <x v="544"/>
    <x v="1"/>
    <x v="0"/>
    <n v="4.2"/>
    <n v="18187"/>
    <n v="18990"/>
    <n v="803"/>
    <n v="4.2285413375460768E-2"/>
    <n v="0.23093418375762909"/>
    <s v="Mid Range"/>
    <x v="0"/>
  </r>
  <r>
    <x v="15"/>
    <x v="804"/>
    <x v="12"/>
    <x v="3"/>
    <x v="1"/>
    <n v="4.3"/>
    <n v="22189"/>
    <n v="22189"/>
    <n v="0"/>
    <n v="0"/>
    <n v="0.19378971562485917"/>
    <s v="Mid Range"/>
    <x v="0"/>
  </r>
  <r>
    <x v="15"/>
    <x v="804"/>
    <x v="544"/>
    <x v="3"/>
    <x v="23"/>
    <n v="4.2"/>
    <n v="22163"/>
    <n v="22163"/>
    <n v="0"/>
    <n v="0"/>
    <n v="0.18950503090736814"/>
    <s v="Mid Range"/>
    <x v="0"/>
  </r>
  <r>
    <x v="15"/>
    <x v="805"/>
    <x v="475"/>
    <x v="0"/>
    <x v="0"/>
    <n v="4.3"/>
    <n v="15998"/>
    <n v="15998"/>
    <n v="0"/>
    <n v="0"/>
    <n v="0.26878359794974371"/>
    <s v="Mid Range"/>
    <x v="0"/>
  </r>
  <r>
    <x v="15"/>
    <x v="805"/>
    <x v="475"/>
    <x v="0"/>
    <x v="1"/>
    <n v="4.3"/>
    <n v="14990"/>
    <n v="14990"/>
    <n v="0"/>
    <n v="0"/>
    <n v="0.28685790527018012"/>
    <s v="Budget"/>
    <x v="0"/>
  </r>
  <r>
    <x v="15"/>
    <x v="806"/>
    <x v="286"/>
    <x v="2"/>
    <x v="2"/>
    <n v="4.3"/>
    <n v="8599"/>
    <n v="8999"/>
    <n v="400"/>
    <n v="4.4449383264807199E-2"/>
    <n v="0.50005814629608092"/>
    <s v="Budget"/>
    <x v="0"/>
  </r>
  <r>
    <x v="15"/>
    <x v="807"/>
    <x v="545"/>
    <x v="3"/>
    <x v="1"/>
    <n v="4.4000000000000004"/>
    <n v="27999"/>
    <n v="27999"/>
    <n v="0"/>
    <n v="0"/>
    <n v="0.15714846958819959"/>
    <s v="Mid Range"/>
    <x v="0"/>
  </r>
  <r>
    <x v="15"/>
    <x v="807"/>
    <x v="447"/>
    <x v="1"/>
    <x v="1"/>
    <n v="4.3"/>
    <n v="23990"/>
    <n v="23990"/>
    <n v="0"/>
    <n v="0"/>
    <n v="0.17924135056273446"/>
    <s v="Mid Range"/>
    <x v="0"/>
  </r>
  <r>
    <x v="15"/>
    <x v="807"/>
    <x v="449"/>
    <x v="1"/>
    <x v="1"/>
    <n v="4.3"/>
    <n v="25990"/>
    <n v="25990"/>
    <n v="0"/>
    <n v="0"/>
    <n v="0.16544824932666408"/>
    <s v="Mid Range"/>
    <x v="0"/>
  </r>
  <r>
    <x v="15"/>
    <x v="807"/>
    <x v="447"/>
    <x v="3"/>
    <x v="1"/>
    <n v="4.3"/>
    <n v="25684"/>
    <n v="25684"/>
    <n v="0"/>
    <n v="0"/>
    <n v="0.1674194050770908"/>
    <s v="Mid Range"/>
    <x v="0"/>
  </r>
  <r>
    <x v="15"/>
    <x v="807"/>
    <x v="545"/>
    <x v="1"/>
    <x v="1"/>
    <n v="4.4000000000000004"/>
    <n v="24798"/>
    <n v="24798"/>
    <n v="0"/>
    <n v="0"/>
    <n v="0.17743366400516172"/>
    <s v="Mid Range"/>
    <x v="0"/>
  </r>
  <r>
    <x v="15"/>
    <x v="807"/>
    <x v="448"/>
    <x v="1"/>
    <x v="1"/>
    <n v="4.4000000000000004"/>
    <n v="28999"/>
    <n v="28999"/>
    <n v="0"/>
    <n v="0"/>
    <n v="0.15172936997827513"/>
    <s v="Mid Range"/>
    <x v="0"/>
  </r>
  <r>
    <x v="15"/>
    <x v="806"/>
    <x v="159"/>
    <x v="4"/>
    <x v="2"/>
    <n v="4.3"/>
    <n v="7798"/>
    <n v="7798"/>
    <n v="0"/>
    <n v="0"/>
    <n v="0.5514234419081816"/>
    <s v="Budget"/>
    <x v="0"/>
  </r>
  <r>
    <x v="15"/>
    <x v="806"/>
    <x v="442"/>
    <x v="2"/>
    <x v="2"/>
    <n v="4.3"/>
    <n v="7798"/>
    <n v="7798"/>
    <n v="0"/>
    <n v="0"/>
    <n v="0.5514234419081816"/>
    <s v="Budget"/>
    <x v="0"/>
  </r>
  <r>
    <x v="15"/>
    <x v="807"/>
    <x v="448"/>
    <x v="3"/>
    <x v="1"/>
    <n v="4.4000000000000004"/>
    <n v="23999"/>
    <n v="23999"/>
    <n v="0"/>
    <n v="0"/>
    <n v="0.18334097254052253"/>
    <s v="Mid Range"/>
    <x v="0"/>
  </r>
  <r>
    <x v="15"/>
    <x v="807"/>
    <x v="447"/>
    <x v="3"/>
    <x v="23"/>
    <n v="4.3"/>
    <n v="25999"/>
    <n v="25999"/>
    <n v="0"/>
    <n v="0"/>
    <n v="0.16539097657602217"/>
    <s v="Mid Range"/>
    <x v="0"/>
  </r>
  <r>
    <x v="15"/>
    <x v="807"/>
    <x v="449"/>
    <x v="3"/>
    <x v="24"/>
    <n v="4.3"/>
    <n v="25999"/>
    <n v="25999"/>
    <n v="0"/>
    <n v="0"/>
    <n v="0.16539097657602217"/>
    <s v="Mid Range"/>
    <x v="0"/>
  </r>
  <r>
    <x v="16"/>
    <x v="808"/>
    <x v="546"/>
    <x v="2"/>
    <x v="2"/>
    <n v="4.3"/>
    <n v="8299"/>
    <n v="9999"/>
    <n v="1700"/>
    <n v="0.17001700170017001"/>
    <n v="0.51813471502590669"/>
    <s v="Budget"/>
    <x v="0"/>
  </r>
  <r>
    <x v="16"/>
    <x v="808"/>
    <x v="547"/>
    <x v="2"/>
    <x v="2"/>
    <n v="4.3"/>
    <n v="8299"/>
    <n v="9999"/>
    <n v="1700"/>
    <n v="0.17001700170017001"/>
    <n v="0.51813471502590669"/>
    <s v="Budget"/>
    <x v="0"/>
  </r>
  <r>
    <x v="16"/>
    <x v="808"/>
    <x v="548"/>
    <x v="2"/>
    <x v="2"/>
    <n v="4.3"/>
    <n v="8299"/>
    <n v="9999"/>
    <n v="1700"/>
    <n v="0.17001700170017001"/>
    <n v="0.51813471502590669"/>
    <s v="Budget"/>
    <x v="0"/>
  </r>
  <r>
    <x v="16"/>
    <x v="809"/>
    <x v="549"/>
    <x v="0"/>
    <x v="0"/>
    <n v="4.3"/>
    <n v="10999"/>
    <n v="13999"/>
    <n v="3000"/>
    <n v="0.21430102150153582"/>
    <n v="0.39094463133012086"/>
    <s v="Budget"/>
    <x v="0"/>
  </r>
  <r>
    <x v="16"/>
    <x v="809"/>
    <x v="550"/>
    <x v="0"/>
    <x v="0"/>
    <n v="4.3"/>
    <n v="10999"/>
    <n v="13999"/>
    <n v="3000"/>
    <n v="0.21430102150153582"/>
    <n v="0.39094463133012086"/>
    <s v="Budget"/>
    <x v="0"/>
  </r>
  <r>
    <x v="16"/>
    <x v="810"/>
    <x v="551"/>
    <x v="0"/>
    <x v="0"/>
    <n v="4.4000000000000004"/>
    <n v="9999"/>
    <n v="11999"/>
    <n v="2000"/>
    <n v="0.16668055671305942"/>
    <n v="0.44004400440044006"/>
    <s v="Budget"/>
    <x v="0"/>
  </r>
  <r>
    <x v="16"/>
    <x v="810"/>
    <x v="552"/>
    <x v="0"/>
    <x v="0"/>
    <n v="4.4000000000000004"/>
    <n v="9999"/>
    <n v="11999"/>
    <n v="2000"/>
    <n v="0.16668055671305942"/>
    <n v="0.44004400440044006"/>
    <s v="Budget"/>
    <x v="0"/>
  </r>
  <r>
    <x v="16"/>
    <x v="811"/>
    <x v="548"/>
    <x v="1"/>
    <x v="0"/>
    <n v="4.3"/>
    <n v="10999"/>
    <n v="13999"/>
    <n v="3000"/>
    <n v="0.21430102150153582"/>
    <n v="0.39094463133012086"/>
    <s v="Budget"/>
    <x v="0"/>
  </r>
  <r>
    <x v="16"/>
    <x v="809"/>
    <x v="547"/>
    <x v="0"/>
    <x v="0"/>
    <n v="4.3"/>
    <n v="10999"/>
    <n v="13999"/>
    <n v="3000"/>
    <n v="0.21430102150153582"/>
    <n v="0.39094463133012086"/>
    <s v="Budget"/>
    <x v="0"/>
  </r>
  <r>
    <x v="16"/>
    <x v="812"/>
    <x v="548"/>
    <x v="4"/>
    <x v="2"/>
    <n v="4.3"/>
    <n v="7499"/>
    <n v="8999"/>
    <n v="1500"/>
    <n v="0.166685187243027"/>
    <n v="0.57340978797172948"/>
    <s v="Budget"/>
    <x v="0"/>
  </r>
  <r>
    <x v="16"/>
    <x v="813"/>
    <x v="418"/>
    <x v="4"/>
    <x v="2"/>
    <n v="4.3"/>
    <n v="7499"/>
    <n v="8999"/>
    <n v="1500"/>
    <n v="0.166685187243027"/>
    <n v="0.57340978797172948"/>
    <s v="Budget"/>
    <x v="0"/>
  </r>
  <r>
    <x v="16"/>
    <x v="814"/>
    <x v="59"/>
    <x v="4"/>
    <x v="2"/>
    <n v="4.3"/>
    <n v="7499"/>
    <n v="8999"/>
    <n v="1500"/>
    <n v="0.166685187243027"/>
    <n v="0.57340978797172948"/>
    <s v="Budget"/>
    <x v="0"/>
  </r>
  <r>
    <x v="16"/>
    <x v="815"/>
    <x v="546"/>
    <x v="4"/>
    <x v="2"/>
    <n v="4.3"/>
    <n v="7499"/>
    <n v="8999"/>
    <n v="1500"/>
    <n v="0.166685187243027"/>
    <n v="0.57340978797172948"/>
    <s v="Budget"/>
    <x v="0"/>
  </r>
  <r>
    <x v="16"/>
    <x v="816"/>
    <x v="413"/>
    <x v="1"/>
    <x v="1"/>
    <n v="4.5"/>
    <n v="14499"/>
    <n v="16999"/>
    <n v="2500"/>
    <n v="0.14706747455732691"/>
    <n v="0.31036623215394166"/>
    <s v="Budget"/>
    <x v="0"/>
  </r>
  <r>
    <x v="16"/>
    <x v="817"/>
    <x v="553"/>
    <x v="4"/>
    <x v="2"/>
    <n v="4.4000000000000004"/>
    <n v="7199"/>
    <n v="7999"/>
    <n v="800"/>
    <n v="0.10001250156269534"/>
    <n v="0.61119599944436731"/>
    <s v="Budget"/>
    <x v="0"/>
  </r>
  <r>
    <x v="16"/>
    <x v="817"/>
    <x v="30"/>
    <x v="4"/>
    <x v="2"/>
    <n v="4.4000000000000004"/>
    <n v="7199"/>
    <n v="7999"/>
    <n v="800"/>
    <n v="0.10001250156269534"/>
    <n v="0.61119599944436731"/>
    <s v="Budget"/>
    <x v="0"/>
  </r>
  <r>
    <x v="16"/>
    <x v="817"/>
    <x v="554"/>
    <x v="4"/>
    <x v="2"/>
    <n v="4.4000000000000004"/>
    <n v="7199"/>
    <n v="7999"/>
    <n v="800"/>
    <n v="0.10001250156269534"/>
    <n v="0.61119599944436731"/>
    <s v="Budget"/>
    <x v="0"/>
  </r>
  <r>
    <x v="16"/>
    <x v="818"/>
    <x v="346"/>
    <x v="4"/>
    <x v="2"/>
    <n v="4.3"/>
    <n v="7990"/>
    <n v="7990"/>
    <n v="0"/>
    <n v="0"/>
    <n v="0.53817271589486848"/>
    <s v="Budget"/>
    <x v="0"/>
  </r>
  <r>
    <x v="16"/>
    <x v="809"/>
    <x v="549"/>
    <x v="0"/>
    <x v="1"/>
    <n v="4.3"/>
    <n v="11999"/>
    <n v="14999"/>
    <n v="3000"/>
    <n v="0.20001333422228149"/>
    <n v="0.35836319693307778"/>
    <s v="Budget"/>
    <x v="0"/>
  </r>
  <r>
    <x v="16"/>
    <x v="809"/>
    <x v="550"/>
    <x v="0"/>
    <x v="1"/>
    <n v="4.3"/>
    <n v="11999"/>
    <n v="14999"/>
    <n v="3000"/>
    <n v="0.20001333422228149"/>
    <n v="0.35836319693307778"/>
    <s v="Budget"/>
    <x v="0"/>
  </r>
  <r>
    <x v="16"/>
    <x v="809"/>
    <x v="551"/>
    <x v="0"/>
    <x v="1"/>
    <n v="4.3"/>
    <n v="11999"/>
    <n v="14999"/>
    <n v="3000"/>
    <n v="0.20001333422228149"/>
    <n v="0.35836319693307778"/>
    <s v="Budget"/>
    <x v="0"/>
  </r>
  <r>
    <x v="16"/>
    <x v="811"/>
    <x v="548"/>
    <x v="0"/>
    <x v="0"/>
    <n v="4.3"/>
    <n v="9999"/>
    <n v="12999"/>
    <n v="3000"/>
    <n v="0.23078698361412417"/>
    <n v="0.43004300430043002"/>
    <s v="Budget"/>
    <x v="0"/>
  </r>
  <r>
    <x v="16"/>
    <x v="816"/>
    <x v="555"/>
    <x v="0"/>
    <x v="0"/>
    <n v="4.3"/>
    <n v="12499"/>
    <n v="14999"/>
    <n v="2500"/>
    <n v="0.16667777851856791"/>
    <n v="0.34402752220177613"/>
    <s v="Budget"/>
    <x v="0"/>
  </r>
  <r>
    <x v="16"/>
    <x v="816"/>
    <x v="555"/>
    <x v="1"/>
    <x v="1"/>
    <n v="4.5"/>
    <n v="14499"/>
    <n v="16999"/>
    <n v="2500"/>
    <n v="0.14706747455732691"/>
    <n v="0.31036623215394166"/>
    <s v="Budget"/>
    <x v="0"/>
  </r>
  <r>
    <x v="16"/>
    <x v="819"/>
    <x v="556"/>
    <x v="1"/>
    <x v="0"/>
    <n v="4.3"/>
    <n v="13999"/>
    <n v="16999"/>
    <n v="3000"/>
    <n v="0.17648096946879227"/>
    <n v="0.30716479748553466"/>
    <s v="Budget"/>
    <x v="0"/>
  </r>
  <r>
    <x v="16"/>
    <x v="819"/>
    <x v="557"/>
    <x v="1"/>
    <x v="0"/>
    <n v="4.3"/>
    <n v="13999"/>
    <n v="16999"/>
    <n v="3000"/>
    <n v="0.17648096946879227"/>
    <n v="0.30716479748553466"/>
    <s v="Budget"/>
    <x v="0"/>
  </r>
  <r>
    <x v="16"/>
    <x v="820"/>
    <x v="558"/>
    <x v="1"/>
    <x v="1"/>
    <n v="4.5"/>
    <n v="14999"/>
    <n v="16999"/>
    <n v="2000"/>
    <n v="0.11765397964586152"/>
    <n v="0.30002000133342221"/>
    <s v="Budget"/>
    <x v="0"/>
  </r>
  <r>
    <x v="16"/>
    <x v="821"/>
    <x v="4"/>
    <x v="3"/>
    <x v="3"/>
    <n v="4.2"/>
    <n v="16999"/>
    <n v="19999"/>
    <n v="3000"/>
    <n v="0.15000750037501875"/>
    <n v="0.24707335725630922"/>
    <s v="Mid Range"/>
    <x v="0"/>
  </r>
  <r>
    <x v="16"/>
    <x v="822"/>
    <x v="557"/>
    <x v="3"/>
    <x v="1"/>
    <n v="4.3"/>
    <n v="15999"/>
    <n v="18999"/>
    <n v="3000"/>
    <n v="0.15790304752881731"/>
    <n v="0.26876679792487029"/>
    <s v="Mid Range"/>
    <x v="0"/>
  </r>
  <r>
    <x v="16"/>
    <x v="820"/>
    <x v="558"/>
    <x v="0"/>
    <x v="0"/>
    <n v="4.3"/>
    <n v="12499"/>
    <n v="14999"/>
    <n v="2500"/>
    <n v="0.16667777851856791"/>
    <n v="0.34402752220177613"/>
    <s v="Budget"/>
    <x v="0"/>
  </r>
  <r>
    <x v="16"/>
    <x v="819"/>
    <x v="559"/>
    <x v="1"/>
    <x v="0"/>
    <n v="4.3"/>
    <n v="13999"/>
    <n v="16999"/>
    <n v="3000"/>
    <n v="0.17648096946879227"/>
    <n v="0.30716479748553466"/>
    <s v="Budget"/>
    <x v="0"/>
  </r>
  <r>
    <x v="16"/>
    <x v="816"/>
    <x v="413"/>
    <x v="0"/>
    <x v="0"/>
    <n v="4.3"/>
    <n v="12499"/>
    <n v="14999"/>
    <n v="2500"/>
    <n v="0.16667777851856791"/>
    <n v="0.34402752220177613"/>
    <s v="Budget"/>
    <x v="0"/>
  </r>
  <r>
    <x v="16"/>
    <x v="822"/>
    <x v="556"/>
    <x v="3"/>
    <x v="1"/>
    <n v="4.3"/>
    <n v="15999"/>
    <n v="18999"/>
    <n v="3000"/>
    <n v="0.15790304752881731"/>
    <n v="0.26876679792487029"/>
    <s v="Mid Range"/>
    <x v="0"/>
  </r>
  <r>
    <x v="16"/>
    <x v="821"/>
    <x v="560"/>
    <x v="3"/>
    <x v="3"/>
    <n v="4.2"/>
    <n v="16999"/>
    <n v="19999"/>
    <n v="3000"/>
    <n v="0.15000750037501875"/>
    <n v="0.24707335725630922"/>
    <s v="Mid Range"/>
    <x v="0"/>
  </r>
  <r>
    <x v="16"/>
    <x v="822"/>
    <x v="559"/>
    <x v="3"/>
    <x v="1"/>
    <n v="4.3"/>
    <n v="15999"/>
    <n v="18999"/>
    <n v="3000"/>
    <n v="0.15790304752881731"/>
    <n v="0.26876679792487029"/>
    <s v="Mid Range"/>
    <x v="0"/>
  </r>
  <r>
    <x v="16"/>
    <x v="823"/>
    <x v="553"/>
    <x v="4"/>
    <x v="2"/>
    <n v="4.4000000000000004"/>
    <n v="8999"/>
    <n v="8999"/>
    <n v="0"/>
    <n v="0"/>
    <n v="0.48894321591287931"/>
    <s v="Budget"/>
    <x v="0"/>
  </r>
  <r>
    <x v="16"/>
    <x v="824"/>
    <x v="561"/>
    <x v="2"/>
    <x v="2"/>
    <n v="4.2"/>
    <n v="10999"/>
    <n v="10999"/>
    <n v="0"/>
    <n v="0"/>
    <n v="0.38185289571779252"/>
    <s v="Budget"/>
    <x v="0"/>
  </r>
  <r>
    <x v="16"/>
    <x v="825"/>
    <x v="562"/>
    <x v="4"/>
    <x v="4"/>
    <n v="4.0999999999999996"/>
    <n v="6999"/>
    <n v="6999"/>
    <n v="0"/>
    <n v="0"/>
    <n v="0.58579797113873411"/>
    <s v="Budget"/>
    <x v="0"/>
  </r>
  <r>
    <x v="16"/>
    <x v="825"/>
    <x v="562"/>
    <x v="2"/>
    <x v="2"/>
    <n v="4.0999999999999996"/>
    <n v="7946"/>
    <n v="7999"/>
    <n v="53"/>
    <n v="6.6258282285285661E-3"/>
    <n v="0.5159828844701736"/>
    <s v="Budget"/>
    <x v="0"/>
  </r>
  <r>
    <x v="16"/>
    <x v="826"/>
    <x v="562"/>
    <x v="2"/>
    <x v="2"/>
    <n v="4.3"/>
    <n v="8999"/>
    <n v="8999"/>
    <n v="0"/>
    <n v="0"/>
    <n v="0.47783087009667735"/>
    <s v="Budget"/>
    <x v="0"/>
  </r>
  <r>
    <x v="16"/>
    <x v="824"/>
    <x v="563"/>
    <x v="0"/>
    <x v="0"/>
    <n v="4.2"/>
    <n v="12999"/>
    <n v="12999"/>
    <n v="0"/>
    <n v="0"/>
    <n v="0.32310177705977383"/>
    <s v="Budget"/>
    <x v="0"/>
  </r>
  <r>
    <x v="16"/>
    <x v="827"/>
    <x v="471"/>
    <x v="0"/>
    <x v="0"/>
    <n v="4.5"/>
    <n v="9999"/>
    <n v="9999"/>
    <n v="0"/>
    <n v="0"/>
    <n v="0.45004500450045004"/>
    <s v="Budget"/>
    <x v="0"/>
  </r>
  <r>
    <x v="16"/>
    <x v="828"/>
    <x v="564"/>
    <x v="4"/>
    <x v="2"/>
    <n v="4.2"/>
    <n v="7999"/>
    <n v="7999"/>
    <n v="0"/>
    <n v="0"/>
    <n v="0.52506563320415056"/>
    <s v="Budget"/>
    <x v="0"/>
  </r>
  <r>
    <x v="16"/>
    <x v="829"/>
    <x v="565"/>
    <x v="0"/>
    <x v="0"/>
    <n v="3.9"/>
    <n v="16999"/>
    <n v="16999"/>
    <n v="0"/>
    <n v="0"/>
    <n v="0.22942526030942997"/>
    <s v="Mid Range"/>
    <x v="1"/>
  </r>
  <r>
    <x v="16"/>
    <x v="830"/>
    <x v="460"/>
    <x v="0"/>
    <x v="0"/>
    <n v="4.4000000000000004"/>
    <n v="12999"/>
    <n v="12999"/>
    <n v="0"/>
    <n v="0"/>
    <n v="0.33848757596738216"/>
    <s v="Budget"/>
    <x v="0"/>
  </r>
  <r>
    <x v="16"/>
    <x v="831"/>
    <x v="421"/>
    <x v="2"/>
    <x v="2"/>
    <n v="4.2"/>
    <n v="9999"/>
    <n v="9999"/>
    <n v="0"/>
    <n v="0"/>
    <n v="0.42004200420042004"/>
    <s v="Budget"/>
    <x v="0"/>
  </r>
  <r>
    <x v="16"/>
    <x v="827"/>
    <x v="553"/>
    <x v="0"/>
    <x v="0"/>
    <n v="4.5"/>
    <n v="9999"/>
    <n v="9999"/>
    <n v="0"/>
    <n v="0"/>
    <n v="0.45004500450045004"/>
    <s v="Budget"/>
    <x v="0"/>
  </r>
  <r>
    <x v="16"/>
    <x v="808"/>
    <x v="547"/>
    <x v="0"/>
    <x v="0"/>
    <n v="4.3"/>
    <n v="9299"/>
    <n v="10999"/>
    <n v="1700"/>
    <n v="0.15455950540958269"/>
    <n v="0.46241531347456716"/>
    <s v="Budget"/>
    <x v="0"/>
  </r>
  <r>
    <x v="16"/>
    <x v="811"/>
    <x v="566"/>
    <x v="1"/>
    <x v="0"/>
    <n v="4.3"/>
    <n v="10999"/>
    <n v="13999"/>
    <n v="3000"/>
    <n v="0.21430102150153582"/>
    <n v="0.39094463133012086"/>
    <s v="Budget"/>
    <x v="0"/>
  </r>
  <r>
    <x v="16"/>
    <x v="810"/>
    <x v="552"/>
    <x v="0"/>
    <x v="0"/>
    <n v="4.4000000000000004"/>
    <n v="9999"/>
    <n v="11999"/>
    <n v="2000"/>
    <n v="0.16668055671305942"/>
    <n v="0.44004400440044006"/>
    <s v="Budget"/>
    <x v="0"/>
  </r>
  <r>
    <x v="16"/>
    <x v="809"/>
    <x v="551"/>
    <x v="0"/>
    <x v="0"/>
    <n v="4.3"/>
    <n v="10999"/>
    <n v="13999"/>
    <n v="3000"/>
    <n v="0.21430102150153582"/>
    <n v="0.39094463133012086"/>
    <s v="Budget"/>
    <x v="0"/>
  </r>
  <r>
    <x v="16"/>
    <x v="811"/>
    <x v="566"/>
    <x v="0"/>
    <x v="0"/>
    <n v="4.3"/>
    <n v="9999"/>
    <n v="12999"/>
    <n v="3000"/>
    <n v="0.23078698361412417"/>
    <n v="0.43004300430043002"/>
    <s v="Budget"/>
    <x v="0"/>
  </r>
  <r>
    <x v="16"/>
    <x v="812"/>
    <x v="418"/>
    <x v="4"/>
    <x v="2"/>
    <n v="4.3"/>
    <n v="7499"/>
    <n v="8999"/>
    <n v="1500"/>
    <n v="0.166685187243027"/>
    <n v="0.57340978797172948"/>
    <s v="Budget"/>
    <x v="0"/>
  </r>
  <r>
    <x v="16"/>
    <x v="812"/>
    <x v="59"/>
    <x v="4"/>
    <x v="2"/>
    <n v="4.3"/>
    <n v="7499"/>
    <n v="8999"/>
    <n v="1500"/>
    <n v="0.166685187243027"/>
    <n v="0.57340978797172948"/>
    <s v="Budget"/>
    <x v="0"/>
  </r>
  <r>
    <x v="16"/>
    <x v="812"/>
    <x v="546"/>
    <x v="4"/>
    <x v="2"/>
    <n v="4.3"/>
    <n v="7499"/>
    <n v="8999"/>
    <n v="1500"/>
    <n v="0.166685187243027"/>
    <n v="0.57340978797172948"/>
    <s v="Budget"/>
    <x v="0"/>
  </r>
  <r>
    <x v="16"/>
    <x v="832"/>
    <x v="204"/>
    <x v="0"/>
    <x v="0"/>
    <n v="4.3"/>
    <n v="14999"/>
    <n v="14999"/>
    <n v="0"/>
    <n v="0"/>
    <n v="0.28668577905193682"/>
    <s v="Budget"/>
    <x v="0"/>
  </r>
  <r>
    <x v="16"/>
    <x v="833"/>
    <x v="567"/>
    <x v="3"/>
    <x v="1"/>
    <n v="4.2"/>
    <n v="18999"/>
    <n v="18999"/>
    <n v="0"/>
    <n v="0"/>
    <n v="0.22106426654034425"/>
    <s v="Mid Range"/>
    <x v="0"/>
  </r>
  <r>
    <x v="16"/>
    <x v="830"/>
    <x v="204"/>
    <x v="0"/>
    <x v="0"/>
    <n v="4.4000000000000004"/>
    <n v="12999"/>
    <n v="12999"/>
    <n v="0"/>
    <n v="0"/>
    <n v="0.33848757596738216"/>
    <s v="Budget"/>
    <x v="0"/>
  </r>
  <r>
    <x v="16"/>
    <x v="830"/>
    <x v="279"/>
    <x v="0"/>
    <x v="0"/>
    <n v="4.4000000000000004"/>
    <n v="12999"/>
    <n v="12999"/>
    <n v="0"/>
    <n v="0"/>
    <n v="0.33848757596738216"/>
    <s v="Budget"/>
    <x v="0"/>
  </r>
  <r>
    <x v="16"/>
    <x v="808"/>
    <x v="418"/>
    <x v="2"/>
    <x v="2"/>
    <n v="4.3"/>
    <n v="8299"/>
    <n v="9999"/>
    <n v="1700"/>
    <n v="0.17001700170017001"/>
    <n v="0.51813471502590669"/>
    <s v="Budget"/>
    <x v="0"/>
  </r>
  <r>
    <x v="16"/>
    <x v="808"/>
    <x v="546"/>
    <x v="0"/>
    <x v="0"/>
    <n v="4.3"/>
    <n v="9299"/>
    <n v="10999"/>
    <n v="1700"/>
    <n v="0.15455950540958269"/>
    <n v="0.46241531347456716"/>
    <s v="Budget"/>
    <x v="0"/>
  </r>
  <r>
    <x v="16"/>
    <x v="808"/>
    <x v="548"/>
    <x v="0"/>
    <x v="0"/>
    <n v="4.3"/>
    <n v="9299"/>
    <n v="10999"/>
    <n v="1700"/>
    <n v="0.15455950540958269"/>
    <n v="0.46241531347456716"/>
    <s v="Budget"/>
    <x v="0"/>
  </r>
  <r>
    <x v="16"/>
    <x v="808"/>
    <x v="418"/>
    <x v="0"/>
    <x v="0"/>
    <n v="4.3"/>
    <n v="9299"/>
    <n v="10999"/>
    <n v="1700"/>
    <n v="0.15455950540958269"/>
    <n v="0.46241531347456716"/>
    <s v="Budget"/>
    <x v="0"/>
  </r>
  <r>
    <x v="16"/>
    <x v="810"/>
    <x v="59"/>
    <x v="0"/>
    <x v="0"/>
    <n v="4.4000000000000004"/>
    <n v="9999"/>
    <n v="11999"/>
    <n v="2000"/>
    <n v="0.16668055671305942"/>
    <n v="0.44004400440044006"/>
    <s v="Budget"/>
    <x v="0"/>
  </r>
  <r>
    <x v="16"/>
    <x v="810"/>
    <x v="549"/>
    <x v="0"/>
    <x v="0"/>
    <n v="4.4000000000000004"/>
    <n v="9999"/>
    <n v="11999"/>
    <n v="2000"/>
    <n v="0.16668055671305942"/>
    <n v="0.44004400440044006"/>
    <s v="Budget"/>
    <x v="0"/>
  </r>
  <r>
    <x v="16"/>
    <x v="811"/>
    <x v="59"/>
    <x v="1"/>
    <x v="0"/>
    <n v="4.3"/>
    <n v="10999"/>
    <n v="13999"/>
    <n v="3000"/>
    <n v="0.21430102150153582"/>
    <n v="0.39094463133012086"/>
    <s v="Budget"/>
    <x v="0"/>
  </r>
  <r>
    <x v="16"/>
    <x v="811"/>
    <x v="4"/>
    <x v="1"/>
    <x v="0"/>
    <n v="4.3"/>
    <n v="10999"/>
    <n v="13999"/>
    <n v="3000"/>
    <n v="0.21430102150153582"/>
    <n v="0.39094463133012086"/>
    <s v="Budget"/>
    <x v="0"/>
  </r>
  <r>
    <x v="16"/>
    <x v="811"/>
    <x v="4"/>
    <x v="0"/>
    <x v="0"/>
    <n v="4.3"/>
    <n v="9999"/>
    <n v="12999"/>
    <n v="3000"/>
    <n v="0.23078698361412417"/>
    <n v="0.43004300430043002"/>
    <s v="Budget"/>
    <x v="0"/>
  </r>
  <r>
    <x v="16"/>
    <x v="818"/>
    <x v="568"/>
    <x v="4"/>
    <x v="2"/>
    <n v="4.3"/>
    <n v="7990"/>
    <n v="7990"/>
    <n v="0"/>
    <n v="0"/>
    <n v="0.53817271589486848"/>
    <s v="Budget"/>
    <x v="0"/>
  </r>
  <r>
    <x v="16"/>
    <x v="811"/>
    <x v="59"/>
    <x v="0"/>
    <x v="0"/>
    <n v="4.3"/>
    <n v="9999"/>
    <n v="12999"/>
    <n v="3000"/>
    <n v="0.23078698361412417"/>
    <n v="0.43004300430043002"/>
    <s v="Budget"/>
    <x v="0"/>
  </r>
  <r>
    <x v="16"/>
    <x v="821"/>
    <x v="59"/>
    <x v="3"/>
    <x v="3"/>
    <n v="4.2"/>
    <n v="16999"/>
    <n v="19999"/>
    <n v="3000"/>
    <n v="0.15000750037501875"/>
    <n v="0.24707335725630922"/>
    <s v="Mid Range"/>
    <x v="0"/>
  </r>
  <r>
    <x v="16"/>
    <x v="834"/>
    <x v="418"/>
    <x v="0"/>
    <x v="0"/>
    <n v="4.4000000000000004"/>
    <n v="11999"/>
    <n v="11999"/>
    <n v="0"/>
    <n v="0"/>
    <n v="0.36669722476873073"/>
    <s v="Budget"/>
    <x v="0"/>
  </r>
  <r>
    <x v="16"/>
    <x v="834"/>
    <x v="554"/>
    <x v="0"/>
    <x v="0"/>
    <n v="4.4000000000000004"/>
    <n v="11999"/>
    <n v="11999"/>
    <n v="0"/>
    <n v="0"/>
    <n v="0.36669722476873073"/>
    <s v="Budget"/>
    <x v="0"/>
  </r>
  <r>
    <x v="16"/>
    <x v="834"/>
    <x v="569"/>
    <x v="0"/>
    <x v="0"/>
    <n v="4.4000000000000004"/>
    <n v="11999"/>
    <n v="11999"/>
    <n v="0"/>
    <n v="0"/>
    <n v="0.36669722476873073"/>
    <s v="Budget"/>
    <x v="0"/>
  </r>
  <r>
    <x v="16"/>
    <x v="834"/>
    <x v="570"/>
    <x v="0"/>
    <x v="0"/>
    <n v="4.4000000000000004"/>
    <n v="11999"/>
    <n v="11999"/>
    <n v="0"/>
    <n v="0"/>
    <n v="0.36669722476873073"/>
    <s v="Budget"/>
    <x v="0"/>
  </r>
  <r>
    <x v="16"/>
    <x v="835"/>
    <x v="554"/>
    <x v="2"/>
    <x v="2"/>
    <n v="4.4000000000000004"/>
    <n v="9999"/>
    <n v="9999"/>
    <n v="0"/>
    <n v="0"/>
    <n v="0.44004400440044006"/>
    <s v="Budget"/>
    <x v="0"/>
  </r>
  <r>
    <x v="16"/>
    <x v="835"/>
    <x v="553"/>
    <x v="2"/>
    <x v="2"/>
    <n v="4.4000000000000004"/>
    <n v="9999"/>
    <n v="9999"/>
    <n v="0"/>
    <n v="0"/>
    <n v="0.44004400440044006"/>
    <s v="Budget"/>
    <x v="0"/>
  </r>
  <r>
    <x v="16"/>
    <x v="835"/>
    <x v="279"/>
    <x v="2"/>
    <x v="2"/>
    <n v="4.4000000000000004"/>
    <n v="9999"/>
    <n v="9999"/>
    <n v="0"/>
    <n v="0"/>
    <n v="0.44004400440044006"/>
    <s v="Budget"/>
    <x v="0"/>
  </r>
  <r>
    <x v="16"/>
    <x v="834"/>
    <x v="554"/>
    <x v="1"/>
    <x v="1"/>
    <n v="4.3"/>
    <n v="13999"/>
    <n v="13999"/>
    <n v="0"/>
    <n v="0"/>
    <n v="0.30716479748553466"/>
    <s v="Budget"/>
    <x v="0"/>
  </r>
  <r>
    <x v="16"/>
    <x v="836"/>
    <x v="552"/>
    <x v="0"/>
    <x v="0"/>
    <n v="4.2"/>
    <n v="10999"/>
    <n v="13999"/>
    <n v="3000"/>
    <n v="0.21430102150153582"/>
    <n v="0.38185289571779252"/>
    <s v="Budget"/>
    <x v="0"/>
  </r>
  <r>
    <x v="16"/>
    <x v="837"/>
    <x v="279"/>
    <x v="0"/>
    <x v="0"/>
    <n v="4.4000000000000004"/>
    <n v="11999"/>
    <n v="11999"/>
    <n v="0"/>
    <n v="0"/>
    <n v="0.36669722476873073"/>
    <s v="Budget"/>
    <x v="0"/>
  </r>
  <r>
    <x v="16"/>
    <x v="834"/>
    <x v="418"/>
    <x v="1"/>
    <x v="1"/>
    <n v="4.3"/>
    <n v="13999"/>
    <n v="13999"/>
    <n v="0"/>
    <n v="0"/>
    <n v="0.30716479748553466"/>
    <s v="Budget"/>
    <x v="0"/>
  </r>
  <r>
    <x v="16"/>
    <x v="834"/>
    <x v="569"/>
    <x v="1"/>
    <x v="1"/>
    <n v="4.3"/>
    <n v="13999"/>
    <n v="13999"/>
    <n v="0"/>
    <n v="0"/>
    <n v="0.30716479748553466"/>
    <s v="Budget"/>
    <x v="0"/>
  </r>
  <r>
    <x v="16"/>
    <x v="835"/>
    <x v="30"/>
    <x v="2"/>
    <x v="2"/>
    <n v="4.4000000000000004"/>
    <n v="9999"/>
    <n v="9999"/>
    <n v="0"/>
    <n v="0"/>
    <n v="0.44004400440044006"/>
    <s v="Budget"/>
    <x v="0"/>
  </r>
  <r>
    <x v="16"/>
    <x v="837"/>
    <x v="553"/>
    <x v="0"/>
    <x v="0"/>
    <n v="4.4000000000000004"/>
    <n v="11999"/>
    <n v="11999"/>
    <n v="0"/>
    <n v="0"/>
    <n v="0.36669722476873073"/>
    <s v="Budget"/>
    <x v="0"/>
  </r>
  <r>
    <x v="16"/>
    <x v="836"/>
    <x v="4"/>
    <x v="0"/>
    <x v="0"/>
    <n v="4.2"/>
    <n v="10999"/>
    <n v="13999"/>
    <n v="3000"/>
    <n v="0.21430102150153582"/>
    <n v="0.38185289571779252"/>
    <s v="Budget"/>
    <x v="0"/>
  </r>
  <r>
    <x v="16"/>
    <x v="836"/>
    <x v="59"/>
    <x v="0"/>
    <x v="0"/>
    <n v="4.2"/>
    <n v="10999"/>
    <n v="13999"/>
    <n v="3000"/>
    <n v="0.21430102150153582"/>
    <n v="0.38185289571779252"/>
    <s v="Budget"/>
    <x v="0"/>
  </r>
  <r>
    <x v="16"/>
    <x v="823"/>
    <x v="554"/>
    <x v="4"/>
    <x v="2"/>
    <n v="4.4000000000000004"/>
    <n v="8999"/>
    <n v="8999"/>
    <n v="0"/>
    <n v="0"/>
    <n v="0.48894321591287931"/>
    <s v="Budget"/>
    <x v="0"/>
  </r>
  <r>
    <x v="16"/>
    <x v="823"/>
    <x v="30"/>
    <x v="4"/>
    <x v="2"/>
    <n v="4.4000000000000004"/>
    <n v="8999"/>
    <n v="8999"/>
    <n v="0"/>
    <n v="0"/>
    <n v="0.48894321591287931"/>
    <s v="Budget"/>
    <x v="0"/>
  </r>
  <r>
    <x v="16"/>
    <x v="832"/>
    <x v="571"/>
    <x v="0"/>
    <x v="0"/>
    <n v="4.3"/>
    <n v="14999"/>
    <n v="14999"/>
    <n v="0"/>
    <n v="0"/>
    <n v="0.28668577905193682"/>
    <s v="Budget"/>
    <x v="0"/>
  </r>
  <r>
    <x v="16"/>
    <x v="823"/>
    <x v="279"/>
    <x v="4"/>
    <x v="2"/>
    <n v="4.4000000000000004"/>
    <n v="8999"/>
    <n v="8999"/>
    <n v="0"/>
    <n v="0"/>
    <n v="0.48894321591287931"/>
    <s v="Budget"/>
    <x v="0"/>
  </r>
  <r>
    <x v="16"/>
    <x v="838"/>
    <x v="279"/>
    <x v="0"/>
    <x v="0"/>
    <n v="4.4000000000000004"/>
    <n v="12999"/>
    <n v="12999"/>
    <n v="0"/>
    <n v="0"/>
    <n v="0.33848757596738216"/>
    <s v="Budget"/>
    <x v="0"/>
  </r>
  <r>
    <x v="16"/>
    <x v="836"/>
    <x v="552"/>
    <x v="1"/>
    <x v="1"/>
    <n v="4.2"/>
    <n v="12499"/>
    <n v="14999"/>
    <n v="2500"/>
    <n v="0.16667777851856791"/>
    <n v="0.33602688215057208"/>
    <s v="Budget"/>
    <x v="0"/>
  </r>
  <r>
    <x v="16"/>
    <x v="836"/>
    <x v="59"/>
    <x v="1"/>
    <x v="1"/>
    <n v="4.2"/>
    <n v="12499"/>
    <n v="14999"/>
    <n v="2500"/>
    <n v="0.16667777851856791"/>
    <n v="0.33602688215057208"/>
    <s v="Budget"/>
    <x v="0"/>
  </r>
  <r>
    <x v="16"/>
    <x v="836"/>
    <x v="4"/>
    <x v="1"/>
    <x v="1"/>
    <n v="4.2"/>
    <n v="12499"/>
    <n v="14999"/>
    <n v="2500"/>
    <n v="0.16667777851856791"/>
    <n v="0.33602688215057208"/>
    <s v="Budget"/>
    <x v="0"/>
  </r>
  <r>
    <x v="16"/>
    <x v="838"/>
    <x v="553"/>
    <x v="0"/>
    <x v="0"/>
    <n v="4.4000000000000004"/>
    <n v="12999"/>
    <n v="12999"/>
    <n v="0"/>
    <n v="0"/>
    <n v="0.33848757596738216"/>
    <s v="Budget"/>
    <x v="0"/>
  </r>
  <r>
    <x v="16"/>
    <x v="837"/>
    <x v="554"/>
    <x v="0"/>
    <x v="0"/>
    <n v="4.4000000000000004"/>
    <n v="11999"/>
    <n v="11999"/>
    <n v="0"/>
    <n v="0"/>
    <n v="0.36669722476873073"/>
    <s v="Budget"/>
    <x v="0"/>
  </r>
  <r>
    <x v="16"/>
    <x v="839"/>
    <x v="561"/>
    <x v="2"/>
    <x v="2"/>
    <n v="4.2"/>
    <n v="10999"/>
    <n v="10999"/>
    <n v="0"/>
    <n v="0"/>
    <n v="0.38185289571779252"/>
    <s v="Budget"/>
    <x v="0"/>
  </r>
  <r>
    <x v="16"/>
    <x v="839"/>
    <x v="572"/>
    <x v="2"/>
    <x v="2"/>
    <n v="4.2"/>
    <n v="10999"/>
    <n v="10999"/>
    <n v="0"/>
    <n v="0"/>
    <n v="0.38185289571779252"/>
    <s v="Budget"/>
    <x v="0"/>
  </r>
  <r>
    <x v="16"/>
    <x v="839"/>
    <x v="128"/>
    <x v="2"/>
    <x v="2"/>
    <n v="4.2"/>
    <n v="10999"/>
    <n v="10999"/>
    <n v="0"/>
    <n v="0"/>
    <n v="0.38185289571779252"/>
    <s v="Budget"/>
    <x v="0"/>
  </r>
  <r>
    <x v="16"/>
    <x v="828"/>
    <x v="573"/>
    <x v="4"/>
    <x v="2"/>
    <n v="4.2"/>
    <n v="7999"/>
    <n v="7999"/>
    <n v="0"/>
    <n v="0"/>
    <n v="0.52506563320415056"/>
    <s v="Budget"/>
    <x v="0"/>
  </r>
  <r>
    <x v="16"/>
    <x v="840"/>
    <x v="563"/>
    <x v="2"/>
    <x v="2"/>
    <n v="4.2"/>
    <n v="8999"/>
    <n v="8999"/>
    <n v="0"/>
    <n v="0"/>
    <n v="0.46671852428047561"/>
    <s v="Budget"/>
    <x v="0"/>
  </r>
  <r>
    <x v="16"/>
    <x v="826"/>
    <x v="574"/>
    <x v="2"/>
    <x v="2"/>
    <n v="4.3"/>
    <n v="8999"/>
    <n v="8999"/>
    <n v="0"/>
    <n v="0"/>
    <n v="0.47783087009667735"/>
    <s v="Budget"/>
    <x v="0"/>
  </r>
  <r>
    <x v="16"/>
    <x v="825"/>
    <x v="574"/>
    <x v="2"/>
    <x v="2"/>
    <n v="4.0999999999999996"/>
    <n v="7946"/>
    <n v="7999"/>
    <n v="53"/>
    <n v="6.6258282285285661E-3"/>
    <n v="0.5159828844701736"/>
    <s v="Budget"/>
    <x v="0"/>
  </r>
  <r>
    <x v="16"/>
    <x v="825"/>
    <x v="565"/>
    <x v="2"/>
    <x v="2"/>
    <n v="4.0999999999999996"/>
    <n v="7946"/>
    <n v="7999"/>
    <n v="53"/>
    <n v="6.6258282285285661E-3"/>
    <n v="0.5159828844701736"/>
    <s v="Budget"/>
    <x v="0"/>
  </r>
  <r>
    <x v="16"/>
    <x v="825"/>
    <x v="575"/>
    <x v="2"/>
    <x v="2"/>
    <n v="4.0999999999999996"/>
    <n v="7946"/>
    <n v="7999"/>
    <n v="53"/>
    <n v="6.6258282285285661E-3"/>
    <n v="0.5159828844701736"/>
    <s v="Budget"/>
    <x v="0"/>
  </r>
  <r>
    <x v="16"/>
    <x v="841"/>
    <x v="576"/>
    <x v="0"/>
    <x v="0"/>
    <n v="4.0999999999999996"/>
    <n v="11999"/>
    <n v="11999"/>
    <n v="0"/>
    <n v="0"/>
    <n v="0.34169514126177181"/>
    <s v="Budget"/>
    <x v="0"/>
  </r>
  <r>
    <x v="16"/>
    <x v="842"/>
    <x v="279"/>
    <x v="0"/>
    <x v="0"/>
    <n v="4.3"/>
    <n v="9999"/>
    <n v="9999"/>
    <n v="0"/>
    <n v="0"/>
    <n v="0.43004300430043002"/>
    <s v="Budget"/>
    <x v="0"/>
  </r>
  <r>
    <x v="16"/>
    <x v="826"/>
    <x v="577"/>
    <x v="2"/>
    <x v="2"/>
    <n v="4.3"/>
    <n v="8999"/>
    <n v="8999"/>
    <n v="0"/>
    <n v="0"/>
    <n v="0.47783087009667735"/>
    <s v="Budget"/>
    <x v="0"/>
  </r>
  <r>
    <x v="16"/>
    <x v="826"/>
    <x v="565"/>
    <x v="2"/>
    <x v="2"/>
    <n v="4.3"/>
    <n v="8999"/>
    <n v="8999"/>
    <n v="0"/>
    <n v="0"/>
    <n v="0.47783087009667735"/>
    <s v="Budget"/>
    <x v="0"/>
  </r>
  <r>
    <x v="16"/>
    <x v="827"/>
    <x v="578"/>
    <x v="0"/>
    <x v="0"/>
    <n v="4.5"/>
    <n v="9999"/>
    <n v="9999"/>
    <n v="0"/>
    <n v="0"/>
    <n v="0.45004500450045004"/>
    <s v="Budget"/>
    <x v="0"/>
  </r>
  <r>
    <x v="16"/>
    <x v="843"/>
    <x v="579"/>
    <x v="2"/>
    <x v="4"/>
    <n v="4"/>
    <n v="7499"/>
    <n v="7499"/>
    <n v="0"/>
    <n v="0"/>
    <n v="0.53340445392719038"/>
    <s v="Budget"/>
    <x v="1"/>
  </r>
  <r>
    <x v="16"/>
    <x v="843"/>
    <x v="577"/>
    <x v="2"/>
    <x v="4"/>
    <n v="4"/>
    <n v="7499"/>
    <n v="7499"/>
    <n v="0"/>
    <n v="0"/>
    <n v="0.53340445392719038"/>
    <s v="Budget"/>
    <x v="1"/>
  </r>
  <r>
    <x v="16"/>
    <x v="842"/>
    <x v="553"/>
    <x v="0"/>
    <x v="0"/>
    <n v="4.3"/>
    <n v="9999"/>
    <n v="9999"/>
    <n v="0"/>
    <n v="0"/>
    <n v="0.43004300430043002"/>
    <s v="Budget"/>
    <x v="0"/>
  </r>
  <r>
    <x v="16"/>
    <x v="842"/>
    <x v="30"/>
    <x v="0"/>
    <x v="0"/>
    <n v="4.3"/>
    <n v="9999"/>
    <n v="9999"/>
    <n v="0"/>
    <n v="0"/>
    <n v="0.43004300430043002"/>
    <s v="Budget"/>
    <x v="0"/>
  </r>
  <r>
    <x v="16"/>
    <x v="824"/>
    <x v="561"/>
    <x v="0"/>
    <x v="0"/>
    <n v="4.2"/>
    <n v="12999"/>
    <n v="12999"/>
    <n v="0"/>
    <n v="0"/>
    <n v="0.32310177705977383"/>
    <s v="Budget"/>
    <x v="0"/>
  </r>
  <r>
    <x v="16"/>
    <x v="841"/>
    <x v="568"/>
    <x v="0"/>
    <x v="0"/>
    <n v="4.0999999999999996"/>
    <n v="11999"/>
    <n v="11999"/>
    <n v="0"/>
    <n v="0"/>
    <n v="0.34169514126177181"/>
    <s v="Budget"/>
    <x v="0"/>
  </r>
  <r>
    <x v="16"/>
    <x v="841"/>
    <x v="565"/>
    <x v="2"/>
    <x v="2"/>
    <n v="4.2"/>
    <n v="9999"/>
    <n v="9999"/>
    <n v="0"/>
    <n v="0"/>
    <n v="0.42004200420042004"/>
    <s v="Budget"/>
    <x v="0"/>
  </r>
  <r>
    <x v="16"/>
    <x v="843"/>
    <x v="565"/>
    <x v="2"/>
    <x v="4"/>
    <n v="4"/>
    <n v="7499"/>
    <n v="7499"/>
    <n v="0"/>
    <n v="0"/>
    <n v="0.53340445392719038"/>
    <s v="Budget"/>
    <x v="1"/>
  </r>
  <r>
    <x v="16"/>
    <x v="844"/>
    <x v="279"/>
    <x v="0"/>
    <x v="0"/>
    <n v="4.3"/>
    <n v="10999"/>
    <n v="10999"/>
    <n v="0"/>
    <n v="0"/>
    <n v="0.39094463133012086"/>
    <s v="Budget"/>
    <x v="0"/>
  </r>
  <r>
    <x v="16"/>
    <x v="841"/>
    <x v="568"/>
    <x v="2"/>
    <x v="2"/>
    <n v="4.2"/>
    <n v="9999"/>
    <n v="9999"/>
    <n v="0"/>
    <n v="0"/>
    <n v="0.42004200420042004"/>
    <s v="Budget"/>
    <x v="0"/>
  </r>
  <r>
    <x v="16"/>
    <x v="841"/>
    <x v="576"/>
    <x v="2"/>
    <x v="2"/>
    <n v="4.2"/>
    <n v="9999"/>
    <n v="9999"/>
    <n v="0"/>
    <n v="0"/>
    <n v="0.42004200420042004"/>
    <s v="Budget"/>
    <x v="0"/>
  </r>
  <r>
    <x v="16"/>
    <x v="825"/>
    <x v="565"/>
    <x v="4"/>
    <x v="4"/>
    <n v="4.0999999999999996"/>
    <n v="6999"/>
    <n v="6999"/>
    <n v="0"/>
    <n v="0"/>
    <n v="0.58579797113873411"/>
    <s v="Budget"/>
    <x v="0"/>
  </r>
  <r>
    <x v="16"/>
    <x v="829"/>
    <x v="580"/>
    <x v="0"/>
    <x v="0"/>
    <n v="3.9"/>
    <n v="16999"/>
    <n v="16999"/>
    <n v="0"/>
    <n v="0"/>
    <n v="0.22942526030942997"/>
    <s v="Mid Range"/>
    <x v="1"/>
  </r>
  <r>
    <x v="16"/>
    <x v="828"/>
    <x v="30"/>
    <x v="4"/>
    <x v="2"/>
    <n v="4.2"/>
    <n v="7999"/>
    <n v="7999"/>
    <n v="0"/>
    <n v="0"/>
    <n v="0.52506563320415056"/>
    <s v="Budget"/>
    <x v="0"/>
  </r>
  <r>
    <x v="16"/>
    <x v="824"/>
    <x v="563"/>
    <x v="2"/>
    <x v="2"/>
    <n v="4.2"/>
    <n v="10399"/>
    <n v="10399"/>
    <n v="0"/>
    <n v="0"/>
    <n v="0.40388498894124436"/>
    <s v="Budget"/>
    <x v="0"/>
  </r>
  <r>
    <x v="16"/>
    <x v="838"/>
    <x v="554"/>
    <x v="0"/>
    <x v="0"/>
    <n v="4.4000000000000004"/>
    <n v="12999"/>
    <n v="12999"/>
    <n v="0"/>
    <n v="0"/>
    <n v="0.33848757596738216"/>
    <s v="Budget"/>
    <x v="0"/>
  </r>
  <r>
    <x v="16"/>
    <x v="844"/>
    <x v="553"/>
    <x v="0"/>
    <x v="0"/>
    <n v="4.3"/>
    <n v="10999"/>
    <n v="10999"/>
    <n v="0"/>
    <n v="0"/>
    <n v="0.39094463133012086"/>
    <s v="Budget"/>
    <x v="0"/>
  </r>
  <r>
    <x v="16"/>
    <x v="841"/>
    <x v="562"/>
    <x v="2"/>
    <x v="2"/>
    <n v="4.2"/>
    <n v="9999"/>
    <n v="9999"/>
    <n v="0"/>
    <n v="0"/>
    <n v="0.42004200420042004"/>
    <s v="Budget"/>
    <x v="0"/>
  </r>
  <r>
    <x v="16"/>
    <x v="845"/>
    <x v="128"/>
    <x v="0"/>
    <x v="0"/>
    <n v="4.2"/>
    <n v="9999"/>
    <n v="9999"/>
    <n v="0"/>
    <n v="0"/>
    <n v="0.42004200420042004"/>
    <s v="Budget"/>
    <x v="0"/>
  </r>
  <r>
    <x v="16"/>
    <x v="825"/>
    <x v="574"/>
    <x v="4"/>
    <x v="4"/>
    <n v="4.0999999999999996"/>
    <n v="6949"/>
    <n v="6999"/>
    <n v="50"/>
    <n v="7.1438776968138305E-3"/>
    <n v="0.5900129515038135"/>
    <s v="Budget"/>
    <x v="0"/>
  </r>
  <r>
    <x v="16"/>
    <x v="825"/>
    <x v="575"/>
    <x v="4"/>
    <x v="4"/>
    <n v="4.0999999999999996"/>
    <n v="6949"/>
    <n v="6999"/>
    <n v="50"/>
    <n v="7.1438776968138305E-3"/>
    <n v="0.5900129515038135"/>
    <s v="Budget"/>
    <x v="0"/>
  </r>
  <r>
    <x v="16"/>
    <x v="831"/>
    <x v="257"/>
    <x v="2"/>
    <x v="2"/>
    <n v="4.2"/>
    <n v="9999"/>
    <n v="9999"/>
    <n v="0"/>
    <n v="0"/>
    <n v="0.42004200420042004"/>
    <s v="Budget"/>
    <x v="0"/>
  </r>
  <r>
    <x v="16"/>
    <x v="833"/>
    <x v="581"/>
    <x v="3"/>
    <x v="1"/>
    <n v="4.2"/>
    <n v="18999"/>
    <n v="18999"/>
    <n v="0"/>
    <n v="0"/>
    <n v="0.22106426654034425"/>
    <s v="Mid Range"/>
    <x v="0"/>
  </r>
  <r>
    <x v="16"/>
    <x v="846"/>
    <x v="565"/>
    <x v="1"/>
    <x v="0"/>
    <n v="4.3"/>
    <n v="17999"/>
    <n v="17999"/>
    <n v="0"/>
    <n v="0"/>
    <n v="0.23890216123117949"/>
    <s v="Mid Range"/>
    <x v="0"/>
  </r>
  <r>
    <x v="16"/>
    <x v="824"/>
    <x v="582"/>
    <x v="0"/>
    <x v="0"/>
    <n v="4.2"/>
    <n v="12999"/>
    <n v="12999"/>
    <n v="0"/>
    <n v="0"/>
    <n v="0.32310177705977383"/>
    <s v="Budget"/>
    <x v="0"/>
  </r>
  <r>
    <x v="16"/>
    <x v="831"/>
    <x v="583"/>
    <x v="0"/>
    <x v="0"/>
    <n v="4.3"/>
    <n v="10999"/>
    <n v="10999"/>
    <n v="0"/>
    <n v="0"/>
    <n v="0.39094463133012086"/>
    <s v="Budget"/>
    <x v="0"/>
  </r>
  <r>
    <x v="16"/>
    <x v="831"/>
    <x v="421"/>
    <x v="0"/>
    <x v="0"/>
    <n v="4.3"/>
    <n v="10999"/>
    <n v="10999"/>
    <n v="0"/>
    <n v="0"/>
    <n v="0.39094463133012086"/>
    <s v="Budget"/>
    <x v="0"/>
  </r>
  <r>
    <x v="16"/>
    <x v="840"/>
    <x v="219"/>
    <x v="2"/>
    <x v="2"/>
    <n v="4.2"/>
    <n v="8999"/>
    <n v="8999"/>
    <n v="0"/>
    <n v="0"/>
    <n v="0.46671852428047561"/>
    <s v="Budget"/>
    <x v="0"/>
  </r>
  <r>
    <x v="16"/>
    <x v="832"/>
    <x v="584"/>
    <x v="0"/>
    <x v="0"/>
    <n v="4.3"/>
    <n v="14999"/>
    <n v="14999"/>
    <n v="0"/>
    <n v="0"/>
    <n v="0.28668577905193682"/>
    <s v="Budget"/>
    <x v="0"/>
  </r>
  <r>
    <x v="16"/>
    <x v="841"/>
    <x v="562"/>
    <x v="0"/>
    <x v="0"/>
    <n v="4.0999999999999996"/>
    <n v="11999"/>
    <n v="11999"/>
    <n v="0"/>
    <n v="0"/>
    <n v="0.34169514126177181"/>
    <s v="Budget"/>
    <x v="0"/>
  </r>
  <r>
    <x v="16"/>
    <x v="847"/>
    <x v="585"/>
    <x v="1"/>
    <x v="1"/>
    <n v="4.3"/>
    <n v="19999"/>
    <n v="19999"/>
    <n v="0"/>
    <n v="0"/>
    <n v="0.21501075053752686"/>
    <s v="Mid Range"/>
    <x v="0"/>
  </r>
  <r>
    <x v="16"/>
    <x v="840"/>
    <x v="561"/>
    <x v="2"/>
    <x v="2"/>
    <n v="4.2"/>
    <n v="8999"/>
    <n v="8999"/>
    <n v="0"/>
    <n v="0"/>
    <n v="0.46671852428047561"/>
    <s v="Budget"/>
    <x v="0"/>
  </r>
  <r>
    <x v="16"/>
    <x v="831"/>
    <x v="583"/>
    <x v="2"/>
    <x v="2"/>
    <n v="4.2"/>
    <n v="9999"/>
    <n v="9999"/>
    <n v="0"/>
    <n v="0"/>
    <n v="0.42004200420042004"/>
    <s v="Budget"/>
    <x v="0"/>
  </r>
  <r>
    <x v="16"/>
    <x v="848"/>
    <x v="30"/>
    <x v="1"/>
    <x v="0"/>
    <n v="4.2"/>
    <n v="10999"/>
    <n v="10999"/>
    <n v="0"/>
    <n v="0"/>
    <n v="0.38185289571779252"/>
    <s v="Budget"/>
    <x v="0"/>
  </r>
  <r>
    <x v="16"/>
    <x v="848"/>
    <x v="128"/>
    <x v="1"/>
    <x v="0"/>
    <n v="4.2"/>
    <n v="10999"/>
    <n v="10999"/>
    <n v="0"/>
    <n v="0"/>
    <n v="0.38185289571779252"/>
    <s v="Budget"/>
    <x v="0"/>
  </r>
  <r>
    <x v="16"/>
    <x v="848"/>
    <x v="573"/>
    <x v="1"/>
    <x v="0"/>
    <n v="4.2"/>
    <n v="10999"/>
    <n v="10999"/>
    <n v="0"/>
    <n v="0"/>
    <n v="0.38185289571779252"/>
    <s v="Budget"/>
    <x v="0"/>
  </r>
  <r>
    <x v="16"/>
    <x v="845"/>
    <x v="573"/>
    <x v="0"/>
    <x v="0"/>
    <n v="4.2"/>
    <n v="9999"/>
    <n v="9999"/>
    <n v="0"/>
    <n v="0"/>
    <n v="0.42004200420042004"/>
    <s v="Budget"/>
    <x v="0"/>
  </r>
  <r>
    <x v="16"/>
    <x v="846"/>
    <x v="562"/>
    <x v="1"/>
    <x v="0"/>
    <n v="4.3"/>
    <n v="17999"/>
    <n v="17999"/>
    <n v="0"/>
    <n v="0"/>
    <n v="0.23890216123117949"/>
    <s v="Mid Range"/>
    <x v="0"/>
  </r>
  <r>
    <x v="16"/>
    <x v="846"/>
    <x v="219"/>
    <x v="1"/>
    <x v="0"/>
    <n v="4.3"/>
    <n v="17999"/>
    <n v="17999"/>
    <n v="0"/>
    <n v="0"/>
    <n v="0.23890216123117949"/>
    <s v="Mid Range"/>
    <x v="0"/>
  </r>
  <r>
    <x v="16"/>
    <x v="831"/>
    <x v="257"/>
    <x v="0"/>
    <x v="0"/>
    <n v="4.3"/>
    <n v="10999"/>
    <n v="10999"/>
    <n v="0"/>
    <n v="0"/>
    <n v="0.39094463133012086"/>
    <s v="Budget"/>
    <x v="0"/>
  </r>
  <r>
    <x v="0"/>
    <x v="849"/>
    <x v="586"/>
    <x v="5"/>
    <x v="3"/>
    <n v="4.2"/>
    <n v="39999"/>
    <n v="47990"/>
    <n v="7991"/>
    <n v="0.16651385705355282"/>
    <n v="0.10500262506562665"/>
    <s v="Mid Range"/>
    <x v="0"/>
  </r>
  <r>
    <x v="15"/>
    <x v="803"/>
    <x v="542"/>
    <x v="3"/>
    <x v="1"/>
    <n v="4.3"/>
    <n v="28999"/>
    <n v="33999"/>
    <n v="5000"/>
    <n v="0.14706314891614458"/>
    <n v="0.14828097520604158"/>
    <s v="Mid Range"/>
    <x v="0"/>
  </r>
  <r>
    <x v="13"/>
    <x v="850"/>
    <x v="214"/>
    <x v="2"/>
    <x v="2"/>
    <n v="4.4000000000000004"/>
    <n v="7999"/>
    <n v="10999"/>
    <n v="3000"/>
    <n v="0.27275206836985183"/>
    <n v="0.55006875859482429"/>
    <s v="Budget"/>
    <x v="0"/>
  </r>
  <r>
    <x v="13"/>
    <x v="850"/>
    <x v="587"/>
    <x v="2"/>
    <x v="2"/>
    <n v="4.4000000000000004"/>
    <n v="7999"/>
    <n v="10999"/>
    <n v="3000"/>
    <n v="0.27275206836985183"/>
    <n v="0.55006875859482429"/>
    <s v="Budget"/>
    <x v="0"/>
  </r>
  <r>
    <x v="13"/>
    <x v="850"/>
    <x v="214"/>
    <x v="0"/>
    <x v="0"/>
    <n v="4.4000000000000004"/>
    <n v="8999"/>
    <n v="11999"/>
    <n v="3000"/>
    <n v="0.25002083506958911"/>
    <n v="0.48894321591287931"/>
    <s v="Budget"/>
    <x v="0"/>
  </r>
  <r>
    <x v="13"/>
    <x v="850"/>
    <x v="587"/>
    <x v="0"/>
    <x v="0"/>
    <n v="4.4000000000000004"/>
    <n v="8999"/>
    <n v="11999"/>
    <n v="3000"/>
    <n v="0.25002083506958911"/>
    <n v="0.48894321591287931"/>
    <s v="Budget"/>
    <x v="0"/>
  </r>
  <r>
    <x v="14"/>
    <x v="770"/>
    <x v="422"/>
    <x v="0"/>
    <x v="0"/>
    <n v="4.0999999999999996"/>
    <n v="14449"/>
    <n v="14449"/>
    <n v="0"/>
    <n v="0"/>
    <n v="0.28375666136064776"/>
    <s v="Budget"/>
    <x v="0"/>
  </r>
  <r>
    <x v="0"/>
    <x v="851"/>
    <x v="5"/>
    <x v="2"/>
    <x v="2"/>
    <n v="4.0999999999999996"/>
    <n v="10490"/>
    <n v="10490"/>
    <n v="0"/>
    <n v="0"/>
    <n v="0.39084842707340317"/>
    <s v="Budget"/>
    <x v="0"/>
  </r>
  <r>
    <x v="0"/>
    <x v="851"/>
    <x v="75"/>
    <x v="2"/>
    <x v="2"/>
    <n v="4.0999999999999996"/>
    <n v="10490"/>
    <n v="10490"/>
    <n v="0"/>
    <n v="0"/>
    <n v="0.39084842707340317"/>
    <s v="Budget"/>
    <x v="0"/>
  </r>
  <r>
    <x v="0"/>
    <x v="851"/>
    <x v="4"/>
    <x v="2"/>
    <x v="2"/>
    <n v="4.0999999999999996"/>
    <n v="10490"/>
    <n v="10490"/>
    <n v="0"/>
    <n v="0"/>
    <n v="0.39084842707340317"/>
    <s v="Budget"/>
    <x v="0"/>
  </r>
  <r>
    <x v="0"/>
    <x v="758"/>
    <x v="588"/>
    <x v="0"/>
    <x v="0"/>
    <n v="4.3"/>
    <n v="13490"/>
    <n v="13490"/>
    <n v="0"/>
    <n v="0"/>
    <n v="0.31875463306152707"/>
    <s v="Budget"/>
    <x v="0"/>
  </r>
  <r>
    <x v="0"/>
    <x v="759"/>
    <x v="158"/>
    <x v="1"/>
    <x v="1"/>
    <n v="4.0999999999999996"/>
    <n v="17790"/>
    <n v="17790"/>
    <n v="0"/>
    <n v="0"/>
    <n v="0.23046655424395726"/>
    <s v="Mid Range"/>
    <x v="0"/>
  </r>
  <r>
    <x v="9"/>
    <x v="852"/>
    <x v="66"/>
    <x v="15"/>
    <x v="7"/>
    <n v="4.7"/>
    <n v="104900"/>
    <n v="109900"/>
    <n v="5000"/>
    <n v="4.5495905368516831E-2"/>
    <n v="4.4804575786463303E-2"/>
    <s v="Premium"/>
    <x v="2"/>
  </r>
  <r>
    <x v="9"/>
    <x v="853"/>
    <x v="589"/>
    <x v="15"/>
    <x v="3"/>
    <n v="4.7"/>
    <n v="139900"/>
    <n v="139900"/>
    <n v="0"/>
    <n v="0"/>
    <n v="3.3595425303788423E-2"/>
    <s v="Premium"/>
    <x v="2"/>
  </r>
  <r>
    <x v="9"/>
    <x v="853"/>
    <x v="589"/>
    <x v="15"/>
    <x v="21"/>
    <n v="4.7"/>
    <n v="169900"/>
    <n v="169900"/>
    <n v="0"/>
    <n v="0"/>
    <n v="2.7663331371394938E-2"/>
    <s v="Premium"/>
    <x v="2"/>
  </r>
  <r>
    <x v="9"/>
    <x v="853"/>
    <x v="589"/>
    <x v="15"/>
    <x v="7"/>
    <n v="4.7"/>
    <n v="159900"/>
    <n v="159900"/>
    <n v="0"/>
    <n v="0"/>
    <n v="2.9393370856785492E-2"/>
    <s v="Premium"/>
    <x v="2"/>
  </r>
  <r>
    <x v="9"/>
    <x v="854"/>
    <x v="589"/>
    <x v="15"/>
    <x v="7"/>
    <n v="4.7"/>
    <n v="149900"/>
    <n v="149900"/>
    <n v="0"/>
    <n v="0"/>
    <n v="3.1354236157438299E-2"/>
    <s v="Premium"/>
    <x v="2"/>
  </r>
  <r>
    <x v="9"/>
    <x v="855"/>
    <x v="66"/>
    <x v="15"/>
    <x v="1"/>
    <n v="4.5999999999999996"/>
    <n v="64900"/>
    <n v="69900"/>
    <n v="5000"/>
    <n v="7.1530758226037203E-2"/>
    <n v="7.0878274268104779E-2"/>
    <s v="Premium"/>
    <x v="2"/>
  </r>
  <r>
    <x v="9"/>
    <x v="853"/>
    <x v="589"/>
    <x v="15"/>
    <x v="1"/>
    <n v="4.5"/>
    <n v="119900"/>
    <n v="119900"/>
    <n v="0"/>
    <n v="0"/>
    <n v="3.753127606338616E-2"/>
    <s v="Premium"/>
    <x v="0"/>
  </r>
  <r>
    <x v="9"/>
    <x v="855"/>
    <x v="66"/>
    <x v="15"/>
    <x v="7"/>
    <n v="4.5999999999999996"/>
    <n v="94900"/>
    <n v="99900"/>
    <n v="5000"/>
    <n v="5.0050050050050053E-2"/>
    <n v="4.8472075869336141E-2"/>
    <s v="Premium"/>
    <x v="2"/>
  </r>
  <r>
    <x v="9"/>
    <x v="853"/>
    <x v="82"/>
    <x v="15"/>
    <x v="21"/>
    <n v="4.7"/>
    <n v="179900"/>
    <n v="179900"/>
    <n v="0"/>
    <n v="0"/>
    <n v="2.6125625347415235E-2"/>
    <s v="Premium"/>
    <x v="2"/>
  </r>
  <r>
    <x v="9"/>
    <x v="853"/>
    <x v="590"/>
    <x v="15"/>
    <x v="3"/>
    <n v="4.7"/>
    <n v="139900"/>
    <n v="139900"/>
    <n v="0"/>
    <n v="0"/>
    <n v="3.3595425303788423E-2"/>
    <s v="Premium"/>
    <x v="2"/>
  </r>
  <r>
    <x v="9"/>
    <x v="853"/>
    <x v="57"/>
    <x v="15"/>
    <x v="3"/>
    <n v="4.7"/>
    <n v="139900"/>
    <n v="139900"/>
    <n v="0"/>
    <n v="0"/>
    <n v="3.3595425303788423E-2"/>
    <s v="Premium"/>
    <x v="2"/>
  </r>
  <r>
    <x v="9"/>
    <x v="853"/>
    <x v="82"/>
    <x v="15"/>
    <x v="7"/>
    <n v="4.7"/>
    <n v="159900"/>
    <n v="159900"/>
    <n v="0"/>
    <n v="0"/>
    <n v="2.9393370856785492E-2"/>
    <s v="Premium"/>
    <x v="2"/>
  </r>
  <r>
    <x v="9"/>
    <x v="853"/>
    <x v="256"/>
    <x v="15"/>
    <x v="7"/>
    <n v="4.7"/>
    <n v="159900"/>
    <n v="159900"/>
    <n v="0"/>
    <n v="0"/>
    <n v="2.9393370856785492E-2"/>
    <s v="Premium"/>
    <x v="2"/>
  </r>
  <r>
    <x v="9"/>
    <x v="853"/>
    <x v="82"/>
    <x v="15"/>
    <x v="1"/>
    <n v="4.7"/>
    <n v="129900"/>
    <n v="129900"/>
    <n v="0"/>
    <n v="0"/>
    <n v="3.6181678214010783E-2"/>
    <s v="Premium"/>
    <x v="2"/>
  </r>
  <r>
    <x v="9"/>
    <x v="853"/>
    <x v="57"/>
    <x v="15"/>
    <x v="1"/>
    <n v="4.7"/>
    <n v="129900"/>
    <n v="129900"/>
    <n v="0"/>
    <n v="0"/>
    <n v="3.6181678214010783E-2"/>
    <s v="Premium"/>
    <x v="2"/>
  </r>
  <r>
    <x v="9"/>
    <x v="853"/>
    <x v="57"/>
    <x v="15"/>
    <x v="21"/>
    <n v="4.7"/>
    <n v="179900"/>
    <n v="179900"/>
    <n v="0"/>
    <n v="0"/>
    <n v="2.6125625347415235E-2"/>
    <s v="Premium"/>
    <x v="2"/>
  </r>
  <r>
    <x v="9"/>
    <x v="853"/>
    <x v="256"/>
    <x v="15"/>
    <x v="1"/>
    <n v="4.7"/>
    <n v="129900"/>
    <n v="129900"/>
    <n v="0"/>
    <n v="0"/>
    <n v="3.6181678214010783E-2"/>
    <s v="Premium"/>
    <x v="2"/>
  </r>
  <r>
    <x v="9"/>
    <x v="853"/>
    <x v="256"/>
    <x v="15"/>
    <x v="3"/>
    <n v="4.7"/>
    <n v="139900"/>
    <n v="139900"/>
    <n v="0"/>
    <n v="0"/>
    <n v="3.3595425303788423E-2"/>
    <s v="Premium"/>
    <x v="2"/>
  </r>
  <r>
    <x v="9"/>
    <x v="853"/>
    <x v="82"/>
    <x v="15"/>
    <x v="3"/>
    <n v="4.7"/>
    <n v="139900"/>
    <n v="139900"/>
    <n v="0"/>
    <n v="0"/>
    <n v="3.3595425303788423E-2"/>
    <s v="Premium"/>
    <x v="2"/>
  </r>
  <r>
    <x v="9"/>
    <x v="853"/>
    <x v="590"/>
    <x v="15"/>
    <x v="7"/>
    <n v="4.7"/>
    <n v="159900"/>
    <n v="159900"/>
    <n v="0"/>
    <n v="0"/>
    <n v="2.9393370856785492E-2"/>
    <s v="Premium"/>
    <x v="2"/>
  </r>
  <r>
    <x v="9"/>
    <x v="853"/>
    <x v="57"/>
    <x v="15"/>
    <x v="7"/>
    <n v="4.7"/>
    <n v="159900"/>
    <n v="159900"/>
    <n v="0"/>
    <n v="0"/>
    <n v="2.9393370856785492E-2"/>
    <s v="Premium"/>
    <x v="2"/>
  </r>
  <r>
    <x v="9"/>
    <x v="853"/>
    <x v="256"/>
    <x v="15"/>
    <x v="21"/>
    <n v="4.7"/>
    <n v="179900"/>
    <n v="179900"/>
    <n v="0"/>
    <n v="0"/>
    <n v="2.6125625347415235E-2"/>
    <s v="Premium"/>
    <x v="2"/>
  </r>
  <r>
    <x v="9"/>
    <x v="853"/>
    <x v="590"/>
    <x v="15"/>
    <x v="21"/>
    <n v="4.7"/>
    <n v="179900"/>
    <n v="179900"/>
    <n v="0"/>
    <n v="0"/>
    <n v="2.6125625347415235E-2"/>
    <s v="Premium"/>
    <x v="2"/>
  </r>
  <r>
    <x v="14"/>
    <x v="856"/>
    <x v="591"/>
    <x v="3"/>
    <x v="1"/>
    <n v="4.3"/>
    <n v="21990"/>
    <n v="21990"/>
    <n v="0"/>
    <n v="0"/>
    <n v="0.19554342883128695"/>
    <s v="Mid Range"/>
    <x v="0"/>
  </r>
  <r>
    <x v="14"/>
    <x v="856"/>
    <x v="592"/>
    <x v="3"/>
    <x v="1"/>
    <n v="4.3"/>
    <n v="22490"/>
    <n v="22490"/>
    <n v="0"/>
    <n v="0"/>
    <n v="0.19119608714984437"/>
    <s v="Mid Range"/>
    <x v="0"/>
  </r>
  <r>
    <x v="6"/>
    <x v="857"/>
    <x v="593"/>
    <x v="1"/>
    <x v="1"/>
    <n v="4.8"/>
    <n v="17499"/>
    <n v="20999"/>
    <n v="3500"/>
    <n v="0.16667460355255012"/>
    <n v="0.27430138865078002"/>
    <s v="Mid Range"/>
    <x v="2"/>
  </r>
  <r>
    <x v="6"/>
    <x v="857"/>
    <x v="594"/>
    <x v="1"/>
    <x v="1"/>
    <n v="4.8"/>
    <n v="17499"/>
    <n v="20999"/>
    <n v="3500"/>
    <n v="0.16667460355255012"/>
    <n v="0.27430138865078002"/>
    <s v="Mid Range"/>
    <x v="2"/>
  </r>
  <r>
    <x v="6"/>
    <x v="857"/>
    <x v="593"/>
    <x v="0"/>
    <x v="0"/>
    <n v="4.5"/>
    <n v="14999"/>
    <n v="18999"/>
    <n v="4000"/>
    <n v="0.21053739670508975"/>
    <n v="0.30002000133342221"/>
    <s v="Budget"/>
    <x v="0"/>
  </r>
  <r>
    <x v="6"/>
    <x v="857"/>
    <x v="594"/>
    <x v="0"/>
    <x v="0"/>
    <n v="4.5"/>
    <n v="14999"/>
    <n v="18999"/>
    <n v="4000"/>
    <n v="0.21053739670508975"/>
    <n v="0.30002000133342221"/>
    <s v="Budget"/>
    <x v="0"/>
  </r>
  <r>
    <x v="6"/>
    <x v="858"/>
    <x v="79"/>
    <x v="1"/>
    <x v="1"/>
    <n v="4.4000000000000004"/>
    <n v="17999"/>
    <n v="21999"/>
    <n v="4000"/>
    <n v="0.18182644665666622"/>
    <n v="0.24445802544585812"/>
    <s v="Mid Range"/>
    <x v="0"/>
  </r>
  <r>
    <x v="6"/>
    <x v="858"/>
    <x v="30"/>
    <x v="1"/>
    <x v="1"/>
    <n v="4.4000000000000004"/>
    <n v="17999"/>
    <n v="21999"/>
    <n v="4000"/>
    <n v="0.18182644665666622"/>
    <n v="0.24445802544585812"/>
    <s v="Mid Range"/>
    <x v="0"/>
  </r>
  <r>
    <x v="6"/>
    <x v="858"/>
    <x v="595"/>
    <x v="1"/>
    <x v="1"/>
    <n v="4.4000000000000004"/>
    <n v="17999"/>
    <n v="21999"/>
    <n v="4000"/>
    <n v="0.18182644665666622"/>
    <n v="0.24445802544585812"/>
    <s v="Mid Range"/>
    <x v="0"/>
  </r>
  <r>
    <x v="6"/>
    <x v="858"/>
    <x v="79"/>
    <x v="3"/>
    <x v="1"/>
    <n v="4.4000000000000004"/>
    <n v="20999"/>
    <n v="23999"/>
    <n v="3000"/>
    <n v="0.12500520855035627"/>
    <n v="0.20953378732320588"/>
    <s v="Mid Range"/>
    <x v="0"/>
  </r>
  <r>
    <x v="6"/>
    <x v="859"/>
    <x v="30"/>
    <x v="1"/>
    <x v="1"/>
    <n v="4.4000000000000004"/>
    <n v="24999"/>
    <n v="27999"/>
    <n v="3000"/>
    <n v="0.10714668381013608"/>
    <n v="0.17600704028161127"/>
    <s v="Mid Range"/>
    <x v="0"/>
  </r>
  <r>
    <x v="6"/>
    <x v="859"/>
    <x v="79"/>
    <x v="3"/>
    <x v="3"/>
    <n v="4.4000000000000004"/>
    <n v="28999"/>
    <n v="31999"/>
    <n v="3000"/>
    <n v="9.3752929779055597E-2"/>
    <n v="0.15172936997827513"/>
    <s v="Mid Range"/>
    <x v="0"/>
  </r>
  <r>
    <x v="6"/>
    <x v="859"/>
    <x v="79"/>
    <x v="1"/>
    <x v="1"/>
    <n v="4.4000000000000004"/>
    <n v="24999"/>
    <n v="27999"/>
    <n v="3000"/>
    <n v="0.10714668381013608"/>
    <n v="0.17600704028161127"/>
    <s v="Mid Range"/>
    <x v="0"/>
  </r>
  <r>
    <x v="6"/>
    <x v="859"/>
    <x v="30"/>
    <x v="3"/>
    <x v="1"/>
    <n v="4.4000000000000004"/>
    <n v="26999"/>
    <n v="29999"/>
    <n v="3000"/>
    <n v="0.10000333344444814"/>
    <n v="0.16296899885180932"/>
    <s v="Mid Range"/>
    <x v="0"/>
  </r>
  <r>
    <x v="6"/>
    <x v="858"/>
    <x v="30"/>
    <x v="3"/>
    <x v="1"/>
    <n v="4.4000000000000004"/>
    <n v="20999"/>
    <n v="23999"/>
    <n v="3000"/>
    <n v="0.12500520855035627"/>
    <n v="0.20953378732320588"/>
    <s v="Mid Range"/>
    <x v="0"/>
  </r>
  <r>
    <x v="6"/>
    <x v="860"/>
    <x v="596"/>
    <x v="3"/>
    <x v="1"/>
    <n v="4.5"/>
    <n v="22999"/>
    <n v="26999"/>
    <n v="4000"/>
    <n v="0.14815363531982667"/>
    <n v="0.19566068089916952"/>
    <s v="Mid Range"/>
    <x v="0"/>
  </r>
  <r>
    <x v="6"/>
    <x v="860"/>
    <x v="597"/>
    <x v="1"/>
    <x v="1"/>
    <n v="4.5"/>
    <n v="19999"/>
    <n v="24999"/>
    <n v="5000"/>
    <n v="0.20000800032001281"/>
    <n v="0.2250112505625281"/>
    <s v="Mid Range"/>
    <x v="0"/>
  </r>
  <r>
    <x v="6"/>
    <x v="860"/>
    <x v="596"/>
    <x v="1"/>
    <x v="1"/>
    <n v="4.5"/>
    <n v="19999"/>
    <n v="24999"/>
    <n v="5000"/>
    <n v="0.20000800032001281"/>
    <n v="0.2250112505625281"/>
    <s v="Mid Range"/>
    <x v="0"/>
  </r>
  <r>
    <x v="6"/>
    <x v="860"/>
    <x v="597"/>
    <x v="3"/>
    <x v="1"/>
    <n v="4.5"/>
    <n v="22999"/>
    <n v="26999"/>
    <n v="4000"/>
    <n v="0.14815363531982667"/>
    <n v="0.19566068089916952"/>
    <s v="Mid Range"/>
    <x v="0"/>
  </r>
  <r>
    <x v="6"/>
    <x v="859"/>
    <x v="30"/>
    <x v="3"/>
    <x v="3"/>
    <n v="4.4000000000000004"/>
    <n v="28999"/>
    <n v="31999"/>
    <n v="3000"/>
    <n v="9.3752929779055597E-2"/>
    <n v="0.15172936997827513"/>
    <s v="Mid Range"/>
    <x v="0"/>
  </r>
  <r>
    <x v="6"/>
    <x v="859"/>
    <x v="79"/>
    <x v="3"/>
    <x v="1"/>
    <n v="4.4000000000000004"/>
    <n v="26999"/>
    <n v="29999"/>
    <n v="3000"/>
    <n v="0.10000333344444814"/>
    <n v="0.16296899885180932"/>
    <s v="Mid Range"/>
    <x v="0"/>
  </r>
  <r>
    <x v="6"/>
    <x v="861"/>
    <x v="598"/>
    <x v="0"/>
    <x v="1"/>
    <n v="4.5"/>
    <n v="12999"/>
    <n v="14999"/>
    <n v="2000"/>
    <n v="0.13334222281485433"/>
    <n v="0.34618047542118624"/>
    <s v="Budget"/>
    <x v="0"/>
  </r>
  <r>
    <x v="6"/>
    <x v="861"/>
    <x v="598"/>
    <x v="0"/>
    <x v="0"/>
    <n v="4.5"/>
    <n v="11999"/>
    <n v="13999"/>
    <n v="2000"/>
    <n v="0.14286734766769055"/>
    <n v="0.37503125260438369"/>
    <s v="Budget"/>
    <x v="0"/>
  </r>
  <r>
    <x v="6"/>
    <x v="861"/>
    <x v="599"/>
    <x v="0"/>
    <x v="1"/>
    <n v="4.5"/>
    <n v="12999"/>
    <n v="14999"/>
    <n v="2000"/>
    <n v="0.13334222281485433"/>
    <n v="0.34618047542118624"/>
    <s v="Budget"/>
    <x v="0"/>
  </r>
  <r>
    <x v="13"/>
    <x v="862"/>
    <x v="415"/>
    <x v="1"/>
    <x v="0"/>
    <n v="4.4000000000000004"/>
    <n v="14999"/>
    <n v="17999"/>
    <n v="3000"/>
    <n v="0.16667592644035781"/>
    <n v="0.29335289019267952"/>
    <s v="Budget"/>
    <x v="0"/>
  </r>
  <r>
    <x v="13"/>
    <x v="862"/>
    <x v="130"/>
    <x v="1"/>
    <x v="0"/>
    <n v="4.4000000000000004"/>
    <n v="14999"/>
    <n v="17999"/>
    <n v="3000"/>
    <n v="0.16667592644035781"/>
    <n v="0.29335289019267952"/>
    <s v="Budget"/>
    <x v="0"/>
  </r>
  <r>
    <x v="13"/>
    <x v="862"/>
    <x v="130"/>
    <x v="1"/>
    <x v="1"/>
    <n v="4.4000000000000004"/>
    <n v="16499"/>
    <n v="19999"/>
    <n v="3500"/>
    <n v="0.17500875043752187"/>
    <n v="0.26668282926237952"/>
    <s v="Mid Range"/>
    <x v="0"/>
  </r>
  <r>
    <x v="13"/>
    <x v="862"/>
    <x v="415"/>
    <x v="3"/>
    <x v="1"/>
    <n v="4.4000000000000004"/>
    <n v="17999"/>
    <n v="21999"/>
    <n v="4000"/>
    <n v="0.18182644665666622"/>
    <n v="0.24445802544585812"/>
    <s v="Mid Range"/>
    <x v="0"/>
  </r>
  <r>
    <x v="13"/>
    <x v="862"/>
    <x v="130"/>
    <x v="3"/>
    <x v="1"/>
    <n v="4.4000000000000004"/>
    <n v="17999"/>
    <n v="21999"/>
    <n v="4000"/>
    <n v="0.18182644665666622"/>
    <n v="0.24445802544585812"/>
    <s v="Mid Range"/>
    <x v="0"/>
  </r>
  <r>
    <x v="13"/>
    <x v="862"/>
    <x v="415"/>
    <x v="1"/>
    <x v="1"/>
    <n v="4.4000000000000004"/>
    <n v="16499"/>
    <n v="19999"/>
    <n v="3500"/>
    <n v="0.17500875043752187"/>
    <n v="0.26668282926237952"/>
    <s v="Mid Range"/>
    <x v="0"/>
  </r>
  <r>
    <x v="13"/>
    <x v="863"/>
    <x v="130"/>
    <x v="0"/>
    <x v="0"/>
    <n v="4.5"/>
    <n v="14999"/>
    <n v="16999"/>
    <n v="2000"/>
    <n v="0.11765397964586152"/>
    <n v="0.30002000133342221"/>
    <s v="Budget"/>
    <x v="0"/>
  </r>
  <r>
    <x v="13"/>
    <x v="863"/>
    <x v="415"/>
    <x v="3"/>
    <x v="1"/>
    <n v="4.4000000000000004"/>
    <n v="18999"/>
    <n v="21999"/>
    <n v="3000"/>
    <n v="0.13636983499249966"/>
    <n v="0.23159113637559872"/>
    <s v="Mid Range"/>
    <x v="0"/>
  </r>
  <r>
    <x v="13"/>
    <x v="863"/>
    <x v="125"/>
    <x v="1"/>
    <x v="1"/>
    <n v="4.4000000000000004"/>
    <n v="16999"/>
    <n v="19999"/>
    <n v="3000"/>
    <n v="0.15000750037501875"/>
    <n v="0.25883875522089539"/>
    <s v="Mid Range"/>
    <x v="0"/>
  </r>
  <r>
    <x v="13"/>
    <x v="863"/>
    <x v="130"/>
    <x v="1"/>
    <x v="1"/>
    <n v="4.4000000000000004"/>
    <n v="16999"/>
    <n v="19999"/>
    <n v="3000"/>
    <n v="0.15000750037501875"/>
    <n v="0.25883875522089539"/>
    <s v="Mid Range"/>
    <x v="0"/>
  </r>
  <r>
    <x v="13"/>
    <x v="863"/>
    <x v="125"/>
    <x v="0"/>
    <x v="0"/>
    <n v="4.5"/>
    <n v="14999"/>
    <n v="16999"/>
    <n v="2000"/>
    <n v="0.11765397964586152"/>
    <n v="0.30002000133342221"/>
    <s v="Budget"/>
    <x v="0"/>
  </r>
  <r>
    <x v="13"/>
    <x v="863"/>
    <x v="130"/>
    <x v="3"/>
    <x v="1"/>
    <n v="4.4000000000000004"/>
    <n v="18999"/>
    <n v="21999"/>
    <n v="3000"/>
    <n v="0.13636983499249966"/>
    <n v="0.23159113637559872"/>
    <s v="Mid Range"/>
    <x v="0"/>
  </r>
  <r>
    <x v="13"/>
    <x v="863"/>
    <x v="415"/>
    <x v="0"/>
    <x v="0"/>
    <n v="4.5"/>
    <n v="14999"/>
    <n v="16999"/>
    <n v="2000"/>
    <n v="0.11765397964586152"/>
    <n v="0.30002000133342221"/>
    <s v="Budget"/>
    <x v="0"/>
  </r>
  <r>
    <x v="13"/>
    <x v="863"/>
    <x v="125"/>
    <x v="3"/>
    <x v="1"/>
    <n v="4.4000000000000004"/>
    <n v="18999"/>
    <n v="21999"/>
    <n v="3000"/>
    <n v="0.13636983499249966"/>
    <n v="0.23159113637559872"/>
    <s v="Mid Range"/>
    <x v="0"/>
  </r>
  <r>
    <x v="13"/>
    <x v="863"/>
    <x v="415"/>
    <x v="1"/>
    <x v="1"/>
    <n v="4.4000000000000004"/>
    <n v="16999"/>
    <n v="19999"/>
    <n v="3000"/>
    <n v="0.15000750037501875"/>
    <n v="0.25883875522089539"/>
    <s v="Mid Range"/>
    <x v="0"/>
  </r>
  <r>
    <x v="10"/>
    <x v="864"/>
    <x v="256"/>
    <x v="3"/>
    <x v="1"/>
    <n v="4.3"/>
    <n v="54990"/>
    <n v="54990"/>
    <n v="0"/>
    <n v="0"/>
    <n v="7.819603564284415E-2"/>
    <s v="Premium"/>
    <x v="0"/>
  </r>
  <r>
    <x v="10"/>
    <x v="865"/>
    <x v="128"/>
    <x v="0"/>
    <x v="1"/>
    <n v="4"/>
    <n v="15999"/>
    <n v="22999"/>
    <n v="7000"/>
    <n v="0.30436105917648593"/>
    <n v="0.25001562597662352"/>
    <s v="Mid Range"/>
    <x v="1"/>
  </r>
  <r>
    <x v="10"/>
    <x v="864"/>
    <x v="521"/>
    <x v="3"/>
    <x v="1"/>
    <n v="4.3"/>
    <n v="59990"/>
    <n v="59990"/>
    <n v="0"/>
    <n v="0"/>
    <n v="7.1678613102183694E-2"/>
    <s v="Premium"/>
    <x v="0"/>
  </r>
  <r>
    <x v="10"/>
    <x v="865"/>
    <x v="204"/>
    <x v="1"/>
    <x v="1"/>
    <n v="4"/>
    <n v="16999"/>
    <n v="23999"/>
    <n v="7000"/>
    <n v="0.29167881995083128"/>
    <n v="0.23530795929172305"/>
    <s v="Mid Range"/>
    <x v="1"/>
  </r>
  <r>
    <x v="10"/>
    <x v="865"/>
    <x v="128"/>
    <x v="1"/>
    <x v="1"/>
    <n v="4"/>
    <n v="16999"/>
    <n v="23999"/>
    <n v="7000"/>
    <n v="0.29167881995083128"/>
    <n v="0.23530795929172305"/>
    <s v="Mid Range"/>
    <x v="1"/>
  </r>
  <r>
    <x v="10"/>
    <x v="865"/>
    <x v="204"/>
    <x v="0"/>
    <x v="1"/>
    <n v="4"/>
    <n v="15999"/>
    <n v="22999"/>
    <n v="7000"/>
    <n v="0.30436105917648593"/>
    <n v="0.25001562597662352"/>
    <s v="Mid Range"/>
    <x v="1"/>
  </r>
  <r>
    <x v="10"/>
    <x v="866"/>
    <x v="5"/>
    <x v="4"/>
    <x v="2"/>
    <n v="4"/>
    <n v="7999"/>
    <n v="10499"/>
    <n v="2500"/>
    <n v="0.23811791599199925"/>
    <n v="0.50006250781347672"/>
    <s v="Budget"/>
    <x v="1"/>
  </r>
  <r>
    <x v="10"/>
    <x v="866"/>
    <x v="4"/>
    <x v="4"/>
    <x v="2"/>
    <n v="4"/>
    <n v="7999"/>
    <n v="10499"/>
    <n v="2500"/>
    <n v="0.23811791599199925"/>
    <n v="0.50006250781347672"/>
    <s v="Budget"/>
    <x v="1"/>
  </r>
  <r>
    <x v="10"/>
    <x v="399"/>
    <x v="277"/>
    <x v="3"/>
    <x v="1"/>
    <n v="4.4000000000000004"/>
    <n v="22910"/>
    <n v="23900"/>
    <n v="990"/>
    <n v="4.1422594142259413E-2"/>
    <n v="0.19205587079877784"/>
    <s v="Mid Range"/>
    <x v="0"/>
  </r>
  <r>
    <x v="10"/>
    <x v="399"/>
    <x v="270"/>
    <x v="3"/>
    <x v="1"/>
    <n v="4.4000000000000004"/>
    <n v="22930"/>
    <n v="26990"/>
    <n v="4060"/>
    <n v="0.15042608373471655"/>
    <n v="0.19188835586567815"/>
    <s v="Mid Range"/>
    <x v="0"/>
  </r>
  <r>
    <x v="10"/>
    <x v="867"/>
    <x v="600"/>
    <x v="3"/>
    <x v="1"/>
    <n v="4.3"/>
    <n v="27839"/>
    <n v="31889"/>
    <n v="4050"/>
    <n v="0.12700304180124808"/>
    <n v="0.15445957110528397"/>
    <s v="Mid Range"/>
    <x v="0"/>
  </r>
  <r>
    <x v="10"/>
    <x v="867"/>
    <x v="600"/>
    <x v="1"/>
    <x v="1"/>
    <n v="4.3"/>
    <n v="25990"/>
    <n v="25990"/>
    <n v="0"/>
    <n v="0"/>
    <n v="0.16544824932666408"/>
    <s v="Mid Range"/>
    <x v="0"/>
  </r>
  <r>
    <x v="10"/>
    <x v="867"/>
    <x v="601"/>
    <x v="1"/>
    <x v="1"/>
    <n v="4.3"/>
    <n v="25489"/>
    <n v="28449"/>
    <n v="2960"/>
    <n v="0.10404583640901262"/>
    <n v="0.16870022362587783"/>
    <s v="Mid Range"/>
    <x v="0"/>
  </r>
  <r>
    <x v="10"/>
    <x v="867"/>
    <x v="601"/>
    <x v="3"/>
    <x v="1"/>
    <n v="4.3"/>
    <n v="27239"/>
    <n v="31489"/>
    <n v="4250"/>
    <n v="0.13496776652164247"/>
    <n v="0.15786188920298103"/>
    <s v="Mid Range"/>
    <x v="0"/>
  </r>
  <r>
    <x v="10"/>
    <x v="867"/>
    <x v="602"/>
    <x v="3"/>
    <x v="1"/>
    <n v="4.2"/>
    <n v="22989"/>
    <n v="22989"/>
    <n v="0"/>
    <n v="0"/>
    <n v="0.18269607203445129"/>
    <s v="Mid Range"/>
    <x v="0"/>
  </r>
  <r>
    <x v="10"/>
    <x v="867"/>
    <x v="261"/>
    <x v="3"/>
    <x v="1"/>
    <n v="4.2"/>
    <n v="20350"/>
    <n v="22595"/>
    <n v="2245"/>
    <n v="9.9358265102898871E-2"/>
    <n v="0.20638820638820637"/>
    <s v="Mid Range"/>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1692F6-B70A-4CAC-8ADD-58CFF2A20598}" name="Total brand"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4">
  <location ref="A5:E24" firstHeaderRow="1" firstDataRow="2" firstDataCol="1"/>
  <pivotFields count="13">
    <pivotField axis="axisRow" compact="0" outline="0" showAll="0" sortType="descending">
      <items count="18">
        <item sd="0" x="9"/>
        <item sd="0" x="5"/>
        <item sd="0" x="7"/>
        <item sd="0" x="3"/>
        <item sd="0" x="1"/>
        <item sd="0" x="16"/>
        <item sd="0" x="2"/>
        <item sd="0" x="11"/>
        <item sd="0" x="4"/>
        <item sd="0" x="12"/>
        <item sd="0" x="8"/>
        <item sd="0" x="0"/>
        <item sd="0" x="13"/>
        <item sd="0" x="6"/>
        <item sd="0" x="10"/>
        <item sd="0" x="14"/>
        <item sd="0" x="15"/>
        <item t="default"/>
      </items>
      <autoSortScope>
        <pivotArea dataOnly="0" outline="0" fieldPosition="0">
          <references count="1">
            <reference field="4294967294" count="1" selected="0">
              <x v="0"/>
            </reference>
          </references>
        </pivotArea>
      </autoSortScope>
    </pivotField>
    <pivotField dataField="1" compact="0" outline="0" showAll="0">
      <items count="869">
        <item x="207"/>
        <item x="77"/>
        <item x="318"/>
        <item x="324"/>
        <item x="304"/>
        <item x="297"/>
        <item x="70"/>
        <item x="321"/>
        <item x="314"/>
        <item x="292"/>
        <item x="348"/>
        <item x="319"/>
        <item x="322"/>
        <item x="334"/>
        <item x="295"/>
        <item x="203"/>
        <item x="317"/>
        <item x="347"/>
        <item x="187"/>
        <item x="340"/>
        <item x="339"/>
        <item x="184"/>
        <item x="338"/>
        <item x="306"/>
        <item x="733"/>
        <item x="283"/>
        <item x="330"/>
        <item x="328"/>
        <item x="320"/>
        <item x="310"/>
        <item x="307"/>
        <item x="309"/>
        <item x="323"/>
        <item x="346"/>
        <item x="329"/>
        <item x="351"/>
        <item x="734"/>
        <item x="742"/>
        <item x="331"/>
        <item x="308"/>
        <item x="281"/>
        <item x="288"/>
        <item x="312"/>
        <item x="311"/>
        <item x="807"/>
        <item x="284"/>
        <item x="802"/>
        <item x="803"/>
        <item x="289"/>
        <item x="298"/>
        <item x="293"/>
        <item x="286"/>
        <item x="287"/>
        <item x="313"/>
        <item x="76"/>
        <item x="305"/>
        <item x="301"/>
        <item x="285"/>
        <item x="300"/>
        <item x="302"/>
        <item x="303"/>
        <item x="615"/>
        <item x="73"/>
        <item x="326"/>
        <item x="291"/>
        <item x="74"/>
        <item x="72"/>
        <item x="192"/>
        <item x="71"/>
        <item x="193"/>
        <item x="315"/>
        <item x="743"/>
        <item x="299"/>
        <item x="290"/>
        <item x="209"/>
        <item x="221"/>
        <item x="218"/>
        <item x="336"/>
        <item x="748"/>
        <item x="741"/>
        <item x="206"/>
        <item x="150"/>
        <item x="344"/>
        <item x="212"/>
        <item x="194"/>
        <item x="181"/>
        <item x="182"/>
        <item x="332"/>
        <item x="341"/>
        <item x="747"/>
        <item x="738"/>
        <item x="744"/>
        <item x="177"/>
        <item x="857"/>
        <item x="860"/>
        <item x="858"/>
        <item x="859"/>
        <item x="806"/>
        <item x="765"/>
        <item x="227"/>
        <item x="249"/>
        <item x="243"/>
        <item x="601"/>
        <item x="6"/>
        <item x="1"/>
        <item x="12"/>
        <item x="17"/>
        <item x="758"/>
        <item x="851"/>
        <item x="48"/>
        <item x="566"/>
        <item x="563"/>
        <item x="4"/>
        <item x="606"/>
        <item x="598"/>
        <item x="3"/>
        <item x="49"/>
        <item x="596"/>
        <item x="39"/>
        <item x="32"/>
        <item x="565"/>
        <item x="34"/>
        <item x="577"/>
        <item x="43"/>
        <item x="0"/>
        <item x="579"/>
        <item x="2"/>
        <item x="8"/>
        <item x="759"/>
        <item x="47"/>
        <item x="23"/>
        <item x="599"/>
        <item x="602"/>
        <item x="608"/>
        <item x="576"/>
        <item x="578"/>
        <item x="559"/>
        <item x="21"/>
        <item x="564"/>
        <item x="580"/>
        <item x="582"/>
        <item x="46"/>
        <item x="44"/>
        <item x="51"/>
        <item x="5"/>
        <item x="13"/>
        <item x="568"/>
        <item x="40"/>
        <item x="37"/>
        <item x="595"/>
        <item x="52"/>
        <item x="28"/>
        <item x="345"/>
        <item x="337"/>
        <item x="349"/>
        <item x="327"/>
        <item x="574"/>
        <item x="449"/>
        <item x="476"/>
        <item x="638"/>
        <item x="624"/>
        <item x="186"/>
        <item x="172"/>
        <item x="185"/>
        <item x="183"/>
        <item x="191"/>
        <item x="202"/>
        <item x="174"/>
        <item x="294"/>
        <item x="178"/>
        <item x="175"/>
        <item x="211"/>
        <item x="176"/>
        <item x="766"/>
        <item x="190"/>
        <item x="850"/>
        <item x="861"/>
        <item x="88"/>
        <item x="275"/>
        <item x="272"/>
        <item x="754"/>
        <item x="739"/>
        <item x="751"/>
        <item x="746"/>
        <item x="750"/>
        <item x="735"/>
        <item x="732"/>
        <item x="755"/>
        <item x="753"/>
        <item x="749"/>
        <item x="745"/>
        <item x="737"/>
        <item x="736"/>
        <item x="636"/>
        <item x="621"/>
        <item x="639"/>
        <item x="637"/>
        <item x="634"/>
        <item x="611"/>
        <item x="616"/>
        <item x="618"/>
        <item x="640"/>
        <item x="278"/>
        <item x="274"/>
        <item x="259"/>
        <item x="277"/>
        <item x="250"/>
        <item x="62"/>
        <item x="36"/>
        <item x="247"/>
        <item x="268"/>
        <item x="265"/>
        <item x="225"/>
        <item x="31"/>
        <item x="229"/>
        <item x="57"/>
        <item x="26"/>
        <item x="10"/>
        <item x="7"/>
        <item x="20"/>
        <item x="18"/>
        <item x="19"/>
        <item x="66"/>
        <item x="248"/>
        <item x="226"/>
        <item x="38"/>
        <item x="35"/>
        <item x="760"/>
        <item x="53"/>
        <item x="22"/>
        <item x="59"/>
        <item x="60"/>
        <item x="224"/>
        <item x="42"/>
        <item x="239"/>
        <item x="260"/>
        <item x="50"/>
        <item x="29"/>
        <item x="651"/>
        <item x="631"/>
        <item x="641"/>
        <item x="117"/>
        <item x="612"/>
        <item x="120"/>
        <item x="273"/>
        <item x="131"/>
        <item x="140"/>
        <item x="628"/>
        <item x="657"/>
        <item x="132"/>
        <item x="655"/>
        <item x="135"/>
        <item x="614"/>
        <item x="629"/>
        <item x="107"/>
        <item x="659"/>
        <item x="643"/>
        <item x="625"/>
        <item x="123"/>
        <item x="652"/>
        <item x="654"/>
        <item x="613"/>
        <item x="645"/>
        <item x="656"/>
        <item x="105"/>
        <item x="97"/>
        <item x="650"/>
        <item x="617"/>
        <item x="101"/>
        <item x="633"/>
        <item x="630"/>
        <item x="866"/>
        <item x="388"/>
        <item x="444"/>
        <item x="431"/>
        <item x="376"/>
        <item x="472"/>
        <item x="430"/>
        <item x="423"/>
        <item x="382"/>
        <item x="377"/>
        <item x="378"/>
        <item x="510"/>
        <item x="454"/>
        <item x="426"/>
        <item x="418"/>
        <item x="399"/>
        <item x="535"/>
        <item x="514"/>
        <item x="448"/>
        <item x="410"/>
        <item x="392"/>
        <item x="398"/>
        <item x="503"/>
        <item x="394"/>
        <item x="414"/>
        <item x="415"/>
        <item x="427"/>
        <item x="478"/>
        <item x="417"/>
        <item x="406"/>
        <item x="405"/>
        <item x="390"/>
        <item x="459"/>
        <item x="512"/>
        <item x="461"/>
        <item x="523"/>
        <item x="462"/>
        <item x="438"/>
        <item x="489"/>
        <item x="532"/>
        <item x="498"/>
        <item x="525"/>
        <item x="516"/>
        <item x="552"/>
        <item x="533"/>
        <item x="499"/>
        <item x="544"/>
        <item x="501"/>
        <item x="389"/>
        <item x="372"/>
        <item x="371"/>
        <item x="865"/>
        <item x="397"/>
        <item x="769"/>
        <item x="393"/>
        <item x="440"/>
        <item x="526"/>
        <item x="451"/>
        <item x="549"/>
        <item x="518"/>
        <item x="537"/>
        <item x="556"/>
        <item x="548"/>
        <item x="496"/>
        <item x="482"/>
        <item x="447"/>
        <item x="490"/>
        <item x="433"/>
        <item x="506"/>
        <item x="428"/>
        <item x="491"/>
        <item x="450"/>
        <item x="453"/>
        <item x="460"/>
        <item x="485"/>
        <item x="528"/>
        <item x="455"/>
        <item x="429"/>
        <item x="439"/>
        <item x="515"/>
        <item x="441"/>
        <item x="437"/>
        <item x="434"/>
        <item x="424"/>
        <item x="465"/>
        <item x="458"/>
        <item x="387"/>
        <item x="421"/>
        <item x="375"/>
        <item x="473"/>
        <item x="481"/>
        <item x="395"/>
        <item x="379"/>
        <item x="484"/>
        <item x="432"/>
        <item x="435"/>
        <item x="463"/>
        <item x="385"/>
        <item x="383"/>
        <item x="391"/>
        <item x="446"/>
        <item x="436"/>
        <item x="469"/>
        <item x="402"/>
        <item x="550"/>
        <item x="517"/>
        <item x="492"/>
        <item x="403"/>
        <item x="420"/>
        <item x="508"/>
        <item x="511"/>
        <item x="519"/>
        <item x="487"/>
        <item x="551"/>
        <item x="502"/>
        <item x="443"/>
        <item x="538"/>
        <item x="404"/>
        <item x="505"/>
        <item x="486"/>
        <item x="416"/>
        <item x="470"/>
        <item x="553"/>
        <item x="554"/>
        <item x="509"/>
        <item x="400"/>
        <item x="396"/>
        <item x="452"/>
        <item x="521"/>
        <item x="497"/>
        <item x="425"/>
        <item x="442"/>
        <item x="471"/>
        <item x="468"/>
        <item x="466"/>
        <item x="864"/>
        <item x="457"/>
        <item x="524"/>
        <item x="507"/>
        <item x="488"/>
        <item x="555"/>
        <item x="464"/>
        <item x="539"/>
        <item x="456"/>
        <item x="558"/>
        <item x="543"/>
        <item x="522"/>
        <item x="493"/>
        <item x="541"/>
        <item x="477"/>
        <item x="412"/>
        <item x="536"/>
        <item x="475"/>
        <item x="495"/>
        <item x="545"/>
        <item x="546"/>
        <item x="386"/>
        <item x="407"/>
        <item x="540"/>
        <item x="531"/>
        <item x="200"/>
        <item x="205"/>
        <item x="767"/>
        <item x="409"/>
        <item x="408"/>
        <item x="411"/>
        <item x="55"/>
        <item x="834"/>
        <item x="808"/>
        <item x="811"/>
        <item x="810"/>
        <item x="809"/>
        <item x="843"/>
        <item x="826"/>
        <item x="845"/>
        <item x="848"/>
        <item x="827"/>
        <item x="837"/>
        <item x="838"/>
        <item x="841"/>
        <item x="839"/>
        <item x="355"/>
        <item x="360"/>
        <item x="358"/>
        <item x="356"/>
        <item x="354"/>
        <item x="357"/>
        <item x="852"/>
        <item x="855"/>
        <item x="854"/>
        <item x="853"/>
        <item x="368"/>
        <item x="363"/>
        <item x="366"/>
        <item x="369"/>
        <item x="367"/>
        <item x="365"/>
        <item x="362"/>
        <item x="359"/>
        <item x="352"/>
        <item x="370"/>
        <item x="353"/>
        <item x="361"/>
        <item x="364"/>
        <item x="27"/>
        <item x="91"/>
        <item x="124"/>
        <item x="126"/>
        <item x="581"/>
        <item x="587"/>
        <item x="41"/>
        <item x="561"/>
        <item x="609"/>
        <item x="590"/>
        <item x="86"/>
        <item x="584"/>
        <item x="585"/>
        <item x="130"/>
        <item x="103"/>
        <item x="116"/>
        <item x="569"/>
        <item x="560"/>
        <item x="570"/>
        <item x="89"/>
        <item x="593"/>
        <item x="139"/>
        <item x="134"/>
        <item x="115"/>
        <item x="233"/>
        <item x="230"/>
        <item x="83"/>
        <item x="343"/>
        <item x="335"/>
        <item x="325"/>
        <item x="626"/>
        <item x="401"/>
        <item x="374"/>
        <item x="276"/>
        <item x="762"/>
        <item x="761"/>
        <item x="663"/>
        <item x="419"/>
        <item x="381"/>
        <item x="257"/>
        <item x="662"/>
        <item x="380"/>
        <item x="474"/>
        <item x="373"/>
        <item x="862"/>
        <item x="863"/>
        <item x="241"/>
        <item x="867"/>
        <item x="264"/>
        <item x="254"/>
        <item x="252"/>
        <item x="253"/>
        <item x="262"/>
        <item x="251"/>
        <item x="271"/>
        <item x="222"/>
        <item x="223"/>
        <item x="99"/>
        <item x="500"/>
        <item x="413"/>
        <item x="384"/>
        <item x="422"/>
        <item x="529"/>
        <item x="513"/>
        <item x="445"/>
        <item x="479"/>
        <item x="688"/>
        <item x="689"/>
        <item x="690"/>
        <item x="691"/>
        <item x="692"/>
        <item x="693"/>
        <item x="694"/>
        <item x="695"/>
        <item x="696"/>
        <item x="697"/>
        <item x="698"/>
        <item x="67"/>
        <item x="217"/>
        <item x="216"/>
        <item x="215"/>
        <item x="213"/>
        <item x="214"/>
        <item x="179"/>
        <item x="173"/>
        <item x="189"/>
        <item x="180"/>
        <item x="196"/>
        <item x="195"/>
        <item x="61"/>
        <item x="45"/>
        <item x="106"/>
        <item x="104"/>
        <item x="836"/>
        <item x="805"/>
        <item x="821"/>
        <item x="820"/>
        <item x="816"/>
        <item x="819"/>
        <item x="822"/>
        <item x="840"/>
        <item x="824"/>
        <item x="829"/>
        <item x="832"/>
        <item x="534"/>
        <item x="520"/>
        <item x="646"/>
        <item x="756"/>
        <item x="635"/>
        <item x="740"/>
        <item x="632"/>
        <item x="752"/>
        <item x="642"/>
        <item x="648"/>
        <item x="627"/>
        <item x="137"/>
        <item x="118"/>
        <item x="138"/>
        <item x="114"/>
        <item x="597"/>
        <item x="236"/>
        <item x="237"/>
        <item x="238"/>
        <item x="234"/>
        <item x="242"/>
        <item x="263"/>
        <item x="605"/>
        <item x="588"/>
        <item x="594"/>
        <item x="279"/>
        <item x="235"/>
        <item x="245"/>
        <item x="244"/>
        <item x="261"/>
        <item x="231"/>
        <item x="280"/>
        <item x="121"/>
        <item x="93"/>
        <item x="122"/>
        <item x="108"/>
        <item x="82"/>
        <item x="127"/>
        <item x="141"/>
        <item x="649"/>
        <item x="78"/>
        <item x="58"/>
        <item x="64"/>
        <item x="56"/>
        <item x="622"/>
        <item x="620"/>
        <item x="699"/>
        <item x="700"/>
        <item x="701"/>
        <item x="702"/>
        <item x="703"/>
        <item x="704"/>
        <item x="705"/>
        <item x="706"/>
        <item x="707"/>
        <item x="708"/>
        <item x="709"/>
        <item x="710"/>
        <item x="711"/>
        <item x="712"/>
        <item x="713"/>
        <item x="714"/>
        <item x="715"/>
        <item x="716"/>
        <item x="804"/>
        <item x="717"/>
        <item x="718"/>
        <item x="719"/>
        <item x="720"/>
        <item x="721"/>
        <item x="722"/>
        <item x="723"/>
        <item x="724"/>
        <item x="725"/>
        <item x="726"/>
        <item x="727"/>
        <item x="728"/>
        <item x="729"/>
        <item x="24"/>
        <item x="65"/>
        <item x="63"/>
        <item x="15"/>
        <item x="25"/>
        <item x="16"/>
        <item x="33"/>
        <item x="30"/>
        <item x="11"/>
        <item x="9"/>
        <item x="14"/>
        <item x="849"/>
        <item x="542"/>
        <item x="333"/>
        <item x="168"/>
        <item x="145"/>
        <item x="144"/>
        <item x="158"/>
        <item x="54"/>
        <item x="258"/>
        <item x="783"/>
        <item x="255"/>
        <item x="269"/>
        <item x="228"/>
        <item x="785"/>
        <item x="831"/>
        <item x="844"/>
        <item x="842"/>
        <item x="830"/>
        <item x="603"/>
        <item x="266"/>
        <item x="267"/>
        <item x="591"/>
        <item x="256"/>
        <item x="557"/>
        <item x="575"/>
        <item x="607"/>
        <item x="562"/>
        <item x="232"/>
        <item x="467"/>
        <item x="604"/>
        <item x="825"/>
        <item x="828"/>
        <item x="823"/>
        <item x="835"/>
        <item x="812"/>
        <item x="817"/>
        <item x="813"/>
        <item x="814"/>
        <item x="815"/>
        <item x="818"/>
        <item x="527"/>
        <item x="547"/>
        <item x="143"/>
        <item x="109"/>
        <item x="98"/>
        <item x="129"/>
        <item x="133"/>
        <item x="316"/>
        <item x="282"/>
        <item x="296"/>
        <item x="504"/>
        <item x="731"/>
        <item x="219"/>
        <item x="781"/>
        <item x="730"/>
        <item x="68"/>
        <item x="782"/>
        <item x="798"/>
        <item x="100"/>
        <item x="682"/>
        <item x="687"/>
        <item x="678"/>
        <item x="125"/>
        <item x="683"/>
        <item x="676"/>
        <item x="773"/>
        <item x="774"/>
        <item x="119"/>
        <item x="102"/>
        <item x="270"/>
        <item x="800"/>
        <item x="795"/>
        <item x="792"/>
        <item x="794"/>
        <item x="110"/>
        <item x="81"/>
        <item x="79"/>
        <item x="573"/>
        <item x="583"/>
        <item x="589"/>
        <item x="600"/>
        <item x="571"/>
        <item x="567"/>
        <item x="592"/>
        <item x="90"/>
        <item x="94"/>
        <item x="80"/>
        <item x="95"/>
        <item x="96"/>
        <item x="87"/>
        <item x="84"/>
        <item x="85"/>
        <item x="92"/>
        <item x="111"/>
        <item x="113"/>
        <item x="69"/>
        <item x="112"/>
        <item x="210"/>
        <item x="644"/>
        <item x="136"/>
        <item x="623"/>
        <item x="128"/>
        <item x="142"/>
        <item x="240"/>
        <item x="246"/>
        <item x="763"/>
        <item x="208"/>
        <item x="342"/>
        <item x="220"/>
        <item x="764"/>
        <item x="793"/>
        <item x="586"/>
        <item x="199"/>
        <item x="661"/>
        <item x="197"/>
        <item x="619"/>
        <item x="780"/>
        <item x="779"/>
        <item x="201"/>
        <item x="198"/>
        <item x="681"/>
        <item x="778"/>
        <item x="188"/>
        <item x="768"/>
        <item x="204"/>
        <item x="777"/>
        <item x="776"/>
        <item x="75"/>
        <item x="350"/>
        <item x="757"/>
        <item x="653"/>
        <item x="679"/>
        <item x="801"/>
        <item x="673"/>
        <item x="668"/>
        <item x="672"/>
        <item x="677"/>
        <item x="775"/>
        <item x="667"/>
        <item x="670"/>
        <item x="664"/>
        <item x="669"/>
        <item x="665"/>
        <item x="770"/>
        <item x="772"/>
        <item x="686"/>
        <item x="685"/>
        <item x="666"/>
        <item x="771"/>
        <item x="674"/>
        <item x="680"/>
        <item x="796"/>
        <item x="799"/>
        <item x="675"/>
        <item x="671"/>
        <item x="856"/>
        <item x="791"/>
        <item x="797"/>
        <item x="787"/>
        <item x="684"/>
        <item x="788"/>
        <item x="789"/>
        <item x="790"/>
        <item x="658"/>
        <item x="483"/>
        <item x="786"/>
        <item x="784"/>
        <item x="480"/>
        <item x="660"/>
        <item x="647"/>
        <item x="572"/>
        <item x="530"/>
        <item x="494"/>
        <item x="147"/>
        <item x="157"/>
        <item x="149"/>
        <item x="162"/>
        <item x="155"/>
        <item x="154"/>
        <item x="153"/>
        <item x="151"/>
        <item x="166"/>
        <item x="159"/>
        <item x="163"/>
        <item x="161"/>
        <item x="152"/>
        <item x="156"/>
        <item x="170"/>
        <item x="165"/>
        <item x="167"/>
        <item x="148"/>
        <item x="146"/>
        <item x="160"/>
        <item x="164"/>
        <item x="169"/>
        <item x="171"/>
        <item x="846"/>
        <item x="847"/>
        <item x="833"/>
        <item x="610"/>
        <item t="default"/>
      </items>
    </pivotField>
    <pivotField compact="0" outline="0" showAll="0"/>
    <pivotField compact="0" outline="0" showAll="0">
      <items count="25">
        <item x="6"/>
        <item x="8"/>
        <item x="19"/>
        <item x="22"/>
        <item x="5"/>
        <item x="17"/>
        <item x="16"/>
        <item x="21"/>
        <item x="14"/>
        <item x="4"/>
        <item x="18"/>
        <item x="2"/>
        <item x="23"/>
        <item x="13"/>
        <item x="0"/>
        <item x="12"/>
        <item x="20"/>
        <item x="15"/>
        <item x="7"/>
        <item x="1"/>
        <item x="11"/>
        <item x="9"/>
        <item x="3"/>
        <item x="10"/>
        <item t="default"/>
      </items>
    </pivotField>
    <pivotField compact="0" outline="0" showAll="0">
      <items count="26">
        <item x="21"/>
        <item x="15"/>
        <item x="22"/>
        <item x="1"/>
        <item x="9"/>
        <item x="23"/>
        <item x="24"/>
        <item x="17"/>
        <item x="19"/>
        <item x="4"/>
        <item x="8"/>
        <item x="10"/>
        <item x="3"/>
        <item x="16"/>
        <item x="2"/>
        <item x="6"/>
        <item x="11"/>
        <item x="7"/>
        <item x="20"/>
        <item x="0"/>
        <item x="18"/>
        <item x="5"/>
        <item x="13"/>
        <item x="14"/>
        <item x="12"/>
        <item t="default"/>
      </items>
    </pivotField>
    <pivotField dataField="1" compact="0" outline="0" showAll="0"/>
    <pivotField compact="0" outline="0" showAll="0"/>
    <pivotField compact="0" outline="0" showAll="0"/>
    <pivotField compact="0" outline="0" showAll="0"/>
    <pivotField dataField="1" compact="0" numFmtId="9" outline="0" subtotalTop="0" showAll="0"/>
    <pivotField dataField="1" compact="0" outline="0" subtotalTop="0" showAll="0"/>
    <pivotField compact="0" outline="0" subtotalTop="0" showAll="0"/>
    <pivotField compact="0" outline="0" subtotalTop="0" showAll="0"/>
  </pivotFields>
  <rowFields count="1">
    <field x="0"/>
  </rowFields>
  <rowItems count="18">
    <i>
      <x v="14"/>
    </i>
    <i>
      <x/>
    </i>
    <i>
      <x v="13"/>
    </i>
    <i>
      <x v="11"/>
    </i>
    <i>
      <x v="16"/>
    </i>
    <i>
      <x v="10"/>
    </i>
    <i>
      <x v="5"/>
    </i>
    <i>
      <x v="2"/>
    </i>
    <i>
      <x v="7"/>
    </i>
    <i>
      <x v="15"/>
    </i>
    <i>
      <x v="1"/>
    </i>
    <i>
      <x v="9"/>
    </i>
    <i>
      <x v="8"/>
    </i>
    <i>
      <x v="12"/>
    </i>
    <i>
      <x v="4"/>
    </i>
    <i>
      <x v="3"/>
    </i>
    <i>
      <x v="6"/>
    </i>
    <i t="grand">
      <x/>
    </i>
  </rowItems>
  <colFields count="1">
    <field x="-2"/>
  </colFields>
  <colItems count="4">
    <i>
      <x/>
    </i>
    <i i="1">
      <x v="1"/>
    </i>
    <i i="2">
      <x v="2"/>
    </i>
    <i i="3">
      <x v="3"/>
    </i>
  </colItems>
  <dataFields count="4">
    <dataField name="Count of Model" fld="1" subtotal="count" baseField="0" baseItem="0"/>
    <dataField name="Average of Margin%" fld="9" subtotal="average" baseField="0" baseItem="0" numFmtId="9"/>
    <dataField name="Average of Value for money (VFM) score" fld="10" subtotal="average" baseField="0" baseItem="0"/>
    <dataField name="Average of Rating"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EB7463-0FEE-422B-B5E2-7E107839E014}"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19">
  <location ref="A30:B49" firstHeaderRow="2" firstDataRow="2" firstDataCol="1"/>
  <pivotFields count="13">
    <pivotField axis="axisRow" compact="0" outline="0" showAll="0" sortType="descending">
      <items count="18">
        <item sd="0" x="9"/>
        <item sd="0" x="5"/>
        <item sd="0" x="7"/>
        <item sd="0" x="3"/>
        <item sd="0" x="1"/>
        <item sd="0" x="16"/>
        <item sd="0" x="2"/>
        <item sd="0" x="11"/>
        <item sd="0" x="4"/>
        <item sd="0" x="12"/>
        <item sd="0" x="8"/>
        <item sd="0" x="0"/>
        <item sd="0" x="13"/>
        <item sd="0" x="6"/>
        <item sd="0" x="10"/>
        <item sd="0" x="14"/>
        <item sd="0" x="15"/>
        <item t="default"/>
      </items>
      <autoSortScope>
        <pivotArea dataOnly="0" outline="0" fieldPosition="0">
          <references count="1">
            <reference field="4294967294" count="1" selected="0">
              <x v="0"/>
            </reference>
          </references>
        </pivotArea>
      </autoSortScope>
    </pivotField>
    <pivotField dataField="1" compact="0" outline="0" showAll="0">
      <items count="869">
        <item x="207"/>
        <item x="77"/>
        <item x="318"/>
        <item x="324"/>
        <item x="304"/>
        <item x="297"/>
        <item x="70"/>
        <item x="321"/>
        <item x="314"/>
        <item x="292"/>
        <item x="348"/>
        <item x="319"/>
        <item x="322"/>
        <item x="334"/>
        <item x="295"/>
        <item x="203"/>
        <item x="317"/>
        <item x="347"/>
        <item x="187"/>
        <item x="340"/>
        <item x="339"/>
        <item x="184"/>
        <item x="338"/>
        <item x="306"/>
        <item x="733"/>
        <item x="283"/>
        <item x="330"/>
        <item x="328"/>
        <item x="320"/>
        <item x="310"/>
        <item x="307"/>
        <item x="309"/>
        <item x="323"/>
        <item x="346"/>
        <item x="329"/>
        <item x="351"/>
        <item x="734"/>
        <item x="742"/>
        <item x="331"/>
        <item x="308"/>
        <item x="281"/>
        <item x="288"/>
        <item x="312"/>
        <item x="311"/>
        <item x="807"/>
        <item x="284"/>
        <item x="802"/>
        <item x="803"/>
        <item x="289"/>
        <item x="298"/>
        <item x="293"/>
        <item x="286"/>
        <item x="287"/>
        <item x="313"/>
        <item x="76"/>
        <item x="305"/>
        <item x="301"/>
        <item x="285"/>
        <item x="300"/>
        <item x="302"/>
        <item x="303"/>
        <item x="615"/>
        <item x="73"/>
        <item x="326"/>
        <item x="291"/>
        <item x="74"/>
        <item x="72"/>
        <item x="192"/>
        <item x="71"/>
        <item x="193"/>
        <item x="315"/>
        <item x="743"/>
        <item x="299"/>
        <item x="290"/>
        <item x="209"/>
        <item x="221"/>
        <item x="218"/>
        <item x="336"/>
        <item x="748"/>
        <item x="741"/>
        <item x="206"/>
        <item x="150"/>
        <item x="344"/>
        <item x="212"/>
        <item x="194"/>
        <item x="181"/>
        <item x="182"/>
        <item x="332"/>
        <item x="341"/>
        <item x="747"/>
        <item x="738"/>
        <item x="744"/>
        <item x="177"/>
        <item x="857"/>
        <item x="860"/>
        <item x="858"/>
        <item x="859"/>
        <item x="806"/>
        <item x="765"/>
        <item x="227"/>
        <item x="249"/>
        <item x="243"/>
        <item x="601"/>
        <item x="6"/>
        <item x="1"/>
        <item x="12"/>
        <item x="17"/>
        <item x="758"/>
        <item x="851"/>
        <item x="48"/>
        <item x="566"/>
        <item x="563"/>
        <item x="4"/>
        <item x="606"/>
        <item x="598"/>
        <item x="3"/>
        <item x="49"/>
        <item x="596"/>
        <item x="39"/>
        <item x="32"/>
        <item x="565"/>
        <item x="34"/>
        <item x="577"/>
        <item x="43"/>
        <item x="0"/>
        <item x="579"/>
        <item x="2"/>
        <item x="8"/>
        <item x="759"/>
        <item x="47"/>
        <item x="23"/>
        <item x="599"/>
        <item x="602"/>
        <item x="608"/>
        <item x="576"/>
        <item x="578"/>
        <item x="559"/>
        <item x="21"/>
        <item x="564"/>
        <item x="580"/>
        <item x="582"/>
        <item x="46"/>
        <item x="44"/>
        <item x="51"/>
        <item x="5"/>
        <item x="13"/>
        <item x="568"/>
        <item x="40"/>
        <item x="37"/>
        <item x="595"/>
        <item x="52"/>
        <item x="28"/>
        <item x="345"/>
        <item x="337"/>
        <item x="349"/>
        <item x="327"/>
        <item x="574"/>
        <item x="449"/>
        <item x="476"/>
        <item x="638"/>
        <item x="624"/>
        <item x="186"/>
        <item x="172"/>
        <item x="185"/>
        <item x="183"/>
        <item x="191"/>
        <item x="202"/>
        <item x="174"/>
        <item x="294"/>
        <item x="178"/>
        <item x="175"/>
        <item x="211"/>
        <item x="176"/>
        <item x="766"/>
        <item x="190"/>
        <item x="850"/>
        <item x="861"/>
        <item x="88"/>
        <item x="275"/>
        <item x="272"/>
        <item x="754"/>
        <item x="739"/>
        <item x="751"/>
        <item x="746"/>
        <item x="750"/>
        <item x="735"/>
        <item x="732"/>
        <item x="755"/>
        <item x="753"/>
        <item x="749"/>
        <item x="745"/>
        <item x="737"/>
        <item x="736"/>
        <item x="636"/>
        <item x="621"/>
        <item x="639"/>
        <item x="637"/>
        <item x="634"/>
        <item x="611"/>
        <item x="616"/>
        <item x="618"/>
        <item x="640"/>
        <item x="278"/>
        <item x="274"/>
        <item x="259"/>
        <item x="277"/>
        <item x="250"/>
        <item x="62"/>
        <item x="36"/>
        <item x="247"/>
        <item x="268"/>
        <item x="265"/>
        <item x="225"/>
        <item x="31"/>
        <item x="229"/>
        <item x="57"/>
        <item x="26"/>
        <item x="10"/>
        <item x="7"/>
        <item x="20"/>
        <item x="18"/>
        <item x="19"/>
        <item x="66"/>
        <item x="248"/>
        <item x="226"/>
        <item x="38"/>
        <item x="35"/>
        <item x="760"/>
        <item x="53"/>
        <item x="22"/>
        <item x="59"/>
        <item x="60"/>
        <item x="224"/>
        <item x="42"/>
        <item x="239"/>
        <item x="260"/>
        <item x="50"/>
        <item x="29"/>
        <item x="651"/>
        <item x="631"/>
        <item x="641"/>
        <item x="117"/>
        <item x="612"/>
        <item x="120"/>
        <item x="273"/>
        <item x="131"/>
        <item x="140"/>
        <item x="628"/>
        <item x="657"/>
        <item x="132"/>
        <item x="655"/>
        <item x="135"/>
        <item x="614"/>
        <item x="629"/>
        <item x="107"/>
        <item x="659"/>
        <item x="643"/>
        <item x="625"/>
        <item x="123"/>
        <item x="652"/>
        <item x="654"/>
        <item x="613"/>
        <item x="645"/>
        <item x="656"/>
        <item x="105"/>
        <item x="97"/>
        <item x="650"/>
        <item x="617"/>
        <item x="101"/>
        <item x="633"/>
        <item x="630"/>
        <item x="866"/>
        <item x="388"/>
        <item x="444"/>
        <item x="431"/>
        <item x="376"/>
        <item x="472"/>
        <item x="430"/>
        <item x="423"/>
        <item x="382"/>
        <item x="377"/>
        <item x="378"/>
        <item x="510"/>
        <item x="454"/>
        <item x="426"/>
        <item x="418"/>
        <item x="399"/>
        <item x="535"/>
        <item x="514"/>
        <item x="448"/>
        <item x="410"/>
        <item x="392"/>
        <item x="398"/>
        <item x="503"/>
        <item x="394"/>
        <item x="414"/>
        <item x="415"/>
        <item x="427"/>
        <item x="478"/>
        <item x="417"/>
        <item x="406"/>
        <item x="405"/>
        <item x="390"/>
        <item x="459"/>
        <item x="512"/>
        <item x="461"/>
        <item x="523"/>
        <item x="462"/>
        <item x="438"/>
        <item x="489"/>
        <item x="532"/>
        <item x="498"/>
        <item x="525"/>
        <item x="516"/>
        <item x="552"/>
        <item x="533"/>
        <item x="499"/>
        <item x="544"/>
        <item x="501"/>
        <item x="389"/>
        <item x="372"/>
        <item x="371"/>
        <item x="865"/>
        <item x="397"/>
        <item x="769"/>
        <item x="393"/>
        <item x="440"/>
        <item x="526"/>
        <item x="451"/>
        <item x="549"/>
        <item x="518"/>
        <item x="537"/>
        <item x="556"/>
        <item x="548"/>
        <item x="496"/>
        <item x="482"/>
        <item x="447"/>
        <item x="490"/>
        <item x="433"/>
        <item x="506"/>
        <item x="428"/>
        <item x="491"/>
        <item x="450"/>
        <item x="453"/>
        <item x="460"/>
        <item x="485"/>
        <item x="528"/>
        <item x="455"/>
        <item x="429"/>
        <item x="439"/>
        <item x="515"/>
        <item x="441"/>
        <item x="437"/>
        <item x="434"/>
        <item x="424"/>
        <item x="465"/>
        <item x="458"/>
        <item x="387"/>
        <item x="421"/>
        <item x="375"/>
        <item x="473"/>
        <item x="481"/>
        <item x="395"/>
        <item x="379"/>
        <item x="484"/>
        <item x="432"/>
        <item x="435"/>
        <item x="463"/>
        <item x="385"/>
        <item x="383"/>
        <item x="391"/>
        <item x="446"/>
        <item x="436"/>
        <item x="469"/>
        <item x="402"/>
        <item x="550"/>
        <item x="517"/>
        <item x="492"/>
        <item x="403"/>
        <item x="420"/>
        <item x="508"/>
        <item x="511"/>
        <item x="519"/>
        <item x="487"/>
        <item x="551"/>
        <item x="502"/>
        <item x="443"/>
        <item x="538"/>
        <item x="404"/>
        <item x="505"/>
        <item x="486"/>
        <item x="416"/>
        <item x="470"/>
        <item x="553"/>
        <item x="554"/>
        <item x="509"/>
        <item x="400"/>
        <item x="396"/>
        <item x="452"/>
        <item x="521"/>
        <item x="497"/>
        <item x="425"/>
        <item x="442"/>
        <item x="471"/>
        <item x="468"/>
        <item x="466"/>
        <item x="864"/>
        <item x="457"/>
        <item x="524"/>
        <item x="507"/>
        <item x="488"/>
        <item x="555"/>
        <item x="464"/>
        <item x="539"/>
        <item x="456"/>
        <item x="558"/>
        <item x="543"/>
        <item x="522"/>
        <item x="493"/>
        <item x="541"/>
        <item x="477"/>
        <item x="412"/>
        <item x="536"/>
        <item x="475"/>
        <item x="495"/>
        <item x="545"/>
        <item x="546"/>
        <item x="386"/>
        <item x="407"/>
        <item x="540"/>
        <item x="531"/>
        <item x="200"/>
        <item x="205"/>
        <item x="767"/>
        <item x="409"/>
        <item x="408"/>
        <item x="411"/>
        <item x="55"/>
        <item x="834"/>
        <item x="808"/>
        <item x="811"/>
        <item x="810"/>
        <item x="809"/>
        <item x="843"/>
        <item x="826"/>
        <item x="845"/>
        <item x="848"/>
        <item x="827"/>
        <item x="837"/>
        <item x="838"/>
        <item x="841"/>
        <item x="839"/>
        <item x="355"/>
        <item x="360"/>
        <item x="358"/>
        <item x="356"/>
        <item x="354"/>
        <item x="357"/>
        <item x="852"/>
        <item x="855"/>
        <item x="854"/>
        <item x="853"/>
        <item x="368"/>
        <item x="363"/>
        <item x="366"/>
        <item x="369"/>
        <item x="367"/>
        <item x="365"/>
        <item x="362"/>
        <item x="359"/>
        <item x="352"/>
        <item x="370"/>
        <item x="353"/>
        <item x="361"/>
        <item x="364"/>
        <item x="27"/>
        <item x="91"/>
        <item x="124"/>
        <item x="126"/>
        <item x="581"/>
        <item x="587"/>
        <item x="41"/>
        <item x="561"/>
        <item x="609"/>
        <item x="590"/>
        <item x="86"/>
        <item x="584"/>
        <item x="585"/>
        <item x="130"/>
        <item x="103"/>
        <item x="116"/>
        <item x="569"/>
        <item x="560"/>
        <item x="570"/>
        <item x="89"/>
        <item x="593"/>
        <item x="139"/>
        <item x="134"/>
        <item x="115"/>
        <item x="233"/>
        <item x="230"/>
        <item x="83"/>
        <item x="343"/>
        <item x="335"/>
        <item x="325"/>
        <item x="626"/>
        <item x="401"/>
        <item x="374"/>
        <item x="276"/>
        <item x="762"/>
        <item x="761"/>
        <item x="663"/>
        <item x="419"/>
        <item x="381"/>
        <item x="257"/>
        <item x="662"/>
        <item x="380"/>
        <item x="474"/>
        <item x="373"/>
        <item x="862"/>
        <item x="863"/>
        <item x="241"/>
        <item x="867"/>
        <item x="264"/>
        <item x="254"/>
        <item x="252"/>
        <item x="253"/>
        <item x="262"/>
        <item x="251"/>
        <item x="271"/>
        <item x="222"/>
        <item x="223"/>
        <item x="99"/>
        <item x="500"/>
        <item x="413"/>
        <item x="384"/>
        <item x="422"/>
        <item x="529"/>
        <item x="513"/>
        <item x="445"/>
        <item x="479"/>
        <item x="688"/>
        <item x="689"/>
        <item x="690"/>
        <item x="691"/>
        <item x="692"/>
        <item x="693"/>
        <item x="694"/>
        <item x="695"/>
        <item x="696"/>
        <item x="697"/>
        <item x="698"/>
        <item x="67"/>
        <item x="217"/>
        <item x="216"/>
        <item x="215"/>
        <item x="213"/>
        <item x="214"/>
        <item x="179"/>
        <item x="173"/>
        <item x="189"/>
        <item x="180"/>
        <item x="196"/>
        <item x="195"/>
        <item x="61"/>
        <item x="45"/>
        <item x="106"/>
        <item x="104"/>
        <item x="836"/>
        <item x="805"/>
        <item x="821"/>
        <item x="820"/>
        <item x="816"/>
        <item x="819"/>
        <item x="822"/>
        <item x="840"/>
        <item x="824"/>
        <item x="829"/>
        <item x="832"/>
        <item x="534"/>
        <item x="520"/>
        <item x="646"/>
        <item x="756"/>
        <item x="635"/>
        <item x="740"/>
        <item x="632"/>
        <item x="752"/>
        <item x="642"/>
        <item x="648"/>
        <item x="627"/>
        <item x="137"/>
        <item x="118"/>
        <item x="138"/>
        <item x="114"/>
        <item x="597"/>
        <item x="236"/>
        <item x="237"/>
        <item x="238"/>
        <item x="234"/>
        <item x="242"/>
        <item x="263"/>
        <item x="605"/>
        <item x="588"/>
        <item x="594"/>
        <item x="279"/>
        <item x="235"/>
        <item x="245"/>
        <item x="244"/>
        <item x="261"/>
        <item x="231"/>
        <item x="280"/>
        <item x="121"/>
        <item x="93"/>
        <item x="122"/>
        <item x="108"/>
        <item x="82"/>
        <item x="127"/>
        <item x="141"/>
        <item x="649"/>
        <item x="78"/>
        <item x="58"/>
        <item x="64"/>
        <item x="56"/>
        <item x="622"/>
        <item x="620"/>
        <item x="699"/>
        <item x="700"/>
        <item x="701"/>
        <item x="702"/>
        <item x="703"/>
        <item x="704"/>
        <item x="705"/>
        <item x="706"/>
        <item x="707"/>
        <item x="708"/>
        <item x="709"/>
        <item x="710"/>
        <item x="711"/>
        <item x="712"/>
        <item x="713"/>
        <item x="714"/>
        <item x="715"/>
        <item x="716"/>
        <item x="804"/>
        <item x="717"/>
        <item x="718"/>
        <item x="719"/>
        <item x="720"/>
        <item x="721"/>
        <item x="722"/>
        <item x="723"/>
        <item x="724"/>
        <item x="725"/>
        <item x="726"/>
        <item x="727"/>
        <item x="728"/>
        <item x="729"/>
        <item x="24"/>
        <item x="65"/>
        <item x="63"/>
        <item x="15"/>
        <item x="25"/>
        <item x="16"/>
        <item x="33"/>
        <item x="30"/>
        <item x="11"/>
        <item x="9"/>
        <item x="14"/>
        <item x="849"/>
        <item x="542"/>
        <item x="333"/>
        <item x="168"/>
        <item x="145"/>
        <item x="144"/>
        <item x="158"/>
        <item x="54"/>
        <item x="258"/>
        <item x="783"/>
        <item x="255"/>
        <item x="269"/>
        <item x="228"/>
        <item x="785"/>
        <item x="831"/>
        <item x="844"/>
        <item x="842"/>
        <item x="830"/>
        <item x="603"/>
        <item x="266"/>
        <item x="267"/>
        <item x="591"/>
        <item x="256"/>
        <item x="557"/>
        <item x="575"/>
        <item x="607"/>
        <item x="562"/>
        <item x="232"/>
        <item x="467"/>
        <item x="604"/>
        <item x="825"/>
        <item x="828"/>
        <item x="823"/>
        <item x="835"/>
        <item x="812"/>
        <item x="817"/>
        <item x="813"/>
        <item x="814"/>
        <item x="815"/>
        <item x="818"/>
        <item x="527"/>
        <item x="547"/>
        <item x="143"/>
        <item x="109"/>
        <item x="98"/>
        <item x="129"/>
        <item x="133"/>
        <item x="316"/>
        <item x="282"/>
        <item x="296"/>
        <item x="504"/>
        <item x="731"/>
        <item x="219"/>
        <item x="781"/>
        <item x="730"/>
        <item x="68"/>
        <item x="782"/>
        <item x="798"/>
        <item x="100"/>
        <item x="682"/>
        <item x="687"/>
        <item x="678"/>
        <item x="125"/>
        <item x="683"/>
        <item x="676"/>
        <item x="773"/>
        <item x="774"/>
        <item x="119"/>
        <item x="102"/>
        <item x="270"/>
        <item x="800"/>
        <item x="795"/>
        <item x="792"/>
        <item x="794"/>
        <item x="110"/>
        <item x="81"/>
        <item x="79"/>
        <item x="573"/>
        <item x="583"/>
        <item x="589"/>
        <item x="600"/>
        <item x="571"/>
        <item x="567"/>
        <item x="592"/>
        <item x="90"/>
        <item x="94"/>
        <item x="80"/>
        <item x="95"/>
        <item x="96"/>
        <item x="87"/>
        <item x="84"/>
        <item x="85"/>
        <item x="92"/>
        <item x="111"/>
        <item x="113"/>
        <item x="69"/>
        <item x="112"/>
        <item x="210"/>
        <item x="644"/>
        <item x="136"/>
        <item x="623"/>
        <item x="128"/>
        <item x="142"/>
        <item x="240"/>
        <item x="246"/>
        <item x="763"/>
        <item x="208"/>
        <item x="342"/>
        <item x="220"/>
        <item x="764"/>
        <item x="793"/>
        <item x="586"/>
        <item x="199"/>
        <item x="661"/>
        <item x="197"/>
        <item x="619"/>
        <item x="780"/>
        <item x="779"/>
        <item x="201"/>
        <item x="198"/>
        <item x="681"/>
        <item x="778"/>
        <item x="188"/>
        <item x="768"/>
        <item x="204"/>
        <item x="777"/>
        <item x="776"/>
        <item x="75"/>
        <item x="350"/>
        <item x="757"/>
        <item x="653"/>
        <item x="679"/>
        <item x="801"/>
        <item x="673"/>
        <item x="668"/>
        <item x="672"/>
        <item x="677"/>
        <item x="775"/>
        <item x="667"/>
        <item x="670"/>
        <item x="664"/>
        <item x="669"/>
        <item x="665"/>
        <item x="770"/>
        <item x="772"/>
        <item x="686"/>
        <item x="685"/>
        <item x="666"/>
        <item x="771"/>
        <item x="674"/>
        <item x="680"/>
        <item x="796"/>
        <item x="799"/>
        <item x="675"/>
        <item x="671"/>
        <item x="856"/>
        <item x="791"/>
        <item x="797"/>
        <item x="787"/>
        <item x="684"/>
        <item x="788"/>
        <item x="789"/>
        <item x="790"/>
        <item x="658"/>
        <item x="483"/>
        <item x="786"/>
        <item x="784"/>
        <item x="480"/>
        <item x="660"/>
        <item x="647"/>
        <item x="572"/>
        <item x="530"/>
        <item x="494"/>
        <item x="147"/>
        <item x="157"/>
        <item x="149"/>
        <item x="162"/>
        <item x="155"/>
        <item x="154"/>
        <item x="153"/>
        <item x="151"/>
        <item x="166"/>
        <item x="159"/>
        <item x="163"/>
        <item x="161"/>
        <item x="152"/>
        <item x="156"/>
        <item x="170"/>
        <item x="165"/>
        <item x="167"/>
        <item x="148"/>
        <item x="146"/>
        <item x="160"/>
        <item x="164"/>
        <item x="169"/>
        <item x="171"/>
        <item x="846"/>
        <item x="847"/>
        <item x="833"/>
        <item x="610"/>
        <item t="default"/>
      </items>
    </pivotField>
    <pivotField compact="0" outline="0" showAll="0"/>
    <pivotField compact="0" outline="0" showAll="0"/>
    <pivotField compact="0" outline="0" showAll="0">
      <items count="26">
        <item x="21"/>
        <item x="15"/>
        <item x="22"/>
        <item x="1"/>
        <item x="9"/>
        <item x="23"/>
        <item x="24"/>
        <item x="17"/>
        <item x="19"/>
        <item x="4"/>
        <item x="8"/>
        <item x="10"/>
        <item x="3"/>
        <item x="16"/>
        <item x="2"/>
        <item x="6"/>
        <item x="11"/>
        <item x="7"/>
        <item x="20"/>
        <item x="0"/>
        <item x="18"/>
        <item x="5"/>
        <item x="13"/>
        <item x="14"/>
        <item x="12"/>
        <item t="default"/>
      </items>
    </pivotField>
    <pivotField compact="0" outline="0" showAll="0"/>
    <pivotField compact="0" outline="0" showAll="0"/>
    <pivotField compact="0" outline="0" showAll="0"/>
    <pivotField compact="0" outline="0" showAll="0"/>
    <pivotField compact="0" numFmtId="9" outline="0" subtotalTop="0" showAll="0"/>
    <pivotField compact="0" outline="0" subtotalTop="0" showAll="0"/>
    <pivotField compact="0" outline="0" subtotalTop="0" showAll="0"/>
    <pivotField compact="0" outline="0" subtotalTop="0" showAll="0"/>
  </pivotFields>
  <rowFields count="1">
    <field x="0"/>
  </rowFields>
  <rowItems count="18">
    <i>
      <x v="14"/>
    </i>
    <i>
      <x/>
    </i>
    <i>
      <x v="13"/>
    </i>
    <i>
      <x v="11"/>
    </i>
    <i>
      <x v="16"/>
    </i>
    <i>
      <x v="10"/>
    </i>
    <i>
      <x v="5"/>
    </i>
    <i>
      <x v="2"/>
    </i>
    <i>
      <x v="7"/>
    </i>
    <i>
      <x v="15"/>
    </i>
    <i>
      <x v="1"/>
    </i>
    <i>
      <x v="9"/>
    </i>
    <i>
      <x v="8"/>
    </i>
    <i>
      <x v="12"/>
    </i>
    <i>
      <x v="4"/>
    </i>
    <i>
      <x v="3"/>
    </i>
    <i>
      <x v="6"/>
    </i>
    <i t="grand">
      <x/>
    </i>
  </rowItems>
  <colItems count="1">
    <i/>
  </colItems>
  <dataFields count="1">
    <dataField name="Count of Model" fld="1" subtotal="count" baseField="0" baseItem="0"/>
  </dataFields>
  <chartFormats count="2">
    <chartFormat chart="12" format="7" series="1">
      <pivotArea type="data" outline="0" fieldPosition="0"/>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CD9B68-224A-4ACD-AEEA-E8D61DD75021}"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gridDropZones="1" multipleFieldFilters="0" chartFormat="14">
  <location ref="E5:J23" firstHeaderRow="1" firstDataRow="2" firstDataCol="1"/>
  <pivotFields count="13">
    <pivotField axis="axisRow" compact="0" outline="0" showAll="0">
      <items count="18">
        <item sd="0" x="9"/>
        <item sd="0" x="5"/>
        <item sd="0" x="7"/>
        <item sd="0" x="3"/>
        <item sd="0" x="1"/>
        <item sd="0" x="16"/>
        <item sd="0" x="2"/>
        <item sd="0" x="11"/>
        <item sd="0" x="4"/>
        <item sd="0" x="12"/>
        <item sd="0" x="8"/>
        <item sd="0" x="0"/>
        <item sd="0" x="13"/>
        <item sd="0" x="6"/>
        <item sd="0" x="10"/>
        <item sd="0" x="14"/>
        <item sd="0" x="15"/>
        <item t="default"/>
      </items>
    </pivotField>
    <pivotField compact="0" outline="0" showAll="0">
      <items count="869">
        <item x="207"/>
        <item x="77"/>
        <item x="318"/>
        <item x="324"/>
        <item x="304"/>
        <item x="297"/>
        <item x="70"/>
        <item x="321"/>
        <item x="314"/>
        <item x="292"/>
        <item x="348"/>
        <item x="319"/>
        <item x="322"/>
        <item x="334"/>
        <item x="295"/>
        <item x="203"/>
        <item x="317"/>
        <item x="347"/>
        <item x="187"/>
        <item x="340"/>
        <item x="339"/>
        <item x="184"/>
        <item x="338"/>
        <item x="306"/>
        <item x="733"/>
        <item x="283"/>
        <item x="330"/>
        <item x="328"/>
        <item x="320"/>
        <item x="310"/>
        <item x="307"/>
        <item x="309"/>
        <item x="323"/>
        <item x="346"/>
        <item x="329"/>
        <item x="351"/>
        <item x="734"/>
        <item x="742"/>
        <item x="331"/>
        <item x="308"/>
        <item x="281"/>
        <item x="288"/>
        <item x="312"/>
        <item x="311"/>
        <item x="807"/>
        <item x="284"/>
        <item x="802"/>
        <item x="803"/>
        <item x="289"/>
        <item x="298"/>
        <item x="293"/>
        <item x="286"/>
        <item x="287"/>
        <item x="313"/>
        <item x="76"/>
        <item x="305"/>
        <item x="301"/>
        <item x="285"/>
        <item x="300"/>
        <item x="302"/>
        <item x="303"/>
        <item x="615"/>
        <item x="73"/>
        <item x="326"/>
        <item x="291"/>
        <item x="74"/>
        <item x="72"/>
        <item x="192"/>
        <item x="71"/>
        <item x="193"/>
        <item x="315"/>
        <item x="743"/>
        <item x="299"/>
        <item x="290"/>
        <item x="209"/>
        <item x="221"/>
        <item x="218"/>
        <item x="336"/>
        <item x="748"/>
        <item x="741"/>
        <item x="206"/>
        <item x="150"/>
        <item x="344"/>
        <item x="212"/>
        <item x="194"/>
        <item x="181"/>
        <item x="182"/>
        <item x="332"/>
        <item x="341"/>
        <item x="747"/>
        <item x="738"/>
        <item x="744"/>
        <item x="177"/>
        <item x="857"/>
        <item x="860"/>
        <item x="858"/>
        <item x="859"/>
        <item x="806"/>
        <item x="765"/>
        <item x="227"/>
        <item x="249"/>
        <item x="243"/>
        <item x="601"/>
        <item x="6"/>
        <item x="1"/>
        <item x="12"/>
        <item x="17"/>
        <item x="758"/>
        <item x="851"/>
        <item x="48"/>
        <item x="566"/>
        <item x="563"/>
        <item x="4"/>
        <item x="606"/>
        <item x="598"/>
        <item x="3"/>
        <item x="49"/>
        <item x="596"/>
        <item x="39"/>
        <item x="32"/>
        <item x="565"/>
        <item x="34"/>
        <item x="577"/>
        <item x="43"/>
        <item x="0"/>
        <item x="579"/>
        <item x="2"/>
        <item x="8"/>
        <item x="759"/>
        <item x="47"/>
        <item x="23"/>
        <item x="599"/>
        <item x="602"/>
        <item x="608"/>
        <item x="576"/>
        <item x="578"/>
        <item x="559"/>
        <item x="21"/>
        <item x="564"/>
        <item x="580"/>
        <item x="582"/>
        <item x="46"/>
        <item x="44"/>
        <item x="51"/>
        <item x="5"/>
        <item x="13"/>
        <item x="568"/>
        <item x="40"/>
        <item x="37"/>
        <item x="595"/>
        <item x="52"/>
        <item x="28"/>
        <item x="345"/>
        <item x="337"/>
        <item x="349"/>
        <item x="327"/>
        <item x="574"/>
        <item x="449"/>
        <item x="476"/>
        <item x="638"/>
        <item x="624"/>
        <item x="186"/>
        <item x="172"/>
        <item x="185"/>
        <item x="183"/>
        <item x="191"/>
        <item x="202"/>
        <item x="174"/>
        <item x="294"/>
        <item x="178"/>
        <item x="175"/>
        <item x="211"/>
        <item x="176"/>
        <item x="766"/>
        <item x="190"/>
        <item x="850"/>
        <item x="861"/>
        <item x="88"/>
        <item x="275"/>
        <item x="272"/>
        <item x="754"/>
        <item x="739"/>
        <item x="751"/>
        <item x="746"/>
        <item x="750"/>
        <item x="735"/>
        <item x="732"/>
        <item x="755"/>
        <item x="753"/>
        <item x="749"/>
        <item x="745"/>
        <item x="737"/>
        <item x="736"/>
        <item x="636"/>
        <item x="621"/>
        <item x="639"/>
        <item x="637"/>
        <item x="634"/>
        <item x="611"/>
        <item x="616"/>
        <item x="618"/>
        <item x="640"/>
        <item x="278"/>
        <item x="274"/>
        <item x="259"/>
        <item x="277"/>
        <item x="250"/>
        <item x="62"/>
        <item x="36"/>
        <item x="247"/>
        <item x="268"/>
        <item x="265"/>
        <item x="225"/>
        <item x="31"/>
        <item x="229"/>
        <item x="57"/>
        <item x="26"/>
        <item x="10"/>
        <item x="7"/>
        <item x="20"/>
        <item x="18"/>
        <item x="19"/>
        <item x="66"/>
        <item x="248"/>
        <item x="226"/>
        <item x="38"/>
        <item x="35"/>
        <item x="760"/>
        <item x="53"/>
        <item x="22"/>
        <item x="59"/>
        <item x="60"/>
        <item x="224"/>
        <item x="42"/>
        <item x="239"/>
        <item x="260"/>
        <item x="50"/>
        <item x="29"/>
        <item x="651"/>
        <item x="631"/>
        <item x="641"/>
        <item x="117"/>
        <item x="612"/>
        <item x="120"/>
        <item x="273"/>
        <item x="131"/>
        <item x="140"/>
        <item x="628"/>
        <item x="657"/>
        <item x="132"/>
        <item x="655"/>
        <item x="135"/>
        <item x="614"/>
        <item x="629"/>
        <item x="107"/>
        <item x="659"/>
        <item x="643"/>
        <item x="625"/>
        <item x="123"/>
        <item x="652"/>
        <item x="654"/>
        <item x="613"/>
        <item x="645"/>
        <item x="656"/>
        <item x="105"/>
        <item x="97"/>
        <item x="650"/>
        <item x="617"/>
        <item x="101"/>
        <item x="633"/>
        <item x="630"/>
        <item x="866"/>
        <item x="388"/>
        <item x="444"/>
        <item x="431"/>
        <item x="376"/>
        <item x="472"/>
        <item x="430"/>
        <item x="423"/>
        <item x="382"/>
        <item x="377"/>
        <item x="378"/>
        <item x="510"/>
        <item x="454"/>
        <item x="426"/>
        <item x="418"/>
        <item x="399"/>
        <item x="535"/>
        <item x="514"/>
        <item x="448"/>
        <item x="410"/>
        <item x="392"/>
        <item x="398"/>
        <item x="503"/>
        <item x="394"/>
        <item x="414"/>
        <item x="415"/>
        <item x="427"/>
        <item x="478"/>
        <item x="417"/>
        <item x="406"/>
        <item x="405"/>
        <item x="390"/>
        <item x="459"/>
        <item x="512"/>
        <item x="461"/>
        <item x="523"/>
        <item x="462"/>
        <item x="438"/>
        <item x="489"/>
        <item x="532"/>
        <item x="498"/>
        <item x="525"/>
        <item x="516"/>
        <item x="552"/>
        <item x="533"/>
        <item x="499"/>
        <item x="544"/>
        <item x="501"/>
        <item x="389"/>
        <item x="372"/>
        <item x="371"/>
        <item x="865"/>
        <item x="397"/>
        <item x="769"/>
        <item x="393"/>
        <item x="440"/>
        <item x="526"/>
        <item x="451"/>
        <item x="549"/>
        <item x="518"/>
        <item x="537"/>
        <item x="556"/>
        <item x="548"/>
        <item x="496"/>
        <item x="482"/>
        <item x="447"/>
        <item x="490"/>
        <item x="433"/>
        <item x="506"/>
        <item x="428"/>
        <item x="491"/>
        <item x="450"/>
        <item x="453"/>
        <item x="460"/>
        <item x="485"/>
        <item x="528"/>
        <item x="455"/>
        <item x="429"/>
        <item x="439"/>
        <item x="515"/>
        <item x="441"/>
        <item x="437"/>
        <item x="434"/>
        <item x="424"/>
        <item x="465"/>
        <item x="458"/>
        <item x="387"/>
        <item x="421"/>
        <item x="375"/>
        <item x="473"/>
        <item x="481"/>
        <item x="395"/>
        <item x="379"/>
        <item x="484"/>
        <item x="432"/>
        <item x="435"/>
        <item x="463"/>
        <item x="385"/>
        <item x="383"/>
        <item x="391"/>
        <item x="446"/>
        <item x="436"/>
        <item x="469"/>
        <item x="402"/>
        <item x="550"/>
        <item x="517"/>
        <item x="492"/>
        <item x="403"/>
        <item x="420"/>
        <item x="508"/>
        <item x="511"/>
        <item x="519"/>
        <item x="487"/>
        <item x="551"/>
        <item x="502"/>
        <item x="443"/>
        <item x="538"/>
        <item x="404"/>
        <item x="505"/>
        <item x="486"/>
        <item x="416"/>
        <item x="470"/>
        <item x="553"/>
        <item x="554"/>
        <item x="509"/>
        <item x="400"/>
        <item x="396"/>
        <item x="452"/>
        <item x="521"/>
        <item x="497"/>
        <item x="425"/>
        <item x="442"/>
        <item x="471"/>
        <item x="468"/>
        <item x="466"/>
        <item x="864"/>
        <item x="457"/>
        <item x="524"/>
        <item x="507"/>
        <item x="488"/>
        <item x="555"/>
        <item x="464"/>
        <item x="539"/>
        <item x="456"/>
        <item x="558"/>
        <item x="543"/>
        <item x="522"/>
        <item x="493"/>
        <item x="541"/>
        <item x="477"/>
        <item x="412"/>
        <item x="536"/>
        <item x="475"/>
        <item x="495"/>
        <item x="545"/>
        <item x="546"/>
        <item x="386"/>
        <item x="407"/>
        <item x="540"/>
        <item x="531"/>
        <item x="200"/>
        <item x="205"/>
        <item x="767"/>
        <item x="409"/>
        <item x="408"/>
        <item x="411"/>
        <item x="55"/>
        <item x="834"/>
        <item x="808"/>
        <item x="811"/>
        <item x="810"/>
        <item x="809"/>
        <item x="843"/>
        <item x="826"/>
        <item x="845"/>
        <item x="848"/>
        <item x="827"/>
        <item x="837"/>
        <item x="838"/>
        <item x="841"/>
        <item x="839"/>
        <item x="355"/>
        <item x="360"/>
        <item x="358"/>
        <item x="356"/>
        <item x="354"/>
        <item x="357"/>
        <item x="852"/>
        <item x="855"/>
        <item x="854"/>
        <item x="853"/>
        <item x="368"/>
        <item x="363"/>
        <item x="366"/>
        <item x="369"/>
        <item x="367"/>
        <item x="365"/>
        <item x="362"/>
        <item x="359"/>
        <item x="352"/>
        <item x="370"/>
        <item x="353"/>
        <item x="361"/>
        <item x="364"/>
        <item x="27"/>
        <item x="91"/>
        <item x="124"/>
        <item x="126"/>
        <item x="581"/>
        <item x="587"/>
        <item x="41"/>
        <item x="561"/>
        <item x="609"/>
        <item x="590"/>
        <item x="86"/>
        <item x="584"/>
        <item x="585"/>
        <item x="130"/>
        <item x="103"/>
        <item x="116"/>
        <item x="569"/>
        <item x="560"/>
        <item x="570"/>
        <item x="89"/>
        <item x="593"/>
        <item x="139"/>
        <item x="134"/>
        <item x="115"/>
        <item x="233"/>
        <item x="230"/>
        <item x="83"/>
        <item x="343"/>
        <item x="335"/>
        <item x="325"/>
        <item x="626"/>
        <item x="401"/>
        <item x="374"/>
        <item x="276"/>
        <item x="762"/>
        <item x="761"/>
        <item x="663"/>
        <item x="419"/>
        <item x="381"/>
        <item x="257"/>
        <item x="662"/>
        <item x="380"/>
        <item x="474"/>
        <item x="373"/>
        <item x="862"/>
        <item x="863"/>
        <item x="241"/>
        <item x="867"/>
        <item x="264"/>
        <item x="254"/>
        <item x="252"/>
        <item x="253"/>
        <item x="262"/>
        <item x="251"/>
        <item x="271"/>
        <item x="222"/>
        <item x="223"/>
        <item x="99"/>
        <item x="500"/>
        <item x="413"/>
        <item x="384"/>
        <item x="422"/>
        <item x="529"/>
        <item x="513"/>
        <item x="445"/>
        <item x="479"/>
        <item x="688"/>
        <item x="689"/>
        <item x="690"/>
        <item x="691"/>
        <item x="692"/>
        <item x="693"/>
        <item x="694"/>
        <item x="695"/>
        <item x="696"/>
        <item x="697"/>
        <item x="698"/>
        <item x="67"/>
        <item x="217"/>
        <item x="216"/>
        <item x="215"/>
        <item x="213"/>
        <item x="214"/>
        <item x="179"/>
        <item x="173"/>
        <item x="189"/>
        <item x="180"/>
        <item x="196"/>
        <item x="195"/>
        <item x="61"/>
        <item x="45"/>
        <item x="106"/>
        <item x="104"/>
        <item x="836"/>
        <item x="805"/>
        <item x="821"/>
        <item x="820"/>
        <item x="816"/>
        <item x="819"/>
        <item x="822"/>
        <item x="840"/>
        <item x="824"/>
        <item x="829"/>
        <item x="832"/>
        <item x="534"/>
        <item x="520"/>
        <item x="646"/>
        <item x="756"/>
        <item x="635"/>
        <item x="740"/>
        <item x="632"/>
        <item x="752"/>
        <item x="642"/>
        <item x="648"/>
        <item x="627"/>
        <item x="137"/>
        <item x="118"/>
        <item x="138"/>
        <item x="114"/>
        <item x="597"/>
        <item x="236"/>
        <item x="237"/>
        <item x="238"/>
        <item x="234"/>
        <item x="242"/>
        <item x="263"/>
        <item x="605"/>
        <item x="588"/>
        <item x="594"/>
        <item x="279"/>
        <item x="235"/>
        <item x="245"/>
        <item x="244"/>
        <item x="261"/>
        <item x="231"/>
        <item x="280"/>
        <item x="121"/>
        <item x="93"/>
        <item x="122"/>
        <item x="108"/>
        <item x="82"/>
        <item x="127"/>
        <item x="141"/>
        <item x="649"/>
        <item x="78"/>
        <item x="58"/>
        <item x="64"/>
        <item x="56"/>
        <item x="622"/>
        <item x="620"/>
        <item x="699"/>
        <item x="700"/>
        <item x="701"/>
        <item x="702"/>
        <item x="703"/>
        <item x="704"/>
        <item x="705"/>
        <item x="706"/>
        <item x="707"/>
        <item x="708"/>
        <item x="709"/>
        <item x="710"/>
        <item x="711"/>
        <item x="712"/>
        <item x="713"/>
        <item x="714"/>
        <item x="715"/>
        <item x="716"/>
        <item x="804"/>
        <item x="717"/>
        <item x="718"/>
        <item x="719"/>
        <item x="720"/>
        <item x="721"/>
        <item x="722"/>
        <item x="723"/>
        <item x="724"/>
        <item x="725"/>
        <item x="726"/>
        <item x="727"/>
        <item x="728"/>
        <item x="729"/>
        <item x="24"/>
        <item x="65"/>
        <item x="63"/>
        <item x="15"/>
        <item x="25"/>
        <item x="16"/>
        <item x="33"/>
        <item x="30"/>
        <item x="11"/>
        <item x="9"/>
        <item x="14"/>
        <item x="849"/>
        <item x="542"/>
        <item x="333"/>
        <item x="168"/>
        <item x="145"/>
        <item x="144"/>
        <item x="158"/>
        <item x="54"/>
        <item x="258"/>
        <item x="783"/>
        <item x="255"/>
        <item x="269"/>
        <item x="228"/>
        <item x="785"/>
        <item x="831"/>
        <item x="844"/>
        <item x="842"/>
        <item x="830"/>
        <item x="603"/>
        <item x="266"/>
        <item x="267"/>
        <item x="591"/>
        <item x="256"/>
        <item x="557"/>
        <item x="575"/>
        <item x="607"/>
        <item x="562"/>
        <item x="232"/>
        <item x="467"/>
        <item x="604"/>
        <item x="825"/>
        <item x="828"/>
        <item x="823"/>
        <item x="835"/>
        <item x="812"/>
        <item x="817"/>
        <item x="813"/>
        <item x="814"/>
        <item x="815"/>
        <item x="818"/>
        <item x="527"/>
        <item x="547"/>
        <item x="143"/>
        <item x="109"/>
        <item x="98"/>
        <item x="129"/>
        <item x="133"/>
        <item x="316"/>
        <item x="282"/>
        <item x="296"/>
        <item x="504"/>
        <item x="731"/>
        <item x="219"/>
        <item x="781"/>
        <item x="730"/>
        <item x="68"/>
        <item x="782"/>
        <item x="798"/>
        <item x="100"/>
        <item x="682"/>
        <item x="687"/>
        <item x="678"/>
        <item x="125"/>
        <item x="683"/>
        <item x="676"/>
        <item x="773"/>
        <item x="774"/>
        <item x="119"/>
        <item x="102"/>
        <item x="270"/>
        <item x="800"/>
        <item x="795"/>
        <item x="792"/>
        <item x="794"/>
        <item x="110"/>
        <item x="81"/>
        <item x="79"/>
        <item x="573"/>
        <item x="583"/>
        <item x="589"/>
        <item x="600"/>
        <item x="571"/>
        <item x="567"/>
        <item x="592"/>
        <item x="90"/>
        <item x="94"/>
        <item x="80"/>
        <item x="95"/>
        <item x="96"/>
        <item x="87"/>
        <item x="84"/>
        <item x="85"/>
        <item x="92"/>
        <item x="111"/>
        <item x="113"/>
        <item x="69"/>
        <item x="112"/>
        <item x="210"/>
        <item x="644"/>
        <item x="136"/>
        <item x="623"/>
        <item x="128"/>
        <item x="142"/>
        <item x="240"/>
        <item x="246"/>
        <item x="763"/>
        <item x="208"/>
        <item x="342"/>
        <item x="220"/>
        <item x="764"/>
        <item x="793"/>
        <item x="586"/>
        <item x="199"/>
        <item x="661"/>
        <item x="197"/>
        <item x="619"/>
        <item x="780"/>
        <item x="779"/>
        <item x="201"/>
        <item x="198"/>
        <item x="681"/>
        <item x="778"/>
        <item x="188"/>
        <item x="768"/>
        <item x="204"/>
        <item x="777"/>
        <item x="776"/>
        <item x="75"/>
        <item x="350"/>
        <item x="757"/>
        <item x="653"/>
        <item x="679"/>
        <item x="801"/>
        <item x="673"/>
        <item x="668"/>
        <item x="672"/>
        <item x="677"/>
        <item x="775"/>
        <item x="667"/>
        <item x="670"/>
        <item x="664"/>
        <item x="669"/>
        <item x="665"/>
        <item x="770"/>
        <item x="772"/>
        <item x="686"/>
        <item x="685"/>
        <item x="666"/>
        <item x="771"/>
        <item x="674"/>
        <item x="680"/>
        <item x="796"/>
        <item x="799"/>
        <item x="675"/>
        <item x="671"/>
        <item x="856"/>
        <item x="791"/>
        <item x="797"/>
        <item x="787"/>
        <item x="684"/>
        <item x="788"/>
        <item x="789"/>
        <item x="790"/>
        <item x="658"/>
        <item x="483"/>
        <item x="786"/>
        <item x="784"/>
        <item x="480"/>
        <item x="660"/>
        <item x="647"/>
        <item x="572"/>
        <item x="530"/>
        <item x="494"/>
        <item x="147"/>
        <item x="157"/>
        <item x="149"/>
        <item x="162"/>
        <item x="155"/>
        <item x="154"/>
        <item x="153"/>
        <item x="151"/>
        <item x="166"/>
        <item x="159"/>
        <item x="163"/>
        <item x="161"/>
        <item x="152"/>
        <item x="156"/>
        <item x="170"/>
        <item x="165"/>
        <item x="167"/>
        <item x="148"/>
        <item x="146"/>
        <item x="160"/>
        <item x="164"/>
        <item x="169"/>
        <item x="171"/>
        <item x="846"/>
        <item x="847"/>
        <item x="833"/>
        <item x="610"/>
        <item t="default"/>
      </items>
    </pivotField>
    <pivotField compact="0" outline="0" showAll="0"/>
    <pivotField compact="0" outline="0" showAll="0"/>
    <pivotField compact="0" outline="0" showAll="0">
      <items count="26">
        <item x="21"/>
        <item x="15"/>
        <item x="22"/>
        <item x="1"/>
        <item x="9"/>
        <item x="23"/>
        <item x="24"/>
        <item x="17"/>
        <item x="19"/>
        <item x="4"/>
        <item x="8"/>
        <item x="10"/>
        <item x="3"/>
        <item x="16"/>
        <item x="2"/>
        <item x="6"/>
        <item x="11"/>
        <item x="7"/>
        <item x="20"/>
        <item x="0"/>
        <item x="18"/>
        <item x="5"/>
        <item x="13"/>
        <item x="14"/>
        <item x="12"/>
        <item t="default"/>
      </items>
    </pivotField>
    <pivotField compact="0" outline="0" showAll="0"/>
    <pivotField compact="0" outline="0" showAll="0"/>
    <pivotField compact="0" outline="0" showAll="0"/>
    <pivotField compact="0" outline="0" showAll="0"/>
    <pivotField compact="0" numFmtId="9" outline="0" subtotalTop="0" showAll="0"/>
    <pivotField compact="0" outline="0" subtotalTop="0" showAll="0"/>
    <pivotField compact="0" outline="0" subtotalTop="0" showAll="0"/>
    <pivotField axis="axisCol" dataField="1" compact="0" outline="0" subtotalTop="0" showAll="0">
      <items count="5">
        <item x="1"/>
        <item x="2"/>
        <item x="0"/>
        <item x="3"/>
        <item t="default"/>
      </items>
    </pivotField>
  </pivotFields>
  <rowFields count="1">
    <field x="0"/>
  </rowFields>
  <rowItems count="17">
    <i>
      <x/>
    </i>
    <i>
      <x v="1"/>
    </i>
    <i>
      <x v="2"/>
    </i>
    <i>
      <x v="3"/>
    </i>
    <i>
      <x v="4"/>
    </i>
    <i>
      <x v="5"/>
    </i>
    <i>
      <x v="6"/>
    </i>
    <i>
      <x v="7"/>
    </i>
    <i>
      <x v="8"/>
    </i>
    <i>
      <x v="9"/>
    </i>
    <i>
      <x v="10"/>
    </i>
    <i>
      <x v="11"/>
    </i>
    <i>
      <x v="12"/>
    </i>
    <i>
      <x v="13"/>
    </i>
    <i>
      <x v="14"/>
    </i>
    <i>
      <x v="15"/>
    </i>
    <i>
      <x v="16"/>
    </i>
  </rowItems>
  <colFields count="1">
    <field x="12"/>
  </colFields>
  <colItems count="5">
    <i>
      <x/>
    </i>
    <i>
      <x v="1"/>
    </i>
    <i>
      <x v="2"/>
    </i>
    <i>
      <x v="3"/>
    </i>
    <i t="grand">
      <x/>
    </i>
  </colItems>
  <dataFields count="1">
    <dataField name="Count of Rating Segment" fld="12" subtotal="count" baseField="0" baseItem="0" numFmtId="1"/>
  </dataFields>
  <formats count="1">
    <format dxfId="71">
      <pivotArea outline="0" collapsedLevelsAreSubtotals="1" fieldPosition="0"/>
    </format>
  </formats>
  <chartFormats count="4">
    <chartFormat chart="11" format="8" series="1">
      <pivotArea type="data" outline="0" fieldPosition="0">
        <references count="2">
          <reference field="4294967294" count="1" selected="0">
            <x v="0"/>
          </reference>
          <reference field="12" count="1" selected="0">
            <x v="0"/>
          </reference>
        </references>
      </pivotArea>
    </chartFormat>
    <chartFormat chart="11" format="9" series="1">
      <pivotArea type="data" outline="0" fieldPosition="0">
        <references count="2">
          <reference field="4294967294" count="1" selected="0">
            <x v="0"/>
          </reference>
          <reference field="12" count="1" selected="0">
            <x v="1"/>
          </reference>
        </references>
      </pivotArea>
    </chartFormat>
    <chartFormat chart="11" format="10" series="1">
      <pivotArea type="data" outline="0" fieldPosition="0">
        <references count="2">
          <reference field="4294967294" count="1" selected="0">
            <x v="0"/>
          </reference>
          <reference field="12" count="1" selected="0">
            <x v="2"/>
          </reference>
        </references>
      </pivotArea>
    </chartFormat>
    <chartFormat chart="11" format="11" series="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CD3171-28DD-4DE7-ABE7-95AE81254642}" name="Avg rating"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9">
  <location ref="A5:B24" firstHeaderRow="2" firstDataRow="2" firstDataCol="1"/>
  <pivotFields count="13">
    <pivotField axis="axisRow" compact="0" outline="0" showAll="0" sortType="descending">
      <items count="18">
        <item sd="0" x="9"/>
        <item sd="0" x="5"/>
        <item sd="0" x="7"/>
        <item sd="0" x="3"/>
        <item sd="0" x="1"/>
        <item sd="0" x="16"/>
        <item sd="0" x="2"/>
        <item sd="0" x="11"/>
        <item sd="0" x="4"/>
        <item sd="0" x="12"/>
        <item sd="0" x="8"/>
        <item sd="0" x="0"/>
        <item sd="0" x="13"/>
        <item sd="0" x="6"/>
        <item sd="0" x="10"/>
        <item sd="0" x="14"/>
        <item sd="0" x="15"/>
        <item t="default"/>
      </items>
      <autoSortScope>
        <pivotArea dataOnly="0" outline="0" fieldPosition="0">
          <references count="1">
            <reference field="4294967294" count="1" selected="0">
              <x v="0"/>
            </reference>
          </references>
        </pivotArea>
      </autoSortScope>
    </pivotField>
    <pivotField compact="0" outline="0" showAll="0">
      <items count="869">
        <item x="207"/>
        <item x="77"/>
        <item x="318"/>
        <item x="324"/>
        <item x="304"/>
        <item x="297"/>
        <item x="70"/>
        <item x="321"/>
        <item x="314"/>
        <item x="292"/>
        <item x="348"/>
        <item x="319"/>
        <item x="322"/>
        <item x="334"/>
        <item x="295"/>
        <item x="203"/>
        <item x="317"/>
        <item x="347"/>
        <item x="187"/>
        <item x="340"/>
        <item x="339"/>
        <item x="184"/>
        <item x="338"/>
        <item x="306"/>
        <item x="733"/>
        <item x="283"/>
        <item x="330"/>
        <item x="328"/>
        <item x="320"/>
        <item x="310"/>
        <item x="307"/>
        <item x="309"/>
        <item x="323"/>
        <item x="346"/>
        <item x="329"/>
        <item x="351"/>
        <item x="734"/>
        <item x="742"/>
        <item x="331"/>
        <item x="308"/>
        <item x="281"/>
        <item x="288"/>
        <item x="312"/>
        <item x="311"/>
        <item x="807"/>
        <item x="284"/>
        <item x="802"/>
        <item x="803"/>
        <item x="289"/>
        <item x="298"/>
        <item x="293"/>
        <item x="286"/>
        <item x="287"/>
        <item x="313"/>
        <item x="76"/>
        <item x="305"/>
        <item x="301"/>
        <item x="285"/>
        <item x="300"/>
        <item x="302"/>
        <item x="303"/>
        <item x="615"/>
        <item x="73"/>
        <item x="326"/>
        <item x="291"/>
        <item x="74"/>
        <item x="72"/>
        <item x="192"/>
        <item x="71"/>
        <item x="193"/>
        <item x="315"/>
        <item x="743"/>
        <item x="299"/>
        <item x="290"/>
        <item x="209"/>
        <item x="221"/>
        <item x="218"/>
        <item x="336"/>
        <item x="748"/>
        <item x="741"/>
        <item x="206"/>
        <item x="150"/>
        <item x="344"/>
        <item x="212"/>
        <item x="194"/>
        <item x="181"/>
        <item x="182"/>
        <item x="332"/>
        <item x="341"/>
        <item x="747"/>
        <item x="738"/>
        <item x="744"/>
        <item x="177"/>
        <item x="857"/>
        <item x="860"/>
        <item x="858"/>
        <item x="859"/>
        <item x="806"/>
        <item x="765"/>
        <item x="227"/>
        <item x="249"/>
        <item x="243"/>
        <item x="601"/>
        <item x="6"/>
        <item x="1"/>
        <item x="12"/>
        <item x="17"/>
        <item x="758"/>
        <item x="851"/>
        <item x="48"/>
        <item x="566"/>
        <item x="563"/>
        <item x="4"/>
        <item x="606"/>
        <item x="598"/>
        <item x="3"/>
        <item x="49"/>
        <item x="596"/>
        <item x="39"/>
        <item x="32"/>
        <item x="565"/>
        <item x="34"/>
        <item x="577"/>
        <item x="43"/>
        <item x="0"/>
        <item x="579"/>
        <item x="2"/>
        <item x="8"/>
        <item x="759"/>
        <item x="47"/>
        <item x="23"/>
        <item x="599"/>
        <item x="602"/>
        <item x="608"/>
        <item x="576"/>
        <item x="578"/>
        <item x="559"/>
        <item x="21"/>
        <item x="564"/>
        <item x="580"/>
        <item x="582"/>
        <item x="46"/>
        <item x="44"/>
        <item x="51"/>
        <item x="5"/>
        <item x="13"/>
        <item x="568"/>
        <item x="40"/>
        <item x="37"/>
        <item x="595"/>
        <item x="52"/>
        <item x="28"/>
        <item x="345"/>
        <item x="337"/>
        <item x="349"/>
        <item x="327"/>
        <item x="574"/>
        <item x="449"/>
        <item x="476"/>
        <item x="638"/>
        <item x="624"/>
        <item x="186"/>
        <item x="172"/>
        <item x="185"/>
        <item x="183"/>
        <item x="191"/>
        <item x="202"/>
        <item x="174"/>
        <item x="294"/>
        <item x="178"/>
        <item x="175"/>
        <item x="211"/>
        <item x="176"/>
        <item x="766"/>
        <item x="190"/>
        <item x="850"/>
        <item x="861"/>
        <item x="88"/>
        <item x="275"/>
        <item x="272"/>
        <item x="754"/>
        <item x="739"/>
        <item x="751"/>
        <item x="746"/>
        <item x="750"/>
        <item x="735"/>
        <item x="732"/>
        <item x="755"/>
        <item x="753"/>
        <item x="749"/>
        <item x="745"/>
        <item x="737"/>
        <item x="736"/>
        <item x="636"/>
        <item x="621"/>
        <item x="639"/>
        <item x="637"/>
        <item x="634"/>
        <item x="611"/>
        <item x="616"/>
        <item x="618"/>
        <item x="640"/>
        <item x="278"/>
        <item x="274"/>
        <item x="259"/>
        <item x="277"/>
        <item x="250"/>
        <item x="62"/>
        <item x="36"/>
        <item x="247"/>
        <item x="268"/>
        <item x="265"/>
        <item x="225"/>
        <item x="31"/>
        <item x="229"/>
        <item x="57"/>
        <item x="26"/>
        <item x="10"/>
        <item x="7"/>
        <item x="20"/>
        <item x="18"/>
        <item x="19"/>
        <item x="66"/>
        <item x="248"/>
        <item x="226"/>
        <item x="38"/>
        <item x="35"/>
        <item x="760"/>
        <item x="53"/>
        <item x="22"/>
        <item x="59"/>
        <item x="60"/>
        <item x="224"/>
        <item x="42"/>
        <item x="239"/>
        <item x="260"/>
        <item x="50"/>
        <item x="29"/>
        <item x="651"/>
        <item x="631"/>
        <item x="641"/>
        <item x="117"/>
        <item x="612"/>
        <item x="120"/>
        <item x="273"/>
        <item x="131"/>
        <item x="140"/>
        <item x="628"/>
        <item x="657"/>
        <item x="132"/>
        <item x="655"/>
        <item x="135"/>
        <item x="614"/>
        <item x="629"/>
        <item x="107"/>
        <item x="659"/>
        <item x="643"/>
        <item x="625"/>
        <item x="123"/>
        <item x="652"/>
        <item x="654"/>
        <item x="613"/>
        <item x="645"/>
        <item x="656"/>
        <item x="105"/>
        <item x="97"/>
        <item x="650"/>
        <item x="617"/>
        <item x="101"/>
        <item x="633"/>
        <item x="630"/>
        <item x="866"/>
        <item x="388"/>
        <item x="444"/>
        <item x="431"/>
        <item x="376"/>
        <item x="472"/>
        <item x="430"/>
        <item x="423"/>
        <item x="382"/>
        <item x="377"/>
        <item x="378"/>
        <item x="510"/>
        <item x="454"/>
        <item x="426"/>
        <item x="418"/>
        <item x="399"/>
        <item x="535"/>
        <item x="514"/>
        <item x="448"/>
        <item x="410"/>
        <item x="392"/>
        <item x="398"/>
        <item x="503"/>
        <item x="394"/>
        <item x="414"/>
        <item x="415"/>
        <item x="427"/>
        <item x="478"/>
        <item x="417"/>
        <item x="406"/>
        <item x="405"/>
        <item x="390"/>
        <item x="459"/>
        <item x="512"/>
        <item x="461"/>
        <item x="523"/>
        <item x="462"/>
        <item x="438"/>
        <item x="489"/>
        <item x="532"/>
        <item x="498"/>
        <item x="525"/>
        <item x="516"/>
        <item x="552"/>
        <item x="533"/>
        <item x="499"/>
        <item x="544"/>
        <item x="501"/>
        <item x="389"/>
        <item x="372"/>
        <item x="371"/>
        <item x="865"/>
        <item x="397"/>
        <item x="769"/>
        <item x="393"/>
        <item x="440"/>
        <item x="526"/>
        <item x="451"/>
        <item x="549"/>
        <item x="518"/>
        <item x="537"/>
        <item x="556"/>
        <item x="548"/>
        <item x="496"/>
        <item x="482"/>
        <item x="447"/>
        <item x="490"/>
        <item x="433"/>
        <item x="506"/>
        <item x="428"/>
        <item x="491"/>
        <item x="450"/>
        <item x="453"/>
        <item x="460"/>
        <item x="485"/>
        <item x="528"/>
        <item x="455"/>
        <item x="429"/>
        <item x="439"/>
        <item x="515"/>
        <item x="441"/>
        <item x="437"/>
        <item x="434"/>
        <item x="424"/>
        <item x="465"/>
        <item x="458"/>
        <item x="387"/>
        <item x="421"/>
        <item x="375"/>
        <item x="473"/>
        <item x="481"/>
        <item x="395"/>
        <item x="379"/>
        <item x="484"/>
        <item x="432"/>
        <item x="435"/>
        <item x="463"/>
        <item x="385"/>
        <item x="383"/>
        <item x="391"/>
        <item x="446"/>
        <item x="436"/>
        <item x="469"/>
        <item x="402"/>
        <item x="550"/>
        <item x="517"/>
        <item x="492"/>
        <item x="403"/>
        <item x="420"/>
        <item x="508"/>
        <item x="511"/>
        <item x="519"/>
        <item x="487"/>
        <item x="551"/>
        <item x="502"/>
        <item x="443"/>
        <item x="538"/>
        <item x="404"/>
        <item x="505"/>
        <item x="486"/>
        <item x="416"/>
        <item x="470"/>
        <item x="553"/>
        <item x="554"/>
        <item x="509"/>
        <item x="400"/>
        <item x="396"/>
        <item x="452"/>
        <item x="521"/>
        <item x="497"/>
        <item x="425"/>
        <item x="442"/>
        <item x="471"/>
        <item x="468"/>
        <item x="466"/>
        <item x="864"/>
        <item x="457"/>
        <item x="524"/>
        <item x="507"/>
        <item x="488"/>
        <item x="555"/>
        <item x="464"/>
        <item x="539"/>
        <item x="456"/>
        <item x="558"/>
        <item x="543"/>
        <item x="522"/>
        <item x="493"/>
        <item x="541"/>
        <item x="477"/>
        <item x="412"/>
        <item x="536"/>
        <item x="475"/>
        <item x="495"/>
        <item x="545"/>
        <item x="546"/>
        <item x="386"/>
        <item x="407"/>
        <item x="540"/>
        <item x="531"/>
        <item x="200"/>
        <item x="205"/>
        <item x="767"/>
        <item x="409"/>
        <item x="408"/>
        <item x="411"/>
        <item x="55"/>
        <item x="834"/>
        <item x="808"/>
        <item x="811"/>
        <item x="810"/>
        <item x="809"/>
        <item x="843"/>
        <item x="826"/>
        <item x="845"/>
        <item x="848"/>
        <item x="827"/>
        <item x="837"/>
        <item x="838"/>
        <item x="841"/>
        <item x="839"/>
        <item x="355"/>
        <item x="360"/>
        <item x="358"/>
        <item x="356"/>
        <item x="354"/>
        <item x="357"/>
        <item x="852"/>
        <item x="855"/>
        <item x="854"/>
        <item x="853"/>
        <item x="368"/>
        <item x="363"/>
        <item x="366"/>
        <item x="369"/>
        <item x="367"/>
        <item x="365"/>
        <item x="362"/>
        <item x="359"/>
        <item x="352"/>
        <item x="370"/>
        <item x="353"/>
        <item x="361"/>
        <item x="364"/>
        <item x="27"/>
        <item x="91"/>
        <item x="124"/>
        <item x="126"/>
        <item x="581"/>
        <item x="587"/>
        <item x="41"/>
        <item x="561"/>
        <item x="609"/>
        <item x="590"/>
        <item x="86"/>
        <item x="584"/>
        <item x="585"/>
        <item x="130"/>
        <item x="103"/>
        <item x="116"/>
        <item x="569"/>
        <item x="560"/>
        <item x="570"/>
        <item x="89"/>
        <item x="593"/>
        <item x="139"/>
        <item x="134"/>
        <item x="115"/>
        <item x="233"/>
        <item x="230"/>
        <item x="83"/>
        <item x="343"/>
        <item x="335"/>
        <item x="325"/>
        <item x="626"/>
        <item x="401"/>
        <item x="374"/>
        <item x="276"/>
        <item x="762"/>
        <item x="761"/>
        <item x="663"/>
        <item x="419"/>
        <item x="381"/>
        <item x="257"/>
        <item x="662"/>
        <item x="380"/>
        <item x="474"/>
        <item x="373"/>
        <item x="862"/>
        <item x="863"/>
        <item x="241"/>
        <item x="867"/>
        <item x="264"/>
        <item x="254"/>
        <item x="252"/>
        <item x="253"/>
        <item x="262"/>
        <item x="251"/>
        <item x="271"/>
        <item x="222"/>
        <item x="223"/>
        <item x="99"/>
        <item x="500"/>
        <item x="413"/>
        <item x="384"/>
        <item x="422"/>
        <item x="529"/>
        <item x="513"/>
        <item x="445"/>
        <item x="479"/>
        <item x="688"/>
        <item x="689"/>
        <item x="690"/>
        <item x="691"/>
        <item x="692"/>
        <item x="693"/>
        <item x="694"/>
        <item x="695"/>
        <item x="696"/>
        <item x="697"/>
        <item x="698"/>
        <item x="67"/>
        <item x="217"/>
        <item x="216"/>
        <item x="215"/>
        <item x="213"/>
        <item x="214"/>
        <item x="179"/>
        <item x="173"/>
        <item x="189"/>
        <item x="180"/>
        <item x="196"/>
        <item x="195"/>
        <item x="61"/>
        <item x="45"/>
        <item x="106"/>
        <item x="104"/>
        <item x="836"/>
        <item x="805"/>
        <item x="821"/>
        <item x="820"/>
        <item x="816"/>
        <item x="819"/>
        <item x="822"/>
        <item x="840"/>
        <item x="824"/>
        <item x="829"/>
        <item x="832"/>
        <item x="534"/>
        <item x="520"/>
        <item x="646"/>
        <item x="756"/>
        <item x="635"/>
        <item x="740"/>
        <item x="632"/>
        <item x="752"/>
        <item x="642"/>
        <item x="648"/>
        <item x="627"/>
        <item x="137"/>
        <item x="118"/>
        <item x="138"/>
        <item x="114"/>
        <item x="597"/>
        <item x="236"/>
        <item x="237"/>
        <item x="238"/>
        <item x="234"/>
        <item x="242"/>
        <item x="263"/>
        <item x="605"/>
        <item x="588"/>
        <item x="594"/>
        <item x="279"/>
        <item x="235"/>
        <item x="245"/>
        <item x="244"/>
        <item x="261"/>
        <item x="231"/>
        <item x="280"/>
        <item x="121"/>
        <item x="93"/>
        <item x="122"/>
        <item x="108"/>
        <item x="82"/>
        <item x="127"/>
        <item x="141"/>
        <item x="649"/>
        <item x="78"/>
        <item x="58"/>
        <item x="64"/>
        <item x="56"/>
        <item x="622"/>
        <item x="620"/>
        <item x="699"/>
        <item x="700"/>
        <item x="701"/>
        <item x="702"/>
        <item x="703"/>
        <item x="704"/>
        <item x="705"/>
        <item x="706"/>
        <item x="707"/>
        <item x="708"/>
        <item x="709"/>
        <item x="710"/>
        <item x="711"/>
        <item x="712"/>
        <item x="713"/>
        <item x="714"/>
        <item x="715"/>
        <item x="716"/>
        <item x="804"/>
        <item x="717"/>
        <item x="718"/>
        <item x="719"/>
        <item x="720"/>
        <item x="721"/>
        <item x="722"/>
        <item x="723"/>
        <item x="724"/>
        <item x="725"/>
        <item x="726"/>
        <item x="727"/>
        <item x="728"/>
        <item x="729"/>
        <item x="24"/>
        <item x="65"/>
        <item x="63"/>
        <item x="15"/>
        <item x="25"/>
        <item x="16"/>
        <item x="33"/>
        <item x="30"/>
        <item x="11"/>
        <item x="9"/>
        <item x="14"/>
        <item x="849"/>
        <item x="542"/>
        <item x="333"/>
        <item x="168"/>
        <item x="145"/>
        <item x="144"/>
        <item x="158"/>
        <item x="54"/>
        <item x="258"/>
        <item x="783"/>
        <item x="255"/>
        <item x="269"/>
        <item x="228"/>
        <item x="785"/>
        <item x="831"/>
        <item x="844"/>
        <item x="842"/>
        <item x="830"/>
        <item x="603"/>
        <item x="266"/>
        <item x="267"/>
        <item x="591"/>
        <item x="256"/>
        <item x="557"/>
        <item x="575"/>
        <item x="607"/>
        <item x="562"/>
        <item x="232"/>
        <item x="467"/>
        <item x="604"/>
        <item x="825"/>
        <item x="828"/>
        <item x="823"/>
        <item x="835"/>
        <item x="812"/>
        <item x="817"/>
        <item x="813"/>
        <item x="814"/>
        <item x="815"/>
        <item x="818"/>
        <item x="527"/>
        <item x="547"/>
        <item x="143"/>
        <item x="109"/>
        <item x="98"/>
        <item x="129"/>
        <item x="133"/>
        <item x="316"/>
        <item x="282"/>
        <item x="296"/>
        <item x="504"/>
        <item x="731"/>
        <item x="219"/>
        <item x="781"/>
        <item x="730"/>
        <item x="68"/>
        <item x="782"/>
        <item x="798"/>
        <item x="100"/>
        <item x="682"/>
        <item x="687"/>
        <item x="678"/>
        <item x="125"/>
        <item x="683"/>
        <item x="676"/>
        <item x="773"/>
        <item x="774"/>
        <item x="119"/>
        <item x="102"/>
        <item x="270"/>
        <item x="800"/>
        <item x="795"/>
        <item x="792"/>
        <item x="794"/>
        <item x="110"/>
        <item x="81"/>
        <item x="79"/>
        <item x="573"/>
        <item x="583"/>
        <item x="589"/>
        <item x="600"/>
        <item x="571"/>
        <item x="567"/>
        <item x="592"/>
        <item x="90"/>
        <item x="94"/>
        <item x="80"/>
        <item x="95"/>
        <item x="96"/>
        <item x="87"/>
        <item x="84"/>
        <item x="85"/>
        <item x="92"/>
        <item x="111"/>
        <item x="113"/>
        <item x="69"/>
        <item x="112"/>
        <item x="210"/>
        <item x="644"/>
        <item x="136"/>
        <item x="623"/>
        <item x="128"/>
        <item x="142"/>
        <item x="240"/>
        <item x="246"/>
        <item x="763"/>
        <item x="208"/>
        <item x="342"/>
        <item x="220"/>
        <item x="764"/>
        <item x="793"/>
        <item x="586"/>
        <item x="199"/>
        <item x="661"/>
        <item x="197"/>
        <item x="619"/>
        <item x="780"/>
        <item x="779"/>
        <item x="201"/>
        <item x="198"/>
        <item x="681"/>
        <item x="778"/>
        <item x="188"/>
        <item x="768"/>
        <item x="204"/>
        <item x="777"/>
        <item x="776"/>
        <item x="75"/>
        <item x="350"/>
        <item x="757"/>
        <item x="653"/>
        <item x="679"/>
        <item x="801"/>
        <item x="673"/>
        <item x="668"/>
        <item x="672"/>
        <item x="677"/>
        <item x="775"/>
        <item x="667"/>
        <item x="670"/>
        <item x="664"/>
        <item x="669"/>
        <item x="665"/>
        <item x="770"/>
        <item x="772"/>
        <item x="686"/>
        <item x="685"/>
        <item x="666"/>
        <item x="771"/>
        <item x="674"/>
        <item x="680"/>
        <item x="796"/>
        <item x="799"/>
        <item x="675"/>
        <item x="671"/>
        <item x="856"/>
        <item x="791"/>
        <item x="797"/>
        <item x="787"/>
        <item x="684"/>
        <item x="788"/>
        <item x="789"/>
        <item x="790"/>
        <item x="658"/>
        <item x="483"/>
        <item x="786"/>
        <item x="784"/>
        <item x="480"/>
        <item x="660"/>
        <item x="647"/>
        <item x="572"/>
        <item x="530"/>
        <item x="494"/>
        <item x="147"/>
        <item x="157"/>
        <item x="149"/>
        <item x="162"/>
        <item x="155"/>
        <item x="154"/>
        <item x="153"/>
        <item x="151"/>
        <item x="166"/>
        <item x="159"/>
        <item x="163"/>
        <item x="161"/>
        <item x="152"/>
        <item x="156"/>
        <item x="170"/>
        <item x="165"/>
        <item x="167"/>
        <item x="148"/>
        <item x="146"/>
        <item x="160"/>
        <item x="164"/>
        <item x="169"/>
        <item x="171"/>
        <item x="846"/>
        <item x="847"/>
        <item x="833"/>
        <item x="610"/>
        <item t="default"/>
      </items>
    </pivotField>
    <pivotField compact="0" outline="0" showAll="0"/>
    <pivotField compact="0" outline="0" showAll="0">
      <items count="25">
        <item x="6"/>
        <item x="8"/>
        <item x="19"/>
        <item x="22"/>
        <item x="5"/>
        <item x="17"/>
        <item x="16"/>
        <item x="21"/>
        <item x="14"/>
        <item x="4"/>
        <item x="18"/>
        <item x="2"/>
        <item x="23"/>
        <item x="13"/>
        <item x="0"/>
        <item x="12"/>
        <item x="20"/>
        <item x="15"/>
        <item x="7"/>
        <item x="1"/>
        <item x="11"/>
        <item x="9"/>
        <item x="3"/>
        <item x="10"/>
        <item t="default"/>
      </items>
    </pivotField>
    <pivotField compact="0" outline="0" showAll="0">
      <items count="26">
        <item x="21"/>
        <item x="15"/>
        <item x="22"/>
        <item x="1"/>
        <item x="9"/>
        <item x="23"/>
        <item x="24"/>
        <item x="17"/>
        <item x="19"/>
        <item x="4"/>
        <item x="8"/>
        <item x="10"/>
        <item x="3"/>
        <item x="16"/>
        <item x="2"/>
        <item x="6"/>
        <item x="11"/>
        <item x="7"/>
        <item x="20"/>
        <item x="0"/>
        <item x="18"/>
        <item x="5"/>
        <item x="13"/>
        <item x="14"/>
        <item x="12"/>
        <item t="default"/>
      </items>
    </pivotField>
    <pivotField dataField="1" compact="0" outline="0" showAll="0"/>
    <pivotField compact="0" outline="0" showAll="0"/>
    <pivotField compact="0" outline="0" showAll="0"/>
    <pivotField compact="0" outline="0" showAll="0"/>
    <pivotField compact="0" numFmtId="9" outline="0" subtotalTop="0" showAll="0"/>
    <pivotField compact="0" outline="0" subtotalTop="0" showAll="0"/>
    <pivotField compact="0" outline="0" subtotalTop="0" showAll="0"/>
    <pivotField compact="0" outline="0" subtotalTop="0" showAll="0"/>
  </pivotFields>
  <rowFields count="1">
    <field x="0"/>
  </rowFields>
  <rowItems count="18">
    <i>
      <x/>
    </i>
    <i>
      <x v="3"/>
    </i>
    <i>
      <x v="6"/>
    </i>
    <i>
      <x v="15"/>
    </i>
    <i>
      <x v="13"/>
    </i>
    <i>
      <x v="12"/>
    </i>
    <i>
      <x v="16"/>
    </i>
    <i>
      <x v="11"/>
    </i>
    <i>
      <x v="5"/>
    </i>
    <i>
      <x v="14"/>
    </i>
    <i>
      <x v="9"/>
    </i>
    <i>
      <x v="1"/>
    </i>
    <i>
      <x v="10"/>
    </i>
    <i>
      <x v="8"/>
    </i>
    <i>
      <x v="7"/>
    </i>
    <i>
      <x v="4"/>
    </i>
    <i>
      <x v="2"/>
    </i>
    <i t="grand">
      <x/>
    </i>
  </rowItems>
  <colItems count="1">
    <i/>
  </colItems>
  <dataFields count="1">
    <dataField name="Average of Rating" fld="5" subtotal="average" baseField="0" baseItem="0" numFmtId="164"/>
  </dataFields>
  <formats count="1">
    <format dxfId="72">
      <pivotArea outline="0" collapsedLevelsAreSubtotals="1" fieldPosition="0"/>
    </format>
  </format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0D8BB0-34CC-4BCF-B43A-06B5B77BEE04}"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chartFormat="3">
  <location ref="A5:B23" firstHeaderRow="2" firstDataRow="2" firstDataCol="1"/>
  <pivotFields count="13">
    <pivotField axis="axisRow" compact="0" outline="0" showAll="0" sortType="ascending">
      <items count="18">
        <item sd="0" x="9"/>
        <item sd="0" x="5"/>
        <item sd="0" x="7"/>
        <item sd="0" x="3"/>
        <item sd="0" x="1"/>
        <item sd="0" x="16"/>
        <item sd="0" x="2"/>
        <item sd="0" x="11"/>
        <item sd="0" x="4"/>
        <item sd="0" x="12"/>
        <item sd="0" x="8"/>
        <item sd="0" x="0"/>
        <item sd="0" x="13"/>
        <item sd="0" x="6"/>
        <item sd="0" x="10"/>
        <item sd="0" x="14"/>
        <item sd="0" x="15"/>
        <item t="default"/>
      </items>
      <autoSortScope>
        <pivotArea dataOnly="0" outline="0" fieldPosition="0">
          <references count="1">
            <reference field="4294967294" count="1" selected="0">
              <x v="0"/>
            </reference>
          </references>
        </pivotArea>
      </autoSortScope>
    </pivotField>
    <pivotField compact="0" outline="0" showAll="0">
      <items count="869">
        <item x="207"/>
        <item x="77"/>
        <item x="318"/>
        <item x="324"/>
        <item x="304"/>
        <item x="297"/>
        <item x="70"/>
        <item x="321"/>
        <item x="314"/>
        <item x="292"/>
        <item x="348"/>
        <item x="319"/>
        <item x="322"/>
        <item x="334"/>
        <item x="295"/>
        <item x="203"/>
        <item x="317"/>
        <item x="347"/>
        <item x="187"/>
        <item x="340"/>
        <item x="339"/>
        <item x="184"/>
        <item x="338"/>
        <item x="306"/>
        <item x="733"/>
        <item x="283"/>
        <item x="330"/>
        <item x="328"/>
        <item x="320"/>
        <item x="310"/>
        <item x="307"/>
        <item x="309"/>
        <item x="323"/>
        <item x="346"/>
        <item x="329"/>
        <item x="351"/>
        <item x="734"/>
        <item x="742"/>
        <item x="331"/>
        <item x="308"/>
        <item x="281"/>
        <item x="288"/>
        <item x="312"/>
        <item x="311"/>
        <item x="807"/>
        <item x="284"/>
        <item x="802"/>
        <item x="803"/>
        <item x="289"/>
        <item x="298"/>
        <item x="293"/>
        <item x="286"/>
        <item x="287"/>
        <item x="313"/>
        <item x="76"/>
        <item x="305"/>
        <item x="301"/>
        <item x="285"/>
        <item x="300"/>
        <item x="302"/>
        <item x="303"/>
        <item x="615"/>
        <item x="73"/>
        <item x="326"/>
        <item x="291"/>
        <item x="74"/>
        <item x="72"/>
        <item x="192"/>
        <item x="71"/>
        <item x="193"/>
        <item x="315"/>
        <item x="743"/>
        <item x="299"/>
        <item x="290"/>
        <item x="209"/>
        <item x="221"/>
        <item x="218"/>
        <item x="336"/>
        <item x="748"/>
        <item x="741"/>
        <item x="206"/>
        <item x="150"/>
        <item x="344"/>
        <item x="212"/>
        <item x="194"/>
        <item x="181"/>
        <item x="182"/>
        <item x="332"/>
        <item x="341"/>
        <item x="747"/>
        <item x="738"/>
        <item x="744"/>
        <item x="177"/>
        <item x="857"/>
        <item x="860"/>
        <item x="858"/>
        <item x="859"/>
        <item x="806"/>
        <item x="765"/>
        <item x="227"/>
        <item x="249"/>
        <item x="243"/>
        <item x="601"/>
        <item x="6"/>
        <item x="1"/>
        <item x="12"/>
        <item x="17"/>
        <item x="758"/>
        <item x="851"/>
        <item x="48"/>
        <item x="566"/>
        <item x="563"/>
        <item x="4"/>
        <item x="606"/>
        <item x="598"/>
        <item x="3"/>
        <item x="49"/>
        <item x="596"/>
        <item x="39"/>
        <item x="32"/>
        <item x="565"/>
        <item x="34"/>
        <item x="577"/>
        <item x="43"/>
        <item x="0"/>
        <item x="579"/>
        <item x="2"/>
        <item x="8"/>
        <item x="759"/>
        <item x="47"/>
        <item x="23"/>
        <item x="599"/>
        <item x="602"/>
        <item x="608"/>
        <item x="576"/>
        <item x="578"/>
        <item x="559"/>
        <item x="21"/>
        <item x="564"/>
        <item x="580"/>
        <item x="582"/>
        <item x="46"/>
        <item x="44"/>
        <item x="51"/>
        <item x="5"/>
        <item x="13"/>
        <item x="568"/>
        <item x="40"/>
        <item x="37"/>
        <item x="595"/>
        <item x="52"/>
        <item x="28"/>
        <item x="345"/>
        <item x="337"/>
        <item x="349"/>
        <item x="327"/>
        <item x="574"/>
        <item x="449"/>
        <item x="476"/>
        <item x="638"/>
        <item x="624"/>
        <item x="186"/>
        <item x="172"/>
        <item x="185"/>
        <item x="183"/>
        <item x="191"/>
        <item x="202"/>
        <item x="174"/>
        <item x="294"/>
        <item x="178"/>
        <item x="175"/>
        <item x="211"/>
        <item x="176"/>
        <item x="766"/>
        <item x="190"/>
        <item x="850"/>
        <item x="861"/>
        <item x="88"/>
        <item x="275"/>
        <item x="272"/>
        <item x="754"/>
        <item x="739"/>
        <item x="751"/>
        <item x="746"/>
        <item x="750"/>
        <item x="735"/>
        <item x="732"/>
        <item x="755"/>
        <item x="753"/>
        <item x="749"/>
        <item x="745"/>
        <item x="737"/>
        <item x="736"/>
        <item x="636"/>
        <item x="621"/>
        <item x="639"/>
        <item x="637"/>
        <item x="634"/>
        <item x="611"/>
        <item x="616"/>
        <item x="618"/>
        <item x="640"/>
        <item x="278"/>
        <item x="274"/>
        <item x="259"/>
        <item x="277"/>
        <item x="250"/>
        <item x="62"/>
        <item x="36"/>
        <item x="247"/>
        <item x="268"/>
        <item x="265"/>
        <item x="225"/>
        <item x="31"/>
        <item x="229"/>
        <item x="57"/>
        <item x="26"/>
        <item x="10"/>
        <item x="7"/>
        <item x="20"/>
        <item x="18"/>
        <item x="19"/>
        <item x="66"/>
        <item x="248"/>
        <item x="226"/>
        <item x="38"/>
        <item x="35"/>
        <item x="760"/>
        <item x="53"/>
        <item x="22"/>
        <item x="59"/>
        <item x="60"/>
        <item x="224"/>
        <item x="42"/>
        <item x="239"/>
        <item x="260"/>
        <item x="50"/>
        <item x="29"/>
        <item x="651"/>
        <item x="631"/>
        <item x="641"/>
        <item x="117"/>
        <item x="612"/>
        <item x="120"/>
        <item x="273"/>
        <item x="131"/>
        <item x="140"/>
        <item x="628"/>
        <item x="657"/>
        <item x="132"/>
        <item x="655"/>
        <item x="135"/>
        <item x="614"/>
        <item x="629"/>
        <item x="107"/>
        <item x="659"/>
        <item x="643"/>
        <item x="625"/>
        <item x="123"/>
        <item x="652"/>
        <item x="654"/>
        <item x="613"/>
        <item x="645"/>
        <item x="656"/>
        <item x="105"/>
        <item x="97"/>
        <item x="650"/>
        <item x="617"/>
        <item x="101"/>
        <item x="633"/>
        <item x="630"/>
        <item x="866"/>
        <item x="388"/>
        <item x="444"/>
        <item x="431"/>
        <item x="376"/>
        <item x="472"/>
        <item x="430"/>
        <item x="423"/>
        <item x="382"/>
        <item x="377"/>
        <item x="378"/>
        <item x="510"/>
        <item x="454"/>
        <item x="426"/>
        <item x="418"/>
        <item x="399"/>
        <item x="535"/>
        <item x="514"/>
        <item x="448"/>
        <item x="410"/>
        <item x="392"/>
        <item x="398"/>
        <item x="503"/>
        <item x="394"/>
        <item x="414"/>
        <item x="415"/>
        <item x="427"/>
        <item x="478"/>
        <item x="417"/>
        <item x="406"/>
        <item x="405"/>
        <item x="390"/>
        <item x="459"/>
        <item x="512"/>
        <item x="461"/>
        <item x="523"/>
        <item x="462"/>
        <item x="438"/>
        <item x="489"/>
        <item x="532"/>
        <item x="498"/>
        <item x="525"/>
        <item x="516"/>
        <item x="552"/>
        <item x="533"/>
        <item x="499"/>
        <item x="544"/>
        <item x="501"/>
        <item x="389"/>
        <item x="372"/>
        <item x="371"/>
        <item x="865"/>
        <item x="397"/>
        <item x="769"/>
        <item x="393"/>
        <item x="440"/>
        <item x="526"/>
        <item x="451"/>
        <item x="549"/>
        <item x="518"/>
        <item x="537"/>
        <item x="556"/>
        <item x="548"/>
        <item x="496"/>
        <item x="482"/>
        <item x="447"/>
        <item x="490"/>
        <item x="433"/>
        <item x="506"/>
        <item x="428"/>
        <item x="491"/>
        <item x="450"/>
        <item x="453"/>
        <item x="460"/>
        <item x="485"/>
        <item x="528"/>
        <item x="455"/>
        <item x="429"/>
        <item x="439"/>
        <item x="515"/>
        <item x="441"/>
        <item x="437"/>
        <item x="434"/>
        <item x="424"/>
        <item x="465"/>
        <item x="458"/>
        <item x="387"/>
        <item x="421"/>
        <item x="375"/>
        <item x="473"/>
        <item x="481"/>
        <item x="395"/>
        <item x="379"/>
        <item x="484"/>
        <item x="432"/>
        <item x="435"/>
        <item x="463"/>
        <item x="385"/>
        <item x="383"/>
        <item x="391"/>
        <item x="446"/>
        <item x="436"/>
        <item x="469"/>
        <item x="402"/>
        <item x="550"/>
        <item x="517"/>
        <item x="492"/>
        <item x="403"/>
        <item x="420"/>
        <item x="508"/>
        <item x="511"/>
        <item x="519"/>
        <item x="487"/>
        <item x="551"/>
        <item x="502"/>
        <item x="443"/>
        <item x="538"/>
        <item x="404"/>
        <item x="505"/>
        <item x="486"/>
        <item x="416"/>
        <item x="470"/>
        <item x="553"/>
        <item x="554"/>
        <item x="509"/>
        <item x="400"/>
        <item x="396"/>
        <item x="452"/>
        <item x="521"/>
        <item x="497"/>
        <item x="425"/>
        <item x="442"/>
        <item x="471"/>
        <item x="468"/>
        <item x="466"/>
        <item x="864"/>
        <item x="457"/>
        <item x="524"/>
        <item x="507"/>
        <item x="488"/>
        <item x="555"/>
        <item x="464"/>
        <item x="539"/>
        <item x="456"/>
        <item x="558"/>
        <item x="543"/>
        <item x="522"/>
        <item x="493"/>
        <item x="541"/>
        <item x="477"/>
        <item x="412"/>
        <item x="536"/>
        <item x="475"/>
        <item x="495"/>
        <item x="545"/>
        <item x="546"/>
        <item x="386"/>
        <item x="407"/>
        <item x="540"/>
        <item x="531"/>
        <item x="200"/>
        <item x="205"/>
        <item x="767"/>
        <item x="409"/>
        <item x="408"/>
        <item x="411"/>
        <item x="55"/>
        <item x="834"/>
        <item x="808"/>
        <item x="811"/>
        <item x="810"/>
        <item x="809"/>
        <item x="843"/>
        <item x="826"/>
        <item x="845"/>
        <item x="848"/>
        <item x="827"/>
        <item x="837"/>
        <item x="838"/>
        <item x="841"/>
        <item x="839"/>
        <item x="355"/>
        <item x="360"/>
        <item x="358"/>
        <item x="356"/>
        <item x="354"/>
        <item x="357"/>
        <item x="852"/>
        <item x="855"/>
        <item x="854"/>
        <item x="853"/>
        <item x="368"/>
        <item x="363"/>
        <item x="366"/>
        <item x="369"/>
        <item x="367"/>
        <item x="365"/>
        <item x="362"/>
        <item x="359"/>
        <item x="352"/>
        <item x="370"/>
        <item x="353"/>
        <item x="361"/>
        <item x="364"/>
        <item x="27"/>
        <item x="91"/>
        <item x="124"/>
        <item x="126"/>
        <item x="581"/>
        <item x="587"/>
        <item x="41"/>
        <item x="561"/>
        <item x="609"/>
        <item x="590"/>
        <item x="86"/>
        <item x="584"/>
        <item x="585"/>
        <item x="130"/>
        <item x="103"/>
        <item x="116"/>
        <item x="569"/>
        <item x="560"/>
        <item x="570"/>
        <item x="89"/>
        <item x="593"/>
        <item x="139"/>
        <item x="134"/>
        <item x="115"/>
        <item x="233"/>
        <item x="230"/>
        <item x="83"/>
        <item x="343"/>
        <item x="335"/>
        <item x="325"/>
        <item x="626"/>
        <item x="401"/>
        <item x="374"/>
        <item x="276"/>
        <item x="762"/>
        <item x="761"/>
        <item x="663"/>
        <item x="419"/>
        <item x="381"/>
        <item x="257"/>
        <item x="662"/>
        <item x="380"/>
        <item x="474"/>
        <item x="373"/>
        <item x="862"/>
        <item x="863"/>
        <item x="241"/>
        <item x="867"/>
        <item x="264"/>
        <item x="254"/>
        <item x="252"/>
        <item x="253"/>
        <item x="262"/>
        <item x="251"/>
        <item x="271"/>
        <item x="222"/>
        <item x="223"/>
        <item x="99"/>
        <item x="500"/>
        <item x="413"/>
        <item x="384"/>
        <item x="422"/>
        <item x="529"/>
        <item x="513"/>
        <item x="445"/>
        <item x="479"/>
        <item x="688"/>
        <item x="689"/>
        <item x="690"/>
        <item x="691"/>
        <item x="692"/>
        <item x="693"/>
        <item x="694"/>
        <item x="695"/>
        <item x="696"/>
        <item x="697"/>
        <item x="698"/>
        <item x="67"/>
        <item x="217"/>
        <item x="216"/>
        <item x="215"/>
        <item x="213"/>
        <item x="214"/>
        <item x="179"/>
        <item x="173"/>
        <item x="189"/>
        <item x="180"/>
        <item x="196"/>
        <item x="195"/>
        <item x="61"/>
        <item x="45"/>
        <item x="106"/>
        <item x="104"/>
        <item x="836"/>
        <item x="805"/>
        <item x="821"/>
        <item x="820"/>
        <item x="816"/>
        <item x="819"/>
        <item x="822"/>
        <item x="840"/>
        <item x="824"/>
        <item x="829"/>
        <item x="832"/>
        <item x="534"/>
        <item x="520"/>
        <item x="646"/>
        <item x="756"/>
        <item x="635"/>
        <item x="740"/>
        <item x="632"/>
        <item x="752"/>
        <item x="642"/>
        <item x="648"/>
        <item x="627"/>
        <item x="137"/>
        <item x="118"/>
        <item x="138"/>
        <item x="114"/>
        <item x="597"/>
        <item x="236"/>
        <item x="237"/>
        <item x="238"/>
        <item x="234"/>
        <item x="242"/>
        <item x="263"/>
        <item x="605"/>
        <item x="588"/>
        <item x="594"/>
        <item x="279"/>
        <item x="235"/>
        <item x="245"/>
        <item x="244"/>
        <item x="261"/>
        <item x="231"/>
        <item x="280"/>
        <item x="121"/>
        <item x="93"/>
        <item x="122"/>
        <item x="108"/>
        <item x="82"/>
        <item x="127"/>
        <item x="141"/>
        <item x="649"/>
        <item x="78"/>
        <item x="58"/>
        <item x="64"/>
        <item x="56"/>
        <item x="622"/>
        <item x="620"/>
        <item x="699"/>
        <item x="700"/>
        <item x="701"/>
        <item x="702"/>
        <item x="703"/>
        <item x="704"/>
        <item x="705"/>
        <item x="706"/>
        <item x="707"/>
        <item x="708"/>
        <item x="709"/>
        <item x="710"/>
        <item x="711"/>
        <item x="712"/>
        <item x="713"/>
        <item x="714"/>
        <item x="715"/>
        <item x="716"/>
        <item x="804"/>
        <item x="717"/>
        <item x="718"/>
        <item x="719"/>
        <item x="720"/>
        <item x="721"/>
        <item x="722"/>
        <item x="723"/>
        <item x="724"/>
        <item x="725"/>
        <item x="726"/>
        <item x="727"/>
        <item x="728"/>
        <item x="729"/>
        <item x="24"/>
        <item x="65"/>
        <item x="63"/>
        <item x="15"/>
        <item x="25"/>
        <item x="16"/>
        <item x="33"/>
        <item x="30"/>
        <item x="11"/>
        <item x="9"/>
        <item x="14"/>
        <item x="849"/>
        <item x="542"/>
        <item x="333"/>
        <item x="168"/>
        <item x="145"/>
        <item x="144"/>
        <item x="158"/>
        <item x="54"/>
        <item x="258"/>
        <item x="783"/>
        <item x="255"/>
        <item x="269"/>
        <item x="228"/>
        <item x="785"/>
        <item x="831"/>
        <item x="844"/>
        <item x="842"/>
        <item x="830"/>
        <item x="603"/>
        <item x="266"/>
        <item x="267"/>
        <item x="591"/>
        <item x="256"/>
        <item x="557"/>
        <item x="575"/>
        <item x="607"/>
        <item x="562"/>
        <item x="232"/>
        <item x="467"/>
        <item x="604"/>
        <item x="825"/>
        <item x="828"/>
        <item x="823"/>
        <item x="835"/>
        <item x="812"/>
        <item x="817"/>
        <item x="813"/>
        <item x="814"/>
        <item x="815"/>
        <item x="818"/>
        <item x="527"/>
        <item x="547"/>
        <item x="143"/>
        <item x="109"/>
        <item x="98"/>
        <item x="129"/>
        <item x="133"/>
        <item x="316"/>
        <item x="282"/>
        <item x="296"/>
        <item x="504"/>
        <item x="731"/>
        <item x="219"/>
        <item x="781"/>
        <item x="730"/>
        <item x="68"/>
        <item x="782"/>
        <item x="798"/>
        <item x="100"/>
        <item x="682"/>
        <item x="687"/>
        <item x="678"/>
        <item x="125"/>
        <item x="683"/>
        <item x="676"/>
        <item x="773"/>
        <item x="774"/>
        <item x="119"/>
        <item x="102"/>
        <item x="270"/>
        <item x="800"/>
        <item x="795"/>
        <item x="792"/>
        <item x="794"/>
        <item x="110"/>
        <item x="81"/>
        <item x="79"/>
        <item x="573"/>
        <item x="583"/>
        <item x="589"/>
        <item x="600"/>
        <item x="571"/>
        <item x="567"/>
        <item x="592"/>
        <item x="90"/>
        <item x="94"/>
        <item x="80"/>
        <item x="95"/>
        <item x="96"/>
        <item x="87"/>
        <item x="84"/>
        <item x="85"/>
        <item x="92"/>
        <item x="111"/>
        <item x="113"/>
        <item x="69"/>
        <item x="112"/>
        <item x="210"/>
        <item x="644"/>
        <item x="136"/>
        <item x="623"/>
        <item x="128"/>
        <item x="142"/>
        <item x="240"/>
        <item x="246"/>
        <item x="763"/>
        <item x="208"/>
        <item x="342"/>
        <item x="220"/>
        <item x="764"/>
        <item x="793"/>
        <item x="586"/>
        <item x="199"/>
        <item x="661"/>
        <item x="197"/>
        <item x="619"/>
        <item x="780"/>
        <item x="779"/>
        <item x="201"/>
        <item x="198"/>
        <item x="681"/>
        <item x="778"/>
        <item x="188"/>
        <item x="768"/>
        <item x="204"/>
        <item x="777"/>
        <item x="776"/>
        <item x="75"/>
        <item x="350"/>
        <item x="757"/>
        <item x="653"/>
        <item x="679"/>
        <item x="801"/>
        <item x="673"/>
        <item x="668"/>
        <item x="672"/>
        <item x="677"/>
        <item x="775"/>
        <item x="667"/>
        <item x="670"/>
        <item x="664"/>
        <item x="669"/>
        <item x="665"/>
        <item x="770"/>
        <item x="772"/>
        <item x="686"/>
        <item x="685"/>
        <item x="666"/>
        <item x="771"/>
        <item x="674"/>
        <item x="680"/>
        <item x="796"/>
        <item x="799"/>
        <item x="675"/>
        <item x="671"/>
        <item x="856"/>
        <item x="791"/>
        <item x="797"/>
        <item x="787"/>
        <item x="684"/>
        <item x="788"/>
        <item x="789"/>
        <item x="790"/>
        <item x="658"/>
        <item x="483"/>
        <item x="786"/>
        <item x="784"/>
        <item x="480"/>
        <item x="660"/>
        <item x="647"/>
        <item x="572"/>
        <item x="530"/>
        <item x="494"/>
        <item x="147"/>
        <item x="157"/>
        <item x="149"/>
        <item x="162"/>
        <item x="155"/>
        <item x="154"/>
        <item x="153"/>
        <item x="151"/>
        <item x="166"/>
        <item x="159"/>
        <item x="163"/>
        <item x="161"/>
        <item x="152"/>
        <item x="156"/>
        <item x="170"/>
        <item x="165"/>
        <item x="167"/>
        <item x="148"/>
        <item x="146"/>
        <item x="160"/>
        <item x="164"/>
        <item x="169"/>
        <item x="171"/>
        <item x="846"/>
        <item x="847"/>
        <item x="833"/>
        <item x="610"/>
        <item t="default"/>
      </items>
    </pivotField>
    <pivotField compact="0" outline="0" showAll="0"/>
    <pivotField compact="0" outline="0" showAll="0">
      <items count="25">
        <item x="6"/>
        <item x="8"/>
        <item x="19"/>
        <item x="22"/>
        <item x="5"/>
        <item x="17"/>
        <item x="16"/>
        <item x="21"/>
        <item x="14"/>
        <item x="4"/>
        <item x="18"/>
        <item x="2"/>
        <item x="23"/>
        <item x="13"/>
        <item x="0"/>
        <item x="12"/>
        <item x="20"/>
        <item x="15"/>
        <item x="7"/>
        <item x="1"/>
        <item x="11"/>
        <item x="9"/>
        <item x="3"/>
        <item x="10"/>
        <item t="default"/>
      </items>
    </pivotField>
    <pivotField compact="0" outline="0" showAll="0">
      <items count="26">
        <item x="21"/>
        <item x="15"/>
        <item x="22"/>
        <item x="1"/>
        <item x="9"/>
        <item x="23"/>
        <item x="24"/>
        <item x="17"/>
        <item x="19"/>
        <item x="4"/>
        <item x="8"/>
        <item x="10"/>
        <item x="3"/>
        <item x="16"/>
        <item x="2"/>
        <item x="6"/>
        <item x="11"/>
        <item x="7"/>
        <item x="20"/>
        <item x="0"/>
        <item x="18"/>
        <item x="5"/>
        <item x="13"/>
        <item x="14"/>
        <item x="12"/>
        <item t="default"/>
      </items>
    </pivotField>
    <pivotField compact="0" outline="0" showAll="0"/>
    <pivotField compact="0" outline="0" showAll="0"/>
    <pivotField compact="0" outline="0" showAll="0"/>
    <pivotField compact="0" outline="0" showAll="0"/>
    <pivotField compact="0" numFmtId="9" outline="0" subtotalTop="0" showAll="0"/>
    <pivotField dataField="1" compact="0" outline="0" subtotalTop="0" showAll="0"/>
    <pivotField compact="0" outline="0" subtotalTop="0" showAll="0"/>
    <pivotField compact="0" outline="0" subtotalTop="0" showAll="0"/>
  </pivotFields>
  <rowFields count="1">
    <field x="0"/>
  </rowFields>
  <rowItems count="17">
    <i>
      <x/>
    </i>
    <i>
      <x v="3"/>
    </i>
    <i>
      <x v="6"/>
    </i>
    <i>
      <x v="4"/>
    </i>
    <i>
      <x v="15"/>
    </i>
    <i>
      <x v="11"/>
    </i>
    <i>
      <x v="12"/>
    </i>
    <i>
      <x v="8"/>
    </i>
    <i>
      <x v="16"/>
    </i>
    <i>
      <x v="13"/>
    </i>
    <i>
      <x v="9"/>
    </i>
    <i>
      <x v="14"/>
    </i>
    <i>
      <x v="1"/>
    </i>
    <i>
      <x v="5"/>
    </i>
    <i>
      <x v="7"/>
    </i>
    <i>
      <x v="2"/>
    </i>
    <i>
      <x v="10"/>
    </i>
  </rowItems>
  <colItems count="1">
    <i/>
  </colItems>
  <dataFields count="1">
    <dataField name="Average of Value for money (VFM) score" fld="10" subtotal="average" baseField="0" baseItem="0" numFmtId="167"/>
  </dataFields>
  <formats count="1">
    <format dxfId="7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858569-B04F-4CDE-A079-021FD1CF6CCC}"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chartFormat="12">
  <location ref="A3:C21" firstHeaderRow="1" firstDataRow="2" firstDataCol="1"/>
  <pivotFields count="13">
    <pivotField axis="axisRow" compact="0" outline="0" showAll="0">
      <items count="18">
        <item sd="0" x="9"/>
        <item sd="0" x="5"/>
        <item sd="0" x="7"/>
        <item sd="0" x="3"/>
        <item sd="0" x="1"/>
        <item sd="0" x="16"/>
        <item sd="0" x="2"/>
        <item sd="0" x="11"/>
        <item sd="0" x="4"/>
        <item sd="0" x="12"/>
        <item sd="0" x="8"/>
        <item sd="0" x="0"/>
        <item sd="0" x="13"/>
        <item sd="0" x="6"/>
        <item sd="0" x="10"/>
        <item sd="0" x="14"/>
        <item sd="0" x="15"/>
        <item t="default"/>
      </items>
    </pivotField>
    <pivotField compact="0" outline="0" showAll="0">
      <items count="869">
        <item x="207"/>
        <item x="77"/>
        <item x="318"/>
        <item x="324"/>
        <item x="304"/>
        <item x="297"/>
        <item x="70"/>
        <item x="321"/>
        <item x="314"/>
        <item x="292"/>
        <item x="348"/>
        <item x="319"/>
        <item x="322"/>
        <item x="334"/>
        <item x="295"/>
        <item x="203"/>
        <item x="317"/>
        <item x="347"/>
        <item x="187"/>
        <item x="340"/>
        <item x="339"/>
        <item x="184"/>
        <item x="338"/>
        <item x="306"/>
        <item x="733"/>
        <item x="283"/>
        <item x="330"/>
        <item x="328"/>
        <item x="320"/>
        <item x="310"/>
        <item x="307"/>
        <item x="309"/>
        <item x="323"/>
        <item x="346"/>
        <item x="329"/>
        <item x="351"/>
        <item x="734"/>
        <item x="742"/>
        <item x="331"/>
        <item x="308"/>
        <item x="281"/>
        <item x="288"/>
        <item x="312"/>
        <item x="311"/>
        <item x="807"/>
        <item x="284"/>
        <item x="802"/>
        <item x="803"/>
        <item x="289"/>
        <item x="298"/>
        <item x="293"/>
        <item x="286"/>
        <item x="287"/>
        <item x="313"/>
        <item x="76"/>
        <item x="305"/>
        <item x="301"/>
        <item x="285"/>
        <item x="300"/>
        <item x="302"/>
        <item x="303"/>
        <item x="615"/>
        <item x="73"/>
        <item x="326"/>
        <item x="291"/>
        <item x="74"/>
        <item x="72"/>
        <item x="192"/>
        <item x="71"/>
        <item x="193"/>
        <item x="315"/>
        <item x="743"/>
        <item x="299"/>
        <item x="290"/>
        <item x="209"/>
        <item x="221"/>
        <item x="218"/>
        <item x="336"/>
        <item x="748"/>
        <item x="741"/>
        <item x="206"/>
        <item x="150"/>
        <item x="344"/>
        <item x="212"/>
        <item x="194"/>
        <item x="181"/>
        <item x="182"/>
        <item x="332"/>
        <item x="341"/>
        <item x="747"/>
        <item x="738"/>
        <item x="744"/>
        <item x="177"/>
        <item x="857"/>
        <item x="860"/>
        <item x="858"/>
        <item x="859"/>
        <item x="806"/>
        <item x="765"/>
        <item x="227"/>
        <item x="249"/>
        <item x="243"/>
        <item x="601"/>
        <item x="6"/>
        <item x="1"/>
        <item x="12"/>
        <item x="17"/>
        <item x="758"/>
        <item x="851"/>
        <item x="48"/>
        <item x="566"/>
        <item x="563"/>
        <item x="4"/>
        <item x="606"/>
        <item x="598"/>
        <item x="3"/>
        <item x="49"/>
        <item x="596"/>
        <item x="39"/>
        <item x="32"/>
        <item x="565"/>
        <item x="34"/>
        <item x="577"/>
        <item x="43"/>
        <item x="0"/>
        <item x="579"/>
        <item x="2"/>
        <item x="8"/>
        <item x="759"/>
        <item x="47"/>
        <item x="23"/>
        <item x="599"/>
        <item x="602"/>
        <item x="608"/>
        <item x="576"/>
        <item x="578"/>
        <item x="559"/>
        <item x="21"/>
        <item x="564"/>
        <item x="580"/>
        <item x="582"/>
        <item x="46"/>
        <item x="44"/>
        <item x="51"/>
        <item x="5"/>
        <item x="13"/>
        <item x="568"/>
        <item x="40"/>
        <item x="37"/>
        <item x="595"/>
        <item x="52"/>
        <item x="28"/>
        <item x="345"/>
        <item x="337"/>
        <item x="349"/>
        <item x="327"/>
        <item x="574"/>
        <item x="449"/>
        <item x="476"/>
        <item x="638"/>
        <item x="624"/>
        <item x="186"/>
        <item x="172"/>
        <item x="185"/>
        <item x="183"/>
        <item x="191"/>
        <item x="202"/>
        <item x="174"/>
        <item x="294"/>
        <item x="178"/>
        <item x="175"/>
        <item x="211"/>
        <item x="176"/>
        <item x="766"/>
        <item x="190"/>
        <item x="850"/>
        <item x="861"/>
        <item x="88"/>
        <item x="275"/>
        <item x="272"/>
        <item x="754"/>
        <item x="739"/>
        <item x="751"/>
        <item x="746"/>
        <item x="750"/>
        <item x="735"/>
        <item x="732"/>
        <item x="755"/>
        <item x="753"/>
        <item x="749"/>
        <item x="745"/>
        <item x="737"/>
        <item x="736"/>
        <item x="636"/>
        <item x="621"/>
        <item x="639"/>
        <item x="637"/>
        <item x="634"/>
        <item x="611"/>
        <item x="616"/>
        <item x="618"/>
        <item x="640"/>
        <item x="278"/>
        <item x="274"/>
        <item x="259"/>
        <item x="277"/>
        <item x="250"/>
        <item x="62"/>
        <item x="36"/>
        <item x="247"/>
        <item x="268"/>
        <item x="265"/>
        <item x="225"/>
        <item x="31"/>
        <item x="229"/>
        <item x="57"/>
        <item x="26"/>
        <item x="10"/>
        <item x="7"/>
        <item x="20"/>
        <item x="18"/>
        <item x="19"/>
        <item x="66"/>
        <item x="248"/>
        <item x="226"/>
        <item x="38"/>
        <item x="35"/>
        <item x="760"/>
        <item x="53"/>
        <item x="22"/>
        <item x="59"/>
        <item x="60"/>
        <item x="224"/>
        <item x="42"/>
        <item x="239"/>
        <item x="260"/>
        <item x="50"/>
        <item x="29"/>
        <item x="651"/>
        <item x="631"/>
        <item x="641"/>
        <item x="117"/>
        <item x="612"/>
        <item x="120"/>
        <item x="273"/>
        <item x="131"/>
        <item x="140"/>
        <item x="628"/>
        <item x="657"/>
        <item x="132"/>
        <item x="655"/>
        <item x="135"/>
        <item x="614"/>
        <item x="629"/>
        <item x="107"/>
        <item x="659"/>
        <item x="643"/>
        <item x="625"/>
        <item x="123"/>
        <item x="652"/>
        <item x="654"/>
        <item x="613"/>
        <item x="645"/>
        <item x="656"/>
        <item x="105"/>
        <item x="97"/>
        <item x="650"/>
        <item x="617"/>
        <item x="101"/>
        <item x="633"/>
        <item x="630"/>
        <item x="866"/>
        <item x="388"/>
        <item x="444"/>
        <item x="431"/>
        <item x="376"/>
        <item x="472"/>
        <item x="430"/>
        <item x="423"/>
        <item x="382"/>
        <item x="377"/>
        <item x="378"/>
        <item x="510"/>
        <item x="454"/>
        <item x="426"/>
        <item x="418"/>
        <item x="399"/>
        <item x="535"/>
        <item x="514"/>
        <item x="448"/>
        <item x="410"/>
        <item x="392"/>
        <item x="398"/>
        <item x="503"/>
        <item x="394"/>
        <item x="414"/>
        <item x="415"/>
        <item x="427"/>
        <item x="478"/>
        <item x="417"/>
        <item x="406"/>
        <item x="405"/>
        <item x="390"/>
        <item x="459"/>
        <item x="512"/>
        <item x="461"/>
        <item x="523"/>
        <item x="462"/>
        <item x="438"/>
        <item x="489"/>
        <item x="532"/>
        <item x="498"/>
        <item x="525"/>
        <item x="516"/>
        <item x="552"/>
        <item x="533"/>
        <item x="499"/>
        <item x="544"/>
        <item x="501"/>
        <item x="389"/>
        <item x="372"/>
        <item x="371"/>
        <item x="865"/>
        <item x="397"/>
        <item x="769"/>
        <item x="393"/>
        <item x="440"/>
        <item x="526"/>
        <item x="451"/>
        <item x="549"/>
        <item x="518"/>
        <item x="537"/>
        <item x="556"/>
        <item x="548"/>
        <item x="496"/>
        <item x="482"/>
        <item x="447"/>
        <item x="490"/>
        <item x="433"/>
        <item x="506"/>
        <item x="428"/>
        <item x="491"/>
        <item x="450"/>
        <item x="453"/>
        <item x="460"/>
        <item x="485"/>
        <item x="528"/>
        <item x="455"/>
        <item x="429"/>
        <item x="439"/>
        <item x="515"/>
        <item x="441"/>
        <item x="437"/>
        <item x="434"/>
        <item x="424"/>
        <item x="465"/>
        <item x="458"/>
        <item x="387"/>
        <item x="421"/>
        <item x="375"/>
        <item x="473"/>
        <item x="481"/>
        <item x="395"/>
        <item x="379"/>
        <item x="484"/>
        <item x="432"/>
        <item x="435"/>
        <item x="463"/>
        <item x="385"/>
        <item x="383"/>
        <item x="391"/>
        <item x="446"/>
        <item x="436"/>
        <item x="469"/>
        <item x="402"/>
        <item x="550"/>
        <item x="517"/>
        <item x="492"/>
        <item x="403"/>
        <item x="420"/>
        <item x="508"/>
        <item x="511"/>
        <item x="519"/>
        <item x="487"/>
        <item x="551"/>
        <item x="502"/>
        <item x="443"/>
        <item x="538"/>
        <item x="404"/>
        <item x="505"/>
        <item x="486"/>
        <item x="416"/>
        <item x="470"/>
        <item x="553"/>
        <item x="554"/>
        <item x="509"/>
        <item x="400"/>
        <item x="396"/>
        <item x="452"/>
        <item x="521"/>
        <item x="497"/>
        <item x="425"/>
        <item x="442"/>
        <item x="471"/>
        <item x="468"/>
        <item x="466"/>
        <item x="864"/>
        <item x="457"/>
        <item x="524"/>
        <item x="507"/>
        <item x="488"/>
        <item x="555"/>
        <item x="464"/>
        <item x="539"/>
        <item x="456"/>
        <item x="558"/>
        <item x="543"/>
        <item x="522"/>
        <item x="493"/>
        <item x="541"/>
        <item x="477"/>
        <item x="412"/>
        <item x="536"/>
        <item x="475"/>
        <item x="495"/>
        <item x="545"/>
        <item x="546"/>
        <item x="386"/>
        <item x="407"/>
        <item x="540"/>
        <item x="531"/>
        <item x="200"/>
        <item x="205"/>
        <item x="767"/>
        <item x="409"/>
        <item x="408"/>
        <item x="411"/>
        <item x="55"/>
        <item x="834"/>
        <item x="808"/>
        <item x="811"/>
        <item x="810"/>
        <item x="809"/>
        <item x="843"/>
        <item x="826"/>
        <item x="845"/>
        <item x="848"/>
        <item x="827"/>
        <item x="837"/>
        <item x="838"/>
        <item x="841"/>
        <item x="839"/>
        <item x="355"/>
        <item x="360"/>
        <item x="358"/>
        <item x="356"/>
        <item x="354"/>
        <item x="357"/>
        <item x="852"/>
        <item x="855"/>
        <item x="854"/>
        <item x="853"/>
        <item x="368"/>
        <item x="363"/>
        <item x="366"/>
        <item x="369"/>
        <item x="367"/>
        <item x="365"/>
        <item x="362"/>
        <item x="359"/>
        <item x="352"/>
        <item x="370"/>
        <item x="353"/>
        <item x="361"/>
        <item x="364"/>
        <item x="27"/>
        <item x="91"/>
        <item x="124"/>
        <item x="126"/>
        <item x="581"/>
        <item x="587"/>
        <item x="41"/>
        <item x="561"/>
        <item x="609"/>
        <item x="590"/>
        <item x="86"/>
        <item x="584"/>
        <item x="585"/>
        <item x="130"/>
        <item x="103"/>
        <item x="116"/>
        <item x="569"/>
        <item x="560"/>
        <item x="570"/>
        <item x="89"/>
        <item x="593"/>
        <item x="139"/>
        <item x="134"/>
        <item x="115"/>
        <item x="233"/>
        <item x="230"/>
        <item x="83"/>
        <item x="343"/>
        <item x="335"/>
        <item x="325"/>
        <item x="626"/>
        <item x="401"/>
        <item x="374"/>
        <item x="276"/>
        <item x="762"/>
        <item x="761"/>
        <item x="663"/>
        <item x="419"/>
        <item x="381"/>
        <item x="257"/>
        <item x="662"/>
        <item x="380"/>
        <item x="474"/>
        <item x="373"/>
        <item x="862"/>
        <item x="863"/>
        <item x="241"/>
        <item x="867"/>
        <item x="264"/>
        <item x="254"/>
        <item x="252"/>
        <item x="253"/>
        <item x="262"/>
        <item x="251"/>
        <item x="271"/>
        <item x="222"/>
        <item x="223"/>
        <item x="99"/>
        <item x="500"/>
        <item x="413"/>
        <item x="384"/>
        <item x="422"/>
        <item x="529"/>
        <item x="513"/>
        <item x="445"/>
        <item x="479"/>
        <item x="688"/>
        <item x="689"/>
        <item x="690"/>
        <item x="691"/>
        <item x="692"/>
        <item x="693"/>
        <item x="694"/>
        <item x="695"/>
        <item x="696"/>
        <item x="697"/>
        <item x="698"/>
        <item x="67"/>
        <item x="217"/>
        <item x="216"/>
        <item x="215"/>
        <item x="213"/>
        <item x="214"/>
        <item x="179"/>
        <item x="173"/>
        <item x="189"/>
        <item x="180"/>
        <item x="196"/>
        <item x="195"/>
        <item x="61"/>
        <item x="45"/>
        <item x="106"/>
        <item x="104"/>
        <item x="836"/>
        <item x="805"/>
        <item x="821"/>
        <item x="820"/>
        <item x="816"/>
        <item x="819"/>
        <item x="822"/>
        <item x="840"/>
        <item x="824"/>
        <item x="829"/>
        <item x="832"/>
        <item x="534"/>
        <item x="520"/>
        <item x="646"/>
        <item x="756"/>
        <item x="635"/>
        <item x="740"/>
        <item x="632"/>
        <item x="752"/>
        <item x="642"/>
        <item x="648"/>
        <item x="627"/>
        <item x="137"/>
        <item x="118"/>
        <item x="138"/>
        <item x="114"/>
        <item x="597"/>
        <item x="236"/>
        <item x="237"/>
        <item x="238"/>
        <item x="234"/>
        <item x="242"/>
        <item x="263"/>
        <item x="605"/>
        <item x="588"/>
        <item x="594"/>
        <item x="279"/>
        <item x="235"/>
        <item x="245"/>
        <item x="244"/>
        <item x="261"/>
        <item x="231"/>
        <item x="280"/>
        <item x="121"/>
        <item x="93"/>
        <item x="122"/>
        <item x="108"/>
        <item x="82"/>
        <item x="127"/>
        <item x="141"/>
        <item x="649"/>
        <item x="78"/>
        <item x="58"/>
        <item x="64"/>
        <item x="56"/>
        <item x="622"/>
        <item x="620"/>
        <item x="699"/>
        <item x="700"/>
        <item x="701"/>
        <item x="702"/>
        <item x="703"/>
        <item x="704"/>
        <item x="705"/>
        <item x="706"/>
        <item x="707"/>
        <item x="708"/>
        <item x="709"/>
        <item x="710"/>
        <item x="711"/>
        <item x="712"/>
        <item x="713"/>
        <item x="714"/>
        <item x="715"/>
        <item x="716"/>
        <item x="804"/>
        <item x="717"/>
        <item x="718"/>
        <item x="719"/>
        <item x="720"/>
        <item x="721"/>
        <item x="722"/>
        <item x="723"/>
        <item x="724"/>
        <item x="725"/>
        <item x="726"/>
        <item x="727"/>
        <item x="728"/>
        <item x="729"/>
        <item x="24"/>
        <item x="65"/>
        <item x="63"/>
        <item x="15"/>
        <item x="25"/>
        <item x="16"/>
        <item x="33"/>
        <item x="30"/>
        <item x="11"/>
        <item x="9"/>
        <item x="14"/>
        <item x="849"/>
        <item x="542"/>
        <item x="333"/>
        <item x="168"/>
        <item x="145"/>
        <item x="144"/>
        <item x="158"/>
        <item x="54"/>
        <item x="258"/>
        <item x="783"/>
        <item x="255"/>
        <item x="269"/>
        <item x="228"/>
        <item x="785"/>
        <item x="831"/>
        <item x="844"/>
        <item x="842"/>
        <item x="830"/>
        <item x="603"/>
        <item x="266"/>
        <item x="267"/>
        <item x="591"/>
        <item x="256"/>
        <item x="557"/>
        <item x="575"/>
        <item x="607"/>
        <item x="562"/>
        <item x="232"/>
        <item x="467"/>
        <item x="604"/>
        <item x="825"/>
        <item x="828"/>
        <item x="823"/>
        <item x="835"/>
        <item x="812"/>
        <item x="817"/>
        <item x="813"/>
        <item x="814"/>
        <item x="815"/>
        <item x="818"/>
        <item x="527"/>
        <item x="547"/>
        <item x="143"/>
        <item x="109"/>
        <item x="98"/>
        <item x="129"/>
        <item x="133"/>
        <item x="316"/>
        <item x="282"/>
        <item x="296"/>
        <item x="504"/>
        <item x="731"/>
        <item x="219"/>
        <item x="781"/>
        <item x="730"/>
        <item x="68"/>
        <item x="782"/>
        <item x="798"/>
        <item x="100"/>
        <item x="682"/>
        <item x="687"/>
        <item x="678"/>
        <item x="125"/>
        <item x="683"/>
        <item x="676"/>
        <item x="773"/>
        <item x="774"/>
        <item x="119"/>
        <item x="102"/>
        <item x="270"/>
        <item x="800"/>
        <item x="795"/>
        <item x="792"/>
        <item x="794"/>
        <item x="110"/>
        <item x="81"/>
        <item x="79"/>
        <item x="573"/>
        <item x="583"/>
        <item x="589"/>
        <item x="600"/>
        <item x="571"/>
        <item x="567"/>
        <item x="592"/>
        <item x="90"/>
        <item x="94"/>
        <item x="80"/>
        <item x="95"/>
        <item x="96"/>
        <item x="87"/>
        <item x="84"/>
        <item x="85"/>
        <item x="92"/>
        <item x="111"/>
        <item x="113"/>
        <item x="69"/>
        <item x="112"/>
        <item x="210"/>
        <item x="644"/>
        <item x="136"/>
        <item x="623"/>
        <item x="128"/>
        <item x="142"/>
        <item x="240"/>
        <item x="246"/>
        <item x="763"/>
        <item x="208"/>
        <item x="342"/>
        <item x="220"/>
        <item x="764"/>
        <item x="793"/>
        <item x="586"/>
        <item x="199"/>
        <item x="661"/>
        <item x="197"/>
        <item x="619"/>
        <item x="780"/>
        <item x="779"/>
        <item x="201"/>
        <item x="198"/>
        <item x="681"/>
        <item x="778"/>
        <item x="188"/>
        <item x="768"/>
        <item x="204"/>
        <item x="777"/>
        <item x="776"/>
        <item x="75"/>
        <item x="350"/>
        <item x="757"/>
        <item x="653"/>
        <item x="679"/>
        <item x="801"/>
        <item x="673"/>
        <item x="668"/>
        <item x="672"/>
        <item x="677"/>
        <item x="775"/>
        <item x="667"/>
        <item x="670"/>
        <item x="664"/>
        <item x="669"/>
        <item x="665"/>
        <item x="770"/>
        <item x="772"/>
        <item x="686"/>
        <item x="685"/>
        <item x="666"/>
        <item x="771"/>
        <item x="674"/>
        <item x="680"/>
        <item x="796"/>
        <item x="799"/>
        <item x="675"/>
        <item x="671"/>
        <item x="856"/>
        <item x="791"/>
        <item x="797"/>
        <item x="787"/>
        <item x="684"/>
        <item x="788"/>
        <item x="789"/>
        <item x="790"/>
        <item x="658"/>
        <item x="483"/>
        <item x="786"/>
        <item x="784"/>
        <item x="480"/>
        <item x="660"/>
        <item x="647"/>
        <item x="572"/>
        <item x="530"/>
        <item x="494"/>
        <item x="147"/>
        <item x="157"/>
        <item x="149"/>
        <item x="162"/>
        <item x="155"/>
        <item x="154"/>
        <item x="153"/>
        <item x="151"/>
        <item x="166"/>
        <item x="159"/>
        <item x="163"/>
        <item x="161"/>
        <item x="152"/>
        <item x="156"/>
        <item x="170"/>
        <item x="165"/>
        <item x="167"/>
        <item x="148"/>
        <item x="146"/>
        <item x="160"/>
        <item x="164"/>
        <item x="169"/>
        <item x="171"/>
        <item x="846"/>
        <item x="847"/>
        <item x="833"/>
        <item x="610"/>
        <item t="default"/>
      </items>
    </pivotField>
    <pivotField compact="0" outline="0" showAll="0"/>
    <pivotField compact="0" outline="0" showAll="0">
      <items count="25">
        <item x="6"/>
        <item x="8"/>
        <item x="19"/>
        <item x="22"/>
        <item x="5"/>
        <item x="17"/>
        <item x="16"/>
        <item x="21"/>
        <item x="14"/>
        <item x="4"/>
        <item x="18"/>
        <item x="2"/>
        <item x="23"/>
        <item x="13"/>
        <item x="0"/>
        <item x="12"/>
        <item x="20"/>
        <item x="15"/>
        <item x="7"/>
        <item x="1"/>
        <item x="11"/>
        <item x="9"/>
        <item x="3"/>
        <item x="10"/>
        <item t="default"/>
      </items>
    </pivotField>
    <pivotField compact="0" outline="0" showAll="0">
      <items count="26">
        <item x="21"/>
        <item x="15"/>
        <item x="22"/>
        <item x="1"/>
        <item x="9"/>
        <item x="23"/>
        <item x="24"/>
        <item x="17"/>
        <item x="19"/>
        <item x="4"/>
        <item x="8"/>
        <item x="10"/>
        <item x="3"/>
        <item x="16"/>
        <item x="2"/>
        <item x="6"/>
        <item x="11"/>
        <item x="7"/>
        <item x="20"/>
        <item x="0"/>
        <item x="18"/>
        <item x="5"/>
        <item x="13"/>
        <item x="14"/>
        <item x="12"/>
        <item t="default"/>
      </items>
    </pivotField>
    <pivotField dataField="1" compact="0" outline="0" showAll="0"/>
    <pivotField compact="0" outline="0" showAll="0"/>
    <pivotField compact="0" outline="0" showAll="0"/>
    <pivotField compact="0" outline="0" showAll="0"/>
    <pivotField dataField="1" compact="0" numFmtId="9" outline="0" subtotalTop="0" showAll="0"/>
    <pivotField compact="0" outline="0" subtotalTop="0" showAll="0"/>
    <pivotField compact="0" outline="0" subtotalTop="0" showAll="0"/>
    <pivotField compact="0" outline="0" subtotalTop="0" showAll="0"/>
  </pivotFields>
  <rowFields count="1">
    <field x="0"/>
  </rowFields>
  <rowItems count="17">
    <i>
      <x/>
    </i>
    <i>
      <x v="1"/>
    </i>
    <i>
      <x v="2"/>
    </i>
    <i>
      <x v="3"/>
    </i>
    <i>
      <x v="4"/>
    </i>
    <i>
      <x v="5"/>
    </i>
    <i>
      <x v="6"/>
    </i>
    <i>
      <x v="7"/>
    </i>
    <i>
      <x v="8"/>
    </i>
    <i>
      <x v="9"/>
    </i>
    <i>
      <x v="10"/>
    </i>
    <i>
      <x v="11"/>
    </i>
    <i>
      <x v="12"/>
    </i>
    <i>
      <x v="13"/>
    </i>
    <i>
      <x v="14"/>
    </i>
    <i>
      <x v="15"/>
    </i>
    <i>
      <x v="16"/>
    </i>
  </rowItems>
  <colFields count="1">
    <field x="-2"/>
  </colFields>
  <colItems count="2">
    <i>
      <x/>
    </i>
    <i i="1">
      <x v="1"/>
    </i>
  </colItems>
  <dataFields count="2">
    <dataField name="Average of Margin%" fld="9" subtotal="average" baseField="0" baseItem="0" numFmtId="9"/>
    <dataField name="Average of Rating" fld="5" subtotal="average"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F13D8C1-CC66-41A6-8AB1-9EF5C5667CEA}" name="Top Selling Brand"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compact="0" compactData="0" gridDropZones="1" multipleFieldFilters="0">
  <location ref="X5:Y7" firstHeaderRow="2" firstDataRow="2" firstDataCol="1"/>
  <pivotFields count="13">
    <pivotField axis="axisRow" dataField="1" compact="0" outline="0" showAll="0" measureFilter="1">
      <items count="18">
        <item x="9"/>
        <item x="5"/>
        <item x="7"/>
        <item x="3"/>
        <item x="1"/>
        <item x="16"/>
        <item x="2"/>
        <item x="11"/>
        <item x="4"/>
        <item x="12"/>
        <item x="8"/>
        <item x="0"/>
        <item x="13"/>
        <item x="6"/>
        <item x="10"/>
        <item x="14"/>
        <item x="1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9" outline="0" showAll="0"/>
    <pivotField compact="0" outline="0" showAll="0"/>
    <pivotField compact="0" outline="0" subtotalTop="0" showAll="0"/>
    <pivotField compact="0" outline="0" subtotalTop="0" showAll="0"/>
  </pivotFields>
  <rowFields count="1">
    <field x="0"/>
  </rowFields>
  <rowItems count="1">
    <i>
      <x v="14"/>
    </i>
  </rowItems>
  <colItems count="1">
    <i/>
  </colItems>
  <dataFields count="1">
    <dataField name="Top Selling Brand" fld="0" subtotal="count" baseField="0" baseItem="14"/>
  </dataFields>
  <formats count="5">
    <format dxfId="56">
      <pivotArea type="all" dataOnly="0" outline="0" fieldPosition="0"/>
    </format>
    <format dxfId="55">
      <pivotArea type="origin" dataOnly="0" labelOnly="1" outline="0" fieldPosition="0"/>
    </format>
    <format dxfId="54">
      <pivotArea dataOnly="0" labelOnly="1" grandCol="1" outline="0" axis="axisCol" fieldPosition="0"/>
    </format>
    <format dxfId="53">
      <pivotArea field="0" type="button" dataOnly="0" labelOnly="1" outline="0" axis="axisRow" fieldPosition="0"/>
    </format>
    <format dxfId="52">
      <pivotArea outline="0" collapsedLevelsAreSubtotals="1" fieldPosition="0"/>
    </format>
  </formats>
  <pivotTableStyleInfo name="PivotStyleLight16" showRowHeaders="1" showColHeaders="1" showRowStripes="0" showColStripes="0" showLastColumn="1"/>
  <filters count="1">
    <filter fld="0"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98F0F7C-F296-4180-B22F-2A17BA645333}" name="Top Rated Brand"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location ref="AF5:AG23" firstHeaderRow="2" firstDataRow="2" firstDataCol="1"/>
  <pivotFields count="13">
    <pivotField axis="axisRow" compact="0" outline="0" showAll="0">
      <items count="18">
        <item x="9"/>
        <item x="5"/>
        <item x="7"/>
        <item x="3"/>
        <item x="1"/>
        <item x="16"/>
        <item x="2"/>
        <item x="11"/>
        <item x="4"/>
        <item x="12"/>
        <item x="8"/>
        <item x="0"/>
        <item x="13"/>
        <item x="6"/>
        <item x="10"/>
        <item x="14"/>
        <item x="15"/>
        <item t="default"/>
      </items>
    </pivotField>
    <pivotField compact="0" outline="0" showAll="0">
      <items count="869">
        <item x="207"/>
        <item x="77"/>
        <item x="318"/>
        <item x="324"/>
        <item x="304"/>
        <item x="297"/>
        <item x="70"/>
        <item x="321"/>
        <item x="314"/>
        <item x="292"/>
        <item x="348"/>
        <item x="319"/>
        <item x="322"/>
        <item x="334"/>
        <item x="295"/>
        <item x="203"/>
        <item x="317"/>
        <item x="347"/>
        <item x="187"/>
        <item x="340"/>
        <item x="339"/>
        <item x="184"/>
        <item x="338"/>
        <item x="306"/>
        <item x="733"/>
        <item x="283"/>
        <item x="330"/>
        <item x="328"/>
        <item x="320"/>
        <item x="310"/>
        <item x="307"/>
        <item x="309"/>
        <item x="323"/>
        <item x="346"/>
        <item x="329"/>
        <item x="351"/>
        <item x="734"/>
        <item x="742"/>
        <item x="331"/>
        <item x="308"/>
        <item x="281"/>
        <item x="288"/>
        <item x="312"/>
        <item x="311"/>
        <item x="807"/>
        <item x="284"/>
        <item x="802"/>
        <item x="803"/>
        <item x="289"/>
        <item x="298"/>
        <item x="293"/>
        <item x="286"/>
        <item x="287"/>
        <item x="313"/>
        <item x="76"/>
        <item x="305"/>
        <item x="301"/>
        <item x="285"/>
        <item x="300"/>
        <item x="302"/>
        <item x="303"/>
        <item x="615"/>
        <item x="73"/>
        <item x="326"/>
        <item x="291"/>
        <item x="74"/>
        <item x="72"/>
        <item x="192"/>
        <item x="71"/>
        <item x="193"/>
        <item x="315"/>
        <item x="743"/>
        <item x="299"/>
        <item x="290"/>
        <item x="209"/>
        <item x="221"/>
        <item x="218"/>
        <item x="336"/>
        <item x="748"/>
        <item x="741"/>
        <item x="206"/>
        <item x="150"/>
        <item x="344"/>
        <item x="212"/>
        <item x="194"/>
        <item x="181"/>
        <item x="182"/>
        <item x="332"/>
        <item x="341"/>
        <item x="747"/>
        <item x="738"/>
        <item x="744"/>
        <item x="177"/>
        <item x="857"/>
        <item x="860"/>
        <item x="858"/>
        <item x="859"/>
        <item x="806"/>
        <item x="765"/>
        <item x="227"/>
        <item x="249"/>
        <item x="243"/>
        <item x="601"/>
        <item x="6"/>
        <item x="1"/>
        <item x="12"/>
        <item x="17"/>
        <item x="758"/>
        <item x="851"/>
        <item x="48"/>
        <item x="566"/>
        <item x="563"/>
        <item x="4"/>
        <item x="606"/>
        <item x="598"/>
        <item x="3"/>
        <item x="49"/>
        <item x="596"/>
        <item x="39"/>
        <item x="32"/>
        <item x="565"/>
        <item x="34"/>
        <item x="577"/>
        <item x="43"/>
        <item x="0"/>
        <item x="579"/>
        <item x="2"/>
        <item x="8"/>
        <item x="759"/>
        <item x="47"/>
        <item x="23"/>
        <item x="599"/>
        <item x="602"/>
        <item x="608"/>
        <item x="576"/>
        <item x="578"/>
        <item x="559"/>
        <item x="21"/>
        <item x="564"/>
        <item x="580"/>
        <item x="582"/>
        <item x="46"/>
        <item x="44"/>
        <item x="51"/>
        <item x="5"/>
        <item x="13"/>
        <item x="568"/>
        <item x="40"/>
        <item x="37"/>
        <item x="595"/>
        <item x="52"/>
        <item x="28"/>
        <item x="345"/>
        <item x="337"/>
        <item x="349"/>
        <item x="327"/>
        <item x="574"/>
        <item x="449"/>
        <item x="476"/>
        <item x="638"/>
        <item x="624"/>
        <item x="186"/>
        <item x="172"/>
        <item x="185"/>
        <item x="183"/>
        <item x="191"/>
        <item x="202"/>
        <item x="174"/>
        <item x="294"/>
        <item x="178"/>
        <item x="175"/>
        <item x="211"/>
        <item x="176"/>
        <item x="766"/>
        <item x="190"/>
        <item x="850"/>
        <item x="861"/>
        <item x="88"/>
        <item x="275"/>
        <item x="272"/>
        <item x="754"/>
        <item x="739"/>
        <item x="751"/>
        <item x="746"/>
        <item x="750"/>
        <item x="735"/>
        <item x="732"/>
        <item x="755"/>
        <item x="753"/>
        <item x="749"/>
        <item x="745"/>
        <item x="737"/>
        <item x="736"/>
        <item x="636"/>
        <item x="621"/>
        <item x="639"/>
        <item x="637"/>
        <item x="634"/>
        <item x="611"/>
        <item x="616"/>
        <item x="618"/>
        <item x="640"/>
        <item x="278"/>
        <item x="274"/>
        <item x="259"/>
        <item x="277"/>
        <item x="250"/>
        <item x="62"/>
        <item x="36"/>
        <item x="247"/>
        <item x="268"/>
        <item x="265"/>
        <item x="225"/>
        <item x="31"/>
        <item x="229"/>
        <item x="57"/>
        <item x="26"/>
        <item x="10"/>
        <item x="7"/>
        <item x="20"/>
        <item x="18"/>
        <item x="19"/>
        <item x="66"/>
        <item x="248"/>
        <item x="226"/>
        <item x="38"/>
        <item x="35"/>
        <item x="760"/>
        <item x="53"/>
        <item x="22"/>
        <item x="59"/>
        <item x="60"/>
        <item x="224"/>
        <item x="42"/>
        <item x="239"/>
        <item x="260"/>
        <item x="50"/>
        <item x="29"/>
        <item x="651"/>
        <item x="631"/>
        <item x="641"/>
        <item x="117"/>
        <item x="612"/>
        <item x="120"/>
        <item x="273"/>
        <item x="131"/>
        <item x="140"/>
        <item x="628"/>
        <item x="657"/>
        <item x="132"/>
        <item x="655"/>
        <item x="135"/>
        <item x="614"/>
        <item x="629"/>
        <item x="107"/>
        <item x="659"/>
        <item x="643"/>
        <item x="625"/>
        <item x="123"/>
        <item x="652"/>
        <item x="654"/>
        <item x="613"/>
        <item x="645"/>
        <item x="656"/>
        <item x="105"/>
        <item x="97"/>
        <item x="650"/>
        <item x="617"/>
        <item x="101"/>
        <item x="633"/>
        <item x="630"/>
        <item x="866"/>
        <item x="388"/>
        <item x="444"/>
        <item x="431"/>
        <item x="376"/>
        <item x="472"/>
        <item x="430"/>
        <item x="423"/>
        <item x="382"/>
        <item x="377"/>
        <item x="378"/>
        <item x="510"/>
        <item x="454"/>
        <item x="426"/>
        <item x="418"/>
        <item x="399"/>
        <item x="535"/>
        <item x="514"/>
        <item x="448"/>
        <item x="410"/>
        <item x="392"/>
        <item x="398"/>
        <item x="503"/>
        <item x="394"/>
        <item x="414"/>
        <item x="415"/>
        <item x="427"/>
        <item x="478"/>
        <item x="417"/>
        <item x="406"/>
        <item x="405"/>
        <item x="390"/>
        <item x="459"/>
        <item x="512"/>
        <item x="461"/>
        <item x="523"/>
        <item x="462"/>
        <item x="438"/>
        <item x="489"/>
        <item x="532"/>
        <item x="498"/>
        <item x="525"/>
        <item x="516"/>
        <item x="552"/>
        <item x="533"/>
        <item x="499"/>
        <item x="544"/>
        <item x="501"/>
        <item x="389"/>
        <item x="372"/>
        <item x="371"/>
        <item x="865"/>
        <item x="397"/>
        <item x="769"/>
        <item x="393"/>
        <item x="440"/>
        <item x="526"/>
        <item x="451"/>
        <item x="549"/>
        <item x="518"/>
        <item x="537"/>
        <item x="556"/>
        <item x="548"/>
        <item x="496"/>
        <item x="482"/>
        <item x="447"/>
        <item x="490"/>
        <item x="433"/>
        <item x="506"/>
        <item x="428"/>
        <item x="491"/>
        <item x="450"/>
        <item x="453"/>
        <item x="460"/>
        <item x="485"/>
        <item x="528"/>
        <item x="455"/>
        <item x="429"/>
        <item x="439"/>
        <item x="515"/>
        <item x="441"/>
        <item x="437"/>
        <item x="434"/>
        <item x="424"/>
        <item x="465"/>
        <item x="458"/>
        <item x="387"/>
        <item x="421"/>
        <item x="375"/>
        <item x="473"/>
        <item x="481"/>
        <item x="395"/>
        <item x="379"/>
        <item x="484"/>
        <item x="432"/>
        <item x="435"/>
        <item x="463"/>
        <item x="385"/>
        <item x="383"/>
        <item x="391"/>
        <item x="446"/>
        <item x="436"/>
        <item x="469"/>
        <item x="402"/>
        <item x="550"/>
        <item x="517"/>
        <item x="492"/>
        <item x="403"/>
        <item x="420"/>
        <item x="508"/>
        <item x="511"/>
        <item x="519"/>
        <item x="487"/>
        <item x="551"/>
        <item x="502"/>
        <item x="443"/>
        <item x="538"/>
        <item x="404"/>
        <item x="505"/>
        <item x="486"/>
        <item x="416"/>
        <item x="470"/>
        <item x="553"/>
        <item x="554"/>
        <item x="509"/>
        <item x="400"/>
        <item x="396"/>
        <item x="452"/>
        <item x="521"/>
        <item x="497"/>
        <item x="425"/>
        <item x="442"/>
        <item x="471"/>
        <item x="468"/>
        <item x="466"/>
        <item x="864"/>
        <item x="457"/>
        <item x="524"/>
        <item x="507"/>
        <item x="488"/>
        <item x="555"/>
        <item x="464"/>
        <item x="539"/>
        <item x="456"/>
        <item x="558"/>
        <item x="543"/>
        <item x="522"/>
        <item x="493"/>
        <item x="541"/>
        <item x="477"/>
        <item x="412"/>
        <item x="536"/>
        <item x="475"/>
        <item x="495"/>
        <item x="545"/>
        <item x="546"/>
        <item x="386"/>
        <item x="407"/>
        <item x="540"/>
        <item x="531"/>
        <item x="200"/>
        <item x="205"/>
        <item x="767"/>
        <item x="409"/>
        <item x="408"/>
        <item x="411"/>
        <item x="55"/>
        <item x="834"/>
        <item x="808"/>
        <item x="811"/>
        <item x="810"/>
        <item x="809"/>
        <item x="843"/>
        <item x="826"/>
        <item x="845"/>
        <item x="848"/>
        <item x="827"/>
        <item x="837"/>
        <item x="838"/>
        <item x="841"/>
        <item x="839"/>
        <item x="355"/>
        <item x="360"/>
        <item x="358"/>
        <item x="356"/>
        <item x="354"/>
        <item x="357"/>
        <item x="852"/>
        <item x="855"/>
        <item x="854"/>
        <item x="853"/>
        <item x="368"/>
        <item x="363"/>
        <item x="366"/>
        <item x="369"/>
        <item x="367"/>
        <item x="365"/>
        <item x="362"/>
        <item x="359"/>
        <item x="352"/>
        <item x="370"/>
        <item x="353"/>
        <item x="361"/>
        <item x="364"/>
        <item x="27"/>
        <item x="91"/>
        <item x="124"/>
        <item x="126"/>
        <item x="581"/>
        <item x="587"/>
        <item x="41"/>
        <item x="561"/>
        <item x="609"/>
        <item x="590"/>
        <item x="86"/>
        <item x="584"/>
        <item x="585"/>
        <item x="130"/>
        <item x="103"/>
        <item x="116"/>
        <item x="569"/>
        <item x="560"/>
        <item x="570"/>
        <item x="89"/>
        <item x="593"/>
        <item x="139"/>
        <item x="134"/>
        <item x="115"/>
        <item x="233"/>
        <item x="230"/>
        <item x="83"/>
        <item x="343"/>
        <item x="335"/>
        <item x="325"/>
        <item x="626"/>
        <item x="401"/>
        <item x="374"/>
        <item x="276"/>
        <item x="762"/>
        <item x="761"/>
        <item x="663"/>
        <item x="419"/>
        <item x="381"/>
        <item x="257"/>
        <item x="662"/>
        <item x="380"/>
        <item x="474"/>
        <item x="373"/>
        <item x="862"/>
        <item x="863"/>
        <item x="241"/>
        <item x="867"/>
        <item x="264"/>
        <item x="254"/>
        <item x="252"/>
        <item x="253"/>
        <item x="262"/>
        <item x="251"/>
        <item x="271"/>
        <item x="222"/>
        <item x="223"/>
        <item x="99"/>
        <item x="500"/>
        <item x="413"/>
        <item x="384"/>
        <item x="422"/>
        <item x="529"/>
        <item x="513"/>
        <item x="445"/>
        <item x="479"/>
        <item x="688"/>
        <item x="689"/>
        <item x="690"/>
        <item x="691"/>
        <item x="692"/>
        <item x="693"/>
        <item x="694"/>
        <item x="695"/>
        <item x="696"/>
        <item x="697"/>
        <item x="698"/>
        <item x="67"/>
        <item x="217"/>
        <item x="216"/>
        <item x="215"/>
        <item x="213"/>
        <item x="214"/>
        <item x="179"/>
        <item x="173"/>
        <item x="189"/>
        <item x="180"/>
        <item x="196"/>
        <item x="195"/>
        <item x="61"/>
        <item x="45"/>
        <item x="106"/>
        <item x="104"/>
        <item x="836"/>
        <item x="805"/>
        <item x="821"/>
        <item x="820"/>
        <item x="816"/>
        <item x="819"/>
        <item x="822"/>
        <item x="840"/>
        <item x="824"/>
        <item x="829"/>
        <item x="832"/>
        <item x="534"/>
        <item x="520"/>
        <item x="646"/>
        <item x="756"/>
        <item x="635"/>
        <item x="740"/>
        <item x="632"/>
        <item x="752"/>
        <item x="642"/>
        <item x="648"/>
        <item x="627"/>
        <item x="137"/>
        <item x="118"/>
        <item x="138"/>
        <item x="114"/>
        <item x="597"/>
        <item x="236"/>
        <item x="237"/>
        <item x="238"/>
        <item x="234"/>
        <item x="242"/>
        <item x="263"/>
        <item x="605"/>
        <item x="588"/>
        <item x="594"/>
        <item x="279"/>
        <item x="235"/>
        <item x="245"/>
        <item x="244"/>
        <item x="261"/>
        <item x="231"/>
        <item x="280"/>
        <item x="121"/>
        <item x="93"/>
        <item x="122"/>
        <item x="108"/>
        <item x="82"/>
        <item x="127"/>
        <item x="141"/>
        <item x="649"/>
        <item x="78"/>
        <item x="58"/>
        <item x="64"/>
        <item x="56"/>
        <item x="622"/>
        <item x="620"/>
        <item x="699"/>
        <item x="700"/>
        <item x="701"/>
        <item x="702"/>
        <item x="703"/>
        <item x="704"/>
        <item x="705"/>
        <item x="706"/>
        <item x="707"/>
        <item x="708"/>
        <item x="709"/>
        <item x="710"/>
        <item x="711"/>
        <item x="712"/>
        <item x="713"/>
        <item x="714"/>
        <item x="715"/>
        <item x="716"/>
        <item x="804"/>
        <item x="717"/>
        <item x="718"/>
        <item x="719"/>
        <item x="720"/>
        <item x="721"/>
        <item x="722"/>
        <item x="723"/>
        <item x="724"/>
        <item x="725"/>
        <item x="726"/>
        <item x="727"/>
        <item x="728"/>
        <item x="729"/>
        <item x="24"/>
        <item x="65"/>
        <item x="63"/>
        <item x="15"/>
        <item x="25"/>
        <item x="16"/>
        <item x="33"/>
        <item x="30"/>
        <item x="11"/>
        <item x="9"/>
        <item x="14"/>
        <item x="849"/>
        <item x="542"/>
        <item x="333"/>
        <item x="168"/>
        <item x="145"/>
        <item x="144"/>
        <item x="158"/>
        <item x="54"/>
        <item x="258"/>
        <item x="783"/>
        <item x="255"/>
        <item x="269"/>
        <item x="228"/>
        <item x="785"/>
        <item x="831"/>
        <item x="844"/>
        <item x="842"/>
        <item x="830"/>
        <item x="603"/>
        <item x="266"/>
        <item x="267"/>
        <item x="591"/>
        <item x="256"/>
        <item x="557"/>
        <item x="575"/>
        <item x="607"/>
        <item x="562"/>
        <item x="232"/>
        <item x="467"/>
        <item x="604"/>
        <item x="825"/>
        <item x="828"/>
        <item x="823"/>
        <item x="835"/>
        <item x="812"/>
        <item x="817"/>
        <item x="813"/>
        <item x="814"/>
        <item x="815"/>
        <item x="818"/>
        <item x="527"/>
        <item x="547"/>
        <item x="143"/>
        <item x="109"/>
        <item x="98"/>
        <item x="129"/>
        <item x="133"/>
        <item x="316"/>
        <item x="282"/>
        <item x="296"/>
        <item x="504"/>
        <item x="731"/>
        <item x="219"/>
        <item x="781"/>
        <item x="730"/>
        <item x="68"/>
        <item x="782"/>
        <item x="798"/>
        <item x="100"/>
        <item x="682"/>
        <item x="687"/>
        <item x="678"/>
        <item x="125"/>
        <item x="683"/>
        <item x="676"/>
        <item x="773"/>
        <item x="774"/>
        <item x="119"/>
        <item x="102"/>
        <item x="270"/>
        <item x="800"/>
        <item x="795"/>
        <item x="792"/>
        <item x="794"/>
        <item x="110"/>
        <item x="81"/>
        <item x="79"/>
        <item x="573"/>
        <item x="583"/>
        <item x="589"/>
        <item x="600"/>
        <item x="571"/>
        <item x="567"/>
        <item x="592"/>
        <item x="90"/>
        <item x="94"/>
        <item x="80"/>
        <item x="95"/>
        <item x="96"/>
        <item x="87"/>
        <item x="84"/>
        <item x="85"/>
        <item x="92"/>
        <item x="111"/>
        <item x="113"/>
        <item x="69"/>
        <item x="112"/>
        <item x="210"/>
        <item x="644"/>
        <item x="136"/>
        <item x="623"/>
        <item x="128"/>
        <item x="142"/>
        <item x="240"/>
        <item x="246"/>
        <item x="763"/>
        <item x="208"/>
        <item x="342"/>
        <item x="220"/>
        <item x="764"/>
        <item x="793"/>
        <item x="586"/>
        <item x="199"/>
        <item x="661"/>
        <item x="197"/>
        <item x="619"/>
        <item x="780"/>
        <item x="779"/>
        <item x="201"/>
        <item x="198"/>
        <item x="681"/>
        <item x="778"/>
        <item x="188"/>
        <item x="768"/>
        <item x="204"/>
        <item x="777"/>
        <item x="776"/>
        <item x="75"/>
        <item x="350"/>
        <item x="757"/>
        <item x="653"/>
        <item x="679"/>
        <item x="801"/>
        <item x="673"/>
        <item x="668"/>
        <item x="672"/>
        <item x="677"/>
        <item x="775"/>
        <item x="667"/>
        <item x="670"/>
        <item x="664"/>
        <item x="669"/>
        <item x="665"/>
        <item x="770"/>
        <item x="772"/>
        <item x="686"/>
        <item x="685"/>
        <item x="666"/>
        <item x="771"/>
        <item x="674"/>
        <item x="680"/>
        <item x="796"/>
        <item x="799"/>
        <item x="675"/>
        <item x="671"/>
        <item x="856"/>
        <item x="791"/>
        <item x="797"/>
        <item x="787"/>
        <item x="684"/>
        <item x="788"/>
        <item x="789"/>
        <item x="790"/>
        <item x="658"/>
        <item x="483"/>
        <item x="786"/>
        <item x="784"/>
        <item x="480"/>
        <item x="660"/>
        <item x="647"/>
        <item x="572"/>
        <item x="530"/>
        <item x="494"/>
        <item x="147"/>
        <item x="157"/>
        <item x="149"/>
        <item x="162"/>
        <item x="155"/>
        <item x="154"/>
        <item x="153"/>
        <item x="151"/>
        <item x="166"/>
        <item x="159"/>
        <item x="163"/>
        <item x="161"/>
        <item x="152"/>
        <item x="156"/>
        <item x="170"/>
        <item x="165"/>
        <item x="167"/>
        <item x="148"/>
        <item x="146"/>
        <item x="160"/>
        <item x="164"/>
        <item x="169"/>
        <item x="171"/>
        <item x="846"/>
        <item x="847"/>
        <item x="833"/>
        <item x="610"/>
        <item t="default"/>
      </items>
    </pivotField>
    <pivotField compact="0" outline="0" showAll="0"/>
    <pivotField compact="0" outline="0" showAll="0">
      <items count="25">
        <item x="6"/>
        <item x="8"/>
        <item x="19"/>
        <item x="22"/>
        <item x="5"/>
        <item x="17"/>
        <item x="16"/>
        <item x="21"/>
        <item x="14"/>
        <item x="4"/>
        <item x="18"/>
        <item x="2"/>
        <item x="23"/>
        <item x="13"/>
        <item x="0"/>
        <item x="12"/>
        <item x="20"/>
        <item x="15"/>
        <item x="7"/>
        <item x="1"/>
        <item x="11"/>
        <item x="9"/>
        <item x="3"/>
        <item x="10"/>
        <item t="default"/>
      </items>
    </pivotField>
    <pivotField compact="0" outline="0" showAll="0"/>
    <pivotField dataField="1" compact="0" outline="0" showAll="0"/>
    <pivotField compact="0" outline="0" showAll="0"/>
    <pivotField compact="0" outline="0" showAll="0"/>
    <pivotField compact="0" outline="0" showAll="0"/>
    <pivotField compact="0" numFmtId="9" outline="0" showAll="0"/>
    <pivotField compact="0" outline="0" showAll="0"/>
    <pivotField compact="0" outline="0" subtotalTop="0" showAll="0"/>
    <pivotField compact="0" outline="0" subtotalTop="0" showAll="0"/>
  </pivotFields>
  <rowFields count="1">
    <field x="0"/>
  </rowFields>
  <rowItems count="17">
    <i>
      <x/>
    </i>
    <i>
      <x v="1"/>
    </i>
    <i>
      <x v="2"/>
    </i>
    <i>
      <x v="3"/>
    </i>
    <i>
      <x v="4"/>
    </i>
    <i>
      <x v="5"/>
    </i>
    <i>
      <x v="6"/>
    </i>
    <i>
      <x v="7"/>
    </i>
    <i>
      <x v="8"/>
    </i>
    <i>
      <x v="9"/>
    </i>
    <i>
      <x v="10"/>
    </i>
    <i>
      <x v="11"/>
    </i>
    <i>
      <x v="12"/>
    </i>
    <i>
      <x v="13"/>
    </i>
    <i>
      <x v="14"/>
    </i>
    <i>
      <x v="15"/>
    </i>
    <i>
      <x v="16"/>
    </i>
  </rowItems>
  <colItems count="1">
    <i/>
  </colItems>
  <dataFields count="1">
    <dataField name="Average of Rating" fld="5" subtotal="average" baseField="0" baseItem="0" numFmtId="164"/>
  </dataFields>
  <formats count="1">
    <format dxfId="5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4D7C3CB-AB22-4336-AA0C-1A98CCFD5669}" name="Top Rev. Brand"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location ref="AJ5:AK7" firstHeaderRow="2" firstDataRow="2" firstDataCol="1"/>
  <pivotFields count="13">
    <pivotField axis="axisRow" compact="0" outline="0" showAll="0">
      <items count="18">
        <item x="9"/>
        <item h="1" x="5"/>
        <item h="1" x="7"/>
        <item h="1" x="3"/>
        <item h="1" x="1"/>
        <item h="1" x="16"/>
        <item h="1" x="2"/>
        <item h="1" x="11"/>
        <item h="1" x="4"/>
        <item h="1" x="12"/>
        <item h="1" x="8"/>
        <item h="1" x="0"/>
        <item h="1" x="13"/>
        <item h="1" x="6"/>
        <item h="1" x="10"/>
        <item h="1" x="14"/>
        <item h="1" x="15"/>
        <item t="default"/>
      </items>
    </pivotField>
    <pivotField compact="0" outline="0" showAll="0">
      <items count="869">
        <item x="207"/>
        <item x="77"/>
        <item x="318"/>
        <item x="324"/>
        <item x="304"/>
        <item x="297"/>
        <item x="70"/>
        <item x="321"/>
        <item x="314"/>
        <item x="292"/>
        <item x="348"/>
        <item x="319"/>
        <item x="322"/>
        <item x="334"/>
        <item x="295"/>
        <item x="203"/>
        <item x="317"/>
        <item x="347"/>
        <item x="187"/>
        <item x="340"/>
        <item x="339"/>
        <item x="184"/>
        <item x="338"/>
        <item x="306"/>
        <item x="733"/>
        <item x="283"/>
        <item x="330"/>
        <item x="328"/>
        <item x="320"/>
        <item x="310"/>
        <item x="307"/>
        <item x="309"/>
        <item x="323"/>
        <item x="346"/>
        <item x="329"/>
        <item x="351"/>
        <item x="734"/>
        <item x="742"/>
        <item x="331"/>
        <item x="308"/>
        <item x="281"/>
        <item x="288"/>
        <item x="312"/>
        <item x="311"/>
        <item x="807"/>
        <item x="284"/>
        <item x="802"/>
        <item x="803"/>
        <item x="289"/>
        <item x="298"/>
        <item x="293"/>
        <item x="286"/>
        <item x="287"/>
        <item x="313"/>
        <item x="76"/>
        <item x="305"/>
        <item x="301"/>
        <item x="285"/>
        <item x="300"/>
        <item x="302"/>
        <item x="303"/>
        <item x="615"/>
        <item x="73"/>
        <item x="326"/>
        <item x="291"/>
        <item x="74"/>
        <item x="72"/>
        <item x="192"/>
        <item x="71"/>
        <item x="193"/>
        <item x="315"/>
        <item x="743"/>
        <item x="299"/>
        <item x="290"/>
        <item x="209"/>
        <item x="221"/>
        <item x="218"/>
        <item x="336"/>
        <item x="748"/>
        <item x="741"/>
        <item x="206"/>
        <item x="150"/>
        <item x="344"/>
        <item x="212"/>
        <item x="194"/>
        <item x="181"/>
        <item x="182"/>
        <item x="332"/>
        <item x="341"/>
        <item x="747"/>
        <item x="738"/>
        <item x="744"/>
        <item x="177"/>
        <item x="857"/>
        <item x="860"/>
        <item x="858"/>
        <item x="859"/>
        <item x="806"/>
        <item x="765"/>
        <item x="227"/>
        <item x="249"/>
        <item x="243"/>
        <item x="601"/>
        <item x="6"/>
        <item x="1"/>
        <item x="12"/>
        <item x="17"/>
        <item x="758"/>
        <item x="851"/>
        <item x="48"/>
        <item x="566"/>
        <item x="563"/>
        <item x="4"/>
        <item x="606"/>
        <item x="598"/>
        <item x="3"/>
        <item x="49"/>
        <item x="596"/>
        <item x="39"/>
        <item x="32"/>
        <item x="565"/>
        <item x="34"/>
        <item x="577"/>
        <item x="43"/>
        <item x="0"/>
        <item x="579"/>
        <item x="2"/>
        <item x="8"/>
        <item x="759"/>
        <item x="47"/>
        <item x="23"/>
        <item x="599"/>
        <item x="602"/>
        <item x="608"/>
        <item x="576"/>
        <item x="578"/>
        <item x="559"/>
        <item x="21"/>
        <item x="564"/>
        <item x="580"/>
        <item x="582"/>
        <item x="46"/>
        <item x="44"/>
        <item x="51"/>
        <item x="5"/>
        <item x="13"/>
        <item x="568"/>
        <item x="40"/>
        <item x="37"/>
        <item x="595"/>
        <item x="52"/>
        <item x="28"/>
        <item x="345"/>
        <item x="337"/>
        <item x="349"/>
        <item x="327"/>
        <item x="574"/>
        <item x="449"/>
        <item x="476"/>
        <item x="638"/>
        <item x="624"/>
        <item x="186"/>
        <item x="172"/>
        <item x="185"/>
        <item x="183"/>
        <item x="191"/>
        <item x="202"/>
        <item x="174"/>
        <item x="294"/>
        <item x="178"/>
        <item x="175"/>
        <item x="211"/>
        <item x="176"/>
        <item x="766"/>
        <item x="190"/>
        <item x="850"/>
        <item x="861"/>
        <item x="88"/>
        <item x="275"/>
        <item x="272"/>
        <item x="754"/>
        <item x="739"/>
        <item x="751"/>
        <item x="746"/>
        <item x="750"/>
        <item x="735"/>
        <item x="732"/>
        <item x="755"/>
        <item x="753"/>
        <item x="749"/>
        <item x="745"/>
        <item x="737"/>
        <item x="736"/>
        <item x="636"/>
        <item x="621"/>
        <item x="639"/>
        <item x="637"/>
        <item x="634"/>
        <item x="611"/>
        <item x="616"/>
        <item x="618"/>
        <item x="640"/>
        <item x="278"/>
        <item x="274"/>
        <item x="259"/>
        <item x="277"/>
        <item x="250"/>
        <item x="62"/>
        <item x="36"/>
        <item x="247"/>
        <item x="268"/>
        <item x="265"/>
        <item x="225"/>
        <item x="31"/>
        <item x="229"/>
        <item x="57"/>
        <item x="26"/>
        <item x="10"/>
        <item x="7"/>
        <item x="20"/>
        <item x="18"/>
        <item x="19"/>
        <item x="66"/>
        <item x="248"/>
        <item x="226"/>
        <item x="38"/>
        <item x="35"/>
        <item x="760"/>
        <item x="53"/>
        <item x="22"/>
        <item x="59"/>
        <item x="60"/>
        <item x="224"/>
        <item x="42"/>
        <item x="239"/>
        <item x="260"/>
        <item x="50"/>
        <item x="29"/>
        <item x="651"/>
        <item x="631"/>
        <item x="641"/>
        <item x="117"/>
        <item x="612"/>
        <item x="120"/>
        <item x="273"/>
        <item x="131"/>
        <item x="140"/>
        <item x="628"/>
        <item x="657"/>
        <item x="132"/>
        <item x="655"/>
        <item x="135"/>
        <item x="614"/>
        <item x="629"/>
        <item x="107"/>
        <item x="659"/>
        <item x="643"/>
        <item x="625"/>
        <item x="123"/>
        <item x="652"/>
        <item x="654"/>
        <item x="613"/>
        <item x="645"/>
        <item x="656"/>
        <item x="105"/>
        <item x="97"/>
        <item x="650"/>
        <item x="617"/>
        <item x="101"/>
        <item x="633"/>
        <item x="630"/>
        <item x="866"/>
        <item x="388"/>
        <item x="444"/>
        <item x="431"/>
        <item x="376"/>
        <item x="472"/>
        <item x="430"/>
        <item x="423"/>
        <item x="382"/>
        <item x="377"/>
        <item x="378"/>
        <item x="510"/>
        <item x="454"/>
        <item x="426"/>
        <item x="418"/>
        <item x="399"/>
        <item x="535"/>
        <item x="514"/>
        <item x="448"/>
        <item x="410"/>
        <item x="392"/>
        <item x="398"/>
        <item x="503"/>
        <item x="394"/>
        <item x="414"/>
        <item x="415"/>
        <item x="427"/>
        <item x="478"/>
        <item x="417"/>
        <item x="406"/>
        <item x="405"/>
        <item x="390"/>
        <item x="459"/>
        <item x="512"/>
        <item x="461"/>
        <item x="523"/>
        <item x="462"/>
        <item x="438"/>
        <item x="489"/>
        <item x="532"/>
        <item x="498"/>
        <item x="525"/>
        <item x="516"/>
        <item x="552"/>
        <item x="533"/>
        <item x="499"/>
        <item x="544"/>
        <item x="501"/>
        <item x="389"/>
        <item x="372"/>
        <item x="371"/>
        <item x="865"/>
        <item x="397"/>
        <item x="769"/>
        <item x="393"/>
        <item x="440"/>
        <item x="526"/>
        <item x="451"/>
        <item x="549"/>
        <item x="518"/>
        <item x="537"/>
        <item x="556"/>
        <item x="548"/>
        <item x="496"/>
        <item x="482"/>
        <item x="447"/>
        <item x="490"/>
        <item x="433"/>
        <item x="506"/>
        <item x="428"/>
        <item x="491"/>
        <item x="450"/>
        <item x="453"/>
        <item x="460"/>
        <item x="485"/>
        <item x="528"/>
        <item x="455"/>
        <item x="429"/>
        <item x="439"/>
        <item x="515"/>
        <item x="441"/>
        <item x="437"/>
        <item x="434"/>
        <item x="424"/>
        <item x="465"/>
        <item x="458"/>
        <item x="387"/>
        <item x="421"/>
        <item x="375"/>
        <item x="473"/>
        <item x="481"/>
        <item x="395"/>
        <item x="379"/>
        <item x="484"/>
        <item x="432"/>
        <item x="435"/>
        <item x="463"/>
        <item x="385"/>
        <item x="383"/>
        <item x="391"/>
        <item x="446"/>
        <item x="436"/>
        <item x="469"/>
        <item x="402"/>
        <item x="550"/>
        <item x="517"/>
        <item x="492"/>
        <item x="403"/>
        <item x="420"/>
        <item x="508"/>
        <item x="511"/>
        <item x="519"/>
        <item x="487"/>
        <item x="551"/>
        <item x="502"/>
        <item x="443"/>
        <item x="538"/>
        <item x="404"/>
        <item x="505"/>
        <item x="486"/>
        <item x="416"/>
        <item x="470"/>
        <item x="553"/>
        <item x="554"/>
        <item x="509"/>
        <item x="400"/>
        <item x="396"/>
        <item x="452"/>
        <item x="521"/>
        <item x="497"/>
        <item x="425"/>
        <item x="442"/>
        <item x="471"/>
        <item x="468"/>
        <item x="466"/>
        <item x="864"/>
        <item x="457"/>
        <item x="524"/>
        <item x="507"/>
        <item x="488"/>
        <item x="555"/>
        <item x="464"/>
        <item x="539"/>
        <item x="456"/>
        <item x="558"/>
        <item x="543"/>
        <item x="522"/>
        <item x="493"/>
        <item x="541"/>
        <item x="477"/>
        <item x="412"/>
        <item x="536"/>
        <item x="475"/>
        <item x="495"/>
        <item x="545"/>
        <item x="546"/>
        <item x="386"/>
        <item x="407"/>
        <item x="540"/>
        <item x="531"/>
        <item x="200"/>
        <item x="205"/>
        <item x="767"/>
        <item x="409"/>
        <item x="408"/>
        <item x="411"/>
        <item x="55"/>
        <item x="834"/>
        <item x="808"/>
        <item x="811"/>
        <item x="810"/>
        <item x="809"/>
        <item x="843"/>
        <item x="826"/>
        <item x="845"/>
        <item x="848"/>
        <item x="827"/>
        <item x="837"/>
        <item x="838"/>
        <item x="841"/>
        <item x="839"/>
        <item x="355"/>
        <item x="360"/>
        <item x="358"/>
        <item x="356"/>
        <item x="354"/>
        <item x="357"/>
        <item x="852"/>
        <item x="855"/>
        <item x="854"/>
        <item x="853"/>
        <item x="368"/>
        <item x="363"/>
        <item x="366"/>
        <item x="369"/>
        <item x="367"/>
        <item x="365"/>
        <item x="362"/>
        <item x="359"/>
        <item x="352"/>
        <item x="370"/>
        <item x="353"/>
        <item x="361"/>
        <item x="364"/>
        <item x="27"/>
        <item x="91"/>
        <item x="124"/>
        <item x="126"/>
        <item x="581"/>
        <item x="587"/>
        <item x="41"/>
        <item x="561"/>
        <item x="609"/>
        <item x="590"/>
        <item x="86"/>
        <item x="584"/>
        <item x="585"/>
        <item x="130"/>
        <item x="103"/>
        <item x="116"/>
        <item x="569"/>
        <item x="560"/>
        <item x="570"/>
        <item x="89"/>
        <item x="593"/>
        <item x="139"/>
        <item x="134"/>
        <item x="115"/>
        <item x="233"/>
        <item x="230"/>
        <item x="83"/>
        <item x="343"/>
        <item x="335"/>
        <item x="325"/>
        <item x="626"/>
        <item x="401"/>
        <item x="374"/>
        <item x="276"/>
        <item x="762"/>
        <item x="761"/>
        <item x="663"/>
        <item x="419"/>
        <item x="381"/>
        <item x="257"/>
        <item x="662"/>
        <item x="380"/>
        <item x="474"/>
        <item x="373"/>
        <item x="862"/>
        <item x="863"/>
        <item x="241"/>
        <item x="867"/>
        <item x="264"/>
        <item x="254"/>
        <item x="252"/>
        <item x="253"/>
        <item x="262"/>
        <item x="251"/>
        <item x="271"/>
        <item x="222"/>
        <item x="223"/>
        <item x="99"/>
        <item x="500"/>
        <item x="413"/>
        <item x="384"/>
        <item x="422"/>
        <item x="529"/>
        <item x="513"/>
        <item x="445"/>
        <item x="479"/>
        <item x="688"/>
        <item x="689"/>
        <item x="690"/>
        <item x="691"/>
        <item x="692"/>
        <item x="693"/>
        <item x="694"/>
        <item x="695"/>
        <item x="696"/>
        <item x="697"/>
        <item x="698"/>
        <item x="67"/>
        <item x="217"/>
        <item x="216"/>
        <item x="215"/>
        <item x="213"/>
        <item x="214"/>
        <item x="179"/>
        <item x="173"/>
        <item x="189"/>
        <item x="180"/>
        <item x="196"/>
        <item x="195"/>
        <item x="61"/>
        <item x="45"/>
        <item x="106"/>
        <item x="104"/>
        <item x="836"/>
        <item x="805"/>
        <item x="821"/>
        <item x="820"/>
        <item x="816"/>
        <item x="819"/>
        <item x="822"/>
        <item x="840"/>
        <item x="824"/>
        <item x="829"/>
        <item x="832"/>
        <item x="534"/>
        <item x="520"/>
        <item x="646"/>
        <item x="756"/>
        <item x="635"/>
        <item x="740"/>
        <item x="632"/>
        <item x="752"/>
        <item x="642"/>
        <item x="648"/>
        <item x="627"/>
        <item x="137"/>
        <item x="118"/>
        <item x="138"/>
        <item x="114"/>
        <item x="597"/>
        <item x="236"/>
        <item x="237"/>
        <item x="238"/>
        <item x="234"/>
        <item x="242"/>
        <item x="263"/>
        <item x="605"/>
        <item x="588"/>
        <item x="594"/>
        <item x="279"/>
        <item x="235"/>
        <item x="245"/>
        <item x="244"/>
        <item x="261"/>
        <item x="231"/>
        <item x="280"/>
        <item x="121"/>
        <item x="93"/>
        <item x="122"/>
        <item x="108"/>
        <item x="82"/>
        <item x="127"/>
        <item x="141"/>
        <item x="649"/>
        <item x="78"/>
        <item x="58"/>
        <item x="64"/>
        <item x="56"/>
        <item x="622"/>
        <item x="620"/>
        <item x="699"/>
        <item x="700"/>
        <item x="701"/>
        <item x="702"/>
        <item x="703"/>
        <item x="704"/>
        <item x="705"/>
        <item x="706"/>
        <item x="707"/>
        <item x="708"/>
        <item x="709"/>
        <item x="710"/>
        <item x="711"/>
        <item x="712"/>
        <item x="713"/>
        <item x="714"/>
        <item x="715"/>
        <item x="716"/>
        <item x="804"/>
        <item x="717"/>
        <item x="718"/>
        <item x="719"/>
        <item x="720"/>
        <item x="721"/>
        <item x="722"/>
        <item x="723"/>
        <item x="724"/>
        <item x="725"/>
        <item x="726"/>
        <item x="727"/>
        <item x="728"/>
        <item x="729"/>
        <item x="24"/>
        <item x="65"/>
        <item x="63"/>
        <item x="15"/>
        <item x="25"/>
        <item x="16"/>
        <item x="33"/>
        <item x="30"/>
        <item x="11"/>
        <item x="9"/>
        <item x="14"/>
        <item x="849"/>
        <item x="542"/>
        <item x="333"/>
        <item x="168"/>
        <item x="145"/>
        <item x="144"/>
        <item x="158"/>
        <item x="54"/>
        <item x="258"/>
        <item x="783"/>
        <item x="255"/>
        <item x="269"/>
        <item x="228"/>
        <item x="785"/>
        <item x="831"/>
        <item x="844"/>
        <item x="842"/>
        <item x="830"/>
        <item x="603"/>
        <item x="266"/>
        <item x="267"/>
        <item x="591"/>
        <item x="256"/>
        <item x="557"/>
        <item x="575"/>
        <item x="607"/>
        <item x="562"/>
        <item x="232"/>
        <item x="467"/>
        <item x="604"/>
        <item x="825"/>
        <item x="828"/>
        <item x="823"/>
        <item x="835"/>
        <item x="812"/>
        <item x="817"/>
        <item x="813"/>
        <item x="814"/>
        <item x="815"/>
        <item x="818"/>
        <item x="527"/>
        <item x="547"/>
        <item x="143"/>
        <item x="109"/>
        <item x="98"/>
        <item x="129"/>
        <item x="133"/>
        <item x="316"/>
        <item x="282"/>
        <item x="296"/>
        <item x="504"/>
        <item x="731"/>
        <item x="219"/>
        <item x="781"/>
        <item x="730"/>
        <item x="68"/>
        <item x="782"/>
        <item x="798"/>
        <item x="100"/>
        <item x="682"/>
        <item x="687"/>
        <item x="678"/>
        <item x="125"/>
        <item x="683"/>
        <item x="676"/>
        <item x="773"/>
        <item x="774"/>
        <item x="119"/>
        <item x="102"/>
        <item x="270"/>
        <item x="800"/>
        <item x="795"/>
        <item x="792"/>
        <item x="794"/>
        <item x="110"/>
        <item x="81"/>
        <item x="79"/>
        <item x="573"/>
        <item x="583"/>
        <item x="589"/>
        <item x="600"/>
        <item x="571"/>
        <item x="567"/>
        <item x="592"/>
        <item x="90"/>
        <item x="94"/>
        <item x="80"/>
        <item x="95"/>
        <item x="96"/>
        <item x="87"/>
        <item x="84"/>
        <item x="85"/>
        <item x="92"/>
        <item x="111"/>
        <item x="113"/>
        <item x="69"/>
        <item x="112"/>
        <item x="210"/>
        <item x="644"/>
        <item x="136"/>
        <item x="623"/>
        <item x="128"/>
        <item x="142"/>
        <item x="240"/>
        <item x="246"/>
        <item x="763"/>
        <item x="208"/>
        <item x="342"/>
        <item x="220"/>
        <item x="764"/>
        <item x="793"/>
        <item x="586"/>
        <item x="199"/>
        <item x="661"/>
        <item x="197"/>
        <item x="619"/>
        <item x="780"/>
        <item x="779"/>
        <item x="201"/>
        <item x="198"/>
        <item x="681"/>
        <item x="778"/>
        <item x="188"/>
        <item x="768"/>
        <item x="204"/>
        <item x="777"/>
        <item x="776"/>
        <item x="75"/>
        <item x="350"/>
        <item x="757"/>
        <item x="653"/>
        <item x="679"/>
        <item x="801"/>
        <item x="673"/>
        <item x="668"/>
        <item x="672"/>
        <item x="677"/>
        <item x="775"/>
        <item x="667"/>
        <item x="670"/>
        <item x="664"/>
        <item x="669"/>
        <item x="665"/>
        <item x="770"/>
        <item x="772"/>
        <item x="686"/>
        <item x="685"/>
        <item x="666"/>
        <item x="771"/>
        <item x="674"/>
        <item x="680"/>
        <item x="796"/>
        <item x="799"/>
        <item x="675"/>
        <item x="671"/>
        <item x="856"/>
        <item x="791"/>
        <item x="797"/>
        <item x="787"/>
        <item x="684"/>
        <item x="788"/>
        <item x="789"/>
        <item x="790"/>
        <item x="658"/>
        <item x="483"/>
        <item x="786"/>
        <item x="784"/>
        <item x="480"/>
        <item x="660"/>
        <item x="647"/>
        <item x="572"/>
        <item x="530"/>
        <item x="494"/>
        <item x="147"/>
        <item x="157"/>
        <item x="149"/>
        <item x="162"/>
        <item x="155"/>
        <item x="154"/>
        <item x="153"/>
        <item x="151"/>
        <item x="166"/>
        <item x="159"/>
        <item x="163"/>
        <item x="161"/>
        <item x="152"/>
        <item x="156"/>
        <item x="170"/>
        <item x="165"/>
        <item x="167"/>
        <item x="148"/>
        <item x="146"/>
        <item x="160"/>
        <item x="164"/>
        <item x="169"/>
        <item x="171"/>
        <item x="846"/>
        <item x="847"/>
        <item x="833"/>
        <item x="610"/>
        <item t="default"/>
      </items>
    </pivotField>
    <pivotField compact="0" outline="0" showAll="0">
      <items count="604">
        <item x="92"/>
        <item x="300"/>
        <item x="546"/>
        <item x="571"/>
        <item x="432"/>
        <item x="528"/>
        <item x="589"/>
        <item x="342"/>
        <item x="88"/>
        <item x="494"/>
        <item x="570"/>
        <item x="196"/>
        <item x="307"/>
        <item x="128"/>
        <item x="543"/>
        <item x="439"/>
        <item x="266"/>
        <item x="164"/>
        <item x="501"/>
        <item x="518"/>
        <item x="23"/>
        <item x="473"/>
        <item x="444"/>
        <item x="282"/>
        <item x="311"/>
        <item x="330"/>
        <item x="345"/>
        <item x="14"/>
        <item x="61"/>
        <item x="527"/>
        <item x="110"/>
        <item x="79"/>
        <item x="378"/>
        <item x="97"/>
        <item x="32"/>
        <item x="270"/>
        <item x="277"/>
        <item x="519"/>
        <item x="280"/>
        <item x="275"/>
        <item x="596"/>
        <item x="238"/>
        <item x="582"/>
        <item x="4"/>
        <item x="112"/>
        <item x="252"/>
        <item x="217"/>
        <item x="101"/>
        <item x="581"/>
        <item x="113"/>
        <item x="412"/>
        <item x="186"/>
        <item x="349"/>
        <item x="368"/>
        <item x="304"/>
        <item x="333"/>
        <item x="109"/>
        <item x="236"/>
        <item x="373"/>
        <item x="154"/>
        <item x="600"/>
        <item x="58"/>
        <item x="182"/>
        <item x="363"/>
        <item x="5"/>
        <item x="234"/>
        <item x="344"/>
        <item x="485"/>
        <item x="89"/>
        <item x="576"/>
        <item x="476"/>
        <item x="584"/>
        <item x="48"/>
        <item x="565"/>
        <item x="198"/>
        <item x="382"/>
        <item x="507"/>
        <item x="245"/>
        <item x="251"/>
        <item x="479"/>
        <item x="361"/>
        <item x="585"/>
        <item x="406"/>
        <item x="107"/>
        <item x="325"/>
        <item x="542"/>
        <item x="116"/>
        <item x="159"/>
        <item x="481"/>
        <item x="409"/>
        <item x="297"/>
        <item x="264"/>
        <item x="538"/>
        <item x="450"/>
        <item x="555"/>
        <item x="301"/>
        <item x="302"/>
        <item x="60"/>
        <item x="219"/>
        <item x="227"/>
        <item x="321"/>
        <item x="580"/>
        <item x="362"/>
        <item x="223"/>
        <item x="343"/>
        <item x="156"/>
        <item x="574"/>
        <item x="45"/>
        <item x="337"/>
        <item x="94"/>
        <item x="313"/>
        <item x="352"/>
        <item x="350"/>
        <item x="292"/>
        <item x="327"/>
        <item x="353"/>
        <item x="293"/>
        <item x="364"/>
        <item x="169"/>
        <item x="174"/>
        <item x="208"/>
        <item x="130"/>
        <item x="131"/>
        <item x="230"/>
        <item x="340"/>
        <item x="249"/>
        <item x="233"/>
        <item x="253"/>
        <item x="328"/>
        <item x="442"/>
        <item x="381"/>
        <item x="356"/>
        <item x="405"/>
        <item x="298"/>
        <item x="471"/>
        <item x="172"/>
        <item x="269"/>
        <item x="134"/>
        <item x="135"/>
        <item x="18"/>
        <item x="7"/>
        <item x="167"/>
        <item x="407"/>
        <item x="33"/>
        <item x="429"/>
        <item x="243"/>
        <item x="237"/>
        <item x="147"/>
        <item x="146"/>
        <item x="384"/>
        <item x="215"/>
        <item x="372"/>
        <item x="314"/>
        <item x="244"/>
        <item x="469"/>
        <item x="470"/>
        <item x="391"/>
        <item x="165"/>
        <item x="423"/>
        <item x="511"/>
        <item x="535"/>
        <item x="55"/>
        <item x="336"/>
        <item x="3"/>
        <item x="433"/>
        <item x="260"/>
        <item x="259"/>
        <item x="171"/>
        <item x="51"/>
        <item x="545"/>
        <item x="424"/>
        <item x="422"/>
        <item x="71"/>
        <item x="203"/>
        <item x="202"/>
        <item x="288"/>
        <item x="226"/>
        <item x="436"/>
        <item x="229"/>
        <item x="24"/>
        <item x="380"/>
        <item x="25"/>
        <item x="173"/>
        <item x="2"/>
        <item x="306"/>
        <item x="386"/>
        <item x="462"/>
        <item x="393"/>
        <item x="477"/>
        <item x="438"/>
        <item x="552"/>
        <item x="537"/>
        <item x="526"/>
        <item x="27"/>
        <item x="22"/>
        <item x="35"/>
        <item x="11"/>
        <item x="437"/>
        <item x="20"/>
        <item x="490"/>
        <item x="197"/>
        <item x="463"/>
        <item x="370"/>
        <item x="221"/>
        <item x="228"/>
        <item x="468"/>
        <item x="6"/>
        <item x="28"/>
        <item x="77"/>
        <item x="204"/>
        <item x="529"/>
        <item x="358"/>
        <item x="379"/>
        <item x="383"/>
        <item x="329"/>
        <item x="388"/>
        <item x="398"/>
        <item x="155"/>
        <item x="308"/>
        <item x="183"/>
        <item x="157"/>
        <item x="49"/>
        <item x="209"/>
        <item x="117"/>
        <item x="122"/>
        <item x="326"/>
        <item x="83"/>
        <item x="558"/>
        <item x="475"/>
        <item x="37"/>
        <item x="72"/>
        <item x="188"/>
        <item x="493"/>
        <item x="599"/>
        <item x="592"/>
        <item x="598"/>
        <item x="57"/>
        <item x="114"/>
        <item x="489"/>
        <item x="338"/>
        <item x="305"/>
        <item x="488"/>
        <item x="355"/>
        <item x="295"/>
        <item x="256"/>
        <item x="413"/>
        <item x="431"/>
        <item x="66"/>
        <item x="503"/>
        <item x="550"/>
        <item x="67"/>
        <item x="497"/>
        <item x="231"/>
        <item x="376"/>
        <item x="496"/>
        <item x="500"/>
        <item x="283"/>
        <item x="557"/>
        <item x="566"/>
        <item x="108"/>
        <item x="563"/>
        <item x="285"/>
        <item x="601"/>
        <item x="180"/>
        <item x="115"/>
        <item x="389"/>
        <item x="143"/>
        <item x="145"/>
        <item x="8"/>
        <item x="315"/>
        <item x="239"/>
        <item x="74"/>
        <item x="447"/>
        <item x="40"/>
        <item x="81"/>
        <item x="93"/>
        <item x="451"/>
        <item x="454"/>
        <item x="9"/>
        <item x="140"/>
        <item x="111"/>
        <item x="276"/>
        <item x="274"/>
        <item x="218"/>
        <item x="521"/>
        <item x="322"/>
        <item x="121"/>
        <item x="318"/>
        <item x="271"/>
        <item x="46"/>
        <item x="199"/>
        <item x="205"/>
        <item x="193"/>
        <item x="334"/>
        <item x="417"/>
        <item x="41"/>
        <item x="515"/>
        <item x="401"/>
        <item x="411"/>
        <item x="446"/>
        <item x="175"/>
        <item x="16"/>
        <item x="577"/>
        <item x="85"/>
        <item x="359"/>
        <item x="50"/>
        <item x="360"/>
        <item x="47"/>
        <item x="508"/>
        <item x="522"/>
        <item x="12"/>
        <item x="455"/>
        <item x="517"/>
        <item x="512"/>
        <item x="286"/>
        <item x="319"/>
        <item x="120"/>
        <item x="453"/>
        <item x="410"/>
        <item x="366"/>
        <item x="19"/>
        <item x="593"/>
        <item x="487"/>
        <item x="123"/>
        <item x="420"/>
        <item x="30"/>
        <item x="36"/>
        <item x="255"/>
        <item x="459"/>
        <item x="440"/>
        <item x="98"/>
        <item x="464"/>
        <item x="561"/>
        <item x="486"/>
        <item x="265"/>
        <item x="1"/>
        <item x="158"/>
        <item x="267"/>
        <item x="263"/>
        <item x="73"/>
        <item x="62"/>
        <item x="151"/>
        <item x="184"/>
        <item x="397"/>
        <item x="559"/>
        <item x="573"/>
        <item x="216"/>
        <item x="0"/>
        <item x="13"/>
        <item x="569"/>
        <item x="177"/>
        <item x="395"/>
        <item x="548"/>
        <item x="452"/>
        <item x="99"/>
        <item x="166"/>
        <item x="416"/>
        <item x="10"/>
        <item x="26"/>
        <item x="170"/>
        <item x="289"/>
        <item x="281"/>
        <item x="291"/>
        <item x="466"/>
        <item x="21"/>
        <item x="152"/>
        <item x="421"/>
        <item x="534"/>
        <item x="472"/>
        <item x="514"/>
        <item x="513"/>
        <item x="84"/>
        <item x="525"/>
        <item x="212"/>
        <item x="357"/>
        <item x="224"/>
        <item x="560"/>
        <item x="95"/>
        <item x="418"/>
        <item x="87"/>
        <item x="86"/>
        <item x="554"/>
        <item x="425"/>
        <item x="210"/>
        <item x="456"/>
        <item x="129"/>
        <item x="332"/>
        <item x="504"/>
        <item x="404"/>
        <item x="160"/>
        <item x="161"/>
        <item x="254"/>
        <item x="541"/>
        <item x="445"/>
        <item x="394"/>
        <item x="536"/>
        <item x="201"/>
        <item x="179"/>
        <item x="176"/>
        <item x="348"/>
        <item x="474"/>
        <item x="241"/>
        <item x="273"/>
        <item x="310"/>
        <item x="520"/>
        <item x="531"/>
        <item x="347"/>
        <item x="316"/>
        <item x="331"/>
        <item x="509"/>
        <item x="44"/>
        <item x="119"/>
        <item x="369"/>
        <item x="247"/>
        <item x="506"/>
        <item x="103"/>
        <item x="106"/>
        <item x="549"/>
        <item x="220"/>
        <item x="222"/>
        <item x="211"/>
        <item x="339"/>
        <item x="250"/>
        <item x="248"/>
        <item x="387"/>
        <item x="415"/>
        <item x="144"/>
        <item x="148"/>
        <item x="499"/>
        <item x="478"/>
        <item x="43"/>
        <item x="324"/>
        <item x="290"/>
        <item x="272"/>
        <item x="284"/>
        <item x="323"/>
        <item x="287"/>
        <item x="294"/>
        <item x="296"/>
        <item x="312"/>
        <item x="428"/>
        <item x="278"/>
        <item x="367"/>
        <item x="419"/>
        <item x="59"/>
        <item x="547"/>
        <item x="540"/>
        <item x="90"/>
        <item x="579"/>
        <item x="346"/>
        <item x="553"/>
        <item x="132"/>
        <item x="133"/>
        <item x="168"/>
        <item x="206"/>
        <item x="498"/>
        <item x="31"/>
        <item x="354"/>
        <item x="39"/>
        <item x="207"/>
        <item x="403"/>
        <item x="150"/>
        <item x="149"/>
        <item x="56"/>
        <item x="126"/>
        <item x="510"/>
        <item x="214"/>
        <item x="588"/>
        <item x="457"/>
        <item x="163"/>
        <item x="492"/>
        <item x="225"/>
        <item x="562"/>
        <item x="491"/>
        <item x="396"/>
        <item x="564"/>
        <item x="390"/>
        <item x="460"/>
        <item x="262"/>
        <item x="467"/>
        <item x="299"/>
        <item x="575"/>
        <item x="587"/>
        <item x="578"/>
        <item x="441"/>
        <item x="309"/>
        <item x="590"/>
        <item x="52"/>
        <item x="82"/>
        <item x="124"/>
        <item x="567"/>
        <item x="105"/>
        <item x="335"/>
        <item x="551"/>
        <item x="235"/>
        <item x="261"/>
        <item x="29"/>
        <item x="530"/>
        <item x="602"/>
        <item x="505"/>
        <item x="427"/>
        <item x="100"/>
        <item x="399"/>
        <item x="194"/>
        <item x="190"/>
        <item x="200"/>
        <item x="533"/>
        <item x="532"/>
        <item x="268"/>
        <item x="178"/>
        <item x="258"/>
        <item x="257"/>
        <item x="54"/>
        <item x="34"/>
        <item x="162"/>
        <item x="461"/>
        <item x="480"/>
        <item x="375"/>
        <item x="317"/>
        <item x="524"/>
        <item x="544"/>
        <item x="594"/>
        <item x="591"/>
        <item x="38"/>
        <item x="17"/>
        <item x="597"/>
        <item x="53"/>
        <item x="374"/>
        <item x="70"/>
        <item x="586"/>
        <item x="539"/>
        <item x="240"/>
        <item x="414"/>
        <item x="15"/>
        <item x="76"/>
        <item x="402"/>
        <item x="64"/>
        <item x="185"/>
        <item x="595"/>
        <item x="465"/>
        <item x="341"/>
        <item x="68"/>
        <item x="483"/>
        <item x="435"/>
        <item x="430"/>
        <item x="434"/>
        <item x="458"/>
        <item x="523"/>
        <item x="385"/>
        <item x="213"/>
        <item x="141"/>
        <item x="142"/>
        <item x="153"/>
        <item x="556"/>
        <item x="377"/>
        <item x="242"/>
        <item x="195"/>
        <item x="191"/>
        <item x="192"/>
        <item x="80"/>
        <item x="102"/>
        <item x="104"/>
        <item x="365"/>
        <item x="118"/>
        <item x="127"/>
        <item x="426"/>
        <item x="568"/>
        <item x="482"/>
        <item x="91"/>
        <item x="572"/>
        <item x="448"/>
        <item x="63"/>
        <item x="69"/>
        <item x="443"/>
        <item x="408"/>
        <item x="583"/>
        <item x="502"/>
        <item x="400"/>
        <item x="42"/>
        <item x="138"/>
        <item x="139"/>
        <item x="65"/>
        <item x="371"/>
        <item x="96"/>
        <item x="189"/>
        <item x="449"/>
        <item x="279"/>
        <item x="392"/>
        <item x="181"/>
        <item x="516"/>
        <item x="232"/>
        <item x="78"/>
        <item x="137"/>
        <item x="136"/>
        <item x="75"/>
        <item x="495"/>
        <item x="246"/>
        <item x="484"/>
        <item x="320"/>
        <item x="187"/>
        <item x="303"/>
        <item x="351"/>
        <item x="125"/>
        <item t="default"/>
      </items>
    </pivotField>
    <pivotField compact="0" outline="0" showAll="0">
      <items count="25">
        <item x="6"/>
        <item x="8"/>
        <item x="19"/>
        <item x="22"/>
        <item x="5"/>
        <item x="17"/>
        <item x="16"/>
        <item x="21"/>
        <item x="14"/>
        <item x="4"/>
        <item x="18"/>
        <item x="2"/>
        <item x="23"/>
        <item x="13"/>
        <item x="0"/>
        <item x="12"/>
        <item x="20"/>
        <item x="15"/>
        <item x="7"/>
        <item x="1"/>
        <item x="11"/>
        <item x="9"/>
        <item x="3"/>
        <item x="10"/>
        <item t="default"/>
      </items>
    </pivotField>
    <pivotField compact="0" outline="0" showAll="0"/>
    <pivotField compact="0" outline="0" showAll="0"/>
    <pivotField dataField="1" compact="0" outline="0" showAll="0"/>
    <pivotField compact="0" outline="0" showAll="0"/>
    <pivotField compact="0" outline="0" showAll="0"/>
    <pivotField compact="0" numFmtId="9" outline="0" showAll="0"/>
    <pivotField compact="0" outline="0" showAll="0"/>
    <pivotField compact="0" outline="0" subtotalTop="0" showAll="0"/>
    <pivotField compact="0" outline="0" subtotalTop="0" showAll="0"/>
  </pivotFields>
  <rowFields count="1">
    <field x="0"/>
  </rowFields>
  <rowItems count="1">
    <i>
      <x/>
    </i>
  </rowItems>
  <colItems count="1">
    <i/>
  </colItems>
  <dataFields count="1">
    <dataField name="Sum of Selling Price" fld="6" baseField="0" baseItem="0" numFmtId="169"/>
  </dataFields>
  <formats count="1">
    <format dxfId="5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340D228-8039-47CC-B5DC-6094C0968CF5}" name="Margin %"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S5:T6" firstHeaderRow="1" firstDataRow="1" firstDataCol="1"/>
  <pivotFields count="13">
    <pivotField compact="0" outline="0" showAll="0">
      <items count="18">
        <item x="9"/>
        <item x="5"/>
        <item x="7"/>
        <item x="3"/>
        <item x="1"/>
        <item x="16"/>
        <item x="2"/>
        <item x="11"/>
        <item x="4"/>
        <item x="12"/>
        <item x="8"/>
        <item x="0"/>
        <item x="13"/>
        <item x="6"/>
        <item x="10"/>
        <item x="14"/>
        <item x="15"/>
        <item t="default"/>
      </items>
    </pivotField>
    <pivotField compact="0" outline="0" showAll="0">
      <items count="869">
        <item x="207"/>
        <item x="77"/>
        <item x="318"/>
        <item x="324"/>
        <item x="304"/>
        <item x="297"/>
        <item x="70"/>
        <item x="321"/>
        <item x="314"/>
        <item x="292"/>
        <item x="348"/>
        <item x="319"/>
        <item x="322"/>
        <item x="334"/>
        <item x="295"/>
        <item x="203"/>
        <item x="317"/>
        <item x="347"/>
        <item x="187"/>
        <item x="340"/>
        <item x="339"/>
        <item x="184"/>
        <item x="338"/>
        <item x="306"/>
        <item x="733"/>
        <item x="283"/>
        <item x="330"/>
        <item x="328"/>
        <item x="320"/>
        <item x="310"/>
        <item x="307"/>
        <item x="309"/>
        <item x="323"/>
        <item x="346"/>
        <item x="329"/>
        <item x="351"/>
        <item x="734"/>
        <item x="742"/>
        <item x="331"/>
        <item x="308"/>
        <item x="281"/>
        <item x="288"/>
        <item x="312"/>
        <item x="311"/>
        <item x="807"/>
        <item x="284"/>
        <item x="802"/>
        <item x="803"/>
        <item x="289"/>
        <item x="298"/>
        <item x="293"/>
        <item x="286"/>
        <item x="287"/>
        <item x="313"/>
        <item x="76"/>
        <item x="305"/>
        <item x="301"/>
        <item x="285"/>
        <item x="300"/>
        <item x="302"/>
        <item x="303"/>
        <item x="615"/>
        <item x="73"/>
        <item x="326"/>
        <item x="291"/>
        <item x="74"/>
        <item x="72"/>
        <item x="192"/>
        <item x="71"/>
        <item x="193"/>
        <item x="315"/>
        <item x="743"/>
        <item x="299"/>
        <item x="290"/>
        <item x="209"/>
        <item x="221"/>
        <item x="218"/>
        <item x="336"/>
        <item x="748"/>
        <item x="741"/>
        <item x="206"/>
        <item x="150"/>
        <item x="344"/>
        <item x="212"/>
        <item x="194"/>
        <item x="181"/>
        <item x="182"/>
        <item x="332"/>
        <item x="341"/>
        <item x="747"/>
        <item x="738"/>
        <item x="744"/>
        <item x="177"/>
        <item x="857"/>
        <item x="860"/>
        <item x="858"/>
        <item x="859"/>
        <item x="806"/>
        <item x="765"/>
        <item x="227"/>
        <item x="249"/>
        <item x="243"/>
        <item x="601"/>
        <item x="6"/>
        <item x="1"/>
        <item x="12"/>
        <item x="17"/>
        <item x="758"/>
        <item x="851"/>
        <item x="48"/>
        <item x="566"/>
        <item x="563"/>
        <item x="4"/>
        <item x="606"/>
        <item x="598"/>
        <item x="3"/>
        <item x="49"/>
        <item x="596"/>
        <item x="39"/>
        <item x="32"/>
        <item x="565"/>
        <item x="34"/>
        <item x="577"/>
        <item x="43"/>
        <item x="0"/>
        <item x="579"/>
        <item x="2"/>
        <item x="8"/>
        <item x="759"/>
        <item x="47"/>
        <item x="23"/>
        <item x="599"/>
        <item x="602"/>
        <item x="608"/>
        <item x="576"/>
        <item x="578"/>
        <item x="559"/>
        <item x="21"/>
        <item x="564"/>
        <item x="580"/>
        <item x="582"/>
        <item x="46"/>
        <item x="44"/>
        <item x="51"/>
        <item x="5"/>
        <item x="13"/>
        <item x="568"/>
        <item x="40"/>
        <item x="37"/>
        <item x="595"/>
        <item x="52"/>
        <item x="28"/>
        <item x="345"/>
        <item x="337"/>
        <item x="349"/>
        <item x="327"/>
        <item x="574"/>
        <item x="449"/>
        <item x="476"/>
        <item x="638"/>
        <item x="624"/>
        <item x="186"/>
        <item x="172"/>
        <item x="185"/>
        <item x="183"/>
        <item x="191"/>
        <item x="202"/>
        <item x="174"/>
        <item x="294"/>
        <item x="178"/>
        <item x="175"/>
        <item x="211"/>
        <item x="176"/>
        <item x="766"/>
        <item x="190"/>
        <item x="850"/>
        <item x="861"/>
        <item x="88"/>
        <item x="275"/>
        <item x="272"/>
        <item x="754"/>
        <item x="739"/>
        <item x="751"/>
        <item x="746"/>
        <item x="750"/>
        <item x="735"/>
        <item x="732"/>
        <item x="755"/>
        <item x="753"/>
        <item x="749"/>
        <item x="745"/>
        <item x="737"/>
        <item x="736"/>
        <item x="636"/>
        <item x="621"/>
        <item x="639"/>
        <item x="637"/>
        <item x="634"/>
        <item x="611"/>
        <item x="616"/>
        <item x="618"/>
        <item x="640"/>
        <item x="278"/>
        <item x="274"/>
        <item x="259"/>
        <item x="277"/>
        <item x="250"/>
        <item x="62"/>
        <item x="36"/>
        <item x="247"/>
        <item x="268"/>
        <item x="265"/>
        <item x="225"/>
        <item x="31"/>
        <item x="229"/>
        <item x="57"/>
        <item x="26"/>
        <item x="10"/>
        <item x="7"/>
        <item x="20"/>
        <item x="18"/>
        <item x="19"/>
        <item x="66"/>
        <item x="248"/>
        <item x="226"/>
        <item x="38"/>
        <item x="35"/>
        <item x="760"/>
        <item x="53"/>
        <item x="22"/>
        <item x="59"/>
        <item x="60"/>
        <item x="224"/>
        <item x="42"/>
        <item x="239"/>
        <item x="260"/>
        <item x="50"/>
        <item x="29"/>
        <item x="651"/>
        <item x="631"/>
        <item x="641"/>
        <item x="117"/>
        <item x="612"/>
        <item x="120"/>
        <item x="273"/>
        <item x="131"/>
        <item x="140"/>
        <item x="628"/>
        <item x="657"/>
        <item x="132"/>
        <item x="655"/>
        <item x="135"/>
        <item x="614"/>
        <item x="629"/>
        <item x="107"/>
        <item x="659"/>
        <item x="643"/>
        <item x="625"/>
        <item x="123"/>
        <item x="652"/>
        <item x="654"/>
        <item x="613"/>
        <item x="645"/>
        <item x="656"/>
        <item x="105"/>
        <item x="97"/>
        <item x="650"/>
        <item x="617"/>
        <item x="101"/>
        <item x="633"/>
        <item x="630"/>
        <item x="866"/>
        <item x="388"/>
        <item x="444"/>
        <item x="431"/>
        <item x="376"/>
        <item x="472"/>
        <item x="430"/>
        <item x="423"/>
        <item x="382"/>
        <item x="377"/>
        <item x="378"/>
        <item x="510"/>
        <item x="454"/>
        <item x="426"/>
        <item x="418"/>
        <item x="399"/>
        <item x="535"/>
        <item x="514"/>
        <item x="448"/>
        <item x="410"/>
        <item x="392"/>
        <item x="398"/>
        <item x="503"/>
        <item x="394"/>
        <item x="414"/>
        <item x="415"/>
        <item x="427"/>
        <item x="478"/>
        <item x="417"/>
        <item x="406"/>
        <item x="405"/>
        <item x="390"/>
        <item x="459"/>
        <item x="512"/>
        <item x="461"/>
        <item x="523"/>
        <item x="462"/>
        <item x="438"/>
        <item x="489"/>
        <item x="532"/>
        <item x="498"/>
        <item x="525"/>
        <item x="516"/>
        <item x="552"/>
        <item x="533"/>
        <item x="499"/>
        <item x="544"/>
        <item x="501"/>
        <item x="389"/>
        <item x="372"/>
        <item x="371"/>
        <item x="865"/>
        <item x="397"/>
        <item x="769"/>
        <item x="393"/>
        <item x="440"/>
        <item x="526"/>
        <item x="451"/>
        <item x="549"/>
        <item x="518"/>
        <item x="537"/>
        <item x="556"/>
        <item x="548"/>
        <item x="496"/>
        <item x="482"/>
        <item x="447"/>
        <item x="490"/>
        <item x="433"/>
        <item x="506"/>
        <item x="428"/>
        <item x="491"/>
        <item x="450"/>
        <item x="453"/>
        <item x="460"/>
        <item x="485"/>
        <item x="528"/>
        <item x="455"/>
        <item x="429"/>
        <item x="439"/>
        <item x="515"/>
        <item x="441"/>
        <item x="437"/>
        <item x="434"/>
        <item x="424"/>
        <item x="465"/>
        <item x="458"/>
        <item x="387"/>
        <item x="421"/>
        <item x="375"/>
        <item x="473"/>
        <item x="481"/>
        <item x="395"/>
        <item x="379"/>
        <item x="484"/>
        <item x="432"/>
        <item x="435"/>
        <item x="463"/>
        <item x="385"/>
        <item x="383"/>
        <item x="391"/>
        <item x="446"/>
        <item x="436"/>
        <item x="469"/>
        <item x="402"/>
        <item x="550"/>
        <item x="517"/>
        <item x="492"/>
        <item x="403"/>
        <item x="420"/>
        <item x="508"/>
        <item x="511"/>
        <item x="519"/>
        <item x="487"/>
        <item x="551"/>
        <item x="502"/>
        <item x="443"/>
        <item x="538"/>
        <item x="404"/>
        <item x="505"/>
        <item x="486"/>
        <item x="416"/>
        <item x="470"/>
        <item x="553"/>
        <item x="554"/>
        <item x="509"/>
        <item x="400"/>
        <item x="396"/>
        <item x="452"/>
        <item x="521"/>
        <item x="497"/>
        <item x="425"/>
        <item x="442"/>
        <item x="471"/>
        <item x="468"/>
        <item x="466"/>
        <item x="864"/>
        <item x="457"/>
        <item x="524"/>
        <item x="507"/>
        <item x="488"/>
        <item x="555"/>
        <item x="464"/>
        <item x="539"/>
        <item x="456"/>
        <item x="558"/>
        <item x="543"/>
        <item x="522"/>
        <item x="493"/>
        <item x="541"/>
        <item x="477"/>
        <item x="412"/>
        <item x="536"/>
        <item x="475"/>
        <item x="495"/>
        <item x="545"/>
        <item x="546"/>
        <item x="386"/>
        <item x="407"/>
        <item x="540"/>
        <item x="531"/>
        <item x="200"/>
        <item x="205"/>
        <item x="767"/>
        <item x="409"/>
        <item x="408"/>
        <item x="411"/>
        <item x="55"/>
        <item x="834"/>
        <item x="808"/>
        <item x="811"/>
        <item x="810"/>
        <item x="809"/>
        <item x="843"/>
        <item x="826"/>
        <item x="845"/>
        <item x="848"/>
        <item x="827"/>
        <item x="837"/>
        <item x="838"/>
        <item x="841"/>
        <item x="839"/>
        <item x="355"/>
        <item x="360"/>
        <item x="358"/>
        <item x="356"/>
        <item x="354"/>
        <item x="357"/>
        <item x="852"/>
        <item x="855"/>
        <item x="854"/>
        <item x="853"/>
        <item x="368"/>
        <item x="363"/>
        <item x="366"/>
        <item x="369"/>
        <item x="367"/>
        <item x="365"/>
        <item x="362"/>
        <item x="359"/>
        <item x="352"/>
        <item x="370"/>
        <item x="353"/>
        <item x="361"/>
        <item x="364"/>
        <item x="27"/>
        <item x="91"/>
        <item x="124"/>
        <item x="126"/>
        <item x="581"/>
        <item x="587"/>
        <item x="41"/>
        <item x="561"/>
        <item x="609"/>
        <item x="590"/>
        <item x="86"/>
        <item x="584"/>
        <item x="585"/>
        <item x="130"/>
        <item x="103"/>
        <item x="116"/>
        <item x="569"/>
        <item x="560"/>
        <item x="570"/>
        <item x="89"/>
        <item x="593"/>
        <item x="139"/>
        <item x="134"/>
        <item x="115"/>
        <item x="233"/>
        <item x="230"/>
        <item x="83"/>
        <item x="343"/>
        <item x="335"/>
        <item x="325"/>
        <item x="626"/>
        <item x="401"/>
        <item x="374"/>
        <item x="276"/>
        <item x="762"/>
        <item x="761"/>
        <item x="663"/>
        <item x="419"/>
        <item x="381"/>
        <item x="257"/>
        <item x="662"/>
        <item x="380"/>
        <item x="474"/>
        <item x="373"/>
        <item x="862"/>
        <item x="863"/>
        <item x="241"/>
        <item x="867"/>
        <item x="264"/>
        <item x="254"/>
        <item x="252"/>
        <item x="253"/>
        <item x="262"/>
        <item x="251"/>
        <item x="271"/>
        <item x="222"/>
        <item x="223"/>
        <item x="99"/>
        <item x="500"/>
        <item x="413"/>
        <item x="384"/>
        <item x="422"/>
        <item x="529"/>
        <item x="513"/>
        <item x="445"/>
        <item x="479"/>
        <item x="688"/>
        <item x="689"/>
        <item x="690"/>
        <item x="691"/>
        <item x="692"/>
        <item x="693"/>
        <item x="694"/>
        <item x="695"/>
        <item x="696"/>
        <item x="697"/>
        <item x="698"/>
        <item x="67"/>
        <item x="217"/>
        <item x="216"/>
        <item x="215"/>
        <item x="213"/>
        <item x="214"/>
        <item x="179"/>
        <item x="173"/>
        <item x="189"/>
        <item x="180"/>
        <item x="196"/>
        <item x="195"/>
        <item x="61"/>
        <item x="45"/>
        <item x="106"/>
        <item x="104"/>
        <item x="836"/>
        <item x="805"/>
        <item x="821"/>
        <item x="820"/>
        <item x="816"/>
        <item x="819"/>
        <item x="822"/>
        <item x="840"/>
        <item x="824"/>
        <item x="829"/>
        <item x="832"/>
        <item x="534"/>
        <item x="520"/>
        <item x="646"/>
        <item x="756"/>
        <item x="635"/>
        <item x="740"/>
        <item x="632"/>
        <item x="752"/>
        <item x="642"/>
        <item x="648"/>
        <item x="627"/>
        <item x="137"/>
        <item x="118"/>
        <item x="138"/>
        <item x="114"/>
        <item x="597"/>
        <item x="236"/>
        <item x="237"/>
        <item x="238"/>
        <item x="234"/>
        <item x="242"/>
        <item x="263"/>
        <item x="605"/>
        <item x="588"/>
        <item x="594"/>
        <item x="279"/>
        <item x="235"/>
        <item x="245"/>
        <item x="244"/>
        <item x="261"/>
        <item x="231"/>
        <item x="280"/>
        <item x="121"/>
        <item x="93"/>
        <item x="122"/>
        <item x="108"/>
        <item x="82"/>
        <item x="127"/>
        <item x="141"/>
        <item x="649"/>
        <item x="78"/>
        <item x="58"/>
        <item x="64"/>
        <item x="56"/>
        <item x="622"/>
        <item x="620"/>
        <item x="699"/>
        <item x="700"/>
        <item x="701"/>
        <item x="702"/>
        <item x="703"/>
        <item x="704"/>
        <item x="705"/>
        <item x="706"/>
        <item x="707"/>
        <item x="708"/>
        <item x="709"/>
        <item x="710"/>
        <item x="711"/>
        <item x="712"/>
        <item x="713"/>
        <item x="714"/>
        <item x="715"/>
        <item x="716"/>
        <item x="804"/>
        <item x="717"/>
        <item x="718"/>
        <item x="719"/>
        <item x="720"/>
        <item x="721"/>
        <item x="722"/>
        <item x="723"/>
        <item x="724"/>
        <item x="725"/>
        <item x="726"/>
        <item x="727"/>
        <item x="728"/>
        <item x="729"/>
        <item x="24"/>
        <item x="65"/>
        <item x="63"/>
        <item x="15"/>
        <item x="25"/>
        <item x="16"/>
        <item x="33"/>
        <item x="30"/>
        <item x="11"/>
        <item x="9"/>
        <item x="14"/>
        <item x="849"/>
        <item x="542"/>
        <item x="333"/>
        <item x="168"/>
        <item x="145"/>
        <item x="144"/>
        <item x="158"/>
        <item x="54"/>
        <item x="258"/>
        <item x="783"/>
        <item x="255"/>
        <item x="269"/>
        <item x="228"/>
        <item x="785"/>
        <item x="831"/>
        <item x="844"/>
        <item x="842"/>
        <item x="830"/>
        <item x="603"/>
        <item x="266"/>
        <item x="267"/>
        <item x="591"/>
        <item x="256"/>
        <item x="557"/>
        <item x="575"/>
        <item x="607"/>
        <item x="562"/>
        <item x="232"/>
        <item x="467"/>
        <item x="604"/>
        <item x="825"/>
        <item x="828"/>
        <item x="823"/>
        <item x="835"/>
        <item x="812"/>
        <item x="817"/>
        <item x="813"/>
        <item x="814"/>
        <item x="815"/>
        <item x="818"/>
        <item x="527"/>
        <item x="547"/>
        <item x="143"/>
        <item x="109"/>
        <item x="98"/>
        <item x="129"/>
        <item x="133"/>
        <item x="316"/>
        <item x="282"/>
        <item x="296"/>
        <item x="504"/>
        <item x="731"/>
        <item x="219"/>
        <item x="781"/>
        <item x="730"/>
        <item x="68"/>
        <item x="782"/>
        <item x="798"/>
        <item x="100"/>
        <item x="682"/>
        <item x="687"/>
        <item x="678"/>
        <item x="125"/>
        <item x="683"/>
        <item x="676"/>
        <item x="773"/>
        <item x="774"/>
        <item x="119"/>
        <item x="102"/>
        <item x="270"/>
        <item x="800"/>
        <item x="795"/>
        <item x="792"/>
        <item x="794"/>
        <item x="110"/>
        <item x="81"/>
        <item x="79"/>
        <item x="573"/>
        <item x="583"/>
        <item x="589"/>
        <item x="600"/>
        <item x="571"/>
        <item x="567"/>
        <item x="592"/>
        <item x="90"/>
        <item x="94"/>
        <item x="80"/>
        <item x="95"/>
        <item x="96"/>
        <item x="87"/>
        <item x="84"/>
        <item x="85"/>
        <item x="92"/>
        <item x="111"/>
        <item x="113"/>
        <item x="69"/>
        <item x="112"/>
        <item x="210"/>
        <item x="644"/>
        <item x="136"/>
        <item x="623"/>
        <item x="128"/>
        <item x="142"/>
        <item x="240"/>
        <item x="246"/>
        <item x="763"/>
        <item x="208"/>
        <item x="342"/>
        <item x="220"/>
        <item x="764"/>
        <item x="793"/>
        <item x="586"/>
        <item x="199"/>
        <item x="661"/>
        <item x="197"/>
        <item x="619"/>
        <item x="780"/>
        <item x="779"/>
        <item x="201"/>
        <item x="198"/>
        <item x="681"/>
        <item x="778"/>
        <item x="188"/>
        <item x="768"/>
        <item x="204"/>
        <item x="777"/>
        <item x="776"/>
        <item x="75"/>
        <item x="350"/>
        <item x="757"/>
        <item x="653"/>
        <item x="679"/>
        <item x="801"/>
        <item x="673"/>
        <item x="668"/>
        <item x="672"/>
        <item x="677"/>
        <item x="775"/>
        <item x="667"/>
        <item x="670"/>
        <item x="664"/>
        <item x="669"/>
        <item x="665"/>
        <item x="770"/>
        <item x="772"/>
        <item x="686"/>
        <item x="685"/>
        <item x="666"/>
        <item x="771"/>
        <item x="674"/>
        <item x="680"/>
        <item x="796"/>
        <item x="799"/>
        <item x="675"/>
        <item x="671"/>
        <item x="856"/>
        <item x="791"/>
        <item x="797"/>
        <item x="787"/>
        <item x="684"/>
        <item x="788"/>
        <item x="789"/>
        <item x="790"/>
        <item x="658"/>
        <item x="483"/>
        <item x="786"/>
        <item x="784"/>
        <item x="480"/>
        <item x="660"/>
        <item x="647"/>
        <item x="572"/>
        <item x="530"/>
        <item x="494"/>
        <item x="147"/>
        <item x="157"/>
        <item x="149"/>
        <item x="162"/>
        <item x="155"/>
        <item x="154"/>
        <item x="153"/>
        <item x="151"/>
        <item x="166"/>
        <item x="159"/>
        <item x="163"/>
        <item x="161"/>
        <item x="152"/>
        <item x="156"/>
        <item x="170"/>
        <item x="165"/>
        <item x="167"/>
        <item x="148"/>
        <item x="146"/>
        <item x="160"/>
        <item x="164"/>
        <item x="169"/>
        <item x="171"/>
        <item x="846"/>
        <item x="847"/>
        <item x="833"/>
        <item x="610"/>
        <item t="default"/>
      </items>
    </pivotField>
    <pivotField compact="0" outline="0" showAll="0"/>
    <pivotField compact="0" outline="0" showAll="0">
      <items count="25">
        <item x="6"/>
        <item x="8"/>
        <item x="19"/>
        <item x="22"/>
        <item x="5"/>
        <item x="17"/>
        <item x="16"/>
        <item x="21"/>
        <item x="14"/>
        <item x="4"/>
        <item x="18"/>
        <item x="2"/>
        <item x="23"/>
        <item x="13"/>
        <item x="0"/>
        <item x="12"/>
        <item x="20"/>
        <item x="15"/>
        <item x="7"/>
        <item x="1"/>
        <item x="11"/>
        <item x="9"/>
        <item x="3"/>
        <item x="10"/>
        <item t="default"/>
      </items>
    </pivotField>
    <pivotField compact="0" outline="0" showAll="0">
      <items count="26">
        <item x="21"/>
        <item x="15"/>
        <item x="22"/>
        <item x="1"/>
        <item x="9"/>
        <item x="23"/>
        <item x="24"/>
        <item x="17"/>
        <item x="19"/>
        <item x="4"/>
        <item x="8"/>
        <item x="10"/>
        <item x="3"/>
        <item x="16"/>
        <item x="2"/>
        <item x="6"/>
        <item x="11"/>
        <item x="7"/>
        <item x="20"/>
        <item x="0"/>
        <item x="18"/>
        <item x="5"/>
        <item x="13"/>
        <item x="14"/>
        <item x="12"/>
        <item t="default"/>
      </items>
    </pivotField>
    <pivotField compact="0" outline="0" showAll="0"/>
    <pivotField compact="0" outline="0" showAll="0"/>
    <pivotField compact="0" outline="0" showAll="0"/>
    <pivotField compact="0" outline="0" showAll="0"/>
    <pivotField dataField="1" compact="0" numFmtId="9" outline="0" showAll="0"/>
    <pivotField compact="0" outline="0" showAll="0"/>
    <pivotField compact="0" outline="0" subtotalTop="0" showAll="0"/>
    <pivotField compact="0" outline="0" subtotalTop="0" showAll="0"/>
  </pivotFields>
  <rowItems count="1">
    <i/>
  </rowItems>
  <colItems count="1">
    <i/>
  </colItems>
  <dataFields count="1">
    <dataField name="Average of Margin%" fld="9"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80C8221-9F4B-48F9-AFCF-9CE10A237AA5}" name="VFM Score"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P5:Q6" firstHeaderRow="1" firstDataRow="1" firstDataCol="1"/>
  <pivotFields count="13">
    <pivotField compact="0" outline="0" showAll="0">
      <items count="18">
        <item x="9"/>
        <item x="5"/>
        <item x="7"/>
        <item x="3"/>
        <item x="1"/>
        <item x="16"/>
        <item x="2"/>
        <item x="11"/>
        <item x="4"/>
        <item x="12"/>
        <item x="8"/>
        <item x="0"/>
        <item x="13"/>
        <item x="6"/>
        <item x="10"/>
        <item x="14"/>
        <item x="15"/>
        <item t="default"/>
      </items>
    </pivotField>
    <pivotField compact="0" outline="0" showAll="0">
      <items count="869">
        <item x="207"/>
        <item x="77"/>
        <item x="318"/>
        <item x="324"/>
        <item x="304"/>
        <item x="297"/>
        <item x="70"/>
        <item x="321"/>
        <item x="314"/>
        <item x="292"/>
        <item x="348"/>
        <item x="319"/>
        <item x="322"/>
        <item x="334"/>
        <item x="295"/>
        <item x="203"/>
        <item x="317"/>
        <item x="347"/>
        <item x="187"/>
        <item x="340"/>
        <item x="339"/>
        <item x="184"/>
        <item x="338"/>
        <item x="306"/>
        <item x="733"/>
        <item x="283"/>
        <item x="330"/>
        <item x="328"/>
        <item x="320"/>
        <item x="310"/>
        <item x="307"/>
        <item x="309"/>
        <item x="323"/>
        <item x="346"/>
        <item x="329"/>
        <item x="351"/>
        <item x="734"/>
        <item x="742"/>
        <item x="331"/>
        <item x="308"/>
        <item x="281"/>
        <item x="288"/>
        <item x="312"/>
        <item x="311"/>
        <item x="807"/>
        <item x="284"/>
        <item x="802"/>
        <item x="803"/>
        <item x="289"/>
        <item x="298"/>
        <item x="293"/>
        <item x="286"/>
        <item x="287"/>
        <item x="313"/>
        <item x="76"/>
        <item x="305"/>
        <item x="301"/>
        <item x="285"/>
        <item x="300"/>
        <item x="302"/>
        <item x="303"/>
        <item x="615"/>
        <item x="73"/>
        <item x="326"/>
        <item x="291"/>
        <item x="74"/>
        <item x="72"/>
        <item x="192"/>
        <item x="71"/>
        <item x="193"/>
        <item x="315"/>
        <item x="743"/>
        <item x="299"/>
        <item x="290"/>
        <item x="209"/>
        <item x="221"/>
        <item x="218"/>
        <item x="336"/>
        <item x="748"/>
        <item x="741"/>
        <item x="206"/>
        <item x="150"/>
        <item x="344"/>
        <item x="212"/>
        <item x="194"/>
        <item x="181"/>
        <item x="182"/>
        <item x="332"/>
        <item x="341"/>
        <item x="747"/>
        <item x="738"/>
        <item x="744"/>
        <item x="177"/>
        <item x="857"/>
        <item x="860"/>
        <item x="858"/>
        <item x="859"/>
        <item x="806"/>
        <item x="765"/>
        <item x="227"/>
        <item x="249"/>
        <item x="243"/>
        <item x="601"/>
        <item x="6"/>
        <item x="1"/>
        <item x="12"/>
        <item x="17"/>
        <item x="758"/>
        <item x="851"/>
        <item x="48"/>
        <item x="566"/>
        <item x="563"/>
        <item x="4"/>
        <item x="606"/>
        <item x="598"/>
        <item x="3"/>
        <item x="49"/>
        <item x="596"/>
        <item x="39"/>
        <item x="32"/>
        <item x="565"/>
        <item x="34"/>
        <item x="577"/>
        <item x="43"/>
        <item x="0"/>
        <item x="579"/>
        <item x="2"/>
        <item x="8"/>
        <item x="759"/>
        <item x="47"/>
        <item x="23"/>
        <item x="599"/>
        <item x="602"/>
        <item x="608"/>
        <item x="576"/>
        <item x="578"/>
        <item x="559"/>
        <item x="21"/>
        <item x="564"/>
        <item x="580"/>
        <item x="582"/>
        <item x="46"/>
        <item x="44"/>
        <item x="51"/>
        <item x="5"/>
        <item x="13"/>
        <item x="568"/>
        <item x="40"/>
        <item x="37"/>
        <item x="595"/>
        <item x="52"/>
        <item x="28"/>
        <item x="345"/>
        <item x="337"/>
        <item x="349"/>
        <item x="327"/>
        <item x="574"/>
        <item x="449"/>
        <item x="476"/>
        <item x="638"/>
        <item x="624"/>
        <item x="186"/>
        <item x="172"/>
        <item x="185"/>
        <item x="183"/>
        <item x="191"/>
        <item x="202"/>
        <item x="174"/>
        <item x="294"/>
        <item x="178"/>
        <item x="175"/>
        <item x="211"/>
        <item x="176"/>
        <item x="766"/>
        <item x="190"/>
        <item x="850"/>
        <item x="861"/>
        <item x="88"/>
        <item x="275"/>
        <item x="272"/>
        <item x="754"/>
        <item x="739"/>
        <item x="751"/>
        <item x="746"/>
        <item x="750"/>
        <item x="735"/>
        <item x="732"/>
        <item x="755"/>
        <item x="753"/>
        <item x="749"/>
        <item x="745"/>
        <item x="737"/>
        <item x="736"/>
        <item x="636"/>
        <item x="621"/>
        <item x="639"/>
        <item x="637"/>
        <item x="634"/>
        <item x="611"/>
        <item x="616"/>
        <item x="618"/>
        <item x="640"/>
        <item x="278"/>
        <item x="274"/>
        <item x="259"/>
        <item x="277"/>
        <item x="250"/>
        <item x="62"/>
        <item x="36"/>
        <item x="247"/>
        <item x="268"/>
        <item x="265"/>
        <item x="225"/>
        <item x="31"/>
        <item x="229"/>
        <item x="57"/>
        <item x="26"/>
        <item x="10"/>
        <item x="7"/>
        <item x="20"/>
        <item x="18"/>
        <item x="19"/>
        <item x="66"/>
        <item x="248"/>
        <item x="226"/>
        <item x="38"/>
        <item x="35"/>
        <item x="760"/>
        <item x="53"/>
        <item x="22"/>
        <item x="59"/>
        <item x="60"/>
        <item x="224"/>
        <item x="42"/>
        <item x="239"/>
        <item x="260"/>
        <item x="50"/>
        <item x="29"/>
        <item x="651"/>
        <item x="631"/>
        <item x="641"/>
        <item x="117"/>
        <item x="612"/>
        <item x="120"/>
        <item x="273"/>
        <item x="131"/>
        <item x="140"/>
        <item x="628"/>
        <item x="657"/>
        <item x="132"/>
        <item x="655"/>
        <item x="135"/>
        <item x="614"/>
        <item x="629"/>
        <item x="107"/>
        <item x="659"/>
        <item x="643"/>
        <item x="625"/>
        <item x="123"/>
        <item x="652"/>
        <item x="654"/>
        <item x="613"/>
        <item x="645"/>
        <item x="656"/>
        <item x="105"/>
        <item x="97"/>
        <item x="650"/>
        <item x="617"/>
        <item x="101"/>
        <item x="633"/>
        <item x="630"/>
        <item x="866"/>
        <item x="388"/>
        <item x="444"/>
        <item x="431"/>
        <item x="376"/>
        <item x="472"/>
        <item x="430"/>
        <item x="423"/>
        <item x="382"/>
        <item x="377"/>
        <item x="378"/>
        <item x="510"/>
        <item x="454"/>
        <item x="426"/>
        <item x="418"/>
        <item x="399"/>
        <item x="535"/>
        <item x="514"/>
        <item x="448"/>
        <item x="410"/>
        <item x="392"/>
        <item x="398"/>
        <item x="503"/>
        <item x="394"/>
        <item x="414"/>
        <item x="415"/>
        <item x="427"/>
        <item x="478"/>
        <item x="417"/>
        <item x="406"/>
        <item x="405"/>
        <item x="390"/>
        <item x="459"/>
        <item x="512"/>
        <item x="461"/>
        <item x="523"/>
        <item x="462"/>
        <item x="438"/>
        <item x="489"/>
        <item x="532"/>
        <item x="498"/>
        <item x="525"/>
        <item x="516"/>
        <item x="552"/>
        <item x="533"/>
        <item x="499"/>
        <item x="544"/>
        <item x="501"/>
        <item x="389"/>
        <item x="372"/>
        <item x="371"/>
        <item x="865"/>
        <item x="397"/>
        <item x="769"/>
        <item x="393"/>
        <item x="440"/>
        <item x="526"/>
        <item x="451"/>
        <item x="549"/>
        <item x="518"/>
        <item x="537"/>
        <item x="556"/>
        <item x="548"/>
        <item x="496"/>
        <item x="482"/>
        <item x="447"/>
        <item x="490"/>
        <item x="433"/>
        <item x="506"/>
        <item x="428"/>
        <item x="491"/>
        <item x="450"/>
        <item x="453"/>
        <item x="460"/>
        <item x="485"/>
        <item x="528"/>
        <item x="455"/>
        <item x="429"/>
        <item x="439"/>
        <item x="515"/>
        <item x="441"/>
        <item x="437"/>
        <item x="434"/>
        <item x="424"/>
        <item x="465"/>
        <item x="458"/>
        <item x="387"/>
        <item x="421"/>
        <item x="375"/>
        <item x="473"/>
        <item x="481"/>
        <item x="395"/>
        <item x="379"/>
        <item x="484"/>
        <item x="432"/>
        <item x="435"/>
        <item x="463"/>
        <item x="385"/>
        <item x="383"/>
        <item x="391"/>
        <item x="446"/>
        <item x="436"/>
        <item x="469"/>
        <item x="402"/>
        <item x="550"/>
        <item x="517"/>
        <item x="492"/>
        <item x="403"/>
        <item x="420"/>
        <item x="508"/>
        <item x="511"/>
        <item x="519"/>
        <item x="487"/>
        <item x="551"/>
        <item x="502"/>
        <item x="443"/>
        <item x="538"/>
        <item x="404"/>
        <item x="505"/>
        <item x="486"/>
        <item x="416"/>
        <item x="470"/>
        <item x="553"/>
        <item x="554"/>
        <item x="509"/>
        <item x="400"/>
        <item x="396"/>
        <item x="452"/>
        <item x="521"/>
        <item x="497"/>
        <item x="425"/>
        <item x="442"/>
        <item x="471"/>
        <item x="468"/>
        <item x="466"/>
        <item x="864"/>
        <item x="457"/>
        <item x="524"/>
        <item x="507"/>
        <item x="488"/>
        <item x="555"/>
        <item x="464"/>
        <item x="539"/>
        <item x="456"/>
        <item x="558"/>
        <item x="543"/>
        <item x="522"/>
        <item x="493"/>
        <item x="541"/>
        <item x="477"/>
        <item x="412"/>
        <item x="536"/>
        <item x="475"/>
        <item x="495"/>
        <item x="545"/>
        <item x="546"/>
        <item x="386"/>
        <item x="407"/>
        <item x="540"/>
        <item x="531"/>
        <item x="200"/>
        <item x="205"/>
        <item x="767"/>
        <item x="409"/>
        <item x="408"/>
        <item x="411"/>
        <item x="55"/>
        <item x="834"/>
        <item x="808"/>
        <item x="811"/>
        <item x="810"/>
        <item x="809"/>
        <item x="843"/>
        <item x="826"/>
        <item x="845"/>
        <item x="848"/>
        <item x="827"/>
        <item x="837"/>
        <item x="838"/>
        <item x="841"/>
        <item x="839"/>
        <item x="355"/>
        <item x="360"/>
        <item x="358"/>
        <item x="356"/>
        <item x="354"/>
        <item x="357"/>
        <item x="852"/>
        <item x="855"/>
        <item x="854"/>
        <item x="853"/>
        <item x="368"/>
        <item x="363"/>
        <item x="366"/>
        <item x="369"/>
        <item x="367"/>
        <item x="365"/>
        <item x="362"/>
        <item x="359"/>
        <item x="352"/>
        <item x="370"/>
        <item x="353"/>
        <item x="361"/>
        <item x="364"/>
        <item x="27"/>
        <item x="91"/>
        <item x="124"/>
        <item x="126"/>
        <item x="581"/>
        <item x="587"/>
        <item x="41"/>
        <item x="561"/>
        <item x="609"/>
        <item x="590"/>
        <item x="86"/>
        <item x="584"/>
        <item x="585"/>
        <item x="130"/>
        <item x="103"/>
        <item x="116"/>
        <item x="569"/>
        <item x="560"/>
        <item x="570"/>
        <item x="89"/>
        <item x="593"/>
        <item x="139"/>
        <item x="134"/>
        <item x="115"/>
        <item x="233"/>
        <item x="230"/>
        <item x="83"/>
        <item x="343"/>
        <item x="335"/>
        <item x="325"/>
        <item x="626"/>
        <item x="401"/>
        <item x="374"/>
        <item x="276"/>
        <item x="762"/>
        <item x="761"/>
        <item x="663"/>
        <item x="419"/>
        <item x="381"/>
        <item x="257"/>
        <item x="662"/>
        <item x="380"/>
        <item x="474"/>
        <item x="373"/>
        <item x="862"/>
        <item x="863"/>
        <item x="241"/>
        <item x="867"/>
        <item x="264"/>
        <item x="254"/>
        <item x="252"/>
        <item x="253"/>
        <item x="262"/>
        <item x="251"/>
        <item x="271"/>
        <item x="222"/>
        <item x="223"/>
        <item x="99"/>
        <item x="500"/>
        <item x="413"/>
        <item x="384"/>
        <item x="422"/>
        <item x="529"/>
        <item x="513"/>
        <item x="445"/>
        <item x="479"/>
        <item x="688"/>
        <item x="689"/>
        <item x="690"/>
        <item x="691"/>
        <item x="692"/>
        <item x="693"/>
        <item x="694"/>
        <item x="695"/>
        <item x="696"/>
        <item x="697"/>
        <item x="698"/>
        <item x="67"/>
        <item x="217"/>
        <item x="216"/>
        <item x="215"/>
        <item x="213"/>
        <item x="214"/>
        <item x="179"/>
        <item x="173"/>
        <item x="189"/>
        <item x="180"/>
        <item x="196"/>
        <item x="195"/>
        <item x="61"/>
        <item x="45"/>
        <item x="106"/>
        <item x="104"/>
        <item x="836"/>
        <item x="805"/>
        <item x="821"/>
        <item x="820"/>
        <item x="816"/>
        <item x="819"/>
        <item x="822"/>
        <item x="840"/>
        <item x="824"/>
        <item x="829"/>
        <item x="832"/>
        <item x="534"/>
        <item x="520"/>
        <item x="646"/>
        <item x="756"/>
        <item x="635"/>
        <item x="740"/>
        <item x="632"/>
        <item x="752"/>
        <item x="642"/>
        <item x="648"/>
        <item x="627"/>
        <item x="137"/>
        <item x="118"/>
        <item x="138"/>
        <item x="114"/>
        <item x="597"/>
        <item x="236"/>
        <item x="237"/>
        <item x="238"/>
        <item x="234"/>
        <item x="242"/>
        <item x="263"/>
        <item x="605"/>
        <item x="588"/>
        <item x="594"/>
        <item x="279"/>
        <item x="235"/>
        <item x="245"/>
        <item x="244"/>
        <item x="261"/>
        <item x="231"/>
        <item x="280"/>
        <item x="121"/>
        <item x="93"/>
        <item x="122"/>
        <item x="108"/>
        <item x="82"/>
        <item x="127"/>
        <item x="141"/>
        <item x="649"/>
        <item x="78"/>
        <item x="58"/>
        <item x="64"/>
        <item x="56"/>
        <item x="622"/>
        <item x="620"/>
        <item x="699"/>
        <item x="700"/>
        <item x="701"/>
        <item x="702"/>
        <item x="703"/>
        <item x="704"/>
        <item x="705"/>
        <item x="706"/>
        <item x="707"/>
        <item x="708"/>
        <item x="709"/>
        <item x="710"/>
        <item x="711"/>
        <item x="712"/>
        <item x="713"/>
        <item x="714"/>
        <item x="715"/>
        <item x="716"/>
        <item x="804"/>
        <item x="717"/>
        <item x="718"/>
        <item x="719"/>
        <item x="720"/>
        <item x="721"/>
        <item x="722"/>
        <item x="723"/>
        <item x="724"/>
        <item x="725"/>
        <item x="726"/>
        <item x="727"/>
        <item x="728"/>
        <item x="729"/>
        <item x="24"/>
        <item x="65"/>
        <item x="63"/>
        <item x="15"/>
        <item x="25"/>
        <item x="16"/>
        <item x="33"/>
        <item x="30"/>
        <item x="11"/>
        <item x="9"/>
        <item x="14"/>
        <item x="849"/>
        <item x="542"/>
        <item x="333"/>
        <item x="168"/>
        <item x="145"/>
        <item x="144"/>
        <item x="158"/>
        <item x="54"/>
        <item x="258"/>
        <item x="783"/>
        <item x="255"/>
        <item x="269"/>
        <item x="228"/>
        <item x="785"/>
        <item x="831"/>
        <item x="844"/>
        <item x="842"/>
        <item x="830"/>
        <item x="603"/>
        <item x="266"/>
        <item x="267"/>
        <item x="591"/>
        <item x="256"/>
        <item x="557"/>
        <item x="575"/>
        <item x="607"/>
        <item x="562"/>
        <item x="232"/>
        <item x="467"/>
        <item x="604"/>
        <item x="825"/>
        <item x="828"/>
        <item x="823"/>
        <item x="835"/>
        <item x="812"/>
        <item x="817"/>
        <item x="813"/>
        <item x="814"/>
        <item x="815"/>
        <item x="818"/>
        <item x="527"/>
        <item x="547"/>
        <item x="143"/>
        <item x="109"/>
        <item x="98"/>
        <item x="129"/>
        <item x="133"/>
        <item x="316"/>
        <item x="282"/>
        <item x="296"/>
        <item x="504"/>
        <item x="731"/>
        <item x="219"/>
        <item x="781"/>
        <item x="730"/>
        <item x="68"/>
        <item x="782"/>
        <item x="798"/>
        <item x="100"/>
        <item x="682"/>
        <item x="687"/>
        <item x="678"/>
        <item x="125"/>
        <item x="683"/>
        <item x="676"/>
        <item x="773"/>
        <item x="774"/>
        <item x="119"/>
        <item x="102"/>
        <item x="270"/>
        <item x="800"/>
        <item x="795"/>
        <item x="792"/>
        <item x="794"/>
        <item x="110"/>
        <item x="81"/>
        <item x="79"/>
        <item x="573"/>
        <item x="583"/>
        <item x="589"/>
        <item x="600"/>
        <item x="571"/>
        <item x="567"/>
        <item x="592"/>
        <item x="90"/>
        <item x="94"/>
        <item x="80"/>
        <item x="95"/>
        <item x="96"/>
        <item x="87"/>
        <item x="84"/>
        <item x="85"/>
        <item x="92"/>
        <item x="111"/>
        <item x="113"/>
        <item x="69"/>
        <item x="112"/>
        <item x="210"/>
        <item x="644"/>
        <item x="136"/>
        <item x="623"/>
        <item x="128"/>
        <item x="142"/>
        <item x="240"/>
        <item x="246"/>
        <item x="763"/>
        <item x="208"/>
        <item x="342"/>
        <item x="220"/>
        <item x="764"/>
        <item x="793"/>
        <item x="586"/>
        <item x="199"/>
        <item x="661"/>
        <item x="197"/>
        <item x="619"/>
        <item x="780"/>
        <item x="779"/>
        <item x="201"/>
        <item x="198"/>
        <item x="681"/>
        <item x="778"/>
        <item x="188"/>
        <item x="768"/>
        <item x="204"/>
        <item x="777"/>
        <item x="776"/>
        <item x="75"/>
        <item x="350"/>
        <item x="757"/>
        <item x="653"/>
        <item x="679"/>
        <item x="801"/>
        <item x="673"/>
        <item x="668"/>
        <item x="672"/>
        <item x="677"/>
        <item x="775"/>
        <item x="667"/>
        <item x="670"/>
        <item x="664"/>
        <item x="669"/>
        <item x="665"/>
        <item x="770"/>
        <item x="772"/>
        <item x="686"/>
        <item x="685"/>
        <item x="666"/>
        <item x="771"/>
        <item x="674"/>
        <item x="680"/>
        <item x="796"/>
        <item x="799"/>
        <item x="675"/>
        <item x="671"/>
        <item x="856"/>
        <item x="791"/>
        <item x="797"/>
        <item x="787"/>
        <item x="684"/>
        <item x="788"/>
        <item x="789"/>
        <item x="790"/>
        <item x="658"/>
        <item x="483"/>
        <item x="786"/>
        <item x="784"/>
        <item x="480"/>
        <item x="660"/>
        <item x="647"/>
        <item x="572"/>
        <item x="530"/>
        <item x="494"/>
        <item x="147"/>
        <item x="157"/>
        <item x="149"/>
        <item x="162"/>
        <item x="155"/>
        <item x="154"/>
        <item x="153"/>
        <item x="151"/>
        <item x="166"/>
        <item x="159"/>
        <item x="163"/>
        <item x="161"/>
        <item x="152"/>
        <item x="156"/>
        <item x="170"/>
        <item x="165"/>
        <item x="167"/>
        <item x="148"/>
        <item x="146"/>
        <item x="160"/>
        <item x="164"/>
        <item x="169"/>
        <item x="171"/>
        <item x="846"/>
        <item x="847"/>
        <item x="833"/>
        <item x="610"/>
        <item t="default"/>
      </items>
    </pivotField>
    <pivotField compact="0" outline="0" showAll="0"/>
    <pivotField compact="0" outline="0" showAll="0">
      <items count="25">
        <item x="6"/>
        <item x="8"/>
        <item x="19"/>
        <item x="22"/>
        <item x="5"/>
        <item x="17"/>
        <item x="16"/>
        <item x="21"/>
        <item x="14"/>
        <item x="4"/>
        <item x="18"/>
        <item x="2"/>
        <item x="23"/>
        <item x="13"/>
        <item x="0"/>
        <item x="12"/>
        <item x="20"/>
        <item x="15"/>
        <item x="7"/>
        <item x="1"/>
        <item x="11"/>
        <item x="9"/>
        <item x="3"/>
        <item x="10"/>
        <item t="default"/>
      </items>
    </pivotField>
    <pivotField compact="0" outline="0" showAll="0">
      <items count="26">
        <item x="21"/>
        <item x="15"/>
        <item x="22"/>
        <item x="1"/>
        <item x="9"/>
        <item x="23"/>
        <item x="24"/>
        <item x="17"/>
        <item x="19"/>
        <item x="4"/>
        <item x="8"/>
        <item x="10"/>
        <item x="3"/>
        <item x="16"/>
        <item x="2"/>
        <item x="6"/>
        <item x="11"/>
        <item x="7"/>
        <item x="20"/>
        <item x="0"/>
        <item x="18"/>
        <item x="5"/>
        <item x="13"/>
        <item x="14"/>
        <item x="12"/>
        <item t="default"/>
      </items>
    </pivotField>
    <pivotField compact="0" outline="0" showAll="0"/>
    <pivotField compact="0" outline="0" showAll="0"/>
    <pivotField compact="0" outline="0" showAll="0"/>
    <pivotField compact="0" outline="0" showAll="0"/>
    <pivotField compact="0" numFmtId="9" outline="0" showAll="0"/>
    <pivotField dataField="1" compact="0" outline="0" showAll="0"/>
    <pivotField compact="0" outline="0" subtotalTop="0" showAll="0"/>
    <pivotField compact="0" outline="0" subtotalTop="0" showAll="0"/>
  </pivotFields>
  <rowItems count="1">
    <i/>
  </rowItems>
  <colItems count="1">
    <i/>
  </colItems>
  <dataFields count="1">
    <dataField name="Avg Value for money (VFM) score" fld="10" subtotal="average" baseField="0" baseItem="0" numFmtId="2"/>
  </dataFields>
  <formats count="1">
    <format dxfId="5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43EBF0D-D338-4699-87A6-452380D59CA7}" name="Total SP"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F5:G6" firstHeaderRow="1" firstDataRow="1" firstDataCol="1"/>
  <pivotFields count="13">
    <pivotField compact="0" outline="0" showAll="0">
      <items count="18">
        <item x="9"/>
        <item x="5"/>
        <item x="7"/>
        <item x="3"/>
        <item x="1"/>
        <item x="16"/>
        <item x="2"/>
        <item x="11"/>
        <item x="4"/>
        <item x="12"/>
        <item x="8"/>
        <item x="0"/>
        <item x="13"/>
        <item x="6"/>
        <item x="10"/>
        <item x="14"/>
        <item x="15"/>
        <item t="default"/>
      </items>
    </pivotField>
    <pivotField compact="0" outline="0" showAll="0">
      <items count="869">
        <item x="207"/>
        <item x="77"/>
        <item x="318"/>
        <item x="324"/>
        <item x="304"/>
        <item x="297"/>
        <item x="70"/>
        <item x="321"/>
        <item x="314"/>
        <item x="292"/>
        <item x="348"/>
        <item x="319"/>
        <item x="322"/>
        <item x="334"/>
        <item x="295"/>
        <item x="203"/>
        <item x="317"/>
        <item x="347"/>
        <item x="187"/>
        <item x="340"/>
        <item x="339"/>
        <item x="184"/>
        <item x="338"/>
        <item x="306"/>
        <item x="733"/>
        <item x="283"/>
        <item x="330"/>
        <item x="328"/>
        <item x="320"/>
        <item x="310"/>
        <item x="307"/>
        <item x="309"/>
        <item x="323"/>
        <item x="346"/>
        <item x="329"/>
        <item x="351"/>
        <item x="734"/>
        <item x="742"/>
        <item x="331"/>
        <item x="308"/>
        <item x="281"/>
        <item x="288"/>
        <item x="312"/>
        <item x="311"/>
        <item x="807"/>
        <item x="284"/>
        <item x="802"/>
        <item x="803"/>
        <item x="289"/>
        <item x="298"/>
        <item x="293"/>
        <item x="286"/>
        <item x="287"/>
        <item x="313"/>
        <item x="76"/>
        <item x="305"/>
        <item x="301"/>
        <item x="285"/>
        <item x="300"/>
        <item x="302"/>
        <item x="303"/>
        <item x="615"/>
        <item x="73"/>
        <item x="326"/>
        <item x="291"/>
        <item x="74"/>
        <item x="72"/>
        <item x="192"/>
        <item x="71"/>
        <item x="193"/>
        <item x="315"/>
        <item x="743"/>
        <item x="299"/>
        <item x="290"/>
        <item x="209"/>
        <item x="221"/>
        <item x="218"/>
        <item x="336"/>
        <item x="748"/>
        <item x="741"/>
        <item x="206"/>
        <item x="150"/>
        <item x="344"/>
        <item x="212"/>
        <item x="194"/>
        <item x="181"/>
        <item x="182"/>
        <item x="332"/>
        <item x="341"/>
        <item x="747"/>
        <item x="738"/>
        <item x="744"/>
        <item x="177"/>
        <item x="857"/>
        <item x="860"/>
        <item x="858"/>
        <item x="859"/>
        <item x="806"/>
        <item x="765"/>
        <item x="227"/>
        <item x="249"/>
        <item x="243"/>
        <item x="601"/>
        <item x="6"/>
        <item x="1"/>
        <item x="12"/>
        <item x="17"/>
        <item x="758"/>
        <item x="851"/>
        <item x="48"/>
        <item x="566"/>
        <item x="563"/>
        <item x="4"/>
        <item x="606"/>
        <item x="598"/>
        <item x="3"/>
        <item x="49"/>
        <item x="596"/>
        <item x="39"/>
        <item x="32"/>
        <item x="565"/>
        <item x="34"/>
        <item x="577"/>
        <item x="43"/>
        <item x="0"/>
        <item x="579"/>
        <item x="2"/>
        <item x="8"/>
        <item x="759"/>
        <item x="47"/>
        <item x="23"/>
        <item x="599"/>
        <item x="602"/>
        <item x="608"/>
        <item x="576"/>
        <item x="578"/>
        <item x="559"/>
        <item x="21"/>
        <item x="564"/>
        <item x="580"/>
        <item x="582"/>
        <item x="46"/>
        <item x="44"/>
        <item x="51"/>
        <item x="5"/>
        <item x="13"/>
        <item x="568"/>
        <item x="40"/>
        <item x="37"/>
        <item x="595"/>
        <item x="52"/>
        <item x="28"/>
        <item x="345"/>
        <item x="337"/>
        <item x="349"/>
        <item x="327"/>
        <item x="574"/>
        <item x="449"/>
        <item x="476"/>
        <item x="638"/>
        <item x="624"/>
        <item x="186"/>
        <item x="172"/>
        <item x="185"/>
        <item x="183"/>
        <item x="191"/>
        <item x="202"/>
        <item x="174"/>
        <item x="294"/>
        <item x="178"/>
        <item x="175"/>
        <item x="211"/>
        <item x="176"/>
        <item x="766"/>
        <item x="190"/>
        <item x="850"/>
        <item x="861"/>
        <item x="88"/>
        <item x="275"/>
        <item x="272"/>
        <item x="754"/>
        <item x="739"/>
        <item x="751"/>
        <item x="746"/>
        <item x="750"/>
        <item x="735"/>
        <item x="732"/>
        <item x="755"/>
        <item x="753"/>
        <item x="749"/>
        <item x="745"/>
        <item x="737"/>
        <item x="736"/>
        <item x="636"/>
        <item x="621"/>
        <item x="639"/>
        <item x="637"/>
        <item x="634"/>
        <item x="611"/>
        <item x="616"/>
        <item x="618"/>
        <item x="640"/>
        <item x="278"/>
        <item x="274"/>
        <item x="259"/>
        <item x="277"/>
        <item x="250"/>
        <item x="62"/>
        <item x="36"/>
        <item x="247"/>
        <item x="268"/>
        <item x="265"/>
        <item x="225"/>
        <item x="31"/>
        <item x="229"/>
        <item x="57"/>
        <item x="26"/>
        <item x="10"/>
        <item x="7"/>
        <item x="20"/>
        <item x="18"/>
        <item x="19"/>
        <item x="66"/>
        <item x="248"/>
        <item x="226"/>
        <item x="38"/>
        <item x="35"/>
        <item x="760"/>
        <item x="53"/>
        <item x="22"/>
        <item x="59"/>
        <item x="60"/>
        <item x="224"/>
        <item x="42"/>
        <item x="239"/>
        <item x="260"/>
        <item x="50"/>
        <item x="29"/>
        <item x="651"/>
        <item x="631"/>
        <item x="641"/>
        <item x="117"/>
        <item x="612"/>
        <item x="120"/>
        <item x="273"/>
        <item x="131"/>
        <item x="140"/>
        <item x="628"/>
        <item x="657"/>
        <item x="132"/>
        <item x="655"/>
        <item x="135"/>
        <item x="614"/>
        <item x="629"/>
        <item x="107"/>
        <item x="659"/>
        <item x="643"/>
        <item x="625"/>
        <item x="123"/>
        <item x="652"/>
        <item x="654"/>
        <item x="613"/>
        <item x="645"/>
        <item x="656"/>
        <item x="105"/>
        <item x="97"/>
        <item x="650"/>
        <item x="617"/>
        <item x="101"/>
        <item x="633"/>
        <item x="630"/>
        <item x="866"/>
        <item x="388"/>
        <item x="444"/>
        <item x="431"/>
        <item x="376"/>
        <item x="472"/>
        <item x="430"/>
        <item x="423"/>
        <item x="382"/>
        <item x="377"/>
        <item x="378"/>
        <item x="510"/>
        <item x="454"/>
        <item x="426"/>
        <item x="418"/>
        <item x="399"/>
        <item x="535"/>
        <item x="514"/>
        <item x="448"/>
        <item x="410"/>
        <item x="392"/>
        <item x="398"/>
        <item x="503"/>
        <item x="394"/>
        <item x="414"/>
        <item x="415"/>
        <item x="427"/>
        <item x="478"/>
        <item x="417"/>
        <item x="406"/>
        <item x="405"/>
        <item x="390"/>
        <item x="459"/>
        <item x="512"/>
        <item x="461"/>
        <item x="523"/>
        <item x="462"/>
        <item x="438"/>
        <item x="489"/>
        <item x="532"/>
        <item x="498"/>
        <item x="525"/>
        <item x="516"/>
        <item x="552"/>
        <item x="533"/>
        <item x="499"/>
        <item x="544"/>
        <item x="501"/>
        <item x="389"/>
        <item x="372"/>
        <item x="371"/>
        <item x="865"/>
        <item x="397"/>
        <item x="769"/>
        <item x="393"/>
        <item x="440"/>
        <item x="526"/>
        <item x="451"/>
        <item x="549"/>
        <item x="518"/>
        <item x="537"/>
        <item x="556"/>
        <item x="548"/>
        <item x="496"/>
        <item x="482"/>
        <item x="447"/>
        <item x="490"/>
        <item x="433"/>
        <item x="506"/>
        <item x="428"/>
        <item x="491"/>
        <item x="450"/>
        <item x="453"/>
        <item x="460"/>
        <item x="485"/>
        <item x="528"/>
        <item x="455"/>
        <item x="429"/>
        <item x="439"/>
        <item x="515"/>
        <item x="441"/>
        <item x="437"/>
        <item x="434"/>
        <item x="424"/>
        <item x="465"/>
        <item x="458"/>
        <item x="387"/>
        <item x="421"/>
        <item x="375"/>
        <item x="473"/>
        <item x="481"/>
        <item x="395"/>
        <item x="379"/>
        <item x="484"/>
        <item x="432"/>
        <item x="435"/>
        <item x="463"/>
        <item x="385"/>
        <item x="383"/>
        <item x="391"/>
        <item x="446"/>
        <item x="436"/>
        <item x="469"/>
        <item x="402"/>
        <item x="550"/>
        <item x="517"/>
        <item x="492"/>
        <item x="403"/>
        <item x="420"/>
        <item x="508"/>
        <item x="511"/>
        <item x="519"/>
        <item x="487"/>
        <item x="551"/>
        <item x="502"/>
        <item x="443"/>
        <item x="538"/>
        <item x="404"/>
        <item x="505"/>
        <item x="486"/>
        <item x="416"/>
        <item x="470"/>
        <item x="553"/>
        <item x="554"/>
        <item x="509"/>
        <item x="400"/>
        <item x="396"/>
        <item x="452"/>
        <item x="521"/>
        <item x="497"/>
        <item x="425"/>
        <item x="442"/>
        <item x="471"/>
        <item x="468"/>
        <item x="466"/>
        <item x="864"/>
        <item x="457"/>
        <item x="524"/>
        <item x="507"/>
        <item x="488"/>
        <item x="555"/>
        <item x="464"/>
        <item x="539"/>
        <item x="456"/>
        <item x="558"/>
        <item x="543"/>
        <item x="522"/>
        <item x="493"/>
        <item x="541"/>
        <item x="477"/>
        <item x="412"/>
        <item x="536"/>
        <item x="475"/>
        <item x="495"/>
        <item x="545"/>
        <item x="546"/>
        <item x="386"/>
        <item x="407"/>
        <item x="540"/>
        <item x="531"/>
        <item x="200"/>
        <item x="205"/>
        <item x="767"/>
        <item x="409"/>
        <item x="408"/>
        <item x="411"/>
        <item x="55"/>
        <item x="834"/>
        <item x="808"/>
        <item x="811"/>
        <item x="810"/>
        <item x="809"/>
        <item x="843"/>
        <item x="826"/>
        <item x="845"/>
        <item x="848"/>
        <item x="827"/>
        <item x="837"/>
        <item x="838"/>
        <item x="841"/>
        <item x="839"/>
        <item x="355"/>
        <item x="360"/>
        <item x="358"/>
        <item x="356"/>
        <item x="354"/>
        <item x="357"/>
        <item x="852"/>
        <item x="855"/>
        <item x="854"/>
        <item x="853"/>
        <item x="368"/>
        <item x="363"/>
        <item x="366"/>
        <item x="369"/>
        <item x="367"/>
        <item x="365"/>
        <item x="362"/>
        <item x="359"/>
        <item x="352"/>
        <item x="370"/>
        <item x="353"/>
        <item x="361"/>
        <item x="364"/>
        <item x="27"/>
        <item x="91"/>
        <item x="124"/>
        <item x="126"/>
        <item x="581"/>
        <item x="587"/>
        <item x="41"/>
        <item x="561"/>
        <item x="609"/>
        <item x="590"/>
        <item x="86"/>
        <item x="584"/>
        <item x="585"/>
        <item x="130"/>
        <item x="103"/>
        <item x="116"/>
        <item x="569"/>
        <item x="560"/>
        <item x="570"/>
        <item x="89"/>
        <item x="593"/>
        <item x="139"/>
        <item x="134"/>
        <item x="115"/>
        <item x="233"/>
        <item x="230"/>
        <item x="83"/>
        <item x="343"/>
        <item x="335"/>
        <item x="325"/>
        <item x="626"/>
        <item x="401"/>
        <item x="374"/>
        <item x="276"/>
        <item x="762"/>
        <item x="761"/>
        <item x="663"/>
        <item x="419"/>
        <item x="381"/>
        <item x="257"/>
        <item x="662"/>
        <item x="380"/>
        <item x="474"/>
        <item x="373"/>
        <item x="862"/>
        <item x="863"/>
        <item x="241"/>
        <item x="867"/>
        <item x="264"/>
        <item x="254"/>
        <item x="252"/>
        <item x="253"/>
        <item x="262"/>
        <item x="251"/>
        <item x="271"/>
        <item x="222"/>
        <item x="223"/>
        <item x="99"/>
        <item x="500"/>
        <item x="413"/>
        <item x="384"/>
        <item x="422"/>
        <item x="529"/>
        <item x="513"/>
        <item x="445"/>
        <item x="479"/>
        <item x="688"/>
        <item x="689"/>
        <item x="690"/>
        <item x="691"/>
        <item x="692"/>
        <item x="693"/>
        <item x="694"/>
        <item x="695"/>
        <item x="696"/>
        <item x="697"/>
        <item x="698"/>
        <item x="67"/>
        <item x="217"/>
        <item x="216"/>
        <item x="215"/>
        <item x="213"/>
        <item x="214"/>
        <item x="179"/>
        <item x="173"/>
        <item x="189"/>
        <item x="180"/>
        <item x="196"/>
        <item x="195"/>
        <item x="61"/>
        <item x="45"/>
        <item x="106"/>
        <item x="104"/>
        <item x="836"/>
        <item x="805"/>
        <item x="821"/>
        <item x="820"/>
        <item x="816"/>
        <item x="819"/>
        <item x="822"/>
        <item x="840"/>
        <item x="824"/>
        <item x="829"/>
        <item x="832"/>
        <item x="534"/>
        <item x="520"/>
        <item x="646"/>
        <item x="756"/>
        <item x="635"/>
        <item x="740"/>
        <item x="632"/>
        <item x="752"/>
        <item x="642"/>
        <item x="648"/>
        <item x="627"/>
        <item x="137"/>
        <item x="118"/>
        <item x="138"/>
        <item x="114"/>
        <item x="597"/>
        <item x="236"/>
        <item x="237"/>
        <item x="238"/>
        <item x="234"/>
        <item x="242"/>
        <item x="263"/>
        <item x="605"/>
        <item x="588"/>
        <item x="594"/>
        <item x="279"/>
        <item x="235"/>
        <item x="245"/>
        <item x="244"/>
        <item x="261"/>
        <item x="231"/>
        <item x="280"/>
        <item x="121"/>
        <item x="93"/>
        <item x="122"/>
        <item x="108"/>
        <item x="82"/>
        <item x="127"/>
        <item x="141"/>
        <item x="649"/>
        <item x="78"/>
        <item x="58"/>
        <item x="64"/>
        <item x="56"/>
        <item x="622"/>
        <item x="620"/>
        <item x="699"/>
        <item x="700"/>
        <item x="701"/>
        <item x="702"/>
        <item x="703"/>
        <item x="704"/>
        <item x="705"/>
        <item x="706"/>
        <item x="707"/>
        <item x="708"/>
        <item x="709"/>
        <item x="710"/>
        <item x="711"/>
        <item x="712"/>
        <item x="713"/>
        <item x="714"/>
        <item x="715"/>
        <item x="716"/>
        <item x="804"/>
        <item x="717"/>
        <item x="718"/>
        <item x="719"/>
        <item x="720"/>
        <item x="721"/>
        <item x="722"/>
        <item x="723"/>
        <item x="724"/>
        <item x="725"/>
        <item x="726"/>
        <item x="727"/>
        <item x="728"/>
        <item x="729"/>
        <item x="24"/>
        <item x="65"/>
        <item x="63"/>
        <item x="15"/>
        <item x="25"/>
        <item x="16"/>
        <item x="33"/>
        <item x="30"/>
        <item x="11"/>
        <item x="9"/>
        <item x="14"/>
        <item x="849"/>
        <item x="542"/>
        <item x="333"/>
        <item x="168"/>
        <item x="145"/>
        <item x="144"/>
        <item x="158"/>
        <item x="54"/>
        <item x="258"/>
        <item x="783"/>
        <item x="255"/>
        <item x="269"/>
        <item x="228"/>
        <item x="785"/>
        <item x="831"/>
        <item x="844"/>
        <item x="842"/>
        <item x="830"/>
        <item x="603"/>
        <item x="266"/>
        <item x="267"/>
        <item x="591"/>
        <item x="256"/>
        <item x="557"/>
        <item x="575"/>
        <item x="607"/>
        <item x="562"/>
        <item x="232"/>
        <item x="467"/>
        <item x="604"/>
        <item x="825"/>
        <item x="828"/>
        <item x="823"/>
        <item x="835"/>
        <item x="812"/>
        <item x="817"/>
        <item x="813"/>
        <item x="814"/>
        <item x="815"/>
        <item x="818"/>
        <item x="527"/>
        <item x="547"/>
        <item x="143"/>
        <item x="109"/>
        <item x="98"/>
        <item x="129"/>
        <item x="133"/>
        <item x="316"/>
        <item x="282"/>
        <item x="296"/>
        <item x="504"/>
        <item x="731"/>
        <item x="219"/>
        <item x="781"/>
        <item x="730"/>
        <item x="68"/>
        <item x="782"/>
        <item x="798"/>
        <item x="100"/>
        <item x="682"/>
        <item x="687"/>
        <item x="678"/>
        <item x="125"/>
        <item x="683"/>
        <item x="676"/>
        <item x="773"/>
        <item x="774"/>
        <item x="119"/>
        <item x="102"/>
        <item x="270"/>
        <item x="800"/>
        <item x="795"/>
        <item x="792"/>
        <item x="794"/>
        <item x="110"/>
        <item x="81"/>
        <item x="79"/>
        <item x="573"/>
        <item x="583"/>
        <item x="589"/>
        <item x="600"/>
        <item x="571"/>
        <item x="567"/>
        <item x="592"/>
        <item x="90"/>
        <item x="94"/>
        <item x="80"/>
        <item x="95"/>
        <item x="96"/>
        <item x="87"/>
        <item x="84"/>
        <item x="85"/>
        <item x="92"/>
        <item x="111"/>
        <item x="113"/>
        <item x="69"/>
        <item x="112"/>
        <item x="210"/>
        <item x="644"/>
        <item x="136"/>
        <item x="623"/>
        <item x="128"/>
        <item x="142"/>
        <item x="240"/>
        <item x="246"/>
        <item x="763"/>
        <item x="208"/>
        <item x="342"/>
        <item x="220"/>
        <item x="764"/>
        <item x="793"/>
        <item x="586"/>
        <item x="199"/>
        <item x="661"/>
        <item x="197"/>
        <item x="619"/>
        <item x="780"/>
        <item x="779"/>
        <item x="201"/>
        <item x="198"/>
        <item x="681"/>
        <item x="778"/>
        <item x="188"/>
        <item x="768"/>
        <item x="204"/>
        <item x="777"/>
        <item x="776"/>
        <item x="75"/>
        <item x="350"/>
        <item x="757"/>
        <item x="653"/>
        <item x="679"/>
        <item x="801"/>
        <item x="673"/>
        <item x="668"/>
        <item x="672"/>
        <item x="677"/>
        <item x="775"/>
        <item x="667"/>
        <item x="670"/>
        <item x="664"/>
        <item x="669"/>
        <item x="665"/>
        <item x="770"/>
        <item x="772"/>
        <item x="686"/>
        <item x="685"/>
        <item x="666"/>
        <item x="771"/>
        <item x="674"/>
        <item x="680"/>
        <item x="796"/>
        <item x="799"/>
        <item x="675"/>
        <item x="671"/>
        <item x="856"/>
        <item x="791"/>
        <item x="797"/>
        <item x="787"/>
        <item x="684"/>
        <item x="788"/>
        <item x="789"/>
        <item x="790"/>
        <item x="658"/>
        <item x="483"/>
        <item x="786"/>
        <item x="784"/>
        <item x="480"/>
        <item x="660"/>
        <item x="647"/>
        <item x="572"/>
        <item x="530"/>
        <item x="494"/>
        <item x="147"/>
        <item x="157"/>
        <item x="149"/>
        <item x="162"/>
        <item x="155"/>
        <item x="154"/>
        <item x="153"/>
        <item x="151"/>
        <item x="166"/>
        <item x="159"/>
        <item x="163"/>
        <item x="161"/>
        <item x="152"/>
        <item x="156"/>
        <item x="170"/>
        <item x="165"/>
        <item x="167"/>
        <item x="148"/>
        <item x="146"/>
        <item x="160"/>
        <item x="164"/>
        <item x="169"/>
        <item x="171"/>
        <item x="846"/>
        <item x="847"/>
        <item x="833"/>
        <item x="610"/>
        <item t="default"/>
      </items>
    </pivotField>
    <pivotField compact="0" outline="0" showAll="0"/>
    <pivotField compact="0" outline="0" showAll="0">
      <items count="25">
        <item x="6"/>
        <item x="8"/>
        <item x="19"/>
        <item x="22"/>
        <item x="5"/>
        <item x="17"/>
        <item x="16"/>
        <item x="21"/>
        <item x="14"/>
        <item x="4"/>
        <item x="18"/>
        <item x="2"/>
        <item x="23"/>
        <item x="13"/>
        <item x="0"/>
        <item x="12"/>
        <item x="20"/>
        <item x="15"/>
        <item x="7"/>
        <item x="1"/>
        <item x="11"/>
        <item x="9"/>
        <item x="3"/>
        <item x="10"/>
        <item t="default"/>
      </items>
    </pivotField>
    <pivotField compact="0" outline="0" showAll="0">
      <items count="26">
        <item x="21"/>
        <item x="15"/>
        <item x="22"/>
        <item x="1"/>
        <item x="9"/>
        <item x="23"/>
        <item x="24"/>
        <item x="17"/>
        <item x="19"/>
        <item x="4"/>
        <item x="8"/>
        <item x="10"/>
        <item x="3"/>
        <item x="16"/>
        <item x="2"/>
        <item x="6"/>
        <item x="11"/>
        <item x="7"/>
        <item x="20"/>
        <item x="0"/>
        <item x="18"/>
        <item x="5"/>
        <item x="13"/>
        <item x="14"/>
        <item x="12"/>
        <item t="default"/>
      </items>
    </pivotField>
    <pivotField compact="0" outline="0" showAll="0"/>
    <pivotField dataField="1" compact="0" outline="0" showAll="0"/>
    <pivotField compact="0" outline="0" showAll="0"/>
    <pivotField compact="0" outline="0" showAll="0"/>
    <pivotField compact="0" numFmtId="9" outline="0" showAll="0"/>
    <pivotField compact="0" outline="0" showAll="0"/>
    <pivotField compact="0" outline="0" subtotalTop="0" showAll="0"/>
    <pivotField compact="0" outline="0" subtotalTop="0" showAll="0"/>
  </pivotFields>
  <rowItems count="1">
    <i/>
  </rowItems>
  <colItems count="1">
    <i/>
  </colItems>
  <dataFields count="1">
    <dataField name="Total Selling Price" fld="6" baseField="0" baseItem="0" numFmtId="168"/>
  </dataFields>
  <formats count="4">
    <format dxfId="63">
      <pivotArea type="all" dataOnly="0" outline="0" fieldPosition="0"/>
    </format>
    <format dxfId="62">
      <pivotArea type="origin" dataOnly="0" labelOnly="1" outline="0" fieldPosition="0"/>
    </format>
    <format dxfId="61">
      <pivotArea dataOnly="0" labelOnly="1" grandCol="1" outline="0" axis="axisCol" fieldPosition="0"/>
    </format>
    <format dxfId="6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8889791-7184-4091-9568-A5503D7E458B}" name="Avg. Rat."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L5:M6" firstHeaderRow="1" firstDataRow="1" firstDataCol="1"/>
  <pivotFields count="13">
    <pivotField compact="0" outline="0" showAll="0">
      <items count="18">
        <item x="9"/>
        <item x="5"/>
        <item x="7"/>
        <item x="3"/>
        <item x="1"/>
        <item x="16"/>
        <item x="2"/>
        <item x="11"/>
        <item x="4"/>
        <item x="12"/>
        <item x="8"/>
        <item x="0"/>
        <item x="13"/>
        <item x="6"/>
        <item x="10"/>
        <item x="14"/>
        <item x="15"/>
        <item t="default"/>
      </items>
    </pivotField>
    <pivotField compact="0" outline="0" showAll="0">
      <items count="869">
        <item x="207"/>
        <item x="77"/>
        <item x="318"/>
        <item x="324"/>
        <item x="304"/>
        <item x="297"/>
        <item x="70"/>
        <item x="321"/>
        <item x="314"/>
        <item x="292"/>
        <item x="348"/>
        <item x="319"/>
        <item x="322"/>
        <item x="334"/>
        <item x="295"/>
        <item x="203"/>
        <item x="317"/>
        <item x="347"/>
        <item x="187"/>
        <item x="340"/>
        <item x="339"/>
        <item x="184"/>
        <item x="338"/>
        <item x="306"/>
        <item x="733"/>
        <item x="283"/>
        <item x="330"/>
        <item x="328"/>
        <item x="320"/>
        <item x="310"/>
        <item x="307"/>
        <item x="309"/>
        <item x="323"/>
        <item x="346"/>
        <item x="329"/>
        <item x="351"/>
        <item x="734"/>
        <item x="742"/>
        <item x="331"/>
        <item x="308"/>
        <item x="281"/>
        <item x="288"/>
        <item x="312"/>
        <item x="311"/>
        <item x="807"/>
        <item x="284"/>
        <item x="802"/>
        <item x="803"/>
        <item x="289"/>
        <item x="298"/>
        <item x="293"/>
        <item x="286"/>
        <item x="287"/>
        <item x="313"/>
        <item x="76"/>
        <item x="305"/>
        <item x="301"/>
        <item x="285"/>
        <item x="300"/>
        <item x="302"/>
        <item x="303"/>
        <item x="615"/>
        <item x="73"/>
        <item x="326"/>
        <item x="291"/>
        <item x="74"/>
        <item x="72"/>
        <item x="192"/>
        <item x="71"/>
        <item x="193"/>
        <item x="315"/>
        <item x="743"/>
        <item x="299"/>
        <item x="290"/>
        <item x="209"/>
        <item x="221"/>
        <item x="218"/>
        <item x="336"/>
        <item x="748"/>
        <item x="741"/>
        <item x="206"/>
        <item x="150"/>
        <item x="344"/>
        <item x="212"/>
        <item x="194"/>
        <item x="181"/>
        <item x="182"/>
        <item x="332"/>
        <item x="341"/>
        <item x="747"/>
        <item x="738"/>
        <item x="744"/>
        <item x="177"/>
        <item x="857"/>
        <item x="860"/>
        <item x="858"/>
        <item x="859"/>
        <item x="806"/>
        <item x="765"/>
        <item x="227"/>
        <item x="249"/>
        <item x="243"/>
        <item x="601"/>
        <item x="6"/>
        <item x="1"/>
        <item x="12"/>
        <item x="17"/>
        <item x="758"/>
        <item x="851"/>
        <item x="48"/>
        <item x="566"/>
        <item x="563"/>
        <item x="4"/>
        <item x="606"/>
        <item x="598"/>
        <item x="3"/>
        <item x="49"/>
        <item x="596"/>
        <item x="39"/>
        <item x="32"/>
        <item x="565"/>
        <item x="34"/>
        <item x="577"/>
        <item x="43"/>
        <item x="0"/>
        <item x="579"/>
        <item x="2"/>
        <item x="8"/>
        <item x="759"/>
        <item x="47"/>
        <item x="23"/>
        <item x="599"/>
        <item x="602"/>
        <item x="608"/>
        <item x="576"/>
        <item x="578"/>
        <item x="559"/>
        <item x="21"/>
        <item x="564"/>
        <item x="580"/>
        <item x="582"/>
        <item x="46"/>
        <item x="44"/>
        <item x="51"/>
        <item x="5"/>
        <item x="13"/>
        <item x="568"/>
        <item x="40"/>
        <item x="37"/>
        <item x="595"/>
        <item x="52"/>
        <item x="28"/>
        <item x="345"/>
        <item x="337"/>
        <item x="349"/>
        <item x="327"/>
        <item x="574"/>
        <item x="449"/>
        <item x="476"/>
        <item x="638"/>
        <item x="624"/>
        <item x="186"/>
        <item x="172"/>
        <item x="185"/>
        <item x="183"/>
        <item x="191"/>
        <item x="202"/>
        <item x="174"/>
        <item x="294"/>
        <item x="178"/>
        <item x="175"/>
        <item x="211"/>
        <item x="176"/>
        <item x="766"/>
        <item x="190"/>
        <item x="850"/>
        <item x="861"/>
        <item x="88"/>
        <item x="275"/>
        <item x="272"/>
        <item x="754"/>
        <item x="739"/>
        <item x="751"/>
        <item x="746"/>
        <item x="750"/>
        <item x="735"/>
        <item x="732"/>
        <item x="755"/>
        <item x="753"/>
        <item x="749"/>
        <item x="745"/>
        <item x="737"/>
        <item x="736"/>
        <item x="636"/>
        <item x="621"/>
        <item x="639"/>
        <item x="637"/>
        <item x="634"/>
        <item x="611"/>
        <item x="616"/>
        <item x="618"/>
        <item x="640"/>
        <item x="278"/>
        <item x="274"/>
        <item x="259"/>
        <item x="277"/>
        <item x="250"/>
        <item x="62"/>
        <item x="36"/>
        <item x="247"/>
        <item x="268"/>
        <item x="265"/>
        <item x="225"/>
        <item x="31"/>
        <item x="229"/>
        <item x="57"/>
        <item x="26"/>
        <item x="10"/>
        <item x="7"/>
        <item x="20"/>
        <item x="18"/>
        <item x="19"/>
        <item x="66"/>
        <item x="248"/>
        <item x="226"/>
        <item x="38"/>
        <item x="35"/>
        <item x="760"/>
        <item x="53"/>
        <item x="22"/>
        <item x="59"/>
        <item x="60"/>
        <item x="224"/>
        <item x="42"/>
        <item x="239"/>
        <item x="260"/>
        <item x="50"/>
        <item x="29"/>
        <item x="651"/>
        <item x="631"/>
        <item x="641"/>
        <item x="117"/>
        <item x="612"/>
        <item x="120"/>
        <item x="273"/>
        <item x="131"/>
        <item x="140"/>
        <item x="628"/>
        <item x="657"/>
        <item x="132"/>
        <item x="655"/>
        <item x="135"/>
        <item x="614"/>
        <item x="629"/>
        <item x="107"/>
        <item x="659"/>
        <item x="643"/>
        <item x="625"/>
        <item x="123"/>
        <item x="652"/>
        <item x="654"/>
        <item x="613"/>
        <item x="645"/>
        <item x="656"/>
        <item x="105"/>
        <item x="97"/>
        <item x="650"/>
        <item x="617"/>
        <item x="101"/>
        <item x="633"/>
        <item x="630"/>
        <item x="866"/>
        <item x="388"/>
        <item x="444"/>
        <item x="431"/>
        <item x="376"/>
        <item x="472"/>
        <item x="430"/>
        <item x="423"/>
        <item x="382"/>
        <item x="377"/>
        <item x="378"/>
        <item x="510"/>
        <item x="454"/>
        <item x="426"/>
        <item x="418"/>
        <item x="399"/>
        <item x="535"/>
        <item x="514"/>
        <item x="448"/>
        <item x="410"/>
        <item x="392"/>
        <item x="398"/>
        <item x="503"/>
        <item x="394"/>
        <item x="414"/>
        <item x="415"/>
        <item x="427"/>
        <item x="478"/>
        <item x="417"/>
        <item x="406"/>
        <item x="405"/>
        <item x="390"/>
        <item x="459"/>
        <item x="512"/>
        <item x="461"/>
        <item x="523"/>
        <item x="462"/>
        <item x="438"/>
        <item x="489"/>
        <item x="532"/>
        <item x="498"/>
        <item x="525"/>
        <item x="516"/>
        <item x="552"/>
        <item x="533"/>
        <item x="499"/>
        <item x="544"/>
        <item x="501"/>
        <item x="389"/>
        <item x="372"/>
        <item x="371"/>
        <item x="865"/>
        <item x="397"/>
        <item x="769"/>
        <item x="393"/>
        <item x="440"/>
        <item x="526"/>
        <item x="451"/>
        <item x="549"/>
        <item x="518"/>
        <item x="537"/>
        <item x="556"/>
        <item x="548"/>
        <item x="496"/>
        <item x="482"/>
        <item x="447"/>
        <item x="490"/>
        <item x="433"/>
        <item x="506"/>
        <item x="428"/>
        <item x="491"/>
        <item x="450"/>
        <item x="453"/>
        <item x="460"/>
        <item x="485"/>
        <item x="528"/>
        <item x="455"/>
        <item x="429"/>
        <item x="439"/>
        <item x="515"/>
        <item x="441"/>
        <item x="437"/>
        <item x="434"/>
        <item x="424"/>
        <item x="465"/>
        <item x="458"/>
        <item x="387"/>
        <item x="421"/>
        <item x="375"/>
        <item x="473"/>
        <item x="481"/>
        <item x="395"/>
        <item x="379"/>
        <item x="484"/>
        <item x="432"/>
        <item x="435"/>
        <item x="463"/>
        <item x="385"/>
        <item x="383"/>
        <item x="391"/>
        <item x="446"/>
        <item x="436"/>
        <item x="469"/>
        <item x="402"/>
        <item x="550"/>
        <item x="517"/>
        <item x="492"/>
        <item x="403"/>
        <item x="420"/>
        <item x="508"/>
        <item x="511"/>
        <item x="519"/>
        <item x="487"/>
        <item x="551"/>
        <item x="502"/>
        <item x="443"/>
        <item x="538"/>
        <item x="404"/>
        <item x="505"/>
        <item x="486"/>
        <item x="416"/>
        <item x="470"/>
        <item x="553"/>
        <item x="554"/>
        <item x="509"/>
        <item x="400"/>
        <item x="396"/>
        <item x="452"/>
        <item x="521"/>
        <item x="497"/>
        <item x="425"/>
        <item x="442"/>
        <item x="471"/>
        <item x="468"/>
        <item x="466"/>
        <item x="864"/>
        <item x="457"/>
        <item x="524"/>
        <item x="507"/>
        <item x="488"/>
        <item x="555"/>
        <item x="464"/>
        <item x="539"/>
        <item x="456"/>
        <item x="558"/>
        <item x="543"/>
        <item x="522"/>
        <item x="493"/>
        <item x="541"/>
        <item x="477"/>
        <item x="412"/>
        <item x="536"/>
        <item x="475"/>
        <item x="495"/>
        <item x="545"/>
        <item x="546"/>
        <item x="386"/>
        <item x="407"/>
        <item x="540"/>
        <item x="531"/>
        <item x="200"/>
        <item x="205"/>
        <item x="767"/>
        <item x="409"/>
        <item x="408"/>
        <item x="411"/>
        <item x="55"/>
        <item x="834"/>
        <item x="808"/>
        <item x="811"/>
        <item x="810"/>
        <item x="809"/>
        <item x="843"/>
        <item x="826"/>
        <item x="845"/>
        <item x="848"/>
        <item x="827"/>
        <item x="837"/>
        <item x="838"/>
        <item x="841"/>
        <item x="839"/>
        <item x="355"/>
        <item x="360"/>
        <item x="358"/>
        <item x="356"/>
        <item x="354"/>
        <item x="357"/>
        <item x="852"/>
        <item x="855"/>
        <item x="854"/>
        <item x="853"/>
        <item x="368"/>
        <item x="363"/>
        <item x="366"/>
        <item x="369"/>
        <item x="367"/>
        <item x="365"/>
        <item x="362"/>
        <item x="359"/>
        <item x="352"/>
        <item x="370"/>
        <item x="353"/>
        <item x="361"/>
        <item x="364"/>
        <item x="27"/>
        <item x="91"/>
        <item x="124"/>
        <item x="126"/>
        <item x="581"/>
        <item x="587"/>
        <item x="41"/>
        <item x="561"/>
        <item x="609"/>
        <item x="590"/>
        <item x="86"/>
        <item x="584"/>
        <item x="585"/>
        <item x="130"/>
        <item x="103"/>
        <item x="116"/>
        <item x="569"/>
        <item x="560"/>
        <item x="570"/>
        <item x="89"/>
        <item x="593"/>
        <item x="139"/>
        <item x="134"/>
        <item x="115"/>
        <item x="233"/>
        <item x="230"/>
        <item x="83"/>
        <item x="343"/>
        <item x="335"/>
        <item x="325"/>
        <item x="626"/>
        <item x="401"/>
        <item x="374"/>
        <item x="276"/>
        <item x="762"/>
        <item x="761"/>
        <item x="663"/>
        <item x="419"/>
        <item x="381"/>
        <item x="257"/>
        <item x="662"/>
        <item x="380"/>
        <item x="474"/>
        <item x="373"/>
        <item x="862"/>
        <item x="863"/>
        <item x="241"/>
        <item x="867"/>
        <item x="264"/>
        <item x="254"/>
        <item x="252"/>
        <item x="253"/>
        <item x="262"/>
        <item x="251"/>
        <item x="271"/>
        <item x="222"/>
        <item x="223"/>
        <item x="99"/>
        <item x="500"/>
        <item x="413"/>
        <item x="384"/>
        <item x="422"/>
        <item x="529"/>
        <item x="513"/>
        <item x="445"/>
        <item x="479"/>
        <item x="688"/>
        <item x="689"/>
        <item x="690"/>
        <item x="691"/>
        <item x="692"/>
        <item x="693"/>
        <item x="694"/>
        <item x="695"/>
        <item x="696"/>
        <item x="697"/>
        <item x="698"/>
        <item x="67"/>
        <item x="217"/>
        <item x="216"/>
        <item x="215"/>
        <item x="213"/>
        <item x="214"/>
        <item x="179"/>
        <item x="173"/>
        <item x="189"/>
        <item x="180"/>
        <item x="196"/>
        <item x="195"/>
        <item x="61"/>
        <item x="45"/>
        <item x="106"/>
        <item x="104"/>
        <item x="836"/>
        <item x="805"/>
        <item x="821"/>
        <item x="820"/>
        <item x="816"/>
        <item x="819"/>
        <item x="822"/>
        <item x="840"/>
        <item x="824"/>
        <item x="829"/>
        <item x="832"/>
        <item x="534"/>
        <item x="520"/>
        <item x="646"/>
        <item x="756"/>
        <item x="635"/>
        <item x="740"/>
        <item x="632"/>
        <item x="752"/>
        <item x="642"/>
        <item x="648"/>
        <item x="627"/>
        <item x="137"/>
        <item x="118"/>
        <item x="138"/>
        <item x="114"/>
        <item x="597"/>
        <item x="236"/>
        <item x="237"/>
        <item x="238"/>
        <item x="234"/>
        <item x="242"/>
        <item x="263"/>
        <item x="605"/>
        <item x="588"/>
        <item x="594"/>
        <item x="279"/>
        <item x="235"/>
        <item x="245"/>
        <item x="244"/>
        <item x="261"/>
        <item x="231"/>
        <item x="280"/>
        <item x="121"/>
        <item x="93"/>
        <item x="122"/>
        <item x="108"/>
        <item x="82"/>
        <item x="127"/>
        <item x="141"/>
        <item x="649"/>
        <item x="78"/>
        <item x="58"/>
        <item x="64"/>
        <item x="56"/>
        <item x="622"/>
        <item x="620"/>
        <item x="699"/>
        <item x="700"/>
        <item x="701"/>
        <item x="702"/>
        <item x="703"/>
        <item x="704"/>
        <item x="705"/>
        <item x="706"/>
        <item x="707"/>
        <item x="708"/>
        <item x="709"/>
        <item x="710"/>
        <item x="711"/>
        <item x="712"/>
        <item x="713"/>
        <item x="714"/>
        <item x="715"/>
        <item x="716"/>
        <item x="804"/>
        <item x="717"/>
        <item x="718"/>
        <item x="719"/>
        <item x="720"/>
        <item x="721"/>
        <item x="722"/>
        <item x="723"/>
        <item x="724"/>
        <item x="725"/>
        <item x="726"/>
        <item x="727"/>
        <item x="728"/>
        <item x="729"/>
        <item x="24"/>
        <item x="65"/>
        <item x="63"/>
        <item x="15"/>
        <item x="25"/>
        <item x="16"/>
        <item x="33"/>
        <item x="30"/>
        <item x="11"/>
        <item x="9"/>
        <item x="14"/>
        <item x="849"/>
        <item x="542"/>
        <item x="333"/>
        <item x="168"/>
        <item x="145"/>
        <item x="144"/>
        <item x="158"/>
        <item x="54"/>
        <item x="258"/>
        <item x="783"/>
        <item x="255"/>
        <item x="269"/>
        <item x="228"/>
        <item x="785"/>
        <item x="831"/>
        <item x="844"/>
        <item x="842"/>
        <item x="830"/>
        <item x="603"/>
        <item x="266"/>
        <item x="267"/>
        <item x="591"/>
        <item x="256"/>
        <item x="557"/>
        <item x="575"/>
        <item x="607"/>
        <item x="562"/>
        <item x="232"/>
        <item x="467"/>
        <item x="604"/>
        <item x="825"/>
        <item x="828"/>
        <item x="823"/>
        <item x="835"/>
        <item x="812"/>
        <item x="817"/>
        <item x="813"/>
        <item x="814"/>
        <item x="815"/>
        <item x="818"/>
        <item x="527"/>
        <item x="547"/>
        <item x="143"/>
        <item x="109"/>
        <item x="98"/>
        <item x="129"/>
        <item x="133"/>
        <item x="316"/>
        <item x="282"/>
        <item x="296"/>
        <item x="504"/>
        <item x="731"/>
        <item x="219"/>
        <item x="781"/>
        <item x="730"/>
        <item x="68"/>
        <item x="782"/>
        <item x="798"/>
        <item x="100"/>
        <item x="682"/>
        <item x="687"/>
        <item x="678"/>
        <item x="125"/>
        <item x="683"/>
        <item x="676"/>
        <item x="773"/>
        <item x="774"/>
        <item x="119"/>
        <item x="102"/>
        <item x="270"/>
        <item x="800"/>
        <item x="795"/>
        <item x="792"/>
        <item x="794"/>
        <item x="110"/>
        <item x="81"/>
        <item x="79"/>
        <item x="573"/>
        <item x="583"/>
        <item x="589"/>
        <item x="600"/>
        <item x="571"/>
        <item x="567"/>
        <item x="592"/>
        <item x="90"/>
        <item x="94"/>
        <item x="80"/>
        <item x="95"/>
        <item x="96"/>
        <item x="87"/>
        <item x="84"/>
        <item x="85"/>
        <item x="92"/>
        <item x="111"/>
        <item x="113"/>
        <item x="69"/>
        <item x="112"/>
        <item x="210"/>
        <item x="644"/>
        <item x="136"/>
        <item x="623"/>
        <item x="128"/>
        <item x="142"/>
        <item x="240"/>
        <item x="246"/>
        <item x="763"/>
        <item x="208"/>
        <item x="342"/>
        <item x="220"/>
        <item x="764"/>
        <item x="793"/>
        <item x="586"/>
        <item x="199"/>
        <item x="661"/>
        <item x="197"/>
        <item x="619"/>
        <item x="780"/>
        <item x="779"/>
        <item x="201"/>
        <item x="198"/>
        <item x="681"/>
        <item x="778"/>
        <item x="188"/>
        <item x="768"/>
        <item x="204"/>
        <item x="777"/>
        <item x="776"/>
        <item x="75"/>
        <item x="350"/>
        <item x="757"/>
        <item x="653"/>
        <item x="679"/>
        <item x="801"/>
        <item x="673"/>
        <item x="668"/>
        <item x="672"/>
        <item x="677"/>
        <item x="775"/>
        <item x="667"/>
        <item x="670"/>
        <item x="664"/>
        <item x="669"/>
        <item x="665"/>
        <item x="770"/>
        <item x="772"/>
        <item x="686"/>
        <item x="685"/>
        <item x="666"/>
        <item x="771"/>
        <item x="674"/>
        <item x="680"/>
        <item x="796"/>
        <item x="799"/>
        <item x="675"/>
        <item x="671"/>
        <item x="856"/>
        <item x="791"/>
        <item x="797"/>
        <item x="787"/>
        <item x="684"/>
        <item x="788"/>
        <item x="789"/>
        <item x="790"/>
        <item x="658"/>
        <item x="483"/>
        <item x="786"/>
        <item x="784"/>
        <item x="480"/>
        <item x="660"/>
        <item x="647"/>
        <item x="572"/>
        <item x="530"/>
        <item x="494"/>
        <item x="147"/>
        <item x="157"/>
        <item x="149"/>
        <item x="162"/>
        <item x="155"/>
        <item x="154"/>
        <item x="153"/>
        <item x="151"/>
        <item x="166"/>
        <item x="159"/>
        <item x="163"/>
        <item x="161"/>
        <item x="152"/>
        <item x="156"/>
        <item x="170"/>
        <item x="165"/>
        <item x="167"/>
        <item x="148"/>
        <item x="146"/>
        <item x="160"/>
        <item x="164"/>
        <item x="169"/>
        <item x="171"/>
        <item x="846"/>
        <item x="847"/>
        <item x="833"/>
        <item x="610"/>
        <item t="default"/>
      </items>
    </pivotField>
    <pivotField compact="0" outline="0" showAll="0"/>
    <pivotField compact="0" outline="0" showAll="0">
      <items count="25">
        <item x="6"/>
        <item x="8"/>
        <item x="19"/>
        <item x="22"/>
        <item x="5"/>
        <item x="17"/>
        <item x="16"/>
        <item x="21"/>
        <item x="14"/>
        <item x="4"/>
        <item x="18"/>
        <item x="2"/>
        <item x="23"/>
        <item x="13"/>
        <item x="0"/>
        <item x="12"/>
        <item x="20"/>
        <item x="15"/>
        <item x="7"/>
        <item x="1"/>
        <item x="11"/>
        <item x="9"/>
        <item x="3"/>
        <item x="10"/>
        <item t="default"/>
      </items>
    </pivotField>
    <pivotField compact="0" outline="0" showAll="0">
      <items count="26">
        <item x="21"/>
        <item x="15"/>
        <item x="22"/>
        <item x="1"/>
        <item x="9"/>
        <item x="23"/>
        <item x="24"/>
        <item x="17"/>
        <item x="19"/>
        <item x="4"/>
        <item x="8"/>
        <item x="10"/>
        <item x="3"/>
        <item x="16"/>
        <item x="2"/>
        <item x="6"/>
        <item x="11"/>
        <item x="7"/>
        <item x="20"/>
        <item x="0"/>
        <item x="18"/>
        <item x="5"/>
        <item x="13"/>
        <item x="14"/>
        <item x="12"/>
        <item t="default"/>
      </items>
    </pivotField>
    <pivotField dataField="1" compact="0" outline="0" showAll="0"/>
    <pivotField compact="0" outline="0" showAll="0"/>
    <pivotField compact="0" outline="0" showAll="0"/>
    <pivotField compact="0" outline="0" showAll="0"/>
    <pivotField compact="0" numFmtId="9" outline="0" showAll="0"/>
    <pivotField compact="0" outline="0" showAll="0"/>
    <pivotField compact="0" outline="0" subtotalTop="0" showAll="0"/>
    <pivotField compact="0" outline="0" subtotalTop="0" showAll="0"/>
  </pivotFields>
  <rowItems count="1">
    <i/>
  </rowItems>
  <colItems count="1">
    <i/>
  </colItems>
  <dataFields count="1">
    <dataField name="Average of Rating" fld="5" subtotal="average" baseField="0" baseItem="0" numFmtId="2"/>
  </dataFields>
  <formats count="4">
    <format dxfId="67">
      <pivotArea type="all" dataOnly="0" outline="0" fieldPosition="0"/>
    </format>
    <format dxfId="66">
      <pivotArea type="origin" dataOnly="0" labelOnly="1" outline="0" fieldPosition="0"/>
    </format>
    <format dxfId="65">
      <pivotArea dataOnly="0" labelOnly="1" grandCol="1" outline="0" axis="axisCol" fieldPosition="0"/>
    </format>
    <format dxfId="6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B0ECC2B-9234-4354-AB8B-7AC75A475BE3}" name="Total Units" cacheId="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5:B6" firstHeaderRow="1" firstDataRow="1" firstDataCol="1"/>
  <pivotFields count="13">
    <pivotField dataField="1" compact="0" outline="0" showAll="0">
      <items count="18">
        <item x="9"/>
        <item x="5"/>
        <item x="7"/>
        <item x="3"/>
        <item x="1"/>
        <item x="16"/>
        <item x="2"/>
        <item x="11"/>
        <item x="4"/>
        <item x="12"/>
        <item x="8"/>
        <item x="0"/>
        <item x="13"/>
        <item x="6"/>
        <item x="10"/>
        <item x="14"/>
        <item x="15"/>
        <item t="default"/>
      </items>
    </pivotField>
    <pivotField compact="0" outline="0" showAll="0">
      <items count="869">
        <item x="207"/>
        <item x="77"/>
        <item x="318"/>
        <item x="324"/>
        <item x="304"/>
        <item x="297"/>
        <item x="70"/>
        <item x="321"/>
        <item x="314"/>
        <item x="292"/>
        <item x="348"/>
        <item x="319"/>
        <item x="322"/>
        <item x="334"/>
        <item x="295"/>
        <item x="203"/>
        <item x="317"/>
        <item x="347"/>
        <item x="187"/>
        <item x="340"/>
        <item x="339"/>
        <item x="184"/>
        <item x="338"/>
        <item x="306"/>
        <item x="733"/>
        <item x="283"/>
        <item x="330"/>
        <item x="328"/>
        <item x="320"/>
        <item x="310"/>
        <item x="307"/>
        <item x="309"/>
        <item x="323"/>
        <item x="346"/>
        <item x="329"/>
        <item x="351"/>
        <item x="734"/>
        <item x="742"/>
        <item x="331"/>
        <item x="308"/>
        <item x="281"/>
        <item x="288"/>
        <item x="312"/>
        <item x="311"/>
        <item x="807"/>
        <item x="284"/>
        <item x="802"/>
        <item x="803"/>
        <item x="289"/>
        <item x="298"/>
        <item x="293"/>
        <item x="286"/>
        <item x="287"/>
        <item x="313"/>
        <item x="76"/>
        <item x="305"/>
        <item x="301"/>
        <item x="285"/>
        <item x="300"/>
        <item x="302"/>
        <item x="303"/>
        <item x="615"/>
        <item x="73"/>
        <item x="326"/>
        <item x="291"/>
        <item x="74"/>
        <item x="72"/>
        <item x="192"/>
        <item x="71"/>
        <item x="193"/>
        <item x="315"/>
        <item x="743"/>
        <item x="299"/>
        <item x="290"/>
        <item x="209"/>
        <item x="221"/>
        <item x="218"/>
        <item x="336"/>
        <item x="748"/>
        <item x="741"/>
        <item x="206"/>
        <item x="150"/>
        <item x="344"/>
        <item x="212"/>
        <item x="194"/>
        <item x="181"/>
        <item x="182"/>
        <item x="332"/>
        <item x="341"/>
        <item x="747"/>
        <item x="738"/>
        <item x="744"/>
        <item x="177"/>
        <item x="857"/>
        <item x="860"/>
        <item x="858"/>
        <item x="859"/>
        <item x="806"/>
        <item x="765"/>
        <item x="227"/>
        <item x="249"/>
        <item x="243"/>
        <item x="601"/>
        <item x="6"/>
        <item x="1"/>
        <item x="12"/>
        <item x="17"/>
        <item x="758"/>
        <item x="851"/>
        <item x="48"/>
        <item x="566"/>
        <item x="563"/>
        <item x="4"/>
        <item x="606"/>
        <item x="598"/>
        <item x="3"/>
        <item x="49"/>
        <item x="596"/>
        <item x="39"/>
        <item x="32"/>
        <item x="565"/>
        <item x="34"/>
        <item x="577"/>
        <item x="43"/>
        <item x="0"/>
        <item x="579"/>
        <item x="2"/>
        <item x="8"/>
        <item x="759"/>
        <item x="47"/>
        <item x="23"/>
        <item x="599"/>
        <item x="602"/>
        <item x="608"/>
        <item x="576"/>
        <item x="578"/>
        <item x="559"/>
        <item x="21"/>
        <item x="564"/>
        <item x="580"/>
        <item x="582"/>
        <item x="46"/>
        <item x="44"/>
        <item x="51"/>
        <item x="5"/>
        <item x="13"/>
        <item x="568"/>
        <item x="40"/>
        <item x="37"/>
        <item x="595"/>
        <item x="52"/>
        <item x="28"/>
        <item x="345"/>
        <item x="337"/>
        <item x="349"/>
        <item x="327"/>
        <item x="574"/>
        <item x="449"/>
        <item x="476"/>
        <item x="638"/>
        <item x="624"/>
        <item x="186"/>
        <item x="172"/>
        <item x="185"/>
        <item x="183"/>
        <item x="191"/>
        <item x="202"/>
        <item x="174"/>
        <item x="294"/>
        <item x="178"/>
        <item x="175"/>
        <item x="211"/>
        <item x="176"/>
        <item x="766"/>
        <item x="190"/>
        <item x="850"/>
        <item x="861"/>
        <item x="88"/>
        <item x="275"/>
        <item x="272"/>
        <item x="754"/>
        <item x="739"/>
        <item x="751"/>
        <item x="746"/>
        <item x="750"/>
        <item x="735"/>
        <item x="732"/>
        <item x="755"/>
        <item x="753"/>
        <item x="749"/>
        <item x="745"/>
        <item x="737"/>
        <item x="736"/>
        <item x="636"/>
        <item x="621"/>
        <item x="639"/>
        <item x="637"/>
        <item x="634"/>
        <item x="611"/>
        <item x="616"/>
        <item x="618"/>
        <item x="640"/>
        <item x="278"/>
        <item x="274"/>
        <item x="259"/>
        <item x="277"/>
        <item x="250"/>
        <item x="62"/>
        <item x="36"/>
        <item x="247"/>
        <item x="268"/>
        <item x="265"/>
        <item x="225"/>
        <item x="31"/>
        <item x="229"/>
        <item x="57"/>
        <item x="26"/>
        <item x="10"/>
        <item x="7"/>
        <item x="20"/>
        <item x="18"/>
        <item x="19"/>
        <item x="66"/>
        <item x="248"/>
        <item x="226"/>
        <item x="38"/>
        <item x="35"/>
        <item x="760"/>
        <item x="53"/>
        <item x="22"/>
        <item x="59"/>
        <item x="60"/>
        <item x="224"/>
        <item x="42"/>
        <item x="239"/>
        <item x="260"/>
        <item x="50"/>
        <item x="29"/>
        <item x="651"/>
        <item x="631"/>
        <item x="641"/>
        <item x="117"/>
        <item x="612"/>
        <item x="120"/>
        <item x="273"/>
        <item x="131"/>
        <item x="140"/>
        <item x="628"/>
        <item x="657"/>
        <item x="132"/>
        <item x="655"/>
        <item x="135"/>
        <item x="614"/>
        <item x="629"/>
        <item x="107"/>
        <item x="659"/>
        <item x="643"/>
        <item x="625"/>
        <item x="123"/>
        <item x="652"/>
        <item x="654"/>
        <item x="613"/>
        <item x="645"/>
        <item x="656"/>
        <item x="105"/>
        <item x="97"/>
        <item x="650"/>
        <item x="617"/>
        <item x="101"/>
        <item x="633"/>
        <item x="630"/>
        <item x="866"/>
        <item x="388"/>
        <item x="444"/>
        <item x="431"/>
        <item x="376"/>
        <item x="472"/>
        <item x="430"/>
        <item x="423"/>
        <item x="382"/>
        <item x="377"/>
        <item x="378"/>
        <item x="510"/>
        <item x="454"/>
        <item x="426"/>
        <item x="418"/>
        <item x="399"/>
        <item x="535"/>
        <item x="514"/>
        <item x="448"/>
        <item x="410"/>
        <item x="392"/>
        <item x="398"/>
        <item x="503"/>
        <item x="394"/>
        <item x="414"/>
        <item x="415"/>
        <item x="427"/>
        <item x="478"/>
        <item x="417"/>
        <item x="406"/>
        <item x="405"/>
        <item x="390"/>
        <item x="459"/>
        <item x="512"/>
        <item x="461"/>
        <item x="523"/>
        <item x="462"/>
        <item x="438"/>
        <item x="489"/>
        <item x="532"/>
        <item x="498"/>
        <item x="525"/>
        <item x="516"/>
        <item x="552"/>
        <item x="533"/>
        <item x="499"/>
        <item x="544"/>
        <item x="501"/>
        <item x="389"/>
        <item x="372"/>
        <item x="371"/>
        <item x="865"/>
        <item x="397"/>
        <item x="769"/>
        <item x="393"/>
        <item x="440"/>
        <item x="526"/>
        <item x="451"/>
        <item x="549"/>
        <item x="518"/>
        <item x="537"/>
        <item x="556"/>
        <item x="548"/>
        <item x="496"/>
        <item x="482"/>
        <item x="447"/>
        <item x="490"/>
        <item x="433"/>
        <item x="506"/>
        <item x="428"/>
        <item x="491"/>
        <item x="450"/>
        <item x="453"/>
        <item x="460"/>
        <item x="485"/>
        <item x="528"/>
        <item x="455"/>
        <item x="429"/>
        <item x="439"/>
        <item x="515"/>
        <item x="441"/>
        <item x="437"/>
        <item x="434"/>
        <item x="424"/>
        <item x="465"/>
        <item x="458"/>
        <item x="387"/>
        <item x="421"/>
        <item x="375"/>
        <item x="473"/>
        <item x="481"/>
        <item x="395"/>
        <item x="379"/>
        <item x="484"/>
        <item x="432"/>
        <item x="435"/>
        <item x="463"/>
        <item x="385"/>
        <item x="383"/>
        <item x="391"/>
        <item x="446"/>
        <item x="436"/>
        <item x="469"/>
        <item x="402"/>
        <item x="550"/>
        <item x="517"/>
        <item x="492"/>
        <item x="403"/>
        <item x="420"/>
        <item x="508"/>
        <item x="511"/>
        <item x="519"/>
        <item x="487"/>
        <item x="551"/>
        <item x="502"/>
        <item x="443"/>
        <item x="538"/>
        <item x="404"/>
        <item x="505"/>
        <item x="486"/>
        <item x="416"/>
        <item x="470"/>
        <item x="553"/>
        <item x="554"/>
        <item x="509"/>
        <item x="400"/>
        <item x="396"/>
        <item x="452"/>
        <item x="521"/>
        <item x="497"/>
        <item x="425"/>
        <item x="442"/>
        <item x="471"/>
        <item x="468"/>
        <item x="466"/>
        <item x="864"/>
        <item x="457"/>
        <item x="524"/>
        <item x="507"/>
        <item x="488"/>
        <item x="555"/>
        <item x="464"/>
        <item x="539"/>
        <item x="456"/>
        <item x="558"/>
        <item x="543"/>
        <item x="522"/>
        <item x="493"/>
        <item x="541"/>
        <item x="477"/>
        <item x="412"/>
        <item x="536"/>
        <item x="475"/>
        <item x="495"/>
        <item x="545"/>
        <item x="546"/>
        <item x="386"/>
        <item x="407"/>
        <item x="540"/>
        <item x="531"/>
        <item x="200"/>
        <item x="205"/>
        <item x="767"/>
        <item x="409"/>
        <item x="408"/>
        <item x="411"/>
        <item x="55"/>
        <item x="834"/>
        <item x="808"/>
        <item x="811"/>
        <item x="810"/>
        <item x="809"/>
        <item x="843"/>
        <item x="826"/>
        <item x="845"/>
        <item x="848"/>
        <item x="827"/>
        <item x="837"/>
        <item x="838"/>
        <item x="841"/>
        <item x="839"/>
        <item x="355"/>
        <item x="360"/>
        <item x="358"/>
        <item x="356"/>
        <item x="354"/>
        <item x="357"/>
        <item x="852"/>
        <item x="855"/>
        <item x="854"/>
        <item x="853"/>
        <item x="368"/>
        <item x="363"/>
        <item x="366"/>
        <item x="369"/>
        <item x="367"/>
        <item x="365"/>
        <item x="362"/>
        <item x="359"/>
        <item x="352"/>
        <item x="370"/>
        <item x="353"/>
        <item x="361"/>
        <item x="364"/>
        <item x="27"/>
        <item x="91"/>
        <item x="124"/>
        <item x="126"/>
        <item x="581"/>
        <item x="587"/>
        <item x="41"/>
        <item x="561"/>
        <item x="609"/>
        <item x="590"/>
        <item x="86"/>
        <item x="584"/>
        <item x="585"/>
        <item x="130"/>
        <item x="103"/>
        <item x="116"/>
        <item x="569"/>
        <item x="560"/>
        <item x="570"/>
        <item x="89"/>
        <item x="593"/>
        <item x="139"/>
        <item x="134"/>
        <item x="115"/>
        <item x="233"/>
        <item x="230"/>
        <item x="83"/>
        <item x="343"/>
        <item x="335"/>
        <item x="325"/>
        <item x="626"/>
        <item x="401"/>
        <item x="374"/>
        <item x="276"/>
        <item x="762"/>
        <item x="761"/>
        <item x="663"/>
        <item x="419"/>
        <item x="381"/>
        <item x="257"/>
        <item x="662"/>
        <item x="380"/>
        <item x="474"/>
        <item x="373"/>
        <item x="862"/>
        <item x="863"/>
        <item x="241"/>
        <item x="867"/>
        <item x="264"/>
        <item x="254"/>
        <item x="252"/>
        <item x="253"/>
        <item x="262"/>
        <item x="251"/>
        <item x="271"/>
        <item x="222"/>
        <item x="223"/>
        <item x="99"/>
        <item x="500"/>
        <item x="413"/>
        <item x="384"/>
        <item x="422"/>
        <item x="529"/>
        <item x="513"/>
        <item x="445"/>
        <item x="479"/>
        <item x="688"/>
        <item x="689"/>
        <item x="690"/>
        <item x="691"/>
        <item x="692"/>
        <item x="693"/>
        <item x="694"/>
        <item x="695"/>
        <item x="696"/>
        <item x="697"/>
        <item x="698"/>
        <item x="67"/>
        <item x="217"/>
        <item x="216"/>
        <item x="215"/>
        <item x="213"/>
        <item x="214"/>
        <item x="179"/>
        <item x="173"/>
        <item x="189"/>
        <item x="180"/>
        <item x="196"/>
        <item x="195"/>
        <item x="61"/>
        <item x="45"/>
        <item x="106"/>
        <item x="104"/>
        <item x="836"/>
        <item x="805"/>
        <item x="821"/>
        <item x="820"/>
        <item x="816"/>
        <item x="819"/>
        <item x="822"/>
        <item x="840"/>
        <item x="824"/>
        <item x="829"/>
        <item x="832"/>
        <item x="534"/>
        <item x="520"/>
        <item x="646"/>
        <item x="756"/>
        <item x="635"/>
        <item x="740"/>
        <item x="632"/>
        <item x="752"/>
        <item x="642"/>
        <item x="648"/>
        <item x="627"/>
        <item x="137"/>
        <item x="118"/>
        <item x="138"/>
        <item x="114"/>
        <item x="597"/>
        <item x="236"/>
        <item x="237"/>
        <item x="238"/>
        <item x="234"/>
        <item x="242"/>
        <item x="263"/>
        <item x="605"/>
        <item x="588"/>
        <item x="594"/>
        <item x="279"/>
        <item x="235"/>
        <item x="245"/>
        <item x="244"/>
        <item x="261"/>
        <item x="231"/>
        <item x="280"/>
        <item x="121"/>
        <item x="93"/>
        <item x="122"/>
        <item x="108"/>
        <item x="82"/>
        <item x="127"/>
        <item x="141"/>
        <item x="649"/>
        <item x="78"/>
        <item x="58"/>
        <item x="64"/>
        <item x="56"/>
        <item x="622"/>
        <item x="620"/>
        <item x="699"/>
        <item x="700"/>
        <item x="701"/>
        <item x="702"/>
        <item x="703"/>
        <item x="704"/>
        <item x="705"/>
        <item x="706"/>
        <item x="707"/>
        <item x="708"/>
        <item x="709"/>
        <item x="710"/>
        <item x="711"/>
        <item x="712"/>
        <item x="713"/>
        <item x="714"/>
        <item x="715"/>
        <item x="716"/>
        <item x="804"/>
        <item x="717"/>
        <item x="718"/>
        <item x="719"/>
        <item x="720"/>
        <item x="721"/>
        <item x="722"/>
        <item x="723"/>
        <item x="724"/>
        <item x="725"/>
        <item x="726"/>
        <item x="727"/>
        <item x="728"/>
        <item x="729"/>
        <item x="24"/>
        <item x="65"/>
        <item x="63"/>
        <item x="15"/>
        <item x="25"/>
        <item x="16"/>
        <item x="33"/>
        <item x="30"/>
        <item x="11"/>
        <item x="9"/>
        <item x="14"/>
        <item x="849"/>
        <item x="542"/>
        <item x="333"/>
        <item x="168"/>
        <item x="145"/>
        <item x="144"/>
        <item x="158"/>
        <item x="54"/>
        <item x="258"/>
        <item x="783"/>
        <item x="255"/>
        <item x="269"/>
        <item x="228"/>
        <item x="785"/>
        <item x="831"/>
        <item x="844"/>
        <item x="842"/>
        <item x="830"/>
        <item x="603"/>
        <item x="266"/>
        <item x="267"/>
        <item x="591"/>
        <item x="256"/>
        <item x="557"/>
        <item x="575"/>
        <item x="607"/>
        <item x="562"/>
        <item x="232"/>
        <item x="467"/>
        <item x="604"/>
        <item x="825"/>
        <item x="828"/>
        <item x="823"/>
        <item x="835"/>
        <item x="812"/>
        <item x="817"/>
        <item x="813"/>
        <item x="814"/>
        <item x="815"/>
        <item x="818"/>
        <item x="527"/>
        <item x="547"/>
        <item x="143"/>
        <item x="109"/>
        <item x="98"/>
        <item x="129"/>
        <item x="133"/>
        <item x="316"/>
        <item x="282"/>
        <item x="296"/>
        <item x="504"/>
        <item x="731"/>
        <item x="219"/>
        <item x="781"/>
        <item x="730"/>
        <item x="68"/>
        <item x="782"/>
        <item x="798"/>
        <item x="100"/>
        <item x="682"/>
        <item x="687"/>
        <item x="678"/>
        <item x="125"/>
        <item x="683"/>
        <item x="676"/>
        <item x="773"/>
        <item x="774"/>
        <item x="119"/>
        <item x="102"/>
        <item x="270"/>
        <item x="800"/>
        <item x="795"/>
        <item x="792"/>
        <item x="794"/>
        <item x="110"/>
        <item x="81"/>
        <item x="79"/>
        <item x="573"/>
        <item x="583"/>
        <item x="589"/>
        <item x="600"/>
        <item x="571"/>
        <item x="567"/>
        <item x="592"/>
        <item x="90"/>
        <item x="94"/>
        <item x="80"/>
        <item x="95"/>
        <item x="96"/>
        <item x="87"/>
        <item x="84"/>
        <item x="85"/>
        <item x="92"/>
        <item x="111"/>
        <item x="113"/>
        <item x="69"/>
        <item x="112"/>
        <item x="210"/>
        <item x="644"/>
        <item x="136"/>
        <item x="623"/>
        <item x="128"/>
        <item x="142"/>
        <item x="240"/>
        <item x="246"/>
        <item x="763"/>
        <item x="208"/>
        <item x="342"/>
        <item x="220"/>
        <item x="764"/>
        <item x="793"/>
        <item x="586"/>
        <item x="199"/>
        <item x="661"/>
        <item x="197"/>
        <item x="619"/>
        <item x="780"/>
        <item x="779"/>
        <item x="201"/>
        <item x="198"/>
        <item x="681"/>
        <item x="778"/>
        <item x="188"/>
        <item x="768"/>
        <item x="204"/>
        <item x="777"/>
        <item x="776"/>
        <item x="75"/>
        <item x="350"/>
        <item x="757"/>
        <item x="653"/>
        <item x="679"/>
        <item x="801"/>
        <item x="673"/>
        <item x="668"/>
        <item x="672"/>
        <item x="677"/>
        <item x="775"/>
        <item x="667"/>
        <item x="670"/>
        <item x="664"/>
        <item x="669"/>
        <item x="665"/>
        <item x="770"/>
        <item x="772"/>
        <item x="686"/>
        <item x="685"/>
        <item x="666"/>
        <item x="771"/>
        <item x="674"/>
        <item x="680"/>
        <item x="796"/>
        <item x="799"/>
        <item x="675"/>
        <item x="671"/>
        <item x="856"/>
        <item x="791"/>
        <item x="797"/>
        <item x="787"/>
        <item x="684"/>
        <item x="788"/>
        <item x="789"/>
        <item x="790"/>
        <item x="658"/>
        <item x="483"/>
        <item x="786"/>
        <item x="784"/>
        <item x="480"/>
        <item x="660"/>
        <item x="647"/>
        <item x="572"/>
        <item x="530"/>
        <item x="494"/>
        <item x="147"/>
        <item x="157"/>
        <item x="149"/>
        <item x="162"/>
        <item x="155"/>
        <item x="154"/>
        <item x="153"/>
        <item x="151"/>
        <item x="166"/>
        <item x="159"/>
        <item x="163"/>
        <item x="161"/>
        <item x="152"/>
        <item x="156"/>
        <item x="170"/>
        <item x="165"/>
        <item x="167"/>
        <item x="148"/>
        <item x="146"/>
        <item x="160"/>
        <item x="164"/>
        <item x="169"/>
        <item x="171"/>
        <item x="846"/>
        <item x="847"/>
        <item x="833"/>
        <item x="610"/>
        <item t="default"/>
      </items>
    </pivotField>
    <pivotField compact="0" outline="0" showAll="0"/>
    <pivotField compact="0" outline="0" showAll="0">
      <items count="25">
        <item x="6"/>
        <item x="8"/>
        <item x="19"/>
        <item x="22"/>
        <item x="5"/>
        <item x="17"/>
        <item x="16"/>
        <item x="21"/>
        <item x="14"/>
        <item x="4"/>
        <item x="18"/>
        <item x="2"/>
        <item x="23"/>
        <item x="13"/>
        <item x="0"/>
        <item x="12"/>
        <item x="20"/>
        <item x="15"/>
        <item x="7"/>
        <item x="1"/>
        <item x="11"/>
        <item x="9"/>
        <item x="3"/>
        <item x="10"/>
        <item t="default"/>
      </items>
    </pivotField>
    <pivotField compact="0" outline="0" showAll="0">
      <items count="26">
        <item x="21"/>
        <item x="15"/>
        <item x="22"/>
        <item x="1"/>
        <item x="9"/>
        <item x="23"/>
        <item x="24"/>
        <item x="17"/>
        <item x="19"/>
        <item x="4"/>
        <item x="8"/>
        <item x="10"/>
        <item x="3"/>
        <item x="16"/>
        <item x="2"/>
        <item x="6"/>
        <item x="11"/>
        <item x="7"/>
        <item x="20"/>
        <item x="0"/>
        <item x="18"/>
        <item x="5"/>
        <item x="13"/>
        <item x="14"/>
        <item x="12"/>
        <item t="default"/>
      </items>
    </pivotField>
    <pivotField compact="0" outline="0" showAll="0"/>
    <pivotField compact="0" outline="0" showAll="0"/>
    <pivotField compact="0" outline="0" showAll="0"/>
    <pivotField compact="0" outline="0" showAll="0"/>
    <pivotField compact="0" numFmtId="9" outline="0" showAll="0"/>
    <pivotField compact="0" outline="0" showAll="0"/>
    <pivotField compact="0" outline="0" subtotalTop="0" showAll="0"/>
    <pivotField compact="0" outline="0" subtotalTop="0" showAll="0"/>
  </pivotFields>
  <rowItems count="1">
    <i/>
  </rowItems>
  <colItems count="1">
    <i/>
  </colItems>
  <dataFields count="1">
    <dataField name="Total Sold Unit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794A93B-B923-4E89-861C-3C994635613D}" name="Top VFM Brand"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location ref="A39:B41" firstHeaderRow="2" firstDataRow="2" firstDataCol="1"/>
  <pivotFields count="13">
    <pivotField axis="axisRow" compact="0" outline="0" showAll="0" measureFilter="1">
      <items count="18">
        <item x="9"/>
        <item x="5"/>
        <item x="7"/>
        <item x="3"/>
        <item x="1"/>
        <item x="16"/>
        <item x="2"/>
        <item x="11"/>
        <item x="4"/>
        <item x="12"/>
        <item x="8"/>
        <item x="0"/>
        <item x="13"/>
        <item x="6"/>
        <item x="10"/>
        <item x="14"/>
        <item x="15"/>
        <item t="default"/>
      </items>
    </pivotField>
    <pivotField compact="0" outline="0" showAll="0">
      <items count="869">
        <item x="207"/>
        <item x="77"/>
        <item x="318"/>
        <item x="324"/>
        <item x="304"/>
        <item x="297"/>
        <item x="70"/>
        <item x="321"/>
        <item x="314"/>
        <item x="292"/>
        <item x="348"/>
        <item x="319"/>
        <item x="322"/>
        <item x="334"/>
        <item x="295"/>
        <item x="203"/>
        <item x="317"/>
        <item x="347"/>
        <item x="187"/>
        <item x="340"/>
        <item x="339"/>
        <item x="184"/>
        <item x="338"/>
        <item x="306"/>
        <item x="733"/>
        <item x="283"/>
        <item x="330"/>
        <item x="328"/>
        <item x="320"/>
        <item x="310"/>
        <item x="307"/>
        <item x="309"/>
        <item x="323"/>
        <item x="346"/>
        <item x="329"/>
        <item x="351"/>
        <item x="734"/>
        <item x="742"/>
        <item x="331"/>
        <item x="308"/>
        <item x="281"/>
        <item x="288"/>
        <item x="312"/>
        <item x="311"/>
        <item x="807"/>
        <item x="284"/>
        <item x="802"/>
        <item x="803"/>
        <item x="289"/>
        <item x="298"/>
        <item x="293"/>
        <item x="286"/>
        <item x="287"/>
        <item x="313"/>
        <item x="76"/>
        <item x="305"/>
        <item x="301"/>
        <item x="285"/>
        <item x="300"/>
        <item x="302"/>
        <item x="303"/>
        <item x="615"/>
        <item x="73"/>
        <item x="326"/>
        <item x="291"/>
        <item x="74"/>
        <item x="72"/>
        <item x="192"/>
        <item x="71"/>
        <item x="193"/>
        <item x="315"/>
        <item x="743"/>
        <item x="299"/>
        <item x="290"/>
        <item x="209"/>
        <item x="221"/>
        <item x="218"/>
        <item x="336"/>
        <item x="748"/>
        <item x="741"/>
        <item x="206"/>
        <item x="150"/>
        <item x="344"/>
        <item x="212"/>
        <item x="194"/>
        <item x="181"/>
        <item x="182"/>
        <item x="332"/>
        <item x="341"/>
        <item x="747"/>
        <item x="738"/>
        <item x="744"/>
        <item x="177"/>
        <item x="857"/>
        <item x="860"/>
        <item x="858"/>
        <item x="859"/>
        <item x="806"/>
        <item x="765"/>
        <item x="227"/>
        <item x="249"/>
        <item x="243"/>
        <item x="601"/>
        <item x="6"/>
        <item x="1"/>
        <item x="12"/>
        <item x="17"/>
        <item x="758"/>
        <item x="851"/>
        <item x="48"/>
        <item x="566"/>
        <item x="563"/>
        <item x="4"/>
        <item x="606"/>
        <item x="598"/>
        <item x="3"/>
        <item x="49"/>
        <item x="596"/>
        <item x="39"/>
        <item x="32"/>
        <item x="565"/>
        <item x="34"/>
        <item x="577"/>
        <item x="43"/>
        <item x="0"/>
        <item x="579"/>
        <item x="2"/>
        <item x="8"/>
        <item x="759"/>
        <item x="47"/>
        <item x="23"/>
        <item x="599"/>
        <item x="602"/>
        <item x="608"/>
        <item x="576"/>
        <item x="578"/>
        <item x="559"/>
        <item x="21"/>
        <item x="564"/>
        <item x="580"/>
        <item x="582"/>
        <item x="46"/>
        <item x="44"/>
        <item x="51"/>
        <item x="5"/>
        <item x="13"/>
        <item x="568"/>
        <item x="40"/>
        <item x="37"/>
        <item x="595"/>
        <item x="52"/>
        <item x="28"/>
        <item x="345"/>
        <item x="337"/>
        <item x="349"/>
        <item x="327"/>
        <item x="574"/>
        <item x="449"/>
        <item x="476"/>
        <item x="638"/>
        <item x="624"/>
        <item x="186"/>
        <item x="172"/>
        <item x="185"/>
        <item x="183"/>
        <item x="191"/>
        <item x="202"/>
        <item x="174"/>
        <item x="294"/>
        <item x="178"/>
        <item x="175"/>
        <item x="211"/>
        <item x="176"/>
        <item x="766"/>
        <item x="190"/>
        <item x="850"/>
        <item x="861"/>
        <item x="88"/>
        <item x="275"/>
        <item x="272"/>
        <item x="754"/>
        <item x="739"/>
        <item x="751"/>
        <item x="746"/>
        <item x="750"/>
        <item x="735"/>
        <item x="732"/>
        <item x="755"/>
        <item x="753"/>
        <item x="749"/>
        <item x="745"/>
        <item x="737"/>
        <item x="736"/>
        <item x="636"/>
        <item x="621"/>
        <item x="639"/>
        <item x="637"/>
        <item x="634"/>
        <item x="611"/>
        <item x="616"/>
        <item x="618"/>
        <item x="640"/>
        <item x="278"/>
        <item x="274"/>
        <item x="259"/>
        <item x="277"/>
        <item x="250"/>
        <item x="62"/>
        <item x="36"/>
        <item x="247"/>
        <item x="268"/>
        <item x="265"/>
        <item x="225"/>
        <item x="31"/>
        <item x="229"/>
        <item x="57"/>
        <item x="26"/>
        <item x="10"/>
        <item x="7"/>
        <item x="20"/>
        <item x="18"/>
        <item x="19"/>
        <item x="66"/>
        <item x="248"/>
        <item x="226"/>
        <item x="38"/>
        <item x="35"/>
        <item x="760"/>
        <item x="53"/>
        <item x="22"/>
        <item x="59"/>
        <item x="60"/>
        <item x="224"/>
        <item x="42"/>
        <item x="239"/>
        <item x="260"/>
        <item x="50"/>
        <item x="29"/>
        <item x="651"/>
        <item x="631"/>
        <item x="641"/>
        <item x="117"/>
        <item x="612"/>
        <item x="120"/>
        <item x="273"/>
        <item x="131"/>
        <item x="140"/>
        <item x="628"/>
        <item x="657"/>
        <item x="132"/>
        <item x="655"/>
        <item x="135"/>
        <item x="614"/>
        <item x="629"/>
        <item x="107"/>
        <item x="659"/>
        <item x="643"/>
        <item x="625"/>
        <item x="123"/>
        <item x="652"/>
        <item x="654"/>
        <item x="613"/>
        <item x="645"/>
        <item x="656"/>
        <item x="105"/>
        <item x="97"/>
        <item x="650"/>
        <item x="617"/>
        <item x="101"/>
        <item x="633"/>
        <item x="630"/>
        <item x="866"/>
        <item x="388"/>
        <item x="444"/>
        <item x="431"/>
        <item x="376"/>
        <item x="472"/>
        <item x="430"/>
        <item x="423"/>
        <item x="382"/>
        <item x="377"/>
        <item x="378"/>
        <item x="510"/>
        <item x="454"/>
        <item x="426"/>
        <item x="418"/>
        <item x="399"/>
        <item x="535"/>
        <item x="514"/>
        <item x="448"/>
        <item x="410"/>
        <item x="392"/>
        <item x="398"/>
        <item x="503"/>
        <item x="394"/>
        <item x="414"/>
        <item x="415"/>
        <item x="427"/>
        <item x="478"/>
        <item x="417"/>
        <item x="406"/>
        <item x="405"/>
        <item x="390"/>
        <item x="459"/>
        <item x="512"/>
        <item x="461"/>
        <item x="523"/>
        <item x="462"/>
        <item x="438"/>
        <item x="489"/>
        <item x="532"/>
        <item x="498"/>
        <item x="525"/>
        <item x="516"/>
        <item x="552"/>
        <item x="533"/>
        <item x="499"/>
        <item x="544"/>
        <item x="501"/>
        <item x="389"/>
        <item x="372"/>
        <item x="371"/>
        <item x="865"/>
        <item x="397"/>
        <item x="769"/>
        <item x="393"/>
        <item x="440"/>
        <item x="526"/>
        <item x="451"/>
        <item x="549"/>
        <item x="518"/>
        <item x="537"/>
        <item x="556"/>
        <item x="548"/>
        <item x="496"/>
        <item x="482"/>
        <item x="447"/>
        <item x="490"/>
        <item x="433"/>
        <item x="506"/>
        <item x="428"/>
        <item x="491"/>
        <item x="450"/>
        <item x="453"/>
        <item x="460"/>
        <item x="485"/>
        <item x="528"/>
        <item x="455"/>
        <item x="429"/>
        <item x="439"/>
        <item x="515"/>
        <item x="441"/>
        <item x="437"/>
        <item x="434"/>
        <item x="424"/>
        <item x="465"/>
        <item x="458"/>
        <item x="387"/>
        <item x="421"/>
        <item x="375"/>
        <item x="473"/>
        <item x="481"/>
        <item x="395"/>
        <item x="379"/>
        <item x="484"/>
        <item x="432"/>
        <item x="435"/>
        <item x="463"/>
        <item x="385"/>
        <item x="383"/>
        <item x="391"/>
        <item x="446"/>
        <item x="436"/>
        <item x="469"/>
        <item x="402"/>
        <item x="550"/>
        <item x="517"/>
        <item x="492"/>
        <item x="403"/>
        <item x="420"/>
        <item x="508"/>
        <item x="511"/>
        <item x="519"/>
        <item x="487"/>
        <item x="551"/>
        <item x="502"/>
        <item x="443"/>
        <item x="538"/>
        <item x="404"/>
        <item x="505"/>
        <item x="486"/>
        <item x="416"/>
        <item x="470"/>
        <item x="553"/>
        <item x="554"/>
        <item x="509"/>
        <item x="400"/>
        <item x="396"/>
        <item x="452"/>
        <item x="521"/>
        <item x="497"/>
        <item x="425"/>
        <item x="442"/>
        <item x="471"/>
        <item x="468"/>
        <item x="466"/>
        <item x="864"/>
        <item x="457"/>
        <item x="524"/>
        <item x="507"/>
        <item x="488"/>
        <item x="555"/>
        <item x="464"/>
        <item x="539"/>
        <item x="456"/>
        <item x="558"/>
        <item x="543"/>
        <item x="522"/>
        <item x="493"/>
        <item x="541"/>
        <item x="477"/>
        <item x="412"/>
        <item x="536"/>
        <item x="475"/>
        <item x="495"/>
        <item x="545"/>
        <item x="546"/>
        <item x="386"/>
        <item x="407"/>
        <item x="540"/>
        <item x="531"/>
        <item x="200"/>
        <item x="205"/>
        <item x="767"/>
        <item x="409"/>
        <item x="408"/>
        <item x="411"/>
        <item x="55"/>
        <item x="834"/>
        <item x="808"/>
        <item x="811"/>
        <item x="810"/>
        <item x="809"/>
        <item x="843"/>
        <item x="826"/>
        <item x="845"/>
        <item x="848"/>
        <item x="827"/>
        <item x="837"/>
        <item x="838"/>
        <item x="841"/>
        <item x="839"/>
        <item x="355"/>
        <item x="360"/>
        <item x="358"/>
        <item x="356"/>
        <item x="354"/>
        <item x="357"/>
        <item x="852"/>
        <item x="855"/>
        <item x="854"/>
        <item x="853"/>
        <item x="368"/>
        <item x="363"/>
        <item x="366"/>
        <item x="369"/>
        <item x="367"/>
        <item x="365"/>
        <item x="362"/>
        <item x="359"/>
        <item x="352"/>
        <item x="370"/>
        <item x="353"/>
        <item x="361"/>
        <item x="364"/>
        <item x="27"/>
        <item x="91"/>
        <item x="124"/>
        <item x="126"/>
        <item x="581"/>
        <item x="587"/>
        <item x="41"/>
        <item x="561"/>
        <item x="609"/>
        <item x="590"/>
        <item x="86"/>
        <item x="584"/>
        <item x="585"/>
        <item x="130"/>
        <item x="103"/>
        <item x="116"/>
        <item x="569"/>
        <item x="560"/>
        <item x="570"/>
        <item x="89"/>
        <item x="593"/>
        <item x="139"/>
        <item x="134"/>
        <item x="115"/>
        <item x="233"/>
        <item x="230"/>
        <item x="83"/>
        <item x="343"/>
        <item x="335"/>
        <item x="325"/>
        <item x="626"/>
        <item x="401"/>
        <item x="374"/>
        <item x="276"/>
        <item x="762"/>
        <item x="761"/>
        <item x="663"/>
        <item x="419"/>
        <item x="381"/>
        <item x="257"/>
        <item x="662"/>
        <item x="380"/>
        <item x="474"/>
        <item x="373"/>
        <item x="862"/>
        <item x="863"/>
        <item x="241"/>
        <item x="867"/>
        <item x="264"/>
        <item x="254"/>
        <item x="252"/>
        <item x="253"/>
        <item x="262"/>
        <item x="251"/>
        <item x="271"/>
        <item x="222"/>
        <item x="223"/>
        <item x="99"/>
        <item x="500"/>
        <item x="413"/>
        <item x="384"/>
        <item x="422"/>
        <item x="529"/>
        <item x="513"/>
        <item x="445"/>
        <item x="479"/>
        <item x="688"/>
        <item x="689"/>
        <item x="690"/>
        <item x="691"/>
        <item x="692"/>
        <item x="693"/>
        <item x="694"/>
        <item x="695"/>
        <item x="696"/>
        <item x="697"/>
        <item x="698"/>
        <item x="67"/>
        <item x="217"/>
        <item x="216"/>
        <item x="215"/>
        <item x="213"/>
        <item x="214"/>
        <item x="179"/>
        <item x="173"/>
        <item x="189"/>
        <item x="180"/>
        <item x="196"/>
        <item x="195"/>
        <item x="61"/>
        <item x="45"/>
        <item x="106"/>
        <item x="104"/>
        <item x="836"/>
        <item x="805"/>
        <item x="821"/>
        <item x="820"/>
        <item x="816"/>
        <item x="819"/>
        <item x="822"/>
        <item x="840"/>
        <item x="824"/>
        <item x="829"/>
        <item x="832"/>
        <item x="534"/>
        <item x="520"/>
        <item x="646"/>
        <item x="756"/>
        <item x="635"/>
        <item x="740"/>
        <item x="632"/>
        <item x="752"/>
        <item x="642"/>
        <item x="648"/>
        <item x="627"/>
        <item x="137"/>
        <item x="118"/>
        <item x="138"/>
        <item x="114"/>
        <item x="597"/>
        <item x="236"/>
        <item x="237"/>
        <item x="238"/>
        <item x="234"/>
        <item x="242"/>
        <item x="263"/>
        <item x="605"/>
        <item x="588"/>
        <item x="594"/>
        <item x="279"/>
        <item x="235"/>
        <item x="245"/>
        <item x="244"/>
        <item x="261"/>
        <item x="231"/>
        <item x="280"/>
        <item x="121"/>
        <item x="93"/>
        <item x="122"/>
        <item x="108"/>
        <item x="82"/>
        <item x="127"/>
        <item x="141"/>
        <item x="649"/>
        <item x="78"/>
        <item x="58"/>
        <item x="64"/>
        <item x="56"/>
        <item x="622"/>
        <item x="620"/>
        <item x="699"/>
        <item x="700"/>
        <item x="701"/>
        <item x="702"/>
        <item x="703"/>
        <item x="704"/>
        <item x="705"/>
        <item x="706"/>
        <item x="707"/>
        <item x="708"/>
        <item x="709"/>
        <item x="710"/>
        <item x="711"/>
        <item x="712"/>
        <item x="713"/>
        <item x="714"/>
        <item x="715"/>
        <item x="716"/>
        <item x="804"/>
        <item x="717"/>
        <item x="718"/>
        <item x="719"/>
        <item x="720"/>
        <item x="721"/>
        <item x="722"/>
        <item x="723"/>
        <item x="724"/>
        <item x="725"/>
        <item x="726"/>
        <item x="727"/>
        <item x="728"/>
        <item x="729"/>
        <item x="24"/>
        <item x="65"/>
        <item x="63"/>
        <item x="15"/>
        <item x="25"/>
        <item x="16"/>
        <item x="33"/>
        <item x="30"/>
        <item x="11"/>
        <item x="9"/>
        <item x="14"/>
        <item x="849"/>
        <item x="542"/>
        <item x="333"/>
        <item x="168"/>
        <item x="145"/>
        <item x="144"/>
        <item x="158"/>
        <item x="54"/>
        <item x="258"/>
        <item x="783"/>
        <item x="255"/>
        <item x="269"/>
        <item x="228"/>
        <item x="785"/>
        <item x="831"/>
        <item x="844"/>
        <item x="842"/>
        <item x="830"/>
        <item x="603"/>
        <item x="266"/>
        <item x="267"/>
        <item x="591"/>
        <item x="256"/>
        <item x="557"/>
        <item x="575"/>
        <item x="607"/>
        <item x="562"/>
        <item x="232"/>
        <item x="467"/>
        <item x="604"/>
        <item x="825"/>
        <item x="828"/>
        <item x="823"/>
        <item x="835"/>
        <item x="812"/>
        <item x="817"/>
        <item x="813"/>
        <item x="814"/>
        <item x="815"/>
        <item x="818"/>
        <item x="527"/>
        <item x="547"/>
        <item x="143"/>
        <item x="109"/>
        <item x="98"/>
        <item x="129"/>
        <item x="133"/>
        <item x="316"/>
        <item x="282"/>
        <item x="296"/>
        <item x="504"/>
        <item x="731"/>
        <item x="219"/>
        <item x="781"/>
        <item x="730"/>
        <item x="68"/>
        <item x="782"/>
        <item x="798"/>
        <item x="100"/>
        <item x="682"/>
        <item x="687"/>
        <item x="678"/>
        <item x="125"/>
        <item x="683"/>
        <item x="676"/>
        <item x="773"/>
        <item x="774"/>
        <item x="119"/>
        <item x="102"/>
        <item x="270"/>
        <item x="800"/>
        <item x="795"/>
        <item x="792"/>
        <item x="794"/>
        <item x="110"/>
        <item x="81"/>
        <item x="79"/>
        <item x="573"/>
        <item x="583"/>
        <item x="589"/>
        <item x="600"/>
        <item x="571"/>
        <item x="567"/>
        <item x="592"/>
        <item x="90"/>
        <item x="94"/>
        <item x="80"/>
        <item x="95"/>
        <item x="96"/>
        <item x="87"/>
        <item x="84"/>
        <item x="85"/>
        <item x="92"/>
        <item x="111"/>
        <item x="113"/>
        <item x="69"/>
        <item x="112"/>
        <item x="210"/>
        <item x="644"/>
        <item x="136"/>
        <item x="623"/>
        <item x="128"/>
        <item x="142"/>
        <item x="240"/>
        <item x="246"/>
        <item x="763"/>
        <item x="208"/>
        <item x="342"/>
        <item x="220"/>
        <item x="764"/>
        <item x="793"/>
        <item x="586"/>
        <item x="199"/>
        <item x="661"/>
        <item x="197"/>
        <item x="619"/>
        <item x="780"/>
        <item x="779"/>
        <item x="201"/>
        <item x="198"/>
        <item x="681"/>
        <item x="778"/>
        <item x="188"/>
        <item x="768"/>
        <item x="204"/>
        <item x="777"/>
        <item x="776"/>
        <item x="75"/>
        <item x="350"/>
        <item x="757"/>
        <item x="653"/>
        <item x="679"/>
        <item x="801"/>
        <item x="673"/>
        <item x="668"/>
        <item x="672"/>
        <item x="677"/>
        <item x="775"/>
        <item x="667"/>
        <item x="670"/>
        <item x="664"/>
        <item x="669"/>
        <item x="665"/>
        <item x="770"/>
        <item x="772"/>
        <item x="686"/>
        <item x="685"/>
        <item x="666"/>
        <item x="771"/>
        <item x="674"/>
        <item x="680"/>
        <item x="796"/>
        <item x="799"/>
        <item x="675"/>
        <item x="671"/>
        <item x="856"/>
        <item x="791"/>
        <item x="797"/>
        <item x="787"/>
        <item x="684"/>
        <item x="788"/>
        <item x="789"/>
        <item x="790"/>
        <item x="658"/>
        <item x="483"/>
        <item x="786"/>
        <item x="784"/>
        <item x="480"/>
        <item x="660"/>
        <item x="647"/>
        <item x="572"/>
        <item x="530"/>
        <item x="494"/>
        <item x="147"/>
        <item x="157"/>
        <item x="149"/>
        <item x="162"/>
        <item x="155"/>
        <item x="154"/>
        <item x="153"/>
        <item x="151"/>
        <item x="166"/>
        <item x="159"/>
        <item x="163"/>
        <item x="161"/>
        <item x="152"/>
        <item x="156"/>
        <item x="170"/>
        <item x="165"/>
        <item x="167"/>
        <item x="148"/>
        <item x="146"/>
        <item x="160"/>
        <item x="164"/>
        <item x="169"/>
        <item x="171"/>
        <item x="846"/>
        <item x="847"/>
        <item x="833"/>
        <item x="610"/>
        <item t="default"/>
      </items>
    </pivotField>
    <pivotField compact="0" outline="0" showAll="0"/>
    <pivotField compact="0" outline="0" showAll="0">
      <items count="25">
        <item x="6"/>
        <item x="8"/>
        <item x="19"/>
        <item x="22"/>
        <item x="5"/>
        <item x="17"/>
        <item x="16"/>
        <item x="21"/>
        <item x="14"/>
        <item x="4"/>
        <item x="18"/>
        <item x="2"/>
        <item x="23"/>
        <item x="13"/>
        <item x="0"/>
        <item x="12"/>
        <item x="20"/>
        <item x="15"/>
        <item x="7"/>
        <item x="1"/>
        <item x="11"/>
        <item x="9"/>
        <item x="3"/>
        <item x="10"/>
        <item t="default"/>
      </items>
    </pivotField>
    <pivotField compact="0" outline="0" showAll="0"/>
    <pivotField compact="0" outline="0" showAll="0"/>
    <pivotField compact="0" outline="0" showAll="0"/>
    <pivotField compact="0" outline="0" showAll="0"/>
    <pivotField compact="0" outline="0" showAll="0"/>
    <pivotField compact="0" numFmtId="9" outline="0" showAll="0"/>
    <pivotField dataField="1" compact="0" outline="0" showAll="0"/>
    <pivotField compact="0" outline="0" subtotalTop="0" showAll="0"/>
    <pivotField compact="0" outline="0" subtotalTop="0" showAll="0"/>
  </pivotFields>
  <rowFields count="1">
    <field x="0"/>
  </rowFields>
  <rowItems count="1">
    <i>
      <x v="10"/>
    </i>
  </rowItems>
  <colItems count="1">
    <i/>
  </colItems>
  <dataFields count="1">
    <dataField name="Average of Value for money (VFM) score" fld="10" subtotal="average" baseField="0" baseItem="0" numFmtId="167"/>
  </dataFields>
  <formats count="1">
    <format dxfId="68">
      <pivotArea outline="0" collapsedLevelsAreSubtotals="1" fieldPosition="0"/>
    </format>
  </formats>
  <pivotTableStyleInfo name="PivotStyleLight16" showRowHeaders="1" showColHeaders="1" showRowStripes="0" showColStripes="0" showLastColumn="1"/>
  <filters count="1">
    <filter fld="0" type="count" evalOrder="-1" id="3"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2B3B0D5-B360-4034-A8F7-008E0FDC80E9}" name="Top Sold Model"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location ref="AB5:AC7" firstHeaderRow="2" firstDataRow="2" firstDataCol="1"/>
  <pivotFields count="13">
    <pivotField compact="0" outline="0" showAll="0">
      <items count="18">
        <item x="9"/>
        <item x="5"/>
        <item x="7"/>
        <item x="3"/>
        <item x="1"/>
        <item x="16"/>
        <item x="2"/>
        <item x="11"/>
        <item x="4"/>
        <item x="12"/>
        <item x="8"/>
        <item x="0"/>
        <item x="13"/>
        <item x="6"/>
        <item x="10"/>
        <item x="14"/>
        <item x="15"/>
        <item t="default"/>
      </items>
    </pivotField>
    <pivotField axis="axisRow" dataField="1" compact="0" outline="0" showAll="0" measureFilter="1">
      <items count="869">
        <item x="207"/>
        <item x="77"/>
        <item x="318"/>
        <item x="324"/>
        <item x="304"/>
        <item x="297"/>
        <item x="70"/>
        <item x="321"/>
        <item x="314"/>
        <item x="292"/>
        <item x="348"/>
        <item x="319"/>
        <item x="322"/>
        <item x="334"/>
        <item x="295"/>
        <item x="203"/>
        <item x="317"/>
        <item x="347"/>
        <item x="187"/>
        <item x="340"/>
        <item x="339"/>
        <item x="184"/>
        <item x="338"/>
        <item x="306"/>
        <item x="733"/>
        <item x="283"/>
        <item x="330"/>
        <item x="328"/>
        <item x="320"/>
        <item x="310"/>
        <item x="307"/>
        <item x="309"/>
        <item x="323"/>
        <item x="346"/>
        <item x="329"/>
        <item x="351"/>
        <item x="734"/>
        <item x="742"/>
        <item x="331"/>
        <item x="308"/>
        <item x="281"/>
        <item x="288"/>
        <item x="312"/>
        <item x="311"/>
        <item x="807"/>
        <item x="284"/>
        <item x="802"/>
        <item x="803"/>
        <item x="289"/>
        <item x="298"/>
        <item x="293"/>
        <item x="286"/>
        <item x="287"/>
        <item x="313"/>
        <item x="76"/>
        <item x="305"/>
        <item x="301"/>
        <item x="285"/>
        <item x="300"/>
        <item x="302"/>
        <item x="303"/>
        <item x="615"/>
        <item x="73"/>
        <item x="326"/>
        <item x="291"/>
        <item x="74"/>
        <item x="72"/>
        <item x="192"/>
        <item x="71"/>
        <item x="193"/>
        <item x="315"/>
        <item x="743"/>
        <item x="299"/>
        <item x="290"/>
        <item x="209"/>
        <item x="221"/>
        <item x="218"/>
        <item x="336"/>
        <item x="748"/>
        <item x="741"/>
        <item x="206"/>
        <item x="150"/>
        <item x="344"/>
        <item x="212"/>
        <item x="194"/>
        <item x="181"/>
        <item x="182"/>
        <item x="332"/>
        <item x="341"/>
        <item x="747"/>
        <item x="738"/>
        <item x="744"/>
        <item x="177"/>
        <item x="857"/>
        <item x="860"/>
        <item x="858"/>
        <item x="859"/>
        <item x="806"/>
        <item x="765"/>
        <item x="227"/>
        <item x="249"/>
        <item x="243"/>
        <item x="601"/>
        <item x="6"/>
        <item x="1"/>
        <item x="12"/>
        <item x="17"/>
        <item x="758"/>
        <item x="851"/>
        <item x="48"/>
        <item x="566"/>
        <item x="563"/>
        <item x="4"/>
        <item x="606"/>
        <item x="598"/>
        <item x="3"/>
        <item x="49"/>
        <item x="596"/>
        <item x="39"/>
        <item x="32"/>
        <item x="565"/>
        <item x="34"/>
        <item x="577"/>
        <item x="43"/>
        <item x="0"/>
        <item x="579"/>
        <item x="2"/>
        <item x="8"/>
        <item x="759"/>
        <item x="47"/>
        <item x="23"/>
        <item x="599"/>
        <item x="602"/>
        <item x="608"/>
        <item x="576"/>
        <item x="578"/>
        <item x="559"/>
        <item x="21"/>
        <item x="564"/>
        <item x="580"/>
        <item x="582"/>
        <item x="46"/>
        <item x="44"/>
        <item x="51"/>
        <item x="5"/>
        <item x="13"/>
        <item x="568"/>
        <item x="40"/>
        <item x="37"/>
        <item x="595"/>
        <item x="52"/>
        <item x="28"/>
        <item x="345"/>
        <item x="337"/>
        <item x="349"/>
        <item x="327"/>
        <item x="574"/>
        <item x="449"/>
        <item x="476"/>
        <item x="638"/>
        <item x="624"/>
        <item x="186"/>
        <item x="172"/>
        <item x="185"/>
        <item x="183"/>
        <item x="191"/>
        <item x="202"/>
        <item x="174"/>
        <item x="294"/>
        <item x="178"/>
        <item x="175"/>
        <item x="211"/>
        <item x="176"/>
        <item x="766"/>
        <item x="190"/>
        <item x="850"/>
        <item x="861"/>
        <item x="88"/>
        <item x="275"/>
        <item x="272"/>
        <item x="754"/>
        <item x="739"/>
        <item x="751"/>
        <item x="746"/>
        <item x="750"/>
        <item x="735"/>
        <item x="732"/>
        <item x="755"/>
        <item x="753"/>
        <item x="749"/>
        <item x="745"/>
        <item x="737"/>
        <item x="736"/>
        <item x="636"/>
        <item x="621"/>
        <item x="639"/>
        <item x="637"/>
        <item x="634"/>
        <item x="611"/>
        <item x="616"/>
        <item x="618"/>
        <item x="640"/>
        <item x="278"/>
        <item x="274"/>
        <item x="259"/>
        <item x="277"/>
        <item x="250"/>
        <item x="62"/>
        <item x="36"/>
        <item x="247"/>
        <item x="268"/>
        <item x="265"/>
        <item x="225"/>
        <item x="31"/>
        <item x="229"/>
        <item x="57"/>
        <item x="26"/>
        <item x="10"/>
        <item x="7"/>
        <item x="20"/>
        <item x="18"/>
        <item x="19"/>
        <item x="66"/>
        <item x="248"/>
        <item x="226"/>
        <item x="38"/>
        <item x="35"/>
        <item x="760"/>
        <item x="53"/>
        <item x="22"/>
        <item x="59"/>
        <item x="60"/>
        <item x="224"/>
        <item x="42"/>
        <item x="239"/>
        <item x="260"/>
        <item x="50"/>
        <item x="29"/>
        <item x="651"/>
        <item x="631"/>
        <item x="641"/>
        <item x="117"/>
        <item x="612"/>
        <item x="120"/>
        <item x="273"/>
        <item x="131"/>
        <item x="140"/>
        <item x="628"/>
        <item x="657"/>
        <item x="132"/>
        <item x="655"/>
        <item x="135"/>
        <item x="614"/>
        <item x="629"/>
        <item x="107"/>
        <item x="659"/>
        <item x="643"/>
        <item x="625"/>
        <item x="123"/>
        <item x="652"/>
        <item x="654"/>
        <item x="613"/>
        <item x="645"/>
        <item x="656"/>
        <item x="105"/>
        <item x="97"/>
        <item x="650"/>
        <item x="617"/>
        <item x="101"/>
        <item x="633"/>
        <item x="630"/>
        <item x="866"/>
        <item x="388"/>
        <item x="444"/>
        <item x="431"/>
        <item x="376"/>
        <item x="472"/>
        <item x="430"/>
        <item x="423"/>
        <item x="382"/>
        <item x="377"/>
        <item x="378"/>
        <item x="510"/>
        <item x="454"/>
        <item x="426"/>
        <item x="418"/>
        <item x="399"/>
        <item x="535"/>
        <item x="514"/>
        <item x="448"/>
        <item x="410"/>
        <item x="392"/>
        <item x="398"/>
        <item x="503"/>
        <item x="394"/>
        <item x="414"/>
        <item x="415"/>
        <item x="427"/>
        <item x="478"/>
        <item x="417"/>
        <item x="406"/>
        <item x="405"/>
        <item x="390"/>
        <item x="459"/>
        <item x="512"/>
        <item x="461"/>
        <item x="523"/>
        <item x="462"/>
        <item x="438"/>
        <item x="489"/>
        <item x="532"/>
        <item x="498"/>
        <item x="525"/>
        <item x="516"/>
        <item x="552"/>
        <item x="533"/>
        <item x="499"/>
        <item x="544"/>
        <item x="501"/>
        <item x="389"/>
        <item x="372"/>
        <item x="371"/>
        <item x="865"/>
        <item x="397"/>
        <item x="769"/>
        <item x="393"/>
        <item x="440"/>
        <item x="526"/>
        <item x="451"/>
        <item x="549"/>
        <item x="518"/>
        <item x="537"/>
        <item x="556"/>
        <item x="548"/>
        <item x="496"/>
        <item x="482"/>
        <item x="447"/>
        <item x="490"/>
        <item x="433"/>
        <item x="506"/>
        <item x="428"/>
        <item x="491"/>
        <item x="450"/>
        <item x="453"/>
        <item x="460"/>
        <item x="485"/>
        <item x="528"/>
        <item x="455"/>
        <item x="429"/>
        <item x="439"/>
        <item x="515"/>
        <item x="441"/>
        <item x="437"/>
        <item x="434"/>
        <item x="424"/>
        <item x="465"/>
        <item x="458"/>
        <item x="387"/>
        <item x="421"/>
        <item x="375"/>
        <item x="473"/>
        <item x="481"/>
        <item x="395"/>
        <item x="379"/>
        <item x="484"/>
        <item x="432"/>
        <item x="435"/>
        <item x="463"/>
        <item x="385"/>
        <item x="383"/>
        <item x="391"/>
        <item x="446"/>
        <item x="436"/>
        <item x="469"/>
        <item x="402"/>
        <item x="550"/>
        <item x="517"/>
        <item x="492"/>
        <item x="403"/>
        <item x="420"/>
        <item x="508"/>
        <item x="511"/>
        <item x="519"/>
        <item x="487"/>
        <item x="551"/>
        <item x="502"/>
        <item x="443"/>
        <item x="538"/>
        <item x="404"/>
        <item x="505"/>
        <item x="486"/>
        <item x="416"/>
        <item x="470"/>
        <item x="553"/>
        <item x="554"/>
        <item x="509"/>
        <item x="400"/>
        <item x="396"/>
        <item x="452"/>
        <item x="521"/>
        <item x="497"/>
        <item x="425"/>
        <item x="442"/>
        <item x="471"/>
        <item x="468"/>
        <item x="466"/>
        <item x="864"/>
        <item x="457"/>
        <item x="524"/>
        <item x="507"/>
        <item x="488"/>
        <item x="555"/>
        <item x="464"/>
        <item x="539"/>
        <item x="456"/>
        <item x="558"/>
        <item x="543"/>
        <item x="522"/>
        <item x="493"/>
        <item x="541"/>
        <item x="477"/>
        <item x="412"/>
        <item x="536"/>
        <item x="475"/>
        <item x="495"/>
        <item x="545"/>
        <item x="546"/>
        <item x="386"/>
        <item x="407"/>
        <item x="540"/>
        <item x="531"/>
        <item x="200"/>
        <item x="205"/>
        <item x="767"/>
        <item x="409"/>
        <item x="408"/>
        <item x="411"/>
        <item x="55"/>
        <item x="834"/>
        <item x="808"/>
        <item x="811"/>
        <item x="810"/>
        <item x="809"/>
        <item x="843"/>
        <item x="826"/>
        <item x="845"/>
        <item x="848"/>
        <item x="827"/>
        <item x="837"/>
        <item x="838"/>
        <item x="841"/>
        <item x="839"/>
        <item x="355"/>
        <item x="360"/>
        <item x="358"/>
        <item x="356"/>
        <item x="354"/>
        <item x="357"/>
        <item x="852"/>
        <item x="855"/>
        <item x="854"/>
        <item x="853"/>
        <item x="368"/>
        <item x="363"/>
        <item x="366"/>
        <item x="369"/>
        <item x="367"/>
        <item x="365"/>
        <item x="362"/>
        <item x="359"/>
        <item x="352"/>
        <item x="370"/>
        <item x="353"/>
        <item x="361"/>
        <item x="364"/>
        <item x="27"/>
        <item x="91"/>
        <item x="124"/>
        <item x="126"/>
        <item x="581"/>
        <item x="587"/>
        <item x="41"/>
        <item x="561"/>
        <item x="609"/>
        <item x="590"/>
        <item x="86"/>
        <item x="584"/>
        <item x="585"/>
        <item x="130"/>
        <item x="103"/>
        <item x="116"/>
        <item x="569"/>
        <item x="560"/>
        <item x="570"/>
        <item x="89"/>
        <item x="593"/>
        <item x="139"/>
        <item x="134"/>
        <item x="115"/>
        <item x="233"/>
        <item x="230"/>
        <item x="83"/>
        <item x="343"/>
        <item x="335"/>
        <item x="325"/>
        <item x="626"/>
        <item x="401"/>
        <item x="374"/>
        <item x="276"/>
        <item x="762"/>
        <item x="761"/>
        <item x="663"/>
        <item x="419"/>
        <item x="381"/>
        <item x="257"/>
        <item x="662"/>
        <item x="380"/>
        <item x="474"/>
        <item x="373"/>
        <item x="862"/>
        <item x="863"/>
        <item x="241"/>
        <item x="867"/>
        <item x="264"/>
        <item x="254"/>
        <item x="252"/>
        <item x="253"/>
        <item x="262"/>
        <item x="251"/>
        <item x="271"/>
        <item x="222"/>
        <item x="223"/>
        <item x="99"/>
        <item x="500"/>
        <item x="413"/>
        <item x="384"/>
        <item x="422"/>
        <item x="529"/>
        <item x="513"/>
        <item x="445"/>
        <item x="479"/>
        <item x="688"/>
        <item x="689"/>
        <item x="690"/>
        <item x="691"/>
        <item x="692"/>
        <item x="693"/>
        <item x="694"/>
        <item x="695"/>
        <item x="696"/>
        <item x="697"/>
        <item x="698"/>
        <item x="67"/>
        <item x="217"/>
        <item x="216"/>
        <item x="215"/>
        <item x="213"/>
        <item x="214"/>
        <item x="179"/>
        <item x="173"/>
        <item x="189"/>
        <item x="180"/>
        <item x="196"/>
        <item x="195"/>
        <item x="61"/>
        <item x="45"/>
        <item x="106"/>
        <item x="104"/>
        <item x="836"/>
        <item x="805"/>
        <item x="821"/>
        <item x="820"/>
        <item x="816"/>
        <item x="819"/>
        <item x="822"/>
        <item x="840"/>
        <item x="824"/>
        <item x="829"/>
        <item x="832"/>
        <item x="534"/>
        <item x="520"/>
        <item x="646"/>
        <item x="756"/>
        <item x="635"/>
        <item x="740"/>
        <item x="632"/>
        <item x="752"/>
        <item x="642"/>
        <item x="648"/>
        <item x="627"/>
        <item x="137"/>
        <item x="118"/>
        <item x="138"/>
        <item x="114"/>
        <item x="597"/>
        <item x="236"/>
        <item x="237"/>
        <item x="238"/>
        <item x="234"/>
        <item x="242"/>
        <item x="263"/>
        <item x="605"/>
        <item x="588"/>
        <item x="594"/>
        <item x="279"/>
        <item x="235"/>
        <item x="245"/>
        <item x="244"/>
        <item x="261"/>
        <item x="231"/>
        <item x="280"/>
        <item x="121"/>
        <item x="93"/>
        <item x="122"/>
        <item x="108"/>
        <item x="82"/>
        <item x="127"/>
        <item x="141"/>
        <item x="649"/>
        <item x="78"/>
        <item x="58"/>
        <item x="64"/>
        <item x="56"/>
        <item x="622"/>
        <item x="620"/>
        <item x="699"/>
        <item x="700"/>
        <item x="701"/>
        <item x="702"/>
        <item x="703"/>
        <item x="704"/>
        <item x="705"/>
        <item x="706"/>
        <item x="707"/>
        <item x="708"/>
        <item x="709"/>
        <item x="710"/>
        <item x="711"/>
        <item x="712"/>
        <item x="713"/>
        <item x="714"/>
        <item x="715"/>
        <item x="716"/>
        <item x="804"/>
        <item x="717"/>
        <item x="718"/>
        <item x="719"/>
        <item x="720"/>
        <item x="721"/>
        <item x="722"/>
        <item x="723"/>
        <item x="724"/>
        <item x="725"/>
        <item x="726"/>
        <item x="727"/>
        <item x="728"/>
        <item x="729"/>
        <item x="24"/>
        <item x="65"/>
        <item x="63"/>
        <item x="15"/>
        <item x="25"/>
        <item x="16"/>
        <item x="33"/>
        <item x="30"/>
        <item x="11"/>
        <item x="9"/>
        <item x="14"/>
        <item x="849"/>
        <item x="542"/>
        <item x="333"/>
        <item x="168"/>
        <item x="145"/>
        <item x="144"/>
        <item x="158"/>
        <item x="54"/>
        <item x="258"/>
        <item x="783"/>
        <item x="255"/>
        <item x="269"/>
        <item x="228"/>
        <item x="785"/>
        <item x="831"/>
        <item x="844"/>
        <item x="842"/>
        <item x="830"/>
        <item x="603"/>
        <item x="266"/>
        <item x="267"/>
        <item x="591"/>
        <item x="256"/>
        <item x="557"/>
        <item x="575"/>
        <item x="607"/>
        <item x="562"/>
        <item x="232"/>
        <item x="467"/>
        <item x="604"/>
        <item x="825"/>
        <item x="828"/>
        <item x="823"/>
        <item x="835"/>
        <item x="812"/>
        <item x="817"/>
        <item x="813"/>
        <item x="814"/>
        <item x="815"/>
        <item x="818"/>
        <item x="527"/>
        <item x="547"/>
        <item x="143"/>
        <item x="109"/>
        <item x="98"/>
        <item x="129"/>
        <item x="133"/>
        <item x="316"/>
        <item x="282"/>
        <item x="296"/>
        <item x="504"/>
        <item x="731"/>
        <item x="219"/>
        <item x="781"/>
        <item x="730"/>
        <item x="68"/>
        <item x="782"/>
        <item x="798"/>
        <item x="100"/>
        <item x="682"/>
        <item x="687"/>
        <item x="678"/>
        <item x="125"/>
        <item x="683"/>
        <item x="676"/>
        <item x="773"/>
        <item x="774"/>
        <item x="119"/>
        <item x="102"/>
        <item x="270"/>
        <item x="800"/>
        <item x="795"/>
        <item x="792"/>
        <item x="794"/>
        <item x="110"/>
        <item x="81"/>
        <item x="79"/>
        <item x="573"/>
        <item x="583"/>
        <item x="589"/>
        <item x="600"/>
        <item x="571"/>
        <item x="567"/>
        <item x="592"/>
        <item x="90"/>
        <item x="94"/>
        <item x="80"/>
        <item x="95"/>
        <item x="96"/>
        <item x="87"/>
        <item x="84"/>
        <item x="85"/>
        <item x="92"/>
        <item x="111"/>
        <item x="113"/>
        <item x="69"/>
        <item x="112"/>
        <item x="210"/>
        <item x="644"/>
        <item x="136"/>
        <item x="623"/>
        <item x="128"/>
        <item x="142"/>
        <item x="240"/>
        <item x="246"/>
        <item x="763"/>
        <item x="208"/>
        <item x="342"/>
        <item x="220"/>
        <item x="764"/>
        <item x="793"/>
        <item x="586"/>
        <item x="199"/>
        <item x="661"/>
        <item x="197"/>
        <item x="619"/>
        <item x="780"/>
        <item x="779"/>
        <item x="201"/>
        <item x="198"/>
        <item x="681"/>
        <item x="778"/>
        <item x="188"/>
        <item x="768"/>
        <item x="204"/>
        <item x="777"/>
        <item x="776"/>
        <item x="75"/>
        <item x="350"/>
        <item x="757"/>
        <item x="653"/>
        <item x="679"/>
        <item x="801"/>
        <item x="673"/>
        <item x="668"/>
        <item x="672"/>
        <item x="677"/>
        <item x="775"/>
        <item x="667"/>
        <item x="670"/>
        <item x="664"/>
        <item x="669"/>
        <item x="665"/>
        <item x="770"/>
        <item x="772"/>
        <item x="686"/>
        <item x="685"/>
        <item x="666"/>
        <item x="771"/>
        <item x="674"/>
        <item x="680"/>
        <item x="796"/>
        <item x="799"/>
        <item x="675"/>
        <item x="671"/>
        <item x="856"/>
        <item x="791"/>
        <item x="797"/>
        <item x="787"/>
        <item x="684"/>
        <item x="788"/>
        <item x="789"/>
        <item x="790"/>
        <item x="658"/>
        <item x="483"/>
        <item x="786"/>
        <item x="784"/>
        <item x="480"/>
        <item x="660"/>
        <item x="647"/>
        <item x="572"/>
        <item x="530"/>
        <item x="494"/>
        <item x="147"/>
        <item x="157"/>
        <item x="149"/>
        <item x="162"/>
        <item x="155"/>
        <item x="154"/>
        <item x="153"/>
        <item x="151"/>
        <item x="166"/>
        <item x="159"/>
        <item x="163"/>
        <item x="161"/>
        <item x="152"/>
        <item x="156"/>
        <item x="170"/>
        <item x="165"/>
        <item x="167"/>
        <item x="148"/>
        <item x="146"/>
        <item x="160"/>
        <item x="164"/>
        <item x="169"/>
        <item x="171"/>
        <item x="846"/>
        <item x="847"/>
        <item x="833"/>
        <item x="610"/>
        <item t="default"/>
      </items>
    </pivotField>
    <pivotField compact="0" outline="0" showAll="0"/>
    <pivotField compact="0" outline="0" showAll="0">
      <items count="25">
        <item x="6"/>
        <item x="8"/>
        <item x="19"/>
        <item x="22"/>
        <item x="5"/>
        <item x="17"/>
        <item x="16"/>
        <item x="21"/>
        <item x="14"/>
        <item x="4"/>
        <item x="18"/>
        <item x="2"/>
        <item x="23"/>
        <item x="13"/>
        <item x="0"/>
        <item x="12"/>
        <item x="20"/>
        <item x="15"/>
        <item x="7"/>
        <item x="1"/>
        <item x="11"/>
        <item x="9"/>
        <item x="3"/>
        <item x="10"/>
        <item t="default"/>
      </items>
    </pivotField>
    <pivotField compact="0" outline="0" showAll="0"/>
    <pivotField compact="0" outline="0" showAll="0"/>
    <pivotField compact="0" outline="0" showAll="0"/>
    <pivotField compact="0" outline="0" showAll="0"/>
    <pivotField compact="0" outline="0" showAll="0"/>
    <pivotField compact="0" numFmtId="9" outline="0" showAll="0"/>
    <pivotField compact="0" outline="0" showAll="0"/>
    <pivotField compact="0" outline="0" subtotalTop="0" showAll="0"/>
    <pivotField compact="0" outline="0" subtotalTop="0" showAll="0"/>
  </pivotFields>
  <rowFields count="1">
    <field x="1"/>
  </rowFields>
  <rowItems count="1">
    <i>
      <x v="452"/>
    </i>
  </rowItems>
  <colItems count="1">
    <i/>
  </colItems>
  <dataFields count="1">
    <dataField name="Top Selling Model" fld="1" subtotal="count" baseField="1" baseItem="452" numFmtId="1"/>
  </dataFields>
  <formats count="1">
    <format dxfId="69">
      <pivotArea outline="0" collapsedLevelsAreSubtotals="1" fieldPosition="0"/>
    </format>
  </formats>
  <pivotTableStyleInfo name="PivotStyleLight16" showRowHeaders="1" showColHeaders="1" showRowStripes="0" showColStripes="0" showLastColumn="1"/>
  <filters count="1">
    <filter fld="1"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FF6C3F09-3E53-4AED-81C5-AF6FBD635F86}" sourceName="Brand">
  <pivotTables>
    <pivotTable tabId="10" name="Total brand"/>
    <pivotTable tabId="5" name="Avg rating"/>
    <pivotTable tabId="5" name="PivotTable6"/>
    <pivotTable tabId="10" name="PivotTable1"/>
    <pivotTable tabId="11" name="PivotTable3"/>
    <pivotTable tabId="17" name="Avg. Rat."/>
    <pivotTable tabId="17" name="Margin %"/>
    <pivotTable tabId="17" name="Top Rated Brand"/>
    <pivotTable tabId="17" name="Total SP"/>
    <pivotTable tabId="17" name="Total Units"/>
    <pivotTable tabId="17" name="VFM Score"/>
    <pivotTable tabId="21" name="PivotTable7"/>
  </pivotTables>
  <data>
    <tabular pivotCacheId="1831370194">
      <items count="17">
        <i x="9" s="1"/>
        <i x="5" s="1"/>
        <i x="7" s="1"/>
        <i x="3" s="1"/>
        <i x="1" s="1"/>
        <i x="16" s="1"/>
        <i x="2" s="1"/>
        <i x="11" s="1"/>
        <i x="4" s="1"/>
        <i x="12" s="1"/>
        <i x="8" s="1"/>
        <i x="0" s="1"/>
        <i x="13" s="1"/>
        <i x="6" s="1"/>
        <i x="10" s="1"/>
        <i x="14" s="1"/>
        <i x="1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3F62FDB3-4A65-4CB4-995E-48D8F086FCFB}" sourceName="Model">
  <pivotTables>
    <pivotTable tabId="10" name="Total brand"/>
    <pivotTable tabId="5" name="Avg rating"/>
    <pivotTable tabId="5" name="PivotTable6"/>
    <pivotTable tabId="10" name="PivotTable1"/>
    <pivotTable tabId="17" name="Avg. Rat."/>
    <pivotTable tabId="17" name="Margin %"/>
    <pivotTable tabId="17" name="Total SP"/>
    <pivotTable tabId="17" name="Total Units"/>
    <pivotTable tabId="17" name="VFM Score"/>
    <pivotTable tabId="21" name="PivotTable7"/>
    <pivotTable tabId="11" name="PivotTable3"/>
  </pivotTables>
  <data>
    <tabular pivotCacheId="1831370194">
      <items count="868">
        <i x="207" s="1"/>
        <i x="77" s="1"/>
        <i x="318" s="1"/>
        <i x="324" s="1"/>
        <i x="304" s="1"/>
        <i x="297" s="1"/>
        <i x="70" s="1"/>
        <i x="321" s="1"/>
        <i x="314" s="1"/>
        <i x="292" s="1"/>
        <i x="348" s="1"/>
        <i x="319" s="1"/>
        <i x="322" s="1"/>
        <i x="334" s="1"/>
        <i x="295" s="1"/>
        <i x="203" s="1"/>
        <i x="317" s="1"/>
        <i x="347" s="1"/>
        <i x="187" s="1"/>
        <i x="340" s="1"/>
        <i x="339" s="1"/>
        <i x="184" s="1"/>
        <i x="338" s="1"/>
        <i x="306" s="1"/>
        <i x="733" s="1"/>
        <i x="283" s="1"/>
        <i x="330" s="1"/>
        <i x="328" s="1"/>
        <i x="320" s="1"/>
        <i x="310" s="1"/>
        <i x="307" s="1"/>
        <i x="309" s="1"/>
        <i x="323" s="1"/>
        <i x="346" s="1"/>
        <i x="329" s="1"/>
        <i x="351" s="1"/>
        <i x="734" s="1"/>
        <i x="742" s="1"/>
        <i x="331" s="1"/>
        <i x="308" s="1"/>
        <i x="281" s="1"/>
        <i x="288" s="1"/>
        <i x="312" s="1"/>
        <i x="311" s="1"/>
        <i x="807" s="1"/>
        <i x="284" s="1"/>
        <i x="802" s="1"/>
        <i x="803" s="1"/>
        <i x="289" s="1"/>
        <i x="298" s="1"/>
        <i x="293" s="1"/>
        <i x="286" s="1"/>
        <i x="287" s="1"/>
        <i x="313" s="1"/>
        <i x="76" s="1"/>
        <i x="305" s="1"/>
        <i x="301" s="1"/>
        <i x="285" s="1"/>
        <i x="300" s="1"/>
        <i x="302" s="1"/>
        <i x="303" s="1"/>
        <i x="615" s="1"/>
        <i x="73" s="1"/>
        <i x="326" s="1"/>
        <i x="291" s="1"/>
        <i x="74" s="1"/>
        <i x="72" s="1"/>
        <i x="192" s="1"/>
        <i x="71" s="1"/>
        <i x="193" s="1"/>
        <i x="315" s="1"/>
        <i x="743" s="1"/>
        <i x="299" s="1"/>
        <i x="290" s="1"/>
        <i x="209" s="1"/>
        <i x="221" s="1"/>
        <i x="218" s="1"/>
        <i x="336" s="1"/>
        <i x="748" s="1"/>
        <i x="741" s="1"/>
        <i x="206" s="1"/>
        <i x="150" s="1"/>
        <i x="344" s="1"/>
        <i x="212" s="1"/>
        <i x="194" s="1"/>
        <i x="181" s="1"/>
        <i x="182" s="1"/>
        <i x="332" s="1"/>
        <i x="341" s="1"/>
        <i x="747" s="1"/>
        <i x="738" s="1"/>
        <i x="744" s="1"/>
        <i x="177" s="1"/>
        <i x="857" s="1"/>
        <i x="860" s="1"/>
        <i x="858" s="1"/>
        <i x="859" s="1"/>
        <i x="806" s="1"/>
        <i x="765" s="1"/>
        <i x="227" s="1"/>
        <i x="249" s="1"/>
        <i x="243" s="1"/>
        <i x="601" s="1"/>
        <i x="6" s="1"/>
        <i x="1" s="1"/>
        <i x="12" s="1"/>
        <i x="17" s="1"/>
        <i x="758" s="1"/>
        <i x="851" s="1"/>
        <i x="48" s="1"/>
        <i x="566" s="1"/>
        <i x="563" s="1"/>
        <i x="4" s="1"/>
        <i x="606" s="1"/>
        <i x="598" s="1"/>
        <i x="3" s="1"/>
        <i x="49" s="1"/>
        <i x="596" s="1"/>
        <i x="39" s="1"/>
        <i x="32" s="1"/>
        <i x="565" s="1"/>
        <i x="34" s="1"/>
        <i x="577" s="1"/>
        <i x="43" s="1"/>
        <i x="0" s="1"/>
        <i x="579" s="1"/>
        <i x="2" s="1"/>
        <i x="8" s="1"/>
        <i x="759" s="1"/>
        <i x="47" s="1"/>
        <i x="23" s="1"/>
        <i x="599" s="1"/>
        <i x="602" s="1"/>
        <i x="608" s="1"/>
        <i x="576" s="1"/>
        <i x="578" s="1"/>
        <i x="559" s="1"/>
        <i x="21" s="1"/>
        <i x="564" s="1"/>
        <i x="580" s="1"/>
        <i x="582" s="1"/>
        <i x="46" s="1"/>
        <i x="44" s="1"/>
        <i x="51" s="1"/>
        <i x="5" s="1"/>
        <i x="13" s="1"/>
        <i x="568" s="1"/>
        <i x="40" s="1"/>
        <i x="37" s="1"/>
        <i x="595" s="1"/>
        <i x="52" s="1"/>
        <i x="28" s="1"/>
        <i x="345" s="1"/>
        <i x="337" s="1"/>
        <i x="349" s="1"/>
        <i x="327" s="1"/>
        <i x="574" s="1"/>
        <i x="449" s="1"/>
        <i x="476" s="1"/>
        <i x="638" s="1"/>
        <i x="624" s="1"/>
        <i x="186" s="1"/>
        <i x="172" s="1"/>
        <i x="185" s="1"/>
        <i x="183" s="1"/>
        <i x="191" s="1"/>
        <i x="202" s="1"/>
        <i x="174" s="1"/>
        <i x="294" s="1"/>
        <i x="178" s="1"/>
        <i x="175" s="1"/>
        <i x="211" s="1"/>
        <i x="176" s="1"/>
        <i x="766" s="1"/>
        <i x="190" s="1"/>
        <i x="850" s="1"/>
        <i x="861" s="1"/>
        <i x="88" s="1"/>
        <i x="275" s="1"/>
        <i x="272" s="1"/>
        <i x="754" s="1"/>
        <i x="739" s="1"/>
        <i x="751" s="1"/>
        <i x="746" s="1"/>
        <i x="750" s="1"/>
        <i x="735" s="1"/>
        <i x="732" s="1"/>
        <i x="755" s="1"/>
        <i x="753" s="1"/>
        <i x="749" s="1"/>
        <i x="745" s="1"/>
        <i x="737" s="1"/>
        <i x="736" s="1"/>
        <i x="636" s="1"/>
        <i x="621" s="1"/>
        <i x="639" s="1"/>
        <i x="637" s="1"/>
        <i x="634" s="1"/>
        <i x="611" s="1"/>
        <i x="616" s="1"/>
        <i x="618" s="1"/>
        <i x="640" s="1"/>
        <i x="278" s="1"/>
        <i x="274" s="1"/>
        <i x="259" s="1"/>
        <i x="277" s="1"/>
        <i x="250" s="1"/>
        <i x="62" s="1"/>
        <i x="36" s="1"/>
        <i x="247" s="1"/>
        <i x="268" s="1"/>
        <i x="265" s="1"/>
        <i x="225" s="1"/>
        <i x="31" s="1"/>
        <i x="229" s="1"/>
        <i x="57" s="1"/>
        <i x="26" s="1"/>
        <i x="10" s="1"/>
        <i x="7" s="1"/>
        <i x="20" s="1"/>
        <i x="18" s="1"/>
        <i x="19" s="1"/>
        <i x="66" s="1"/>
        <i x="248" s="1"/>
        <i x="226" s="1"/>
        <i x="38" s="1"/>
        <i x="35" s="1"/>
        <i x="760" s="1"/>
        <i x="53" s="1"/>
        <i x="22" s="1"/>
        <i x="59" s="1"/>
        <i x="60" s="1"/>
        <i x="224" s="1"/>
        <i x="42" s="1"/>
        <i x="239" s="1"/>
        <i x="260" s="1"/>
        <i x="50" s="1"/>
        <i x="29" s="1"/>
        <i x="651" s="1"/>
        <i x="631" s="1"/>
        <i x="641" s="1"/>
        <i x="117" s="1"/>
        <i x="612" s="1"/>
        <i x="120" s="1"/>
        <i x="273" s="1"/>
        <i x="131" s="1"/>
        <i x="140" s="1"/>
        <i x="628" s="1"/>
        <i x="657" s="1"/>
        <i x="132" s="1"/>
        <i x="655" s="1"/>
        <i x="135" s="1"/>
        <i x="614" s="1"/>
        <i x="629" s="1"/>
        <i x="107" s="1"/>
        <i x="659" s="1"/>
        <i x="643" s="1"/>
        <i x="625" s="1"/>
        <i x="123" s="1"/>
        <i x="652" s="1"/>
        <i x="654" s="1"/>
        <i x="613" s="1"/>
        <i x="645" s="1"/>
        <i x="656" s="1"/>
        <i x="105" s="1"/>
        <i x="97" s="1"/>
        <i x="650" s="1"/>
        <i x="617" s="1"/>
        <i x="101" s="1"/>
        <i x="633" s="1"/>
        <i x="630" s="1"/>
        <i x="866" s="1"/>
        <i x="388" s="1"/>
        <i x="444" s="1"/>
        <i x="431" s="1"/>
        <i x="376" s="1"/>
        <i x="472" s="1"/>
        <i x="430" s="1"/>
        <i x="423" s="1"/>
        <i x="382" s="1"/>
        <i x="377" s="1"/>
        <i x="378" s="1"/>
        <i x="510" s="1"/>
        <i x="454" s="1"/>
        <i x="426" s="1"/>
        <i x="418" s="1"/>
        <i x="399" s="1"/>
        <i x="535" s="1"/>
        <i x="514" s="1"/>
        <i x="448" s="1"/>
        <i x="410" s="1"/>
        <i x="392" s="1"/>
        <i x="398" s="1"/>
        <i x="503" s="1"/>
        <i x="394" s="1"/>
        <i x="414" s="1"/>
        <i x="415" s="1"/>
        <i x="427" s="1"/>
        <i x="478" s="1"/>
        <i x="417" s="1"/>
        <i x="406" s="1"/>
        <i x="405" s="1"/>
        <i x="390" s="1"/>
        <i x="459" s="1"/>
        <i x="512" s="1"/>
        <i x="461" s="1"/>
        <i x="523" s="1"/>
        <i x="462" s="1"/>
        <i x="438" s="1"/>
        <i x="489" s="1"/>
        <i x="532" s="1"/>
        <i x="498" s="1"/>
        <i x="525" s="1"/>
        <i x="516" s="1"/>
        <i x="552" s="1"/>
        <i x="533" s="1"/>
        <i x="499" s="1"/>
        <i x="544" s="1"/>
        <i x="501" s="1"/>
        <i x="389" s="1"/>
        <i x="372" s="1"/>
        <i x="371" s="1"/>
        <i x="865" s="1"/>
        <i x="397" s="1"/>
        <i x="769" s="1"/>
        <i x="393" s="1"/>
        <i x="440" s="1"/>
        <i x="526" s="1"/>
        <i x="451" s="1"/>
        <i x="549" s="1"/>
        <i x="518" s="1"/>
        <i x="537" s="1"/>
        <i x="556" s="1"/>
        <i x="548" s="1"/>
        <i x="496" s="1"/>
        <i x="482" s="1"/>
        <i x="447" s="1"/>
        <i x="490" s="1"/>
        <i x="433" s="1"/>
        <i x="506" s="1"/>
        <i x="428" s="1"/>
        <i x="491" s="1"/>
        <i x="450" s="1"/>
        <i x="453" s="1"/>
        <i x="460" s="1"/>
        <i x="485" s="1"/>
        <i x="528" s="1"/>
        <i x="455" s="1"/>
        <i x="429" s="1"/>
        <i x="439" s="1"/>
        <i x="515" s="1"/>
        <i x="441" s="1"/>
        <i x="437" s="1"/>
        <i x="434" s="1"/>
        <i x="424" s="1"/>
        <i x="465" s="1"/>
        <i x="458" s="1"/>
        <i x="387" s="1"/>
        <i x="421" s="1"/>
        <i x="375" s="1"/>
        <i x="473" s="1"/>
        <i x="481" s="1"/>
        <i x="395" s="1"/>
        <i x="379" s="1"/>
        <i x="484" s="1"/>
        <i x="432" s="1"/>
        <i x="435" s="1"/>
        <i x="463" s="1"/>
        <i x="385" s="1"/>
        <i x="383" s="1"/>
        <i x="391" s="1"/>
        <i x="446" s="1"/>
        <i x="436" s="1"/>
        <i x="469" s="1"/>
        <i x="402" s="1"/>
        <i x="550" s="1"/>
        <i x="517" s="1"/>
        <i x="492" s="1"/>
        <i x="403" s="1"/>
        <i x="420" s="1"/>
        <i x="508" s="1"/>
        <i x="511" s="1"/>
        <i x="519" s="1"/>
        <i x="487" s="1"/>
        <i x="551" s="1"/>
        <i x="502" s="1"/>
        <i x="443" s="1"/>
        <i x="538" s="1"/>
        <i x="404" s="1"/>
        <i x="505" s="1"/>
        <i x="486" s="1"/>
        <i x="416" s="1"/>
        <i x="470" s="1"/>
        <i x="553" s="1"/>
        <i x="554" s="1"/>
        <i x="509" s="1"/>
        <i x="400" s="1"/>
        <i x="396" s="1"/>
        <i x="452" s="1"/>
        <i x="521" s="1"/>
        <i x="497" s="1"/>
        <i x="425" s="1"/>
        <i x="442" s="1"/>
        <i x="471" s="1"/>
        <i x="468" s="1"/>
        <i x="466" s="1"/>
        <i x="864" s="1"/>
        <i x="457" s="1"/>
        <i x="524" s="1"/>
        <i x="507" s="1"/>
        <i x="488" s="1"/>
        <i x="555" s="1"/>
        <i x="464" s="1"/>
        <i x="539" s="1"/>
        <i x="456" s="1"/>
        <i x="558" s="1"/>
        <i x="543" s="1"/>
        <i x="522" s="1"/>
        <i x="493" s="1"/>
        <i x="541" s="1"/>
        <i x="477" s="1"/>
        <i x="412" s="1"/>
        <i x="536" s="1"/>
        <i x="475" s="1"/>
        <i x="495" s="1"/>
        <i x="545" s="1"/>
        <i x="546" s="1"/>
        <i x="386" s="1"/>
        <i x="407" s="1"/>
        <i x="540" s="1"/>
        <i x="531" s="1"/>
        <i x="200" s="1"/>
        <i x="205" s="1"/>
        <i x="767" s="1"/>
        <i x="409" s="1"/>
        <i x="408" s="1"/>
        <i x="411" s="1"/>
        <i x="55" s="1"/>
        <i x="834" s="1"/>
        <i x="808" s="1"/>
        <i x="811" s="1"/>
        <i x="810" s="1"/>
        <i x="809" s="1"/>
        <i x="843" s="1"/>
        <i x="826" s="1"/>
        <i x="845" s="1"/>
        <i x="848" s="1"/>
        <i x="827" s="1"/>
        <i x="837" s="1"/>
        <i x="838" s="1"/>
        <i x="841" s="1"/>
        <i x="839" s="1"/>
        <i x="355" s="1"/>
        <i x="360" s="1"/>
        <i x="358" s="1"/>
        <i x="356" s="1"/>
        <i x="354" s="1"/>
        <i x="357" s="1"/>
        <i x="852" s="1"/>
        <i x="855" s="1"/>
        <i x="854" s="1"/>
        <i x="853" s="1"/>
        <i x="368" s="1"/>
        <i x="363" s="1"/>
        <i x="366" s="1"/>
        <i x="369" s="1"/>
        <i x="367" s="1"/>
        <i x="365" s="1"/>
        <i x="362" s="1"/>
        <i x="359" s="1"/>
        <i x="352" s="1"/>
        <i x="370" s="1"/>
        <i x="353" s="1"/>
        <i x="361" s="1"/>
        <i x="364" s="1"/>
        <i x="27" s="1"/>
        <i x="91" s="1"/>
        <i x="124" s="1"/>
        <i x="126" s="1"/>
        <i x="581" s="1"/>
        <i x="587" s="1"/>
        <i x="41" s="1"/>
        <i x="561" s="1"/>
        <i x="609" s="1"/>
        <i x="590" s="1"/>
        <i x="86" s="1"/>
        <i x="584" s="1"/>
        <i x="585" s="1"/>
        <i x="130" s="1"/>
        <i x="103" s="1"/>
        <i x="116" s="1"/>
        <i x="569" s="1"/>
        <i x="560" s="1"/>
        <i x="570" s="1"/>
        <i x="89" s="1"/>
        <i x="593" s="1"/>
        <i x="139" s="1"/>
        <i x="134" s="1"/>
        <i x="115" s="1"/>
        <i x="233" s="1"/>
        <i x="230" s="1"/>
        <i x="83" s="1"/>
        <i x="343" s="1"/>
        <i x="335" s="1"/>
        <i x="325" s="1"/>
        <i x="626" s="1"/>
        <i x="401" s="1"/>
        <i x="374" s="1"/>
        <i x="276" s="1"/>
        <i x="762" s="1"/>
        <i x="761" s="1"/>
        <i x="663" s="1"/>
        <i x="419" s="1"/>
        <i x="381" s="1"/>
        <i x="257" s="1"/>
        <i x="662" s="1"/>
        <i x="380" s="1"/>
        <i x="474" s="1"/>
        <i x="373" s="1"/>
        <i x="862" s="1"/>
        <i x="863" s="1"/>
        <i x="241" s="1"/>
        <i x="867" s="1"/>
        <i x="264" s="1"/>
        <i x="254" s="1"/>
        <i x="252" s="1"/>
        <i x="253" s="1"/>
        <i x="262" s="1"/>
        <i x="251" s="1"/>
        <i x="271" s="1"/>
        <i x="222" s="1"/>
        <i x="223" s="1"/>
        <i x="99" s="1"/>
        <i x="500" s="1"/>
        <i x="413" s="1"/>
        <i x="384" s="1"/>
        <i x="422" s="1"/>
        <i x="529" s="1"/>
        <i x="513" s="1"/>
        <i x="445" s="1"/>
        <i x="479" s="1"/>
        <i x="688" s="1"/>
        <i x="689" s="1"/>
        <i x="690" s="1"/>
        <i x="691" s="1"/>
        <i x="692" s="1"/>
        <i x="693" s="1"/>
        <i x="694" s="1"/>
        <i x="695" s="1"/>
        <i x="696" s="1"/>
        <i x="697" s="1"/>
        <i x="698" s="1"/>
        <i x="67" s="1"/>
        <i x="217" s="1"/>
        <i x="216" s="1"/>
        <i x="215" s="1"/>
        <i x="213" s="1"/>
        <i x="214" s="1"/>
        <i x="179" s="1"/>
        <i x="173" s="1"/>
        <i x="189" s="1"/>
        <i x="180" s="1"/>
        <i x="196" s="1"/>
        <i x="195" s="1"/>
        <i x="61" s="1"/>
        <i x="45" s="1"/>
        <i x="106" s="1"/>
        <i x="104" s="1"/>
        <i x="836" s="1"/>
        <i x="805" s="1"/>
        <i x="821" s="1"/>
        <i x="820" s="1"/>
        <i x="816" s="1"/>
        <i x="819" s="1"/>
        <i x="822" s="1"/>
        <i x="840" s="1"/>
        <i x="824" s="1"/>
        <i x="829" s="1"/>
        <i x="832" s="1"/>
        <i x="534" s="1"/>
        <i x="520" s="1"/>
        <i x="646" s="1"/>
        <i x="756" s="1"/>
        <i x="635" s="1"/>
        <i x="740" s="1"/>
        <i x="632" s="1"/>
        <i x="752" s="1"/>
        <i x="642" s="1"/>
        <i x="648" s="1"/>
        <i x="627" s="1"/>
        <i x="137" s="1"/>
        <i x="118" s="1"/>
        <i x="138" s="1"/>
        <i x="114" s="1"/>
        <i x="597" s="1"/>
        <i x="236" s="1"/>
        <i x="237" s="1"/>
        <i x="238" s="1"/>
        <i x="234" s="1"/>
        <i x="242" s="1"/>
        <i x="263" s="1"/>
        <i x="605" s="1"/>
        <i x="588" s="1"/>
        <i x="594" s="1"/>
        <i x="279" s="1"/>
        <i x="235" s="1"/>
        <i x="245" s="1"/>
        <i x="244" s="1"/>
        <i x="261" s="1"/>
        <i x="231" s="1"/>
        <i x="280" s="1"/>
        <i x="121" s="1"/>
        <i x="93" s="1"/>
        <i x="122" s="1"/>
        <i x="108" s="1"/>
        <i x="82" s="1"/>
        <i x="127" s="1"/>
        <i x="141" s="1"/>
        <i x="649" s="1"/>
        <i x="78" s="1"/>
        <i x="58" s="1"/>
        <i x="64" s="1"/>
        <i x="56" s="1"/>
        <i x="622" s="1"/>
        <i x="620" s="1"/>
        <i x="699" s="1"/>
        <i x="700" s="1"/>
        <i x="701" s="1"/>
        <i x="702" s="1"/>
        <i x="703" s="1"/>
        <i x="704" s="1"/>
        <i x="705" s="1"/>
        <i x="706" s="1"/>
        <i x="707" s="1"/>
        <i x="708" s="1"/>
        <i x="709" s="1"/>
        <i x="710" s="1"/>
        <i x="711" s="1"/>
        <i x="712" s="1"/>
        <i x="713" s="1"/>
        <i x="714" s="1"/>
        <i x="715" s="1"/>
        <i x="716" s="1"/>
        <i x="804" s="1"/>
        <i x="717" s="1"/>
        <i x="718" s="1"/>
        <i x="719" s="1"/>
        <i x="720" s="1"/>
        <i x="721" s="1"/>
        <i x="722" s="1"/>
        <i x="723" s="1"/>
        <i x="724" s="1"/>
        <i x="725" s="1"/>
        <i x="726" s="1"/>
        <i x="727" s="1"/>
        <i x="728" s="1"/>
        <i x="729" s="1"/>
        <i x="24" s="1"/>
        <i x="65" s="1"/>
        <i x="63" s="1"/>
        <i x="15" s="1"/>
        <i x="25" s="1"/>
        <i x="16" s="1"/>
        <i x="33" s="1"/>
        <i x="30" s="1"/>
        <i x="11" s="1"/>
        <i x="9" s="1"/>
        <i x="14" s="1"/>
        <i x="849" s="1"/>
        <i x="542" s="1"/>
        <i x="333" s="1"/>
        <i x="168" s="1"/>
        <i x="145" s="1"/>
        <i x="144" s="1"/>
        <i x="158" s="1"/>
        <i x="54" s="1"/>
        <i x="258" s="1"/>
        <i x="783" s="1"/>
        <i x="255" s="1"/>
        <i x="269" s="1"/>
        <i x="228" s="1"/>
        <i x="785" s="1"/>
        <i x="831" s="1"/>
        <i x="844" s="1"/>
        <i x="842" s="1"/>
        <i x="830" s="1"/>
        <i x="603" s="1"/>
        <i x="266" s="1"/>
        <i x="267" s="1"/>
        <i x="591" s="1"/>
        <i x="256" s="1"/>
        <i x="557" s="1"/>
        <i x="575" s="1"/>
        <i x="607" s="1"/>
        <i x="562" s="1"/>
        <i x="232" s="1"/>
        <i x="467" s="1"/>
        <i x="604" s="1"/>
        <i x="825" s="1"/>
        <i x="828" s="1"/>
        <i x="823" s="1"/>
        <i x="835" s="1"/>
        <i x="812" s="1"/>
        <i x="817" s="1"/>
        <i x="813" s="1"/>
        <i x="814" s="1"/>
        <i x="815" s="1"/>
        <i x="818" s="1"/>
        <i x="527" s="1"/>
        <i x="547" s="1"/>
        <i x="143" s="1"/>
        <i x="109" s="1"/>
        <i x="98" s="1"/>
        <i x="129" s="1"/>
        <i x="133" s="1"/>
        <i x="316" s="1"/>
        <i x="282" s="1"/>
        <i x="296" s="1"/>
        <i x="504" s="1"/>
        <i x="731" s="1"/>
        <i x="219" s="1"/>
        <i x="781" s="1"/>
        <i x="730" s="1"/>
        <i x="68" s="1"/>
        <i x="782" s="1"/>
        <i x="798" s="1"/>
        <i x="100" s="1"/>
        <i x="682" s="1"/>
        <i x="687" s="1"/>
        <i x="678" s="1"/>
        <i x="125" s="1"/>
        <i x="683" s="1"/>
        <i x="676" s="1"/>
        <i x="773" s="1"/>
        <i x="774" s="1"/>
        <i x="119" s="1"/>
        <i x="102" s="1"/>
        <i x="270" s="1"/>
        <i x="800" s="1"/>
        <i x="795" s="1"/>
        <i x="792" s="1"/>
        <i x="794" s="1"/>
        <i x="110" s="1"/>
        <i x="81" s="1"/>
        <i x="79" s="1"/>
        <i x="573" s="1"/>
        <i x="583" s="1"/>
        <i x="589" s="1"/>
        <i x="600" s="1"/>
        <i x="571" s="1"/>
        <i x="567" s="1"/>
        <i x="592" s="1"/>
        <i x="90" s="1"/>
        <i x="94" s="1"/>
        <i x="80" s="1"/>
        <i x="95" s="1"/>
        <i x="96" s="1"/>
        <i x="87" s="1"/>
        <i x="84" s="1"/>
        <i x="85" s="1"/>
        <i x="92" s="1"/>
        <i x="111" s="1"/>
        <i x="113" s="1"/>
        <i x="69" s="1"/>
        <i x="112" s="1"/>
        <i x="210" s="1"/>
        <i x="644" s="1"/>
        <i x="136" s="1"/>
        <i x="623" s="1"/>
        <i x="128" s="1"/>
        <i x="142" s="1"/>
        <i x="240" s="1"/>
        <i x="246" s="1"/>
        <i x="763" s="1"/>
        <i x="208" s="1"/>
        <i x="342" s="1"/>
        <i x="220" s="1"/>
        <i x="764" s="1"/>
        <i x="793" s="1"/>
        <i x="586" s="1"/>
        <i x="199" s="1"/>
        <i x="661" s="1"/>
        <i x="197" s="1"/>
        <i x="619" s="1"/>
        <i x="780" s="1"/>
        <i x="779" s="1"/>
        <i x="201" s="1"/>
        <i x="198" s="1"/>
        <i x="681" s="1"/>
        <i x="778" s="1"/>
        <i x="188" s="1"/>
        <i x="768" s="1"/>
        <i x="204" s="1"/>
        <i x="777" s="1"/>
        <i x="776" s="1"/>
        <i x="75" s="1"/>
        <i x="350" s="1"/>
        <i x="757" s="1"/>
        <i x="653" s="1"/>
        <i x="679" s="1"/>
        <i x="801" s="1"/>
        <i x="673" s="1"/>
        <i x="668" s="1"/>
        <i x="672" s="1"/>
        <i x="677" s="1"/>
        <i x="775" s="1"/>
        <i x="667" s="1"/>
        <i x="670" s="1"/>
        <i x="664" s="1"/>
        <i x="669" s="1"/>
        <i x="665" s="1"/>
        <i x="770" s="1"/>
        <i x="772" s="1"/>
        <i x="686" s="1"/>
        <i x="685" s="1"/>
        <i x="666" s="1"/>
        <i x="771" s="1"/>
        <i x="674" s="1"/>
        <i x="680" s="1"/>
        <i x="796" s="1"/>
        <i x="799" s="1"/>
        <i x="675" s="1"/>
        <i x="671" s="1"/>
        <i x="856" s="1"/>
        <i x="791" s="1"/>
        <i x="797" s="1"/>
        <i x="787" s="1"/>
        <i x="684" s="1"/>
        <i x="788" s="1"/>
        <i x="789" s="1"/>
        <i x="790" s="1"/>
        <i x="658" s="1"/>
        <i x="483" s="1"/>
        <i x="786" s="1"/>
        <i x="784" s="1"/>
        <i x="480" s="1"/>
        <i x="660" s="1"/>
        <i x="647" s="1"/>
        <i x="572" s="1"/>
        <i x="530" s="1"/>
        <i x="494" s="1"/>
        <i x="147" s="1"/>
        <i x="157" s="1"/>
        <i x="149" s="1"/>
        <i x="162" s="1"/>
        <i x="155" s="1"/>
        <i x="154" s="1"/>
        <i x="153" s="1"/>
        <i x="151" s="1"/>
        <i x="166" s="1"/>
        <i x="159" s="1"/>
        <i x="163" s="1"/>
        <i x="161" s="1"/>
        <i x="152" s="1"/>
        <i x="156" s="1"/>
        <i x="170" s="1"/>
        <i x="165" s="1"/>
        <i x="167" s="1"/>
        <i x="148" s="1"/>
        <i x="146" s="1"/>
        <i x="160" s="1"/>
        <i x="164" s="1"/>
        <i x="169" s="1"/>
        <i x="171" s="1"/>
        <i x="846" s="1"/>
        <i x="847" s="1"/>
        <i x="833" s="1"/>
        <i x="61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mory" xr10:uid="{0A2B124B-7640-4465-80CB-C5F89B0D3E84}" sourceName="Memory">
  <pivotTables>
    <pivotTable tabId="10" name="Total brand"/>
    <pivotTable tabId="5" name="Avg rating"/>
    <pivotTable tabId="17" name="Avg. Rat."/>
    <pivotTable tabId="17" name="Margin %"/>
    <pivotTable tabId="17" name="Top Rated Brand"/>
    <pivotTable tabId="17" name="Top Rev. Brand"/>
    <pivotTable tabId="17" name="Top Sold Model"/>
    <pivotTable tabId="17" name="Top VFM Brand"/>
    <pivotTable tabId="17" name="Total SP"/>
    <pivotTable tabId="17" name="Total Units"/>
    <pivotTable tabId="17" name="VFM Score"/>
    <pivotTable tabId="21" name="PivotTable7"/>
    <pivotTable tabId="11" name="PivotTable3"/>
  </pivotTables>
  <data>
    <tabular pivotCacheId="1831370194">
      <items count="24">
        <i x="6" s="1"/>
        <i x="8" s="1"/>
        <i x="19" s="1"/>
        <i x="22" s="1"/>
        <i x="5" s="1"/>
        <i x="17" s="1"/>
        <i x="16" s="1"/>
        <i x="21" s="1"/>
        <i x="14" s="1"/>
        <i x="4" s="1"/>
        <i x="18" s="1"/>
        <i x="2" s="1"/>
        <i x="23" s="1"/>
        <i x="13" s="1"/>
        <i x="0" s="1"/>
        <i x="12" s="1"/>
        <i x="20" s="1"/>
        <i x="15" s="1"/>
        <i x="7" s="1"/>
        <i x="1" s="1"/>
        <i x="11" s="1"/>
        <i x="9" s="1"/>
        <i x="3" s="1"/>
        <i x="1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age" xr10:uid="{46FB4371-5463-438B-A674-EE791AA8A4C8}" sourceName="Storage">
  <pivotTables>
    <pivotTable tabId="10" name="Total brand"/>
    <pivotTable tabId="5" name="Avg rating"/>
    <pivotTable tabId="5" name="PivotTable6"/>
    <pivotTable tabId="10" name="PivotTable1"/>
    <pivotTable tabId="17" name="Avg. Rat."/>
    <pivotTable tabId="17" name="Margin %"/>
    <pivotTable tabId="17" name="Total SP"/>
    <pivotTable tabId="17" name="Total Units"/>
    <pivotTable tabId="17" name="VFM Score"/>
    <pivotTable tabId="21" name="PivotTable7"/>
    <pivotTable tabId="11" name="PivotTable3"/>
  </pivotTables>
  <data>
    <tabular pivotCacheId="1831370194">
      <items count="25">
        <i x="21" s="1"/>
        <i x="15" s="1"/>
        <i x="22" s="1"/>
        <i x="1" s="1"/>
        <i x="9" s="1"/>
        <i x="23" s="1"/>
        <i x="24" s="1"/>
        <i x="17" s="1"/>
        <i x="19" s="1"/>
        <i x="4" s="1"/>
        <i x="8" s="1"/>
        <i x="10" s="1"/>
        <i x="3" s="1"/>
        <i x="16" s="1"/>
        <i x="2" s="1"/>
        <i x="6" s="1"/>
        <i x="11" s="1"/>
        <i x="7" s="1"/>
        <i x="20" s="1"/>
        <i x="0" s="1"/>
        <i x="18" s="1"/>
        <i x="5" s="1"/>
        <i x="13" s="1"/>
        <i x="14" s="1"/>
        <i x="1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1" xr10:uid="{86E8F32B-80D8-4AF2-818A-D3F7E9E0D249}" cache="Slicer_Brand" caption="Brand" rowHeight="304800"/>
  <slicer name="Model" xr10:uid="{1350037C-0C39-4BC7-9C2C-38E911240102}" cache="Slicer_Model" caption="Model" rowHeight="304800"/>
  <slicer name="Memory" xr10:uid="{2D78FBB3-502B-43A8-875C-1672331467BD}" cache="Slicer_Memory" caption="Memory" rowHeight="304800"/>
  <slicer name="Storage" xr10:uid="{69B0D05E-B6BC-4B6C-97D1-13EDF00DAF39}" cache="Slicer_Storage" caption="Storage" rowHeight="3048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6DE440-E50E-4672-8D3C-5671615C1C28}" name="FlipkartTable" displayName="FlipkartTable" ref="A1:M2898" totalsRowShown="0">
  <autoFilter ref="A1:M2898" xr:uid="{7C126FA7-0160-4408-B1A8-10B01B0A72AB}"/>
  <tableColumns count="13">
    <tableColumn id="1" xr3:uid="{32938009-BA45-4308-A07C-95E01152F4F0}" name="Brand"/>
    <tableColumn id="2" xr3:uid="{2635F15F-0C7A-4913-8490-49F5406362CC}" name="Model" dataDxfId="78"/>
    <tableColumn id="3" xr3:uid="{4E8F0CD4-5824-4299-BED9-1C4F7E0F7181}" name="Color"/>
    <tableColumn id="4" xr3:uid="{DCC56C00-79C9-4BE9-9B70-DD78E2F36701}" name="Memory"/>
    <tableColumn id="5" xr3:uid="{4C9F5E54-69AD-4C29-A871-34156FF2B6D8}" name="Storage"/>
    <tableColumn id="6" xr3:uid="{626197D7-AF17-441E-ABF0-AC1022CF84B8}" name="Rating"/>
    <tableColumn id="7" xr3:uid="{FC9CB164-0500-42A7-82C2-4220217BC4E4}" name="Selling Price"/>
    <tableColumn id="8" xr3:uid="{0E10E01F-6F12-4E69-96EB-6231145DC3F7}" name="Original Price"/>
    <tableColumn id="9" xr3:uid="{08E0925E-5B00-43C3-A4D0-7E621E7E41DD}" name="Margin" dataDxfId="77">
      <calculatedColumnFormula>FlipkartTable[[#This Row],[Original Price]]-FlipkartTable[[#This Row],[Selling Price]]</calculatedColumnFormula>
    </tableColumn>
    <tableColumn id="10" xr3:uid="{75C9B79A-C494-4EAF-A6E0-AAB6D8339D78}" name="Margin%" dataDxfId="76">
      <calculatedColumnFormula>(FlipkartTable[[#This Row],[Original Price]]-FlipkartTable[[#This Row],[Selling Price]])/FlipkartTable[[#This Row],[Original Price]]</calculatedColumnFormula>
    </tableColumn>
    <tableColumn id="11" xr3:uid="{0B5C45F8-4CBA-4998-99EB-9F126E897170}" name="Value for money (VFM) score" dataDxfId="75">
      <calculatedColumnFormula>(FlipkartTable[[#This Row],[Rating]]/FlipkartTable[[#This Row],[Selling Price]])*1000</calculatedColumnFormula>
    </tableColumn>
    <tableColumn id="13" xr3:uid="{C31C945E-B683-42DB-A541-A485A21A2E66}" name="Price Segment" dataDxfId="74">
      <calculatedColumnFormula>IF(FlipkartTable[[#This Row],[Selling Price]]&lt;15000,"Budget",IF(FlipkartTable[[#This Row],[Selling Price]]&lt;50000,"Mid Range","Premium"))</calculatedColumnFormula>
    </tableColumn>
    <tableColumn id="12" xr3:uid="{6C65FCF7-A232-43B6-8C2D-974B35EB6A27}" name="Rating Segment" dataDxfId="73">
      <calculatedColumnFormula>IF(FlipkartTable[[#This Row],[Rating]]&gt;4.5,"Excellent",IF(FlipkartTable[[#This Row],[Rating]]&gt;4,"Good",IF(FlipkartTable[[#This Row],[Rating]]&gt;3.5,"Average","Poor")))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14.xml"/><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10" Type="http://schemas.openxmlformats.org/officeDocument/2006/relationships/pivotTable" Target="../pivotTables/pivotTable16.xml"/><Relationship Id="rId4" Type="http://schemas.openxmlformats.org/officeDocument/2006/relationships/pivotTable" Target="../pivotTables/pivotTable10.xml"/><Relationship Id="rId9" Type="http://schemas.openxmlformats.org/officeDocument/2006/relationships/pivotTable" Target="../pivotTables/pivotTable15.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26FA7-0160-4408-B1A8-10B01B0A72AB}">
  <dimension ref="A1:M2898"/>
  <sheetViews>
    <sheetView topLeftCell="C2817" workbookViewId="0">
      <selection activeCell="G2832" sqref="G2832"/>
    </sheetView>
  </sheetViews>
  <sheetFormatPr defaultRowHeight="14.5" x14ac:dyDescent="0.35"/>
  <cols>
    <col min="2" max="2" width="36" style="9" bestFit="1" customWidth="1"/>
    <col min="4" max="4" width="9.90625" customWidth="1"/>
    <col min="5" max="5" width="9.1796875" customWidth="1"/>
    <col min="7" max="7" width="12.6328125" customWidth="1"/>
    <col min="8" max="8" width="13.81640625" customWidth="1"/>
    <col min="10" max="10" width="11.90625" bestFit="1" customWidth="1"/>
    <col min="11" max="11" width="27.7265625" bestFit="1" customWidth="1"/>
    <col min="12" max="12" width="12.54296875" customWidth="1"/>
  </cols>
  <sheetData>
    <row r="1" spans="1:13" x14ac:dyDescent="0.35">
      <c r="A1" t="s">
        <v>0</v>
      </c>
      <c r="B1" s="9" t="s">
        <v>1</v>
      </c>
      <c r="C1" t="s">
        <v>2</v>
      </c>
      <c r="D1" t="s">
        <v>3</v>
      </c>
      <c r="E1" t="s">
        <v>4</v>
      </c>
      <c r="F1" t="s">
        <v>5</v>
      </c>
      <c r="G1" t="s">
        <v>6</v>
      </c>
      <c r="H1" t="s">
        <v>7</v>
      </c>
      <c r="I1" t="s">
        <v>1523</v>
      </c>
      <c r="J1" t="s">
        <v>1525</v>
      </c>
      <c r="K1" t="s">
        <v>1526</v>
      </c>
      <c r="L1" t="s">
        <v>1530</v>
      </c>
      <c r="M1" t="s">
        <v>1534</v>
      </c>
    </row>
    <row r="2" spans="1:13" x14ac:dyDescent="0.35">
      <c r="A2" t="s">
        <v>8</v>
      </c>
      <c r="B2" s="9" t="s">
        <v>9</v>
      </c>
      <c r="C2" t="s">
        <v>10</v>
      </c>
      <c r="D2" t="s">
        <v>11</v>
      </c>
      <c r="E2" t="s">
        <v>12</v>
      </c>
      <c r="F2">
        <v>4.5</v>
      </c>
      <c r="G2">
        <v>11990</v>
      </c>
      <c r="H2">
        <v>15990</v>
      </c>
      <c r="I2">
        <f>FlipkartTable[[#This Row],[Original Price]]-FlipkartTable[[#This Row],[Selling Price]]</f>
        <v>4000</v>
      </c>
      <c r="J2" s="4">
        <f>(FlipkartTable[[#This Row],[Original Price]]-FlipkartTable[[#This Row],[Selling Price]])/FlipkartTable[[#This Row],[Original Price]]</f>
        <v>0.25015634771732331</v>
      </c>
      <c r="K2">
        <f>(FlipkartTable[[#This Row],[Rating]]/FlipkartTable[[#This Row],[Selling Price]])*1000</f>
        <v>0.37531276063386154</v>
      </c>
      <c r="L2" t="str">
        <f>IF(FlipkartTable[[#This Row],[Selling Price]]&lt;15000,"Budget",IF(FlipkartTable[[#This Row],[Selling Price]]&lt;50000,"Mid Range","Premium"))</f>
        <v>Budget</v>
      </c>
      <c r="M2" t="str">
        <f>IF(FlipkartTable[[#This Row],[Rating]]&gt;4.5,"Excellent",IF(FlipkartTable[[#This Row],[Rating]]&gt;4,"Good",IF(FlipkartTable[[#This Row],[Rating]]&gt;3.5,"Average","Poor")))</f>
        <v>Good</v>
      </c>
    </row>
    <row r="3" spans="1:13" x14ac:dyDescent="0.35">
      <c r="A3" t="s">
        <v>8</v>
      </c>
      <c r="B3" s="9" t="s">
        <v>9</v>
      </c>
      <c r="C3" t="s">
        <v>13</v>
      </c>
      <c r="D3" t="s">
        <v>11</v>
      </c>
      <c r="E3" t="s">
        <v>12</v>
      </c>
      <c r="F3">
        <v>4.5</v>
      </c>
      <c r="G3">
        <v>11990</v>
      </c>
      <c r="H3">
        <v>15990</v>
      </c>
      <c r="I3">
        <f>FlipkartTable[[#This Row],[Original Price]]-FlipkartTable[[#This Row],[Selling Price]]</f>
        <v>4000</v>
      </c>
      <c r="J3" s="4">
        <f>(FlipkartTable[[#This Row],[Original Price]]-FlipkartTable[[#This Row],[Selling Price]])/FlipkartTable[[#This Row],[Original Price]]</f>
        <v>0.25015634771732331</v>
      </c>
      <c r="K3">
        <f>(FlipkartTable[[#This Row],[Rating]]/FlipkartTable[[#This Row],[Selling Price]])*1000</f>
        <v>0.37531276063386154</v>
      </c>
      <c r="L3" t="str">
        <f>IF(FlipkartTable[[#This Row],[Selling Price]]&lt;15000,"Budget",IF(FlipkartTable[[#This Row],[Selling Price]]&lt;50000,"Mid Range","Premium"))</f>
        <v>Budget</v>
      </c>
      <c r="M3" t="str">
        <f>IF(FlipkartTable[[#This Row],[Rating]]&gt;4.5,"Excellent",IF(FlipkartTable[[#This Row],[Rating]]&gt;4,"Good",IF(FlipkartTable[[#This Row],[Rating]]&gt;3.5,"Average","Poor")))</f>
        <v>Good</v>
      </c>
    </row>
    <row r="4" spans="1:13" x14ac:dyDescent="0.35">
      <c r="A4" t="s">
        <v>8</v>
      </c>
      <c r="B4" s="9" t="s">
        <v>9</v>
      </c>
      <c r="C4" t="s">
        <v>10</v>
      </c>
      <c r="D4" t="s">
        <v>14</v>
      </c>
      <c r="E4" t="s">
        <v>15</v>
      </c>
      <c r="F4">
        <v>4.3</v>
      </c>
      <c r="G4">
        <v>13990</v>
      </c>
      <c r="H4">
        <v>17990</v>
      </c>
      <c r="I4">
        <f>FlipkartTable[[#This Row],[Original Price]]-FlipkartTable[[#This Row],[Selling Price]]</f>
        <v>4000</v>
      </c>
      <c r="J4" s="4">
        <f>(FlipkartTable[[#This Row],[Original Price]]-FlipkartTable[[#This Row],[Selling Price]])/FlipkartTable[[#This Row],[Original Price]]</f>
        <v>0.22234574763757642</v>
      </c>
      <c r="K4">
        <f>(FlipkartTable[[#This Row],[Rating]]/FlipkartTable[[#This Row],[Selling Price]])*1000</f>
        <v>0.30736240171551105</v>
      </c>
      <c r="L4" t="str">
        <f>IF(FlipkartTable[[#This Row],[Selling Price]]&lt;15000,"Budget",IF(FlipkartTable[[#This Row],[Selling Price]]&lt;50000,"Mid Range","Premium"))</f>
        <v>Budget</v>
      </c>
      <c r="M4" t="str">
        <f>IF(FlipkartTable[[#This Row],[Rating]]&gt;4.5,"Excellent",IF(FlipkartTable[[#This Row],[Rating]]&gt;4,"Good",IF(FlipkartTable[[#This Row],[Rating]]&gt;3.5,"Average","Poor")))</f>
        <v>Good</v>
      </c>
    </row>
    <row r="5" spans="1:13" x14ac:dyDescent="0.35">
      <c r="A5" t="s">
        <v>8</v>
      </c>
      <c r="B5" s="9" t="s">
        <v>9</v>
      </c>
      <c r="C5" t="s">
        <v>13</v>
      </c>
      <c r="D5" t="s">
        <v>14</v>
      </c>
      <c r="E5" t="s">
        <v>15</v>
      </c>
      <c r="F5">
        <v>4.3</v>
      </c>
      <c r="G5">
        <v>13990</v>
      </c>
      <c r="H5">
        <v>17990</v>
      </c>
      <c r="I5">
        <f>FlipkartTable[[#This Row],[Original Price]]-FlipkartTable[[#This Row],[Selling Price]]</f>
        <v>4000</v>
      </c>
      <c r="J5" s="4">
        <f>(FlipkartTable[[#This Row],[Original Price]]-FlipkartTable[[#This Row],[Selling Price]])/FlipkartTable[[#This Row],[Original Price]]</f>
        <v>0.22234574763757642</v>
      </c>
      <c r="K5">
        <f>(FlipkartTable[[#This Row],[Rating]]/FlipkartTable[[#This Row],[Selling Price]])*1000</f>
        <v>0.30736240171551105</v>
      </c>
      <c r="L5" t="str">
        <f>IF(FlipkartTable[[#This Row],[Selling Price]]&lt;15000,"Budget",IF(FlipkartTable[[#This Row],[Selling Price]]&lt;50000,"Mid Range","Premium"))</f>
        <v>Budget</v>
      </c>
      <c r="M5" t="str">
        <f>IF(FlipkartTable[[#This Row],[Rating]]&gt;4.5,"Excellent",IF(FlipkartTable[[#This Row],[Rating]]&gt;4,"Good",IF(FlipkartTable[[#This Row],[Rating]]&gt;3.5,"Average","Poor")))</f>
        <v>Good</v>
      </c>
    </row>
    <row r="6" spans="1:13" x14ac:dyDescent="0.35">
      <c r="A6" t="s">
        <v>8</v>
      </c>
      <c r="B6" s="9" t="s">
        <v>9</v>
      </c>
      <c r="C6" t="s">
        <v>16</v>
      </c>
      <c r="D6" t="s">
        <v>11</v>
      </c>
      <c r="E6" t="s">
        <v>12</v>
      </c>
      <c r="F6">
        <v>4.5</v>
      </c>
      <c r="G6">
        <v>11990</v>
      </c>
      <c r="H6">
        <v>15990</v>
      </c>
      <c r="I6">
        <f>FlipkartTable[[#This Row],[Original Price]]-FlipkartTable[[#This Row],[Selling Price]]</f>
        <v>4000</v>
      </c>
      <c r="J6" s="4">
        <f>(FlipkartTable[[#This Row],[Original Price]]-FlipkartTable[[#This Row],[Selling Price]])/FlipkartTable[[#This Row],[Original Price]]</f>
        <v>0.25015634771732331</v>
      </c>
      <c r="K6">
        <f>(FlipkartTable[[#This Row],[Rating]]/FlipkartTable[[#This Row],[Selling Price]])*1000</f>
        <v>0.37531276063386154</v>
      </c>
      <c r="L6" t="str">
        <f>IF(FlipkartTable[[#This Row],[Selling Price]]&lt;15000,"Budget",IF(FlipkartTable[[#This Row],[Selling Price]]&lt;50000,"Mid Range","Premium"))</f>
        <v>Budget</v>
      </c>
      <c r="M6" t="str">
        <f>IF(FlipkartTable[[#This Row],[Rating]]&gt;4.5,"Excellent",IF(FlipkartTable[[#This Row],[Rating]]&gt;4,"Good",IF(FlipkartTable[[#This Row],[Rating]]&gt;3.5,"Average","Poor")))</f>
        <v>Good</v>
      </c>
    </row>
    <row r="7" spans="1:13" x14ac:dyDescent="0.35">
      <c r="A7" t="s">
        <v>8</v>
      </c>
      <c r="B7" s="9" t="s">
        <v>9</v>
      </c>
      <c r="C7" t="s">
        <v>16</v>
      </c>
      <c r="D7" t="s">
        <v>14</v>
      </c>
      <c r="E7" t="s">
        <v>15</v>
      </c>
      <c r="F7">
        <v>4.3</v>
      </c>
      <c r="G7">
        <v>13990</v>
      </c>
      <c r="H7">
        <v>17990</v>
      </c>
      <c r="I7">
        <f>FlipkartTable[[#This Row],[Original Price]]-FlipkartTable[[#This Row],[Selling Price]]</f>
        <v>4000</v>
      </c>
      <c r="J7" s="4">
        <f>(FlipkartTable[[#This Row],[Original Price]]-FlipkartTable[[#This Row],[Selling Price]])/FlipkartTable[[#This Row],[Original Price]]</f>
        <v>0.22234574763757642</v>
      </c>
      <c r="K7">
        <f>(FlipkartTable[[#This Row],[Rating]]/FlipkartTable[[#This Row],[Selling Price]])*1000</f>
        <v>0.30736240171551105</v>
      </c>
      <c r="L7" t="str">
        <f>IF(FlipkartTable[[#This Row],[Selling Price]]&lt;15000,"Budget",IF(FlipkartTable[[#This Row],[Selling Price]]&lt;50000,"Mid Range","Premium"))</f>
        <v>Budget</v>
      </c>
      <c r="M7" t="str">
        <f>IF(FlipkartTable[[#This Row],[Rating]]&gt;4.5,"Excellent",IF(FlipkartTable[[#This Row],[Rating]]&gt;4,"Good",IF(FlipkartTable[[#This Row],[Rating]]&gt;3.5,"Average","Poor")))</f>
        <v>Good</v>
      </c>
    </row>
    <row r="8" spans="1:13" x14ac:dyDescent="0.35">
      <c r="A8" t="s">
        <v>8</v>
      </c>
      <c r="B8" s="9" t="s">
        <v>17</v>
      </c>
      <c r="C8" t="s">
        <v>18</v>
      </c>
      <c r="D8" t="s">
        <v>11</v>
      </c>
      <c r="E8" t="s">
        <v>12</v>
      </c>
      <c r="F8">
        <v>4.4000000000000004</v>
      </c>
      <c r="G8">
        <v>10490</v>
      </c>
      <c r="H8">
        <v>11990</v>
      </c>
      <c r="I8">
        <f>FlipkartTable[[#This Row],[Original Price]]-FlipkartTable[[#This Row],[Selling Price]]</f>
        <v>1500</v>
      </c>
      <c r="J8" s="4">
        <f>(FlipkartTable[[#This Row],[Original Price]]-FlipkartTable[[#This Row],[Selling Price]])/FlipkartTable[[#This Row],[Original Price]]</f>
        <v>0.12510425354462051</v>
      </c>
      <c r="K8">
        <f>(FlipkartTable[[#This Row],[Rating]]/FlipkartTable[[#This Row],[Selling Price]])*1000</f>
        <v>0.41944709246901818</v>
      </c>
      <c r="L8" t="str">
        <f>IF(FlipkartTable[[#This Row],[Selling Price]]&lt;15000,"Budget",IF(FlipkartTable[[#This Row],[Selling Price]]&lt;50000,"Mid Range","Premium"))</f>
        <v>Budget</v>
      </c>
      <c r="M8" t="str">
        <f>IF(FlipkartTable[[#This Row],[Rating]]&gt;4.5,"Excellent",IF(FlipkartTable[[#This Row],[Rating]]&gt;4,"Good",IF(FlipkartTable[[#This Row],[Rating]]&gt;3.5,"Average","Poor")))</f>
        <v>Good</v>
      </c>
    </row>
    <row r="9" spans="1:13" x14ac:dyDescent="0.35">
      <c r="A9" t="s">
        <v>8</v>
      </c>
      <c r="B9" s="9" t="s">
        <v>17</v>
      </c>
      <c r="C9" t="s">
        <v>19</v>
      </c>
      <c r="D9" t="s">
        <v>20</v>
      </c>
      <c r="E9" t="s">
        <v>21</v>
      </c>
      <c r="F9">
        <v>4.4000000000000004</v>
      </c>
      <c r="G9">
        <v>9490</v>
      </c>
      <c r="H9">
        <v>10990</v>
      </c>
      <c r="I9">
        <f>FlipkartTable[[#This Row],[Original Price]]-FlipkartTable[[#This Row],[Selling Price]]</f>
        <v>1500</v>
      </c>
      <c r="J9" s="4">
        <f>(FlipkartTable[[#This Row],[Original Price]]-FlipkartTable[[#This Row],[Selling Price]])/FlipkartTable[[#This Row],[Original Price]]</f>
        <v>0.13648771610555049</v>
      </c>
      <c r="K9">
        <f>(FlipkartTable[[#This Row],[Rating]]/FlipkartTable[[#This Row],[Selling Price]])*1000</f>
        <v>0.46364594309799789</v>
      </c>
      <c r="L9" t="str">
        <f>IF(FlipkartTable[[#This Row],[Selling Price]]&lt;15000,"Budget",IF(FlipkartTable[[#This Row],[Selling Price]]&lt;50000,"Mid Range","Premium"))</f>
        <v>Budget</v>
      </c>
      <c r="M9" t="str">
        <f>IF(FlipkartTable[[#This Row],[Rating]]&gt;4.5,"Excellent",IF(FlipkartTable[[#This Row],[Rating]]&gt;4,"Good",IF(FlipkartTable[[#This Row],[Rating]]&gt;3.5,"Average","Poor")))</f>
        <v>Good</v>
      </c>
    </row>
    <row r="10" spans="1:13" x14ac:dyDescent="0.35">
      <c r="A10" t="s">
        <v>8</v>
      </c>
      <c r="B10" s="9" t="s">
        <v>17</v>
      </c>
      <c r="C10" t="s">
        <v>22</v>
      </c>
      <c r="D10" t="s">
        <v>20</v>
      </c>
      <c r="E10" t="s">
        <v>21</v>
      </c>
      <c r="F10">
        <v>4.4000000000000004</v>
      </c>
      <c r="G10">
        <v>9490</v>
      </c>
      <c r="H10">
        <v>10990</v>
      </c>
      <c r="I10">
        <f>FlipkartTable[[#This Row],[Original Price]]-FlipkartTable[[#This Row],[Selling Price]]</f>
        <v>1500</v>
      </c>
      <c r="J10" s="4">
        <f>(FlipkartTable[[#This Row],[Original Price]]-FlipkartTable[[#This Row],[Selling Price]])/FlipkartTable[[#This Row],[Original Price]]</f>
        <v>0.13648771610555049</v>
      </c>
      <c r="K10">
        <f>(FlipkartTable[[#This Row],[Rating]]/FlipkartTable[[#This Row],[Selling Price]])*1000</f>
        <v>0.46364594309799789</v>
      </c>
      <c r="L10" t="str">
        <f>IF(FlipkartTable[[#This Row],[Selling Price]]&lt;15000,"Budget",IF(FlipkartTable[[#This Row],[Selling Price]]&lt;50000,"Mid Range","Premium"))</f>
        <v>Budget</v>
      </c>
      <c r="M10" t="str">
        <f>IF(FlipkartTable[[#This Row],[Rating]]&gt;4.5,"Excellent",IF(FlipkartTable[[#This Row],[Rating]]&gt;4,"Good",IF(FlipkartTable[[#This Row],[Rating]]&gt;3.5,"Average","Poor")))</f>
        <v>Good</v>
      </c>
    </row>
    <row r="11" spans="1:13" x14ac:dyDescent="0.35">
      <c r="A11" t="s">
        <v>8</v>
      </c>
      <c r="B11" s="9" t="s">
        <v>17</v>
      </c>
      <c r="C11" t="s">
        <v>23</v>
      </c>
      <c r="D11" t="s">
        <v>20</v>
      </c>
      <c r="E11" t="s">
        <v>21</v>
      </c>
      <c r="F11">
        <v>4.4000000000000004</v>
      </c>
      <c r="G11">
        <v>9490</v>
      </c>
      <c r="H11">
        <v>10990</v>
      </c>
      <c r="I11">
        <f>FlipkartTable[[#This Row],[Original Price]]-FlipkartTable[[#This Row],[Selling Price]]</f>
        <v>1500</v>
      </c>
      <c r="J11" s="4">
        <f>(FlipkartTable[[#This Row],[Original Price]]-FlipkartTable[[#This Row],[Selling Price]])/FlipkartTable[[#This Row],[Original Price]]</f>
        <v>0.13648771610555049</v>
      </c>
      <c r="K11">
        <f>(FlipkartTable[[#This Row],[Rating]]/FlipkartTable[[#This Row],[Selling Price]])*1000</f>
        <v>0.46364594309799789</v>
      </c>
      <c r="L11" t="str">
        <f>IF(FlipkartTable[[#This Row],[Selling Price]]&lt;15000,"Budget",IF(FlipkartTable[[#This Row],[Selling Price]]&lt;50000,"Mid Range","Premium"))</f>
        <v>Budget</v>
      </c>
      <c r="M11" t="str">
        <f>IF(FlipkartTable[[#This Row],[Rating]]&gt;4.5,"Excellent",IF(FlipkartTable[[#This Row],[Rating]]&gt;4,"Good",IF(FlipkartTable[[#This Row],[Rating]]&gt;3.5,"Average","Poor")))</f>
        <v>Good</v>
      </c>
    </row>
    <row r="12" spans="1:13" x14ac:dyDescent="0.35">
      <c r="A12" t="s">
        <v>8</v>
      </c>
      <c r="B12" s="9" t="s">
        <v>17</v>
      </c>
      <c r="C12" t="s">
        <v>18</v>
      </c>
      <c r="D12" t="s">
        <v>20</v>
      </c>
      <c r="E12" t="s">
        <v>21</v>
      </c>
      <c r="F12">
        <v>4.4000000000000004</v>
      </c>
      <c r="G12">
        <v>9490</v>
      </c>
      <c r="H12">
        <v>10990</v>
      </c>
      <c r="I12">
        <f>FlipkartTable[[#This Row],[Original Price]]-FlipkartTable[[#This Row],[Selling Price]]</f>
        <v>1500</v>
      </c>
      <c r="J12" s="4">
        <f>(FlipkartTable[[#This Row],[Original Price]]-FlipkartTable[[#This Row],[Selling Price]])/FlipkartTable[[#This Row],[Original Price]]</f>
        <v>0.13648771610555049</v>
      </c>
      <c r="K12">
        <f>(FlipkartTable[[#This Row],[Rating]]/FlipkartTable[[#This Row],[Selling Price]])*1000</f>
        <v>0.46364594309799789</v>
      </c>
      <c r="L12" t="str">
        <f>IF(FlipkartTable[[#This Row],[Selling Price]]&lt;15000,"Budget",IF(FlipkartTable[[#This Row],[Selling Price]]&lt;50000,"Mid Range","Premium"))</f>
        <v>Budget</v>
      </c>
      <c r="M12" t="str">
        <f>IF(FlipkartTable[[#This Row],[Rating]]&gt;4.5,"Excellent",IF(FlipkartTable[[#This Row],[Rating]]&gt;4,"Good",IF(FlipkartTable[[#This Row],[Rating]]&gt;3.5,"Average","Poor")))</f>
        <v>Good</v>
      </c>
    </row>
    <row r="13" spans="1:13" x14ac:dyDescent="0.35">
      <c r="A13" t="s">
        <v>8</v>
      </c>
      <c r="B13" s="9" t="s">
        <v>17</v>
      </c>
      <c r="C13" t="s">
        <v>23</v>
      </c>
      <c r="D13" t="s">
        <v>11</v>
      </c>
      <c r="E13" t="s">
        <v>12</v>
      </c>
      <c r="F13">
        <v>4.4000000000000004</v>
      </c>
      <c r="G13">
        <v>10490</v>
      </c>
      <c r="H13">
        <v>11990</v>
      </c>
      <c r="I13">
        <f>FlipkartTable[[#This Row],[Original Price]]-FlipkartTable[[#This Row],[Selling Price]]</f>
        <v>1500</v>
      </c>
      <c r="J13" s="4">
        <f>(FlipkartTable[[#This Row],[Original Price]]-FlipkartTable[[#This Row],[Selling Price]])/FlipkartTable[[#This Row],[Original Price]]</f>
        <v>0.12510425354462051</v>
      </c>
      <c r="K13">
        <f>(FlipkartTable[[#This Row],[Rating]]/FlipkartTable[[#This Row],[Selling Price]])*1000</f>
        <v>0.41944709246901818</v>
      </c>
      <c r="L13" t="str">
        <f>IF(FlipkartTable[[#This Row],[Selling Price]]&lt;15000,"Budget",IF(FlipkartTable[[#This Row],[Selling Price]]&lt;50000,"Mid Range","Premium"))</f>
        <v>Budget</v>
      </c>
      <c r="M13" t="str">
        <f>IF(FlipkartTable[[#This Row],[Rating]]&gt;4.5,"Excellent",IF(FlipkartTable[[#This Row],[Rating]]&gt;4,"Good",IF(FlipkartTable[[#This Row],[Rating]]&gt;3.5,"Average","Poor")))</f>
        <v>Good</v>
      </c>
    </row>
    <row r="14" spans="1:13" x14ac:dyDescent="0.35">
      <c r="A14" t="s">
        <v>8</v>
      </c>
      <c r="B14" s="9" t="s">
        <v>24</v>
      </c>
      <c r="C14" t="s">
        <v>25</v>
      </c>
      <c r="D14" t="s">
        <v>14</v>
      </c>
      <c r="E14" t="s">
        <v>15</v>
      </c>
      <c r="F14">
        <v>4.3</v>
      </c>
      <c r="G14">
        <v>15990</v>
      </c>
      <c r="H14">
        <v>16990</v>
      </c>
      <c r="I14">
        <f>FlipkartTable[[#This Row],[Original Price]]-FlipkartTable[[#This Row],[Selling Price]]</f>
        <v>1000</v>
      </c>
      <c r="J14" s="4">
        <f>(FlipkartTable[[#This Row],[Original Price]]-FlipkartTable[[#This Row],[Selling Price]])/FlipkartTable[[#This Row],[Original Price]]</f>
        <v>5.885815185403178E-2</v>
      </c>
      <c r="K14">
        <f>(FlipkartTable[[#This Row],[Rating]]/FlipkartTable[[#This Row],[Selling Price]])*1000</f>
        <v>0.26891807379612259</v>
      </c>
      <c r="L14" t="str">
        <f>IF(FlipkartTable[[#This Row],[Selling Price]]&lt;15000,"Budget",IF(FlipkartTable[[#This Row],[Selling Price]]&lt;50000,"Mid Range","Premium"))</f>
        <v>Mid Range</v>
      </c>
      <c r="M14" t="str">
        <f>IF(FlipkartTable[[#This Row],[Rating]]&gt;4.5,"Excellent",IF(FlipkartTable[[#This Row],[Rating]]&gt;4,"Good",IF(FlipkartTable[[#This Row],[Rating]]&gt;3.5,"Average","Poor")))</f>
        <v>Good</v>
      </c>
    </row>
    <row r="15" spans="1:13" x14ac:dyDescent="0.35">
      <c r="A15" t="s">
        <v>8</v>
      </c>
      <c r="B15" s="9" t="s">
        <v>24</v>
      </c>
      <c r="C15" t="s">
        <v>26</v>
      </c>
      <c r="D15" t="s">
        <v>14</v>
      </c>
      <c r="E15" t="s">
        <v>15</v>
      </c>
      <c r="F15">
        <v>4.3</v>
      </c>
      <c r="G15">
        <v>15990</v>
      </c>
      <c r="H15">
        <v>16990</v>
      </c>
      <c r="I15">
        <f>FlipkartTable[[#This Row],[Original Price]]-FlipkartTable[[#This Row],[Selling Price]]</f>
        <v>1000</v>
      </c>
      <c r="J15" s="4">
        <f>(FlipkartTable[[#This Row],[Original Price]]-FlipkartTable[[#This Row],[Selling Price]])/FlipkartTable[[#This Row],[Original Price]]</f>
        <v>5.885815185403178E-2</v>
      </c>
      <c r="K15">
        <f>(FlipkartTable[[#This Row],[Rating]]/FlipkartTable[[#This Row],[Selling Price]])*1000</f>
        <v>0.26891807379612259</v>
      </c>
      <c r="L15" t="str">
        <f>IF(FlipkartTable[[#This Row],[Selling Price]]&lt;15000,"Budget",IF(FlipkartTable[[#This Row],[Selling Price]]&lt;50000,"Mid Range","Premium"))</f>
        <v>Mid Range</v>
      </c>
      <c r="M15" t="str">
        <f>IF(FlipkartTable[[#This Row],[Rating]]&gt;4.5,"Excellent",IF(FlipkartTable[[#This Row],[Rating]]&gt;4,"Good",IF(FlipkartTable[[#This Row],[Rating]]&gt;3.5,"Average","Poor")))</f>
        <v>Good</v>
      </c>
    </row>
    <row r="16" spans="1:13" x14ac:dyDescent="0.35">
      <c r="A16" t="s">
        <v>8</v>
      </c>
      <c r="B16" s="9" t="s">
        <v>17</v>
      </c>
      <c r="C16" t="s">
        <v>22</v>
      </c>
      <c r="D16" t="s">
        <v>11</v>
      </c>
      <c r="E16" t="s">
        <v>12</v>
      </c>
      <c r="F16">
        <v>4.4000000000000004</v>
      </c>
      <c r="G16">
        <v>10490</v>
      </c>
      <c r="H16">
        <v>11990</v>
      </c>
      <c r="I16">
        <f>FlipkartTable[[#This Row],[Original Price]]-FlipkartTable[[#This Row],[Selling Price]]</f>
        <v>1500</v>
      </c>
      <c r="J16" s="4">
        <f>(FlipkartTable[[#This Row],[Original Price]]-FlipkartTable[[#This Row],[Selling Price]])/FlipkartTable[[#This Row],[Original Price]]</f>
        <v>0.12510425354462051</v>
      </c>
      <c r="K16">
        <f>(FlipkartTable[[#This Row],[Rating]]/FlipkartTable[[#This Row],[Selling Price]])*1000</f>
        <v>0.41944709246901818</v>
      </c>
      <c r="L16" t="str">
        <f>IF(FlipkartTable[[#This Row],[Selling Price]]&lt;15000,"Budget",IF(FlipkartTable[[#This Row],[Selling Price]]&lt;50000,"Mid Range","Premium"))</f>
        <v>Budget</v>
      </c>
      <c r="M16" t="str">
        <f>IF(FlipkartTable[[#This Row],[Rating]]&gt;4.5,"Excellent",IF(FlipkartTable[[#This Row],[Rating]]&gt;4,"Good",IF(FlipkartTable[[#This Row],[Rating]]&gt;3.5,"Average","Poor")))</f>
        <v>Good</v>
      </c>
    </row>
    <row r="17" spans="1:13" x14ac:dyDescent="0.35">
      <c r="A17" t="s">
        <v>8</v>
      </c>
      <c r="B17" s="9" t="s">
        <v>24</v>
      </c>
      <c r="C17" t="s">
        <v>25</v>
      </c>
      <c r="D17" t="s">
        <v>27</v>
      </c>
      <c r="E17" t="s">
        <v>15</v>
      </c>
      <c r="F17">
        <v>4.3</v>
      </c>
      <c r="G17">
        <v>17990</v>
      </c>
      <c r="H17">
        <v>18990</v>
      </c>
      <c r="I17">
        <f>FlipkartTable[[#This Row],[Original Price]]-FlipkartTable[[#This Row],[Selling Price]]</f>
        <v>1000</v>
      </c>
      <c r="J17" s="4">
        <f>(FlipkartTable[[#This Row],[Original Price]]-FlipkartTable[[#This Row],[Selling Price]])/FlipkartTable[[#This Row],[Original Price]]</f>
        <v>5.2659294365455502E-2</v>
      </c>
      <c r="K17">
        <f>(FlipkartTable[[#This Row],[Rating]]/FlipkartTable[[#This Row],[Selling Price]])*1000</f>
        <v>0.23902167871039465</v>
      </c>
      <c r="L17" t="str">
        <f>IF(FlipkartTable[[#This Row],[Selling Price]]&lt;15000,"Budget",IF(FlipkartTable[[#This Row],[Selling Price]]&lt;50000,"Mid Range","Premium"))</f>
        <v>Mid Range</v>
      </c>
      <c r="M17" t="str">
        <f>IF(FlipkartTable[[#This Row],[Rating]]&gt;4.5,"Excellent",IF(FlipkartTable[[#This Row],[Rating]]&gt;4,"Good",IF(FlipkartTable[[#This Row],[Rating]]&gt;3.5,"Average","Poor")))</f>
        <v>Good</v>
      </c>
    </row>
    <row r="18" spans="1:13" x14ac:dyDescent="0.35">
      <c r="A18" t="s">
        <v>8</v>
      </c>
      <c r="B18" s="9" t="s">
        <v>24</v>
      </c>
      <c r="C18" t="s">
        <v>26</v>
      </c>
      <c r="D18" t="s">
        <v>27</v>
      </c>
      <c r="E18" t="s">
        <v>15</v>
      </c>
      <c r="F18">
        <v>4.3</v>
      </c>
      <c r="G18">
        <v>17990</v>
      </c>
      <c r="H18">
        <v>18990</v>
      </c>
      <c r="I18">
        <f>FlipkartTable[[#This Row],[Original Price]]-FlipkartTable[[#This Row],[Selling Price]]</f>
        <v>1000</v>
      </c>
      <c r="J18" s="4">
        <f>(FlipkartTable[[#This Row],[Original Price]]-FlipkartTable[[#This Row],[Selling Price]])/FlipkartTable[[#This Row],[Original Price]]</f>
        <v>5.2659294365455502E-2</v>
      </c>
      <c r="K18">
        <f>(FlipkartTable[[#This Row],[Rating]]/FlipkartTable[[#This Row],[Selling Price]])*1000</f>
        <v>0.23902167871039465</v>
      </c>
      <c r="L18" t="str">
        <f>IF(FlipkartTable[[#This Row],[Selling Price]]&lt;15000,"Budget",IF(FlipkartTable[[#This Row],[Selling Price]]&lt;50000,"Mid Range","Premium"))</f>
        <v>Mid Range</v>
      </c>
      <c r="M18" t="str">
        <f>IF(FlipkartTable[[#This Row],[Rating]]&gt;4.5,"Excellent",IF(FlipkartTable[[#This Row],[Rating]]&gt;4,"Good",IF(FlipkartTable[[#This Row],[Rating]]&gt;3.5,"Average","Poor")))</f>
        <v>Good</v>
      </c>
    </row>
    <row r="19" spans="1:13" x14ac:dyDescent="0.35">
      <c r="A19" t="s">
        <v>8</v>
      </c>
      <c r="B19" s="9" t="s">
        <v>28</v>
      </c>
      <c r="C19" t="s">
        <v>10</v>
      </c>
      <c r="D19" t="s">
        <v>20</v>
      </c>
      <c r="E19" t="s">
        <v>21</v>
      </c>
      <c r="F19">
        <v>4.3</v>
      </c>
      <c r="G19">
        <v>10490</v>
      </c>
      <c r="H19">
        <v>12990</v>
      </c>
      <c r="I19">
        <f>FlipkartTable[[#This Row],[Original Price]]-FlipkartTable[[#This Row],[Selling Price]]</f>
        <v>2500</v>
      </c>
      <c r="J19" s="4">
        <f>(FlipkartTable[[#This Row],[Original Price]]-FlipkartTable[[#This Row],[Selling Price]])/FlipkartTable[[#This Row],[Original Price]]</f>
        <v>0.19245573518090839</v>
      </c>
      <c r="K19">
        <f>(FlipkartTable[[#This Row],[Rating]]/FlipkartTable[[#This Row],[Selling Price]])*1000</f>
        <v>0.40991420400381312</v>
      </c>
      <c r="L19" t="str">
        <f>IF(FlipkartTable[[#This Row],[Selling Price]]&lt;15000,"Budget",IF(FlipkartTable[[#This Row],[Selling Price]]&lt;50000,"Mid Range","Premium"))</f>
        <v>Budget</v>
      </c>
      <c r="M19" t="str">
        <f>IF(FlipkartTable[[#This Row],[Rating]]&gt;4.5,"Excellent",IF(FlipkartTable[[#This Row],[Rating]]&gt;4,"Good",IF(FlipkartTable[[#This Row],[Rating]]&gt;3.5,"Average","Poor")))</f>
        <v>Good</v>
      </c>
    </row>
    <row r="20" spans="1:13" x14ac:dyDescent="0.35">
      <c r="A20" t="s">
        <v>8</v>
      </c>
      <c r="B20" s="9" t="s">
        <v>29</v>
      </c>
      <c r="C20" t="s">
        <v>30</v>
      </c>
      <c r="D20" t="s">
        <v>11</v>
      </c>
      <c r="E20" t="s">
        <v>12</v>
      </c>
      <c r="F20">
        <v>4.3</v>
      </c>
      <c r="G20">
        <v>11960</v>
      </c>
      <c r="H20">
        <v>12990</v>
      </c>
      <c r="I20">
        <f>FlipkartTable[[#This Row],[Original Price]]-FlipkartTable[[#This Row],[Selling Price]]</f>
        <v>1030</v>
      </c>
      <c r="J20" s="4">
        <f>(FlipkartTable[[#This Row],[Original Price]]-FlipkartTable[[#This Row],[Selling Price]])/FlipkartTable[[#This Row],[Original Price]]</f>
        <v>7.9291762894534254E-2</v>
      </c>
      <c r="K20">
        <f>(FlipkartTable[[#This Row],[Rating]]/FlipkartTable[[#This Row],[Selling Price]])*1000</f>
        <v>0.35953177257525082</v>
      </c>
      <c r="L20" t="str">
        <f>IF(FlipkartTable[[#This Row],[Selling Price]]&lt;15000,"Budget",IF(FlipkartTable[[#This Row],[Selling Price]]&lt;50000,"Mid Range","Premium"))</f>
        <v>Budget</v>
      </c>
      <c r="M20" t="str">
        <f>IF(FlipkartTable[[#This Row],[Rating]]&gt;4.5,"Excellent",IF(FlipkartTable[[#This Row],[Rating]]&gt;4,"Good",IF(FlipkartTable[[#This Row],[Rating]]&gt;3.5,"Average","Poor")))</f>
        <v>Good</v>
      </c>
    </row>
    <row r="21" spans="1:13" x14ac:dyDescent="0.35">
      <c r="A21" t="s">
        <v>8</v>
      </c>
      <c r="B21" s="9" t="s">
        <v>29</v>
      </c>
      <c r="C21" t="s">
        <v>31</v>
      </c>
      <c r="D21" t="s">
        <v>11</v>
      </c>
      <c r="E21" t="s">
        <v>12</v>
      </c>
      <c r="F21">
        <v>4.3</v>
      </c>
      <c r="G21">
        <v>11779</v>
      </c>
      <c r="H21">
        <v>11919</v>
      </c>
      <c r="I21">
        <f>FlipkartTable[[#This Row],[Original Price]]-FlipkartTable[[#This Row],[Selling Price]]</f>
        <v>140</v>
      </c>
      <c r="J21" s="4">
        <f>(FlipkartTable[[#This Row],[Original Price]]-FlipkartTable[[#This Row],[Selling Price]])/FlipkartTable[[#This Row],[Original Price]]</f>
        <v>1.1745951841597449E-2</v>
      </c>
      <c r="K21">
        <f>(FlipkartTable[[#This Row],[Rating]]/FlipkartTable[[#This Row],[Selling Price]])*1000</f>
        <v>0.36505645640546736</v>
      </c>
      <c r="L21" t="str">
        <f>IF(FlipkartTable[[#This Row],[Selling Price]]&lt;15000,"Budget",IF(FlipkartTable[[#This Row],[Selling Price]]&lt;50000,"Mid Range","Premium"))</f>
        <v>Budget</v>
      </c>
      <c r="M21" t="str">
        <f>IF(FlipkartTable[[#This Row],[Rating]]&gt;4.5,"Excellent",IF(FlipkartTable[[#This Row],[Rating]]&gt;4,"Good",IF(FlipkartTable[[#This Row],[Rating]]&gt;3.5,"Average","Poor")))</f>
        <v>Good</v>
      </c>
    </row>
    <row r="22" spans="1:13" x14ac:dyDescent="0.35">
      <c r="A22" t="s">
        <v>8</v>
      </c>
      <c r="B22" s="9" t="s">
        <v>32</v>
      </c>
      <c r="C22" t="s">
        <v>33</v>
      </c>
      <c r="D22" t="s">
        <v>14</v>
      </c>
      <c r="E22" t="s">
        <v>15</v>
      </c>
      <c r="F22">
        <v>4.3</v>
      </c>
      <c r="G22">
        <v>18979</v>
      </c>
      <c r="H22">
        <v>18979</v>
      </c>
      <c r="I22">
        <f>FlipkartTable[[#This Row],[Original Price]]-FlipkartTable[[#This Row],[Selling Price]]</f>
        <v>0</v>
      </c>
      <c r="J22" s="4">
        <f>(FlipkartTable[[#This Row],[Original Price]]-FlipkartTable[[#This Row],[Selling Price]])/FlipkartTable[[#This Row],[Original Price]]</f>
        <v>0</v>
      </c>
      <c r="K22">
        <f>(FlipkartTable[[#This Row],[Rating]]/FlipkartTable[[#This Row],[Selling Price]])*1000</f>
        <v>0.22656620475262132</v>
      </c>
      <c r="L22" t="str">
        <f>IF(FlipkartTable[[#This Row],[Selling Price]]&lt;15000,"Budget",IF(FlipkartTable[[#This Row],[Selling Price]]&lt;50000,"Mid Range","Premium"))</f>
        <v>Mid Range</v>
      </c>
      <c r="M22" t="str">
        <f>IF(FlipkartTable[[#This Row],[Rating]]&gt;4.5,"Excellent",IF(FlipkartTable[[#This Row],[Rating]]&gt;4,"Good",IF(FlipkartTable[[#This Row],[Rating]]&gt;3.5,"Average","Poor")))</f>
        <v>Good</v>
      </c>
    </row>
    <row r="23" spans="1:13" x14ac:dyDescent="0.35">
      <c r="A23" t="s">
        <v>8</v>
      </c>
      <c r="B23" s="9" t="s">
        <v>34</v>
      </c>
      <c r="C23" t="s">
        <v>23</v>
      </c>
      <c r="D23" t="s">
        <v>35</v>
      </c>
      <c r="E23" t="s">
        <v>21</v>
      </c>
      <c r="F23">
        <v>4.2</v>
      </c>
      <c r="G23">
        <v>8990</v>
      </c>
      <c r="H23">
        <v>10990</v>
      </c>
      <c r="I23">
        <f>FlipkartTable[[#This Row],[Original Price]]-FlipkartTable[[#This Row],[Selling Price]]</f>
        <v>2000</v>
      </c>
      <c r="J23" s="4">
        <f>(FlipkartTable[[#This Row],[Original Price]]-FlipkartTable[[#This Row],[Selling Price]])/FlipkartTable[[#This Row],[Original Price]]</f>
        <v>0.18198362147406733</v>
      </c>
      <c r="K23">
        <f>(FlipkartTable[[#This Row],[Rating]]/FlipkartTable[[#This Row],[Selling Price]])*1000</f>
        <v>0.46718576195773087</v>
      </c>
      <c r="L23" t="str">
        <f>IF(FlipkartTable[[#This Row],[Selling Price]]&lt;15000,"Budget",IF(FlipkartTable[[#This Row],[Selling Price]]&lt;50000,"Mid Range","Premium"))</f>
        <v>Budget</v>
      </c>
      <c r="M23" t="str">
        <f>IF(FlipkartTable[[#This Row],[Rating]]&gt;4.5,"Excellent",IF(FlipkartTable[[#This Row],[Rating]]&gt;4,"Good",IF(FlipkartTable[[#This Row],[Rating]]&gt;3.5,"Average","Poor")))</f>
        <v>Good</v>
      </c>
    </row>
    <row r="24" spans="1:13" x14ac:dyDescent="0.35">
      <c r="A24" t="s">
        <v>8</v>
      </c>
      <c r="B24" s="9" t="s">
        <v>36</v>
      </c>
      <c r="C24" t="s">
        <v>37</v>
      </c>
      <c r="D24" t="s">
        <v>27</v>
      </c>
      <c r="E24" t="s">
        <v>15</v>
      </c>
      <c r="F24">
        <v>4.3</v>
      </c>
      <c r="G24">
        <v>19990</v>
      </c>
      <c r="H24">
        <v>25990</v>
      </c>
      <c r="I24">
        <f>FlipkartTable[[#This Row],[Original Price]]-FlipkartTable[[#This Row],[Selling Price]]</f>
        <v>6000</v>
      </c>
      <c r="J24" s="4">
        <f>(FlipkartTable[[#This Row],[Original Price]]-FlipkartTable[[#This Row],[Selling Price]])/FlipkartTable[[#This Row],[Original Price]]</f>
        <v>0.2308580223162755</v>
      </c>
      <c r="K24">
        <f>(FlipkartTable[[#This Row],[Rating]]/FlipkartTable[[#This Row],[Selling Price]])*1000</f>
        <v>0.21510755377688845</v>
      </c>
      <c r="L24" t="str">
        <f>IF(FlipkartTable[[#This Row],[Selling Price]]&lt;15000,"Budget",IF(FlipkartTable[[#This Row],[Selling Price]]&lt;50000,"Mid Range","Premium"))</f>
        <v>Mid Range</v>
      </c>
      <c r="M24" t="str">
        <f>IF(FlipkartTable[[#This Row],[Rating]]&gt;4.5,"Excellent",IF(FlipkartTable[[#This Row],[Rating]]&gt;4,"Good",IF(FlipkartTable[[#This Row],[Rating]]&gt;3.5,"Average","Poor")))</f>
        <v>Good</v>
      </c>
    </row>
    <row r="25" spans="1:13" x14ac:dyDescent="0.35">
      <c r="A25" t="s">
        <v>8</v>
      </c>
      <c r="B25" s="9" t="s">
        <v>38</v>
      </c>
      <c r="C25" t="s">
        <v>39</v>
      </c>
      <c r="D25" t="s">
        <v>11</v>
      </c>
      <c r="E25" t="s">
        <v>15</v>
      </c>
      <c r="F25">
        <v>4.3</v>
      </c>
      <c r="G25">
        <v>15990</v>
      </c>
      <c r="H25">
        <v>15990</v>
      </c>
      <c r="I25">
        <f>FlipkartTable[[#This Row],[Original Price]]-FlipkartTable[[#This Row],[Selling Price]]</f>
        <v>0</v>
      </c>
      <c r="J25" s="4">
        <f>(FlipkartTable[[#This Row],[Original Price]]-FlipkartTable[[#This Row],[Selling Price]])/FlipkartTable[[#This Row],[Original Price]]</f>
        <v>0</v>
      </c>
      <c r="K25">
        <f>(FlipkartTable[[#This Row],[Rating]]/FlipkartTable[[#This Row],[Selling Price]])*1000</f>
        <v>0.26891807379612259</v>
      </c>
      <c r="L25" t="str">
        <f>IF(FlipkartTable[[#This Row],[Selling Price]]&lt;15000,"Budget",IF(FlipkartTable[[#This Row],[Selling Price]]&lt;50000,"Mid Range","Premium"))</f>
        <v>Mid Range</v>
      </c>
      <c r="M25" t="str">
        <f>IF(FlipkartTable[[#This Row],[Rating]]&gt;4.5,"Excellent",IF(FlipkartTable[[#This Row],[Rating]]&gt;4,"Good",IF(FlipkartTable[[#This Row],[Rating]]&gt;3.5,"Average","Poor")))</f>
        <v>Good</v>
      </c>
    </row>
    <row r="26" spans="1:13" x14ac:dyDescent="0.35">
      <c r="A26" t="s">
        <v>8</v>
      </c>
      <c r="B26" s="9" t="s">
        <v>38</v>
      </c>
      <c r="C26" t="s">
        <v>39</v>
      </c>
      <c r="D26" t="s">
        <v>11</v>
      </c>
      <c r="E26" t="s">
        <v>12</v>
      </c>
      <c r="F26">
        <v>4.3</v>
      </c>
      <c r="G26">
        <v>14990</v>
      </c>
      <c r="H26">
        <v>14990</v>
      </c>
      <c r="I26">
        <f>FlipkartTable[[#This Row],[Original Price]]-FlipkartTable[[#This Row],[Selling Price]]</f>
        <v>0</v>
      </c>
      <c r="J26" s="4">
        <f>(FlipkartTable[[#This Row],[Original Price]]-FlipkartTable[[#This Row],[Selling Price]])/FlipkartTable[[#This Row],[Original Price]]</f>
        <v>0</v>
      </c>
      <c r="K26">
        <f>(FlipkartTable[[#This Row],[Rating]]/FlipkartTable[[#This Row],[Selling Price]])*1000</f>
        <v>0.28685790527018012</v>
      </c>
      <c r="L26" t="str">
        <f>IF(FlipkartTable[[#This Row],[Selling Price]]&lt;15000,"Budget",IF(FlipkartTable[[#This Row],[Selling Price]]&lt;50000,"Mid Range","Premium"))</f>
        <v>Budget</v>
      </c>
      <c r="M26" t="str">
        <f>IF(FlipkartTable[[#This Row],[Rating]]&gt;4.5,"Excellent",IF(FlipkartTable[[#This Row],[Rating]]&gt;4,"Good",IF(FlipkartTable[[#This Row],[Rating]]&gt;3.5,"Average","Poor")))</f>
        <v>Good</v>
      </c>
    </row>
    <row r="27" spans="1:13" x14ac:dyDescent="0.35">
      <c r="A27" t="s">
        <v>8</v>
      </c>
      <c r="B27" s="9" t="s">
        <v>40</v>
      </c>
      <c r="C27" t="s">
        <v>41</v>
      </c>
      <c r="D27" t="s">
        <v>27</v>
      </c>
      <c r="E27" t="s">
        <v>15</v>
      </c>
      <c r="F27">
        <v>4.3</v>
      </c>
      <c r="G27">
        <v>29990</v>
      </c>
      <c r="H27">
        <v>35990</v>
      </c>
      <c r="I27">
        <f>FlipkartTable[[#This Row],[Original Price]]-FlipkartTable[[#This Row],[Selling Price]]</f>
        <v>6000</v>
      </c>
      <c r="J27" s="4">
        <f>(FlipkartTable[[#This Row],[Original Price]]-FlipkartTable[[#This Row],[Selling Price]])/FlipkartTable[[#This Row],[Original Price]]</f>
        <v>0.16671297582661851</v>
      </c>
      <c r="K27">
        <f>(FlipkartTable[[#This Row],[Rating]]/FlipkartTable[[#This Row],[Selling Price]])*1000</f>
        <v>0.14338112704234743</v>
      </c>
      <c r="L27" t="str">
        <f>IF(FlipkartTable[[#This Row],[Selling Price]]&lt;15000,"Budget",IF(FlipkartTable[[#This Row],[Selling Price]]&lt;50000,"Mid Range","Premium"))</f>
        <v>Mid Range</v>
      </c>
      <c r="M27" t="str">
        <f>IF(FlipkartTable[[#This Row],[Rating]]&gt;4.5,"Excellent",IF(FlipkartTable[[#This Row],[Rating]]&gt;4,"Good",IF(FlipkartTable[[#This Row],[Rating]]&gt;3.5,"Average","Poor")))</f>
        <v>Good</v>
      </c>
    </row>
    <row r="28" spans="1:13" x14ac:dyDescent="0.35">
      <c r="A28" t="s">
        <v>8</v>
      </c>
      <c r="B28" s="9" t="s">
        <v>40</v>
      </c>
      <c r="C28" t="s">
        <v>42</v>
      </c>
      <c r="D28" t="s">
        <v>27</v>
      </c>
      <c r="E28" t="s">
        <v>15</v>
      </c>
      <c r="F28">
        <v>4.3</v>
      </c>
      <c r="G28">
        <v>29990</v>
      </c>
      <c r="H28">
        <v>35990</v>
      </c>
      <c r="I28">
        <f>FlipkartTable[[#This Row],[Original Price]]-FlipkartTable[[#This Row],[Selling Price]]</f>
        <v>6000</v>
      </c>
      <c r="J28" s="4">
        <f>(FlipkartTable[[#This Row],[Original Price]]-FlipkartTable[[#This Row],[Selling Price]])/FlipkartTable[[#This Row],[Original Price]]</f>
        <v>0.16671297582661851</v>
      </c>
      <c r="K28">
        <f>(FlipkartTable[[#This Row],[Rating]]/FlipkartTable[[#This Row],[Selling Price]])*1000</f>
        <v>0.14338112704234743</v>
      </c>
      <c r="L28" t="str">
        <f>IF(FlipkartTable[[#This Row],[Selling Price]]&lt;15000,"Budget",IF(FlipkartTable[[#This Row],[Selling Price]]&lt;50000,"Mid Range","Premium"))</f>
        <v>Mid Range</v>
      </c>
      <c r="M28" t="str">
        <f>IF(FlipkartTable[[#This Row],[Rating]]&gt;4.5,"Excellent",IF(FlipkartTable[[#This Row],[Rating]]&gt;4,"Good",IF(FlipkartTable[[#This Row],[Rating]]&gt;3.5,"Average","Poor")))</f>
        <v>Good</v>
      </c>
    </row>
    <row r="29" spans="1:13" x14ac:dyDescent="0.35">
      <c r="A29" t="s">
        <v>8</v>
      </c>
      <c r="B29" s="9" t="s">
        <v>36</v>
      </c>
      <c r="C29" t="s">
        <v>43</v>
      </c>
      <c r="D29" t="s">
        <v>27</v>
      </c>
      <c r="E29" t="s">
        <v>15</v>
      </c>
      <c r="F29">
        <v>4.3</v>
      </c>
      <c r="G29">
        <v>19990</v>
      </c>
      <c r="H29">
        <v>25990</v>
      </c>
      <c r="I29">
        <f>FlipkartTable[[#This Row],[Original Price]]-FlipkartTable[[#This Row],[Selling Price]]</f>
        <v>6000</v>
      </c>
      <c r="J29" s="4">
        <f>(FlipkartTable[[#This Row],[Original Price]]-FlipkartTable[[#This Row],[Selling Price]])/FlipkartTable[[#This Row],[Original Price]]</f>
        <v>0.2308580223162755</v>
      </c>
      <c r="K29">
        <f>(FlipkartTable[[#This Row],[Rating]]/FlipkartTable[[#This Row],[Selling Price]])*1000</f>
        <v>0.21510755377688845</v>
      </c>
      <c r="L29" t="str">
        <f>IF(FlipkartTable[[#This Row],[Selling Price]]&lt;15000,"Budget",IF(FlipkartTable[[#This Row],[Selling Price]]&lt;50000,"Mid Range","Premium"))</f>
        <v>Mid Range</v>
      </c>
      <c r="M29" t="str">
        <f>IF(FlipkartTable[[#This Row],[Rating]]&gt;4.5,"Excellent",IF(FlipkartTable[[#This Row],[Rating]]&gt;4,"Good",IF(FlipkartTable[[#This Row],[Rating]]&gt;3.5,"Average","Poor")))</f>
        <v>Good</v>
      </c>
    </row>
    <row r="30" spans="1:13" x14ac:dyDescent="0.35">
      <c r="A30" t="s">
        <v>8</v>
      </c>
      <c r="B30" s="9" t="s">
        <v>38</v>
      </c>
      <c r="C30" t="s">
        <v>44</v>
      </c>
      <c r="D30" t="s">
        <v>11</v>
      </c>
      <c r="E30" t="s">
        <v>12</v>
      </c>
      <c r="F30">
        <v>4.3</v>
      </c>
      <c r="G30">
        <v>14990</v>
      </c>
      <c r="H30">
        <v>14990</v>
      </c>
      <c r="I30">
        <f>FlipkartTable[[#This Row],[Original Price]]-FlipkartTable[[#This Row],[Selling Price]]</f>
        <v>0</v>
      </c>
      <c r="J30" s="4">
        <f>(FlipkartTable[[#This Row],[Original Price]]-FlipkartTable[[#This Row],[Selling Price]])/FlipkartTable[[#This Row],[Original Price]]</f>
        <v>0</v>
      </c>
      <c r="K30">
        <f>(FlipkartTable[[#This Row],[Rating]]/FlipkartTable[[#This Row],[Selling Price]])*1000</f>
        <v>0.28685790527018012</v>
      </c>
      <c r="L30" t="str">
        <f>IF(FlipkartTable[[#This Row],[Selling Price]]&lt;15000,"Budget",IF(FlipkartTable[[#This Row],[Selling Price]]&lt;50000,"Mid Range","Premium"))</f>
        <v>Budget</v>
      </c>
      <c r="M30" t="str">
        <f>IF(FlipkartTable[[#This Row],[Rating]]&gt;4.5,"Excellent",IF(FlipkartTable[[#This Row],[Rating]]&gt;4,"Good",IF(FlipkartTable[[#This Row],[Rating]]&gt;3.5,"Average","Poor")))</f>
        <v>Good</v>
      </c>
    </row>
    <row r="31" spans="1:13" x14ac:dyDescent="0.35">
      <c r="A31" t="s">
        <v>8</v>
      </c>
      <c r="B31" s="9" t="s">
        <v>38</v>
      </c>
      <c r="C31" t="s">
        <v>44</v>
      </c>
      <c r="D31" t="s">
        <v>11</v>
      </c>
      <c r="E31" t="s">
        <v>15</v>
      </c>
      <c r="F31">
        <v>4.3</v>
      </c>
      <c r="G31">
        <v>15990</v>
      </c>
      <c r="H31">
        <v>15990</v>
      </c>
      <c r="I31">
        <f>FlipkartTable[[#This Row],[Original Price]]-FlipkartTable[[#This Row],[Selling Price]]</f>
        <v>0</v>
      </c>
      <c r="J31" s="4">
        <f>(FlipkartTable[[#This Row],[Original Price]]-FlipkartTable[[#This Row],[Selling Price]])/FlipkartTable[[#This Row],[Original Price]]</f>
        <v>0</v>
      </c>
      <c r="K31">
        <f>(FlipkartTable[[#This Row],[Rating]]/FlipkartTable[[#This Row],[Selling Price]])*1000</f>
        <v>0.26891807379612259</v>
      </c>
      <c r="L31" t="str">
        <f>IF(FlipkartTable[[#This Row],[Selling Price]]&lt;15000,"Budget",IF(FlipkartTable[[#This Row],[Selling Price]]&lt;50000,"Mid Range","Premium"))</f>
        <v>Mid Range</v>
      </c>
      <c r="M31" t="str">
        <f>IF(FlipkartTable[[#This Row],[Rating]]&gt;4.5,"Excellent",IF(FlipkartTable[[#This Row],[Rating]]&gt;4,"Good",IF(FlipkartTable[[#This Row],[Rating]]&gt;3.5,"Average","Poor")))</f>
        <v>Good</v>
      </c>
    </row>
    <row r="32" spans="1:13" x14ac:dyDescent="0.35">
      <c r="A32" t="s">
        <v>8</v>
      </c>
      <c r="B32" s="9" t="s">
        <v>38</v>
      </c>
      <c r="C32" t="s">
        <v>39</v>
      </c>
      <c r="D32" t="s">
        <v>14</v>
      </c>
      <c r="E32" t="s">
        <v>15</v>
      </c>
      <c r="F32">
        <v>4.3</v>
      </c>
      <c r="G32">
        <v>16990</v>
      </c>
      <c r="H32">
        <v>17990</v>
      </c>
      <c r="I32">
        <f>FlipkartTable[[#This Row],[Original Price]]-FlipkartTable[[#This Row],[Selling Price]]</f>
        <v>1000</v>
      </c>
      <c r="J32" s="4">
        <f>(FlipkartTable[[#This Row],[Original Price]]-FlipkartTable[[#This Row],[Selling Price]])/FlipkartTable[[#This Row],[Original Price]]</f>
        <v>5.5586436909394105E-2</v>
      </c>
      <c r="K32">
        <f>(FlipkartTable[[#This Row],[Rating]]/FlipkartTable[[#This Row],[Selling Price]])*1000</f>
        <v>0.25309005297233667</v>
      </c>
      <c r="L32" t="str">
        <f>IF(FlipkartTable[[#This Row],[Selling Price]]&lt;15000,"Budget",IF(FlipkartTable[[#This Row],[Selling Price]]&lt;50000,"Mid Range","Premium"))</f>
        <v>Mid Range</v>
      </c>
      <c r="M32" t="str">
        <f>IF(FlipkartTable[[#This Row],[Rating]]&gt;4.5,"Excellent",IF(FlipkartTable[[#This Row],[Rating]]&gt;4,"Good",IF(FlipkartTable[[#This Row],[Rating]]&gt;3.5,"Average","Poor")))</f>
        <v>Good</v>
      </c>
    </row>
    <row r="33" spans="1:13" x14ac:dyDescent="0.35">
      <c r="A33" t="s">
        <v>8</v>
      </c>
      <c r="B33" s="9" t="s">
        <v>38</v>
      </c>
      <c r="C33" t="s">
        <v>44</v>
      </c>
      <c r="D33" t="s">
        <v>14</v>
      </c>
      <c r="E33" t="s">
        <v>15</v>
      </c>
      <c r="F33">
        <v>4.3</v>
      </c>
      <c r="G33">
        <v>16990</v>
      </c>
      <c r="H33">
        <v>17990</v>
      </c>
      <c r="I33">
        <f>FlipkartTable[[#This Row],[Original Price]]-FlipkartTable[[#This Row],[Selling Price]]</f>
        <v>1000</v>
      </c>
      <c r="J33" s="4">
        <f>(FlipkartTable[[#This Row],[Original Price]]-FlipkartTable[[#This Row],[Selling Price]])/FlipkartTable[[#This Row],[Original Price]]</f>
        <v>5.5586436909394105E-2</v>
      </c>
      <c r="K33">
        <f>(FlipkartTable[[#This Row],[Rating]]/FlipkartTable[[#This Row],[Selling Price]])*1000</f>
        <v>0.25309005297233667</v>
      </c>
      <c r="L33" t="str">
        <f>IF(FlipkartTable[[#This Row],[Selling Price]]&lt;15000,"Budget",IF(FlipkartTable[[#This Row],[Selling Price]]&lt;50000,"Mid Range","Premium"))</f>
        <v>Mid Range</v>
      </c>
      <c r="M33" t="str">
        <f>IF(FlipkartTable[[#This Row],[Rating]]&gt;4.5,"Excellent",IF(FlipkartTable[[#This Row],[Rating]]&gt;4,"Good",IF(FlipkartTable[[#This Row],[Rating]]&gt;3.5,"Average","Poor")))</f>
        <v>Good</v>
      </c>
    </row>
    <row r="34" spans="1:13" x14ac:dyDescent="0.35">
      <c r="A34" t="s">
        <v>8</v>
      </c>
      <c r="B34" s="9" t="s">
        <v>38</v>
      </c>
      <c r="C34" t="s">
        <v>45</v>
      </c>
      <c r="D34" t="s">
        <v>11</v>
      </c>
      <c r="E34" t="s">
        <v>12</v>
      </c>
      <c r="F34">
        <v>4.3</v>
      </c>
      <c r="G34">
        <v>14990</v>
      </c>
      <c r="H34">
        <v>14990</v>
      </c>
      <c r="I34">
        <f>FlipkartTable[[#This Row],[Original Price]]-FlipkartTable[[#This Row],[Selling Price]]</f>
        <v>0</v>
      </c>
      <c r="J34" s="4">
        <f>(FlipkartTable[[#This Row],[Original Price]]-FlipkartTable[[#This Row],[Selling Price]])/FlipkartTable[[#This Row],[Original Price]]</f>
        <v>0</v>
      </c>
      <c r="K34">
        <f>(FlipkartTable[[#This Row],[Rating]]/FlipkartTable[[#This Row],[Selling Price]])*1000</f>
        <v>0.28685790527018012</v>
      </c>
      <c r="L34" t="str">
        <f>IF(FlipkartTable[[#This Row],[Selling Price]]&lt;15000,"Budget",IF(FlipkartTable[[#This Row],[Selling Price]]&lt;50000,"Mid Range","Premium"))</f>
        <v>Budget</v>
      </c>
      <c r="M34" t="str">
        <f>IF(FlipkartTable[[#This Row],[Rating]]&gt;4.5,"Excellent",IF(FlipkartTable[[#This Row],[Rating]]&gt;4,"Good",IF(FlipkartTable[[#This Row],[Rating]]&gt;3.5,"Average","Poor")))</f>
        <v>Good</v>
      </c>
    </row>
    <row r="35" spans="1:13" x14ac:dyDescent="0.35">
      <c r="A35" t="s">
        <v>8</v>
      </c>
      <c r="B35" s="9" t="s">
        <v>36</v>
      </c>
      <c r="C35" t="s">
        <v>46</v>
      </c>
      <c r="D35" t="s">
        <v>27</v>
      </c>
      <c r="E35" t="s">
        <v>15</v>
      </c>
      <c r="F35">
        <v>4.3</v>
      </c>
      <c r="G35">
        <v>19990</v>
      </c>
      <c r="H35">
        <v>25990</v>
      </c>
      <c r="I35">
        <f>FlipkartTable[[#This Row],[Original Price]]-FlipkartTable[[#This Row],[Selling Price]]</f>
        <v>6000</v>
      </c>
      <c r="J35" s="4">
        <f>(FlipkartTable[[#This Row],[Original Price]]-FlipkartTable[[#This Row],[Selling Price]])/FlipkartTable[[#This Row],[Original Price]]</f>
        <v>0.2308580223162755</v>
      </c>
      <c r="K35">
        <f>(FlipkartTable[[#This Row],[Rating]]/FlipkartTable[[#This Row],[Selling Price]])*1000</f>
        <v>0.21510755377688845</v>
      </c>
      <c r="L35" t="str">
        <f>IF(FlipkartTable[[#This Row],[Selling Price]]&lt;15000,"Budget",IF(FlipkartTable[[#This Row],[Selling Price]]&lt;50000,"Mid Range","Premium"))</f>
        <v>Mid Range</v>
      </c>
      <c r="M35" t="str">
        <f>IF(FlipkartTable[[#This Row],[Rating]]&gt;4.5,"Excellent",IF(FlipkartTable[[#This Row],[Rating]]&gt;4,"Good",IF(FlipkartTable[[#This Row],[Rating]]&gt;3.5,"Average","Poor")))</f>
        <v>Good</v>
      </c>
    </row>
    <row r="36" spans="1:13" x14ac:dyDescent="0.35">
      <c r="A36" t="s">
        <v>8</v>
      </c>
      <c r="B36" s="9" t="s">
        <v>29</v>
      </c>
      <c r="C36" t="s">
        <v>47</v>
      </c>
      <c r="D36" t="s">
        <v>11</v>
      </c>
      <c r="E36" t="s">
        <v>12</v>
      </c>
      <c r="F36">
        <v>4.3</v>
      </c>
      <c r="G36">
        <v>12199</v>
      </c>
      <c r="H36">
        <v>12319</v>
      </c>
      <c r="I36">
        <f>FlipkartTable[[#This Row],[Original Price]]-FlipkartTable[[#This Row],[Selling Price]]</f>
        <v>120</v>
      </c>
      <c r="J36" s="4">
        <f>(FlipkartTable[[#This Row],[Original Price]]-FlipkartTable[[#This Row],[Selling Price]])/FlipkartTable[[#This Row],[Original Price]]</f>
        <v>9.7410504099358711E-3</v>
      </c>
      <c r="K36">
        <f>(FlipkartTable[[#This Row],[Rating]]/FlipkartTable[[#This Row],[Selling Price]])*1000</f>
        <v>0.35248790884498732</v>
      </c>
      <c r="L36" t="str">
        <f>IF(FlipkartTable[[#This Row],[Selling Price]]&lt;15000,"Budget",IF(FlipkartTable[[#This Row],[Selling Price]]&lt;50000,"Mid Range","Premium"))</f>
        <v>Budget</v>
      </c>
      <c r="M36" t="str">
        <f>IF(FlipkartTable[[#This Row],[Rating]]&gt;4.5,"Excellent",IF(FlipkartTable[[#This Row],[Rating]]&gt;4,"Good",IF(FlipkartTable[[#This Row],[Rating]]&gt;3.5,"Average","Poor")))</f>
        <v>Good</v>
      </c>
    </row>
    <row r="37" spans="1:13" x14ac:dyDescent="0.35">
      <c r="A37" t="s">
        <v>8</v>
      </c>
      <c r="B37" s="9" t="s">
        <v>48</v>
      </c>
      <c r="C37" t="s">
        <v>49</v>
      </c>
      <c r="D37" t="s">
        <v>27</v>
      </c>
      <c r="E37" t="s">
        <v>15</v>
      </c>
      <c r="F37">
        <v>4.3</v>
      </c>
      <c r="G37">
        <v>21990</v>
      </c>
      <c r="H37">
        <v>21990</v>
      </c>
      <c r="I37">
        <f>FlipkartTable[[#This Row],[Original Price]]-FlipkartTable[[#This Row],[Selling Price]]</f>
        <v>0</v>
      </c>
      <c r="J37" s="4">
        <f>(FlipkartTable[[#This Row],[Original Price]]-FlipkartTable[[#This Row],[Selling Price]])/FlipkartTable[[#This Row],[Original Price]]</f>
        <v>0</v>
      </c>
      <c r="K37">
        <f>(FlipkartTable[[#This Row],[Rating]]/FlipkartTable[[#This Row],[Selling Price]])*1000</f>
        <v>0.19554342883128695</v>
      </c>
      <c r="L37" t="str">
        <f>IF(FlipkartTable[[#This Row],[Selling Price]]&lt;15000,"Budget",IF(FlipkartTable[[#This Row],[Selling Price]]&lt;50000,"Mid Range","Premium"))</f>
        <v>Mid Range</v>
      </c>
      <c r="M37" t="str">
        <f>IF(FlipkartTable[[#This Row],[Rating]]&gt;4.5,"Excellent",IF(FlipkartTable[[#This Row],[Rating]]&gt;4,"Good",IF(FlipkartTable[[#This Row],[Rating]]&gt;3.5,"Average","Poor")))</f>
        <v>Good</v>
      </c>
    </row>
    <row r="38" spans="1:13" x14ac:dyDescent="0.35">
      <c r="A38" t="s">
        <v>8</v>
      </c>
      <c r="B38" s="9" t="s">
        <v>9</v>
      </c>
      <c r="C38" t="s">
        <v>50</v>
      </c>
      <c r="D38" t="s">
        <v>14</v>
      </c>
      <c r="E38" t="s">
        <v>15</v>
      </c>
      <c r="F38">
        <v>4.3</v>
      </c>
      <c r="G38">
        <v>15999</v>
      </c>
      <c r="H38">
        <v>15999</v>
      </c>
      <c r="I38">
        <f>FlipkartTable[[#This Row],[Original Price]]-FlipkartTable[[#This Row],[Selling Price]]</f>
        <v>0</v>
      </c>
      <c r="J38" s="4">
        <f>(FlipkartTable[[#This Row],[Original Price]]-FlipkartTable[[#This Row],[Selling Price]])/FlipkartTable[[#This Row],[Original Price]]</f>
        <v>0</v>
      </c>
      <c r="K38">
        <f>(FlipkartTable[[#This Row],[Rating]]/FlipkartTable[[#This Row],[Selling Price]])*1000</f>
        <v>0.26876679792487029</v>
      </c>
      <c r="L38" t="str">
        <f>IF(FlipkartTable[[#This Row],[Selling Price]]&lt;15000,"Budget",IF(FlipkartTable[[#This Row],[Selling Price]]&lt;50000,"Mid Range","Premium"))</f>
        <v>Mid Range</v>
      </c>
      <c r="M38" t="str">
        <f>IF(FlipkartTable[[#This Row],[Rating]]&gt;4.5,"Excellent",IF(FlipkartTable[[#This Row],[Rating]]&gt;4,"Good",IF(FlipkartTable[[#This Row],[Rating]]&gt;3.5,"Average","Poor")))</f>
        <v>Good</v>
      </c>
    </row>
    <row r="39" spans="1:13" x14ac:dyDescent="0.35">
      <c r="A39" t="s">
        <v>8</v>
      </c>
      <c r="B39" s="9" t="s">
        <v>34</v>
      </c>
      <c r="C39" t="s">
        <v>18</v>
      </c>
      <c r="D39" t="s">
        <v>35</v>
      </c>
      <c r="E39" t="s">
        <v>21</v>
      </c>
      <c r="F39">
        <v>4.2</v>
      </c>
      <c r="G39">
        <v>8990</v>
      </c>
      <c r="H39">
        <v>10990</v>
      </c>
      <c r="I39">
        <f>FlipkartTable[[#This Row],[Original Price]]-FlipkartTable[[#This Row],[Selling Price]]</f>
        <v>2000</v>
      </c>
      <c r="J39" s="4">
        <f>(FlipkartTable[[#This Row],[Original Price]]-FlipkartTable[[#This Row],[Selling Price]])/FlipkartTable[[#This Row],[Original Price]]</f>
        <v>0.18198362147406733</v>
      </c>
      <c r="K39">
        <f>(FlipkartTable[[#This Row],[Rating]]/FlipkartTable[[#This Row],[Selling Price]])*1000</f>
        <v>0.46718576195773087</v>
      </c>
      <c r="L39" t="str">
        <f>IF(FlipkartTable[[#This Row],[Selling Price]]&lt;15000,"Budget",IF(FlipkartTable[[#This Row],[Selling Price]]&lt;50000,"Mid Range","Premium"))</f>
        <v>Budget</v>
      </c>
      <c r="M39" t="str">
        <f>IF(FlipkartTable[[#This Row],[Rating]]&gt;4.5,"Excellent",IF(FlipkartTable[[#This Row],[Rating]]&gt;4,"Good",IF(FlipkartTable[[#This Row],[Rating]]&gt;3.5,"Average","Poor")))</f>
        <v>Good</v>
      </c>
    </row>
    <row r="40" spans="1:13" x14ac:dyDescent="0.35">
      <c r="A40" t="s">
        <v>8</v>
      </c>
      <c r="B40" s="9" t="s">
        <v>38</v>
      </c>
      <c r="C40" t="s">
        <v>45</v>
      </c>
      <c r="D40" t="s">
        <v>11</v>
      </c>
      <c r="E40" t="s">
        <v>15</v>
      </c>
      <c r="F40">
        <v>4.3</v>
      </c>
      <c r="G40">
        <v>15990</v>
      </c>
      <c r="H40">
        <v>15990</v>
      </c>
      <c r="I40">
        <f>FlipkartTable[[#This Row],[Original Price]]-FlipkartTable[[#This Row],[Selling Price]]</f>
        <v>0</v>
      </c>
      <c r="J40" s="4">
        <f>(FlipkartTable[[#This Row],[Original Price]]-FlipkartTable[[#This Row],[Selling Price]])/FlipkartTable[[#This Row],[Original Price]]</f>
        <v>0</v>
      </c>
      <c r="K40">
        <f>(FlipkartTable[[#This Row],[Rating]]/FlipkartTable[[#This Row],[Selling Price]])*1000</f>
        <v>0.26891807379612259</v>
      </c>
      <c r="L40" t="str">
        <f>IF(FlipkartTable[[#This Row],[Selling Price]]&lt;15000,"Budget",IF(FlipkartTable[[#This Row],[Selling Price]]&lt;50000,"Mid Range","Premium"))</f>
        <v>Mid Range</v>
      </c>
      <c r="M40" t="str">
        <f>IF(FlipkartTable[[#This Row],[Rating]]&gt;4.5,"Excellent",IF(FlipkartTable[[#This Row],[Rating]]&gt;4,"Good",IF(FlipkartTable[[#This Row],[Rating]]&gt;3.5,"Average","Poor")))</f>
        <v>Good</v>
      </c>
    </row>
    <row r="41" spans="1:13" x14ac:dyDescent="0.35">
      <c r="A41" t="s">
        <v>8</v>
      </c>
      <c r="B41" s="9" t="s">
        <v>53</v>
      </c>
      <c r="C41" t="s">
        <v>54</v>
      </c>
      <c r="D41" t="s">
        <v>27</v>
      </c>
      <c r="E41" t="s">
        <v>15</v>
      </c>
      <c r="F41">
        <v>4.4000000000000004</v>
      </c>
      <c r="G41">
        <v>35990</v>
      </c>
      <c r="H41">
        <v>38990</v>
      </c>
      <c r="I41">
        <f>FlipkartTable[[#This Row],[Original Price]]-FlipkartTable[[#This Row],[Selling Price]]</f>
        <v>3000</v>
      </c>
      <c r="J41" s="4">
        <f>(FlipkartTable[[#This Row],[Original Price]]-FlipkartTable[[#This Row],[Selling Price]])/FlipkartTable[[#This Row],[Original Price]]</f>
        <v>7.6942805847653242E-2</v>
      </c>
      <c r="K41">
        <f>(FlipkartTable[[#This Row],[Rating]]/FlipkartTable[[#This Row],[Selling Price]])*1000</f>
        <v>0.12225618227285358</v>
      </c>
      <c r="L41" t="str">
        <f>IF(FlipkartTable[[#This Row],[Selling Price]]&lt;15000,"Budget",IF(FlipkartTable[[#This Row],[Selling Price]]&lt;50000,"Mid Range","Premium"))</f>
        <v>Mid Range</v>
      </c>
      <c r="M41" t="str">
        <f>IF(FlipkartTable[[#This Row],[Rating]]&gt;4.5,"Excellent",IF(FlipkartTable[[#This Row],[Rating]]&gt;4,"Good",IF(FlipkartTable[[#This Row],[Rating]]&gt;3.5,"Average","Poor")))</f>
        <v>Good</v>
      </c>
    </row>
    <row r="42" spans="1:13" x14ac:dyDescent="0.35">
      <c r="A42" t="s">
        <v>8</v>
      </c>
      <c r="B42" s="9" t="s">
        <v>55</v>
      </c>
      <c r="C42" t="s">
        <v>56</v>
      </c>
      <c r="D42" t="s">
        <v>20</v>
      </c>
      <c r="E42" t="s">
        <v>21</v>
      </c>
      <c r="F42">
        <v>4.3</v>
      </c>
      <c r="G42">
        <v>10990</v>
      </c>
      <c r="H42">
        <v>12990</v>
      </c>
      <c r="I42">
        <f>FlipkartTable[[#This Row],[Original Price]]-FlipkartTable[[#This Row],[Selling Price]]</f>
        <v>2000</v>
      </c>
      <c r="J42" s="4">
        <f>(FlipkartTable[[#This Row],[Original Price]]-FlipkartTable[[#This Row],[Selling Price]])/FlipkartTable[[#This Row],[Original Price]]</f>
        <v>0.15396458814472672</v>
      </c>
      <c r="K42">
        <f>(FlipkartTable[[#This Row],[Rating]]/FlipkartTable[[#This Row],[Selling Price]])*1000</f>
        <v>0.39126478616924476</v>
      </c>
      <c r="L42" t="str">
        <f>IF(FlipkartTable[[#This Row],[Selling Price]]&lt;15000,"Budget",IF(FlipkartTable[[#This Row],[Selling Price]]&lt;50000,"Mid Range","Premium"))</f>
        <v>Budget</v>
      </c>
      <c r="M42" t="str">
        <f>IF(FlipkartTable[[#This Row],[Rating]]&gt;4.5,"Excellent",IF(FlipkartTable[[#This Row],[Rating]]&gt;4,"Good",IF(FlipkartTable[[#This Row],[Rating]]&gt;3.5,"Average","Poor")))</f>
        <v>Good</v>
      </c>
    </row>
    <row r="43" spans="1:13" x14ac:dyDescent="0.35">
      <c r="A43" t="s">
        <v>8</v>
      </c>
      <c r="B43" s="9" t="s">
        <v>48</v>
      </c>
      <c r="C43" t="s">
        <v>57</v>
      </c>
      <c r="D43" t="s">
        <v>14</v>
      </c>
      <c r="E43" t="s">
        <v>15</v>
      </c>
      <c r="F43">
        <v>4.2</v>
      </c>
      <c r="G43">
        <v>16990</v>
      </c>
      <c r="H43">
        <v>20990</v>
      </c>
      <c r="I43">
        <f>FlipkartTable[[#This Row],[Original Price]]-FlipkartTable[[#This Row],[Selling Price]]</f>
        <v>4000</v>
      </c>
      <c r="J43" s="4">
        <f>(FlipkartTable[[#This Row],[Original Price]]-FlipkartTable[[#This Row],[Selling Price]])/FlipkartTable[[#This Row],[Original Price]]</f>
        <v>0.19056693663649357</v>
      </c>
      <c r="K43">
        <f>(FlipkartTable[[#This Row],[Rating]]/FlipkartTable[[#This Row],[Selling Price]])*1000</f>
        <v>0.24720423778693348</v>
      </c>
      <c r="L43" t="str">
        <f>IF(FlipkartTable[[#This Row],[Selling Price]]&lt;15000,"Budget",IF(FlipkartTable[[#This Row],[Selling Price]]&lt;50000,"Mid Range","Premium"))</f>
        <v>Mid Range</v>
      </c>
      <c r="M43" t="str">
        <f>IF(FlipkartTable[[#This Row],[Rating]]&gt;4.5,"Excellent",IF(FlipkartTable[[#This Row],[Rating]]&gt;4,"Good",IF(FlipkartTable[[#This Row],[Rating]]&gt;3.5,"Average","Poor")))</f>
        <v>Good</v>
      </c>
    </row>
    <row r="44" spans="1:13" x14ac:dyDescent="0.35">
      <c r="A44" t="s">
        <v>8</v>
      </c>
      <c r="B44" s="9" t="s">
        <v>55</v>
      </c>
      <c r="C44" t="s">
        <v>58</v>
      </c>
      <c r="D44" t="s">
        <v>20</v>
      </c>
      <c r="E44" t="s">
        <v>21</v>
      </c>
      <c r="F44">
        <v>4.3</v>
      </c>
      <c r="G44">
        <v>10990</v>
      </c>
      <c r="H44">
        <v>12990</v>
      </c>
      <c r="I44">
        <f>FlipkartTable[[#This Row],[Original Price]]-FlipkartTable[[#This Row],[Selling Price]]</f>
        <v>2000</v>
      </c>
      <c r="J44" s="4">
        <f>(FlipkartTable[[#This Row],[Original Price]]-FlipkartTable[[#This Row],[Selling Price]])/FlipkartTable[[#This Row],[Original Price]]</f>
        <v>0.15396458814472672</v>
      </c>
      <c r="K44">
        <f>(FlipkartTable[[#This Row],[Rating]]/FlipkartTable[[#This Row],[Selling Price]])*1000</f>
        <v>0.39126478616924476</v>
      </c>
      <c r="L44" t="str">
        <f>IF(FlipkartTable[[#This Row],[Selling Price]]&lt;15000,"Budget",IF(FlipkartTable[[#This Row],[Selling Price]]&lt;50000,"Mid Range","Premium"))</f>
        <v>Budget</v>
      </c>
      <c r="M44" t="str">
        <f>IF(FlipkartTable[[#This Row],[Rating]]&gt;4.5,"Excellent",IF(FlipkartTable[[#This Row],[Rating]]&gt;4,"Good",IF(FlipkartTable[[#This Row],[Rating]]&gt;3.5,"Average","Poor")))</f>
        <v>Good</v>
      </c>
    </row>
    <row r="45" spans="1:13" x14ac:dyDescent="0.35">
      <c r="A45" t="s">
        <v>8</v>
      </c>
      <c r="B45" s="9" t="s">
        <v>9</v>
      </c>
      <c r="C45" t="s">
        <v>59</v>
      </c>
      <c r="D45" t="s">
        <v>11</v>
      </c>
      <c r="E45" t="s">
        <v>12</v>
      </c>
      <c r="F45">
        <v>4.5</v>
      </c>
      <c r="G45">
        <v>13499</v>
      </c>
      <c r="H45">
        <v>13499</v>
      </c>
      <c r="I45">
        <f>FlipkartTable[[#This Row],[Original Price]]-FlipkartTable[[#This Row],[Selling Price]]</f>
        <v>0</v>
      </c>
      <c r="J45" s="4">
        <f>(FlipkartTable[[#This Row],[Original Price]]-FlipkartTable[[#This Row],[Selling Price]])/FlipkartTable[[#This Row],[Original Price]]</f>
        <v>0</v>
      </c>
      <c r="K45">
        <f>(FlipkartTable[[#This Row],[Rating]]/FlipkartTable[[#This Row],[Selling Price]])*1000</f>
        <v>0.33335802652048296</v>
      </c>
      <c r="L45" t="str">
        <f>IF(FlipkartTable[[#This Row],[Selling Price]]&lt;15000,"Budget",IF(FlipkartTable[[#This Row],[Selling Price]]&lt;50000,"Mid Range","Premium"))</f>
        <v>Budget</v>
      </c>
      <c r="M45" t="str">
        <f>IF(FlipkartTable[[#This Row],[Rating]]&gt;4.5,"Excellent",IF(FlipkartTable[[#This Row],[Rating]]&gt;4,"Good",IF(FlipkartTable[[#This Row],[Rating]]&gt;3.5,"Average","Poor")))</f>
        <v>Good</v>
      </c>
    </row>
    <row r="46" spans="1:13" x14ac:dyDescent="0.35">
      <c r="A46" t="s">
        <v>8</v>
      </c>
      <c r="B46" s="9" t="s">
        <v>9</v>
      </c>
      <c r="C46" t="s">
        <v>59</v>
      </c>
      <c r="D46" t="s">
        <v>14</v>
      </c>
      <c r="E46" t="s">
        <v>15</v>
      </c>
      <c r="F46">
        <v>4.3</v>
      </c>
      <c r="G46">
        <v>15999</v>
      </c>
      <c r="H46">
        <v>15999</v>
      </c>
      <c r="I46">
        <f>FlipkartTable[[#This Row],[Original Price]]-FlipkartTable[[#This Row],[Selling Price]]</f>
        <v>0</v>
      </c>
      <c r="J46" s="4">
        <f>(FlipkartTable[[#This Row],[Original Price]]-FlipkartTable[[#This Row],[Selling Price]])/FlipkartTable[[#This Row],[Original Price]]</f>
        <v>0</v>
      </c>
      <c r="K46">
        <f>(FlipkartTable[[#This Row],[Rating]]/FlipkartTable[[#This Row],[Selling Price]])*1000</f>
        <v>0.26876679792487029</v>
      </c>
      <c r="L46" t="str">
        <f>IF(FlipkartTable[[#This Row],[Selling Price]]&lt;15000,"Budget",IF(FlipkartTable[[#This Row],[Selling Price]]&lt;50000,"Mid Range","Premium"))</f>
        <v>Mid Range</v>
      </c>
      <c r="M46" t="str">
        <f>IF(FlipkartTable[[#This Row],[Rating]]&gt;4.5,"Excellent",IF(FlipkartTable[[#This Row],[Rating]]&gt;4,"Good",IF(FlipkartTable[[#This Row],[Rating]]&gt;3.5,"Average","Poor")))</f>
        <v>Good</v>
      </c>
    </row>
    <row r="47" spans="1:13" x14ac:dyDescent="0.35">
      <c r="A47" t="s">
        <v>8</v>
      </c>
      <c r="B47" s="9" t="s">
        <v>60</v>
      </c>
      <c r="C47" t="s">
        <v>61</v>
      </c>
      <c r="D47" t="s">
        <v>14</v>
      </c>
      <c r="E47" t="s">
        <v>15</v>
      </c>
      <c r="F47">
        <v>4.3</v>
      </c>
      <c r="G47">
        <v>18380</v>
      </c>
      <c r="H47">
        <v>18380</v>
      </c>
      <c r="I47">
        <f>FlipkartTable[[#This Row],[Original Price]]-FlipkartTable[[#This Row],[Selling Price]]</f>
        <v>0</v>
      </c>
      <c r="J47" s="4">
        <f>(FlipkartTable[[#This Row],[Original Price]]-FlipkartTable[[#This Row],[Selling Price]])/FlipkartTable[[#This Row],[Original Price]]</f>
        <v>0</v>
      </c>
      <c r="K47">
        <f>(FlipkartTable[[#This Row],[Rating]]/FlipkartTable[[#This Row],[Selling Price]])*1000</f>
        <v>0.23394994559303589</v>
      </c>
      <c r="L47" t="str">
        <f>IF(FlipkartTable[[#This Row],[Selling Price]]&lt;15000,"Budget",IF(FlipkartTable[[#This Row],[Selling Price]]&lt;50000,"Mid Range","Premium"))</f>
        <v>Mid Range</v>
      </c>
      <c r="M47" t="str">
        <f>IF(FlipkartTable[[#This Row],[Rating]]&gt;4.5,"Excellent",IF(FlipkartTable[[#This Row],[Rating]]&gt;4,"Good",IF(FlipkartTable[[#This Row],[Rating]]&gt;3.5,"Average","Poor")))</f>
        <v>Good</v>
      </c>
    </row>
    <row r="48" spans="1:13" x14ac:dyDescent="0.35">
      <c r="A48" t="s">
        <v>8</v>
      </c>
      <c r="B48" s="9" t="s">
        <v>62</v>
      </c>
      <c r="C48" t="s">
        <v>42</v>
      </c>
      <c r="D48" t="s">
        <v>63</v>
      </c>
      <c r="E48" t="s">
        <v>64</v>
      </c>
      <c r="F48">
        <v>4.4000000000000004</v>
      </c>
      <c r="G48">
        <v>39990</v>
      </c>
      <c r="H48">
        <v>46990</v>
      </c>
      <c r="I48">
        <f>FlipkartTable[[#This Row],[Original Price]]-FlipkartTable[[#This Row],[Selling Price]]</f>
        <v>7000</v>
      </c>
      <c r="J48" s="4">
        <f>(FlipkartTable[[#This Row],[Original Price]]-FlipkartTable[[#This Row],[Selling Price]])/FlipkartTable[[#This Row],[Original Price]]</f>
        <v>0.14896786550329857</v>
      </c>
      <c r="K48">
        <f>(FlipkartTable[[#This Row],[Rating]]/FlipkartTable[[#This Row],[Selling Price]])*1000</f>
        <v>0.11002750687671919</v>
      </c>
      <c r="L48" t="str">
        <f>IF(FlipkartTable[[#This Row],[Selling Price]]&lt;15000,"Budget",IF(FlipkartTable[[#This Row],[Selling Price]]&lt;50000,"Mid Range","Premium"))</f>
        <v>Mid Range</v>
      </c>
      <c r="M48" t="str">
        <f>IF(FlipkartTable[[#This Row],[Rating]]&gt;4.5,"Excellent",IF(FlipkartTable[[#This Row],[Rating]]&gt;4,"Good",IF(FlipkartTable[[#This Row],[Rating]]&gt;3.5,"Average","Poor")))</f>
        <v>Good</v>
      </c>
    </row>
    <row r="49" spans="1:13" x14ac:dyDescent="0.35">
      <c r="A49" t="s">
        <v>8</v>
      </c>
      <c r="B49" s="9" t="s">
        <v>38</v>
      </c>
      <c r="C49" t="s">
        <v>45</v>
      </c>
      <c r="D49" t="s">
        <v>14</v>
      </c>
      <c r="E49" t="s">
        <v>15</v>
      </c>
      <c r="F49">
        <v>4.3</v>
      </c>
      <c r="G49">
        <v>16990</v>
      </c>
      <c r="H49">
        <v>17990</v>
      </c>
      <c r="I49">
        <f>FlipkartTable[[#This Row],[Original Price]]-FlipkartTable[[#This Row],[Selling Price]]</f>
        <v>1000</v>
      </c>
      <c r="J49" s="4">
        <f>(FlipkartTable[[#This Row],[Original Price]]-FlipkartTable[[#This Row],[Selling Price]])/FlipkartTable[[#This Row],[Original Price]]</f>
        <v>5.5586436909394105E-2</v>
      </c>
      <c r="K49">
        <f>(FlipkartTable[[#This Row],[Rating]]/FlipkartTable[[#This Row],[Selling Price]])*1000</f>
        <v>0.25309005297233667</v>
      </c>
      <c r="L49" t="str">
        <f>IF(FlipkartTable[[#This Row],[Selling Price]]&lt;15000,"Budget",IF(FlipkartTable[[#This Row],[Selling Price]]&lt;50000,"Mid Range","Premium"))</f>
        <v>Mid Range</v>
      </c>
      <c r="M49" t="str">
        <f>IF(FlipkartTable[[#This Row],[Rating]]&gt;4.5,"Excellent",IF(FlipkartTable[[#This Row],[Rating]]&gt;4,"Good",IF(FlipkartTable[[#This Row],[Rating]]&gt;3.5,"Average","Poor")))</f>
        <v>Good</v>
      </c>
    </row>
    <row r="50" spans="1:13" x14ac:dyDescent="0.35">
      <c r="A50" t="s">
        <v>8</v>
      </c>
      <c r="B50" s="9" t="s">
        <v>65</v>
      </c>
      <c r="C50" t="s">
        <v>66</v>
      </c>
      <c r="D50" t="s">
        <v>14</v>
      </c>
      <c r="E50" t="s">
        <v>64</v>
      </c>
      <c r="F50">
        <v>4.4000000000000004</v>
      </c>
      <c r="G50">
        <v>19990</v>
      </c>
      <c r="H50">
        <v>19990</v>
      </c>
      <c r="I50">
        <f>FlipkartTable[[#This Row],[Original Price]]-FlipkartTable[[#This Row],[Selling Price]]</f>
        <v>0</v>
      </c>
      <c r="J50" s="4">
        <f>(FlipkartTable[[#This Row],[Original Price]]-FlipkartTable[[#This Row],[Selling Price]])/FlipkartTable[[#This Row],[Original Price]]</f>
        <v>0</v>
      </c>
      <c r="K50">
        <f>(FlipkartTable[[#This Row],[Rating]]/FlipkartTable[[#This Row],[Selling Price]])*1000</f>
        <v>0.22011005502751377</v>
      </c>
      <c r="L50" t="str">
        <f>IF(FlipkartTable[[#This Row],[Selling Price]]&lt;15000,"Budget",IF(FlipkartTable[[#This Row],[Selling Price]]&lt;50000,"Mid Range","Premium"))</f>
        <v>Mid Range</v>
      </c>
      <c r="M50" t="str">
        <f>IF(FlipkartTable[[#This Row],[Rating]]&gt;4.5,"Excellent",IF(FlipkartTable[[#This Row],[Rating]]&gt;4,"Good",IF(FlipkartTable[[#This Row],[Rating]]&gt;3.5,"Average","Poor")))</f>
        <v>Good</v>
      </c>
    </row>
    <row r="51" spans="1:13" x14ac:dyDescent="0.35">
      <c r="A51" t="s">
        <v>8</v>
      </c>
      <c r="B51" s="9" t="s">
        <v>65</v>
      </c>
      <c r="C51" t="s">
        <v>30</v>
      </c>
      <c r="D51" t="s">
        <v>14</v>
      </c>
      <c r="E51" t="s">
        <v>64</v>
      </c>
      <c r="F51">
        <v>4.4000000000000004</v>
      </c>
      <c r="G51">
        <v>19990</v>
      </c>
      <c r="H51">
        <v>19990</v>
      </c>
      <c r="I51">
        <f>FlipkartTable[[#This Row],[Original Price]]-FlipkartTable[[#This Row],[Selling Price]]</f>
        <v>0</v>
      </c>
      <c r="J51" s="4">
        <f>(FlipkartTable[[#This Row],[Original Price]]-FlipkartTable[[#This Row],[Selling Price]])/FlipkartTable[[#This Row],[Original Price]]</f>
        <v>0</v>
      </c>
      <c r="K51">
        <f>(FlipkartTable[[#This Row],[Rating]]/FlipkartTable[[#This Row],[Selling Price]])*1000</f>
        <v>0.22011005502751377</v>
      </c>
      <c r="L51" t="str">
        <f>IF(FlipkartTable[[#This Row],[Selling Price]]&lt;15000,"Budget",IF(FlipkartTable[[#This Row],[Selling Price]]&lt;50000,"Mid Range","Premium"))</f>
        <v>Mid Range</v>
      </c>
      <c r="M51" t="str">
        <f>IF(FlipkartTable[[#This Row],[Rating]]&gt;4.5,"Excellent",IF(FlipkartTable[[#This Row],[Rating]]&gt;4,"Good",IF(FlipkartTable[[#This Row],[Rating]]&gt;3.5,"Average","Poor")))</f>
        <v>Good</v>
      </c>
    </row>
    <row r="52" spans="1:13" x14ac:dyDescent="0.35">
      <c r="A52" t="s">
        <v>8</v>
      </c>
      <c r="B52" s="9" t="s">
        <v>67</v>
      </c>
      <c r="C52" t="s">
        <v>68</v>
      </c>
      <c r="D52" t="s">
        <v>27</v>
      </c>
      <c r="E52" t="s">
        <v>64</v>
      </c>
      <c r="F52">
        <v>4.4000000000000004</v>
      </c>
      <c r="G52">
        <v>26798</v>
      </c>
      <c r="H52">
        <v>28989</v>
      </c>
      <c r="I52">
        <f>FlipkartTable[[#This Row],[Original Price]]-FlipkartTable[[#This Row],[Selling Price]]</f>
        <v>2191</v>
      </c>
      <c r="J52" s="4">
        <f>(FlipkartTable[[#This Row],[Original Price]]-FlipkartTable[[#This Row],[Selling Price]])/FlipkartTable[[#This Row],[Original Price]]</f>
        <v>7.5580392562696191E-2</v>
      </c>
      <c r="K52">
        <f>(FlipkartTable[[#This Row],[Rating]]/FlipkartTable[[#This Row],[Selling Price]])*1000</f>
        <v>0.16419135756399733</v>
      </c>
      <c r="L52" t="str">
        <f>IF(FlipkartTable[[#This Row],[Selling Price]]&lt;15000,"Budget",IF(FlipkartTable[[#This Row],[Selling Price]]&lt;50000,"Mid Range","Premium"))</f>
        <v>Mid Range</v>
      </c>
      <c r="M52" t="str">
        <f>IF(FlipkartTable[[#This Row],[Rating]]&gt;4.5,"Excellent",IF(FlipkartTable[[#This Row],[Rating]]&gt;4,"Good",IF(FlipkartTable[[#This Row],[Rating]]&gt;3.5,"Average","Poor")))</f>
        <v>Good</v>
      </c>
    </row>
    <row r="53" spans="1:13" x14ac:dyDescent="0.35">
      <c r="A53" t="s">
        <v>8</v>
      </c>
      <c r="B53" s="9" t="s">
        <v>48</v>
      </c>
      <c r="C53" t="s">
        <v>49</v>
      </c>
      <c r="D53" t="s">
        <v>14</v>
      </c>
      <c r="E53" t="s">
        <v>15</v>
      </c>
      <c r="F53">
        <v>4.2</v>
      </c>
      <c r="G53">
        <v>16990</v>
      </c>
      <c r="H53">
        <v>20990</v>
      </c>
      <c r="I53">
        <f>FlipkartTable[[#This Row],[Original Price]]-FlipkartTable[[#This Row],[Selling Price]]</f>
        <v>4000</v>
      </c>
      <c r="J53" s="4">
        <f>(FlipkartTable[[#This Row],[Original Price]]-FlipkartTable[[#This Row],[Selling Price]])/FlipkartTable[[#This Row],[Original Price]]</f>
        <v>0.19056693663649357</v>
      </c>
      <c r="K53">
        <f>(FlipkartTable[[#This Row],[Rating]]/FlipkartTable[[#This Row],[Selling Price]])*1000</f>
        <v>0.24720423778693348</v>
      </c>
      <c r="L53" t="str">
        <f>IF(FlipkartTable[[#This Row],[Selling Price]]&lt;15000,"Budget",IF(FlipkartTable[[#This Row],[Selling Price]]&lt;50000,"Mid Range","Premium"))</f>
        <v>Mid Range</v>
      </c>
      <c r="M53" t="str">
        <f>IF(FlipkartTable[[#This Row],[Rating]]&gt;4.5,"Excellent",IF(FlipkartTable[[#This Row],[Rating]]&gt;4,"Good",IF(FlipkartTable[[#This Row],[Rating]]&gt;3.5,"Average","Poor")))</f>
        <v>Good</v>
      </c>
    </row>
    <row r="54" spans="1:13" x14ac:dyDescent="0.35">
      <c r="A54" t="s">
        <v>8</v>
      </c>
      <c r="B54" s="9" t="s">
        <v>69</v>
      </c>
      <c r="C54" t="s">
        <v>56</v>
      </c>
      <c r="D54" t="s">
        <v>11</v>
      </c>
      <c r="E54" t="s">
        <v>12</v>
      </c>
      <c r="F54">
        <v>4.3</v>
      </c>
      <c r="G54">
        <v>12990</v>
      </c>
      <c r="H54">
        <v>13990</v>
      </c>
      <c r="I54">
        <f>FlipkartTable[[#This Row],[Original Price]]-FlipkartTable[[#This Row],[Selling Price]]</f>
        <v>1000</v>
      </c>
      <c r="J54" s="4">
        <f>(FlipkartTable[[#This Row],[Original Price]]-FlipkartTable[[#This Row],[Selling Price]])/FlipkartTable[[#This Row],[Original Price]]</f>
        <v>7.147962830593281E-2</v>
      </c>
      <c r="K54">
        <f>(FlipkartTable[[#This Row],[Rating]]/FlipkartTable[[#This Row],[Selling Price]])*1000</f>
        <v>0.33102386451116245</v>
      </c>
      <c r="L54" t="str">
        <f>IF(FlipkartTable[[#This Row],[Selling Price]]&lt;15000,"Budget",IF(FlipkartTable[[#This Row],[Selling Price]]&lt;50000,"Mid Range","Premium"))</f>
        <v>Budget</v>
      </c>
      <c r="M54" t="str">
        <f>IF(FlipkartTable[[#This Row],[Rating]]&gt;4.5,"Excellent",IF(FlipkartTable[[#This Row],[Rating]]&gt;4,"Good",IF(FlipkartTable[[#This Row],[Rating]]&gt;3.5,"Average","Poor")))</f>
        <v>Good</v>
      </c>
    </row>
    <row r="55" spans="1:13" x14ac:dyDescent="0.35">
      <c r="A55" t="s">
        <v>8</v>
      </c>
      <c r="B55" s="9" t="s">
        <v>70</v>
      </c>
      <c r="C55" t="s">
        <v>71</v>
      </c>
      <c r="D55" t="s">
        <v>11</v>
      </c>
      <c r="E55" t="s">
        <v>12</v>
      </c>
      <c r="F55">
        <v>4.3</v>
      </c>
      <c r="G55">
        <v>12990</v>
      </c>
      <c r="H55">
        <v>13990</v>
      </c>
      <c r="I55">
        <f>FlipkartTable[[#This Row],[Original Price]]-FlipkartTable[[#This Row],[Selling Price]]</f>
        <v>1000</v>
      </c>
      <c r="J55" s="4">
        <f>(FlipkartTable[[#This Row],[Original Price]]-FlipkartTable[[#This Row],[Selling Price]])/FlipkartTable[[#This Row],[Original Price]]</f>
        <v>7.147962830593281E-2</v>
      </c>
      <c r="K55">
        <f>(FlipkartTable[[#This Row],[Rating]]/FlipkartTable[[#This Row],[Selling Price]])*1000</f>
        <v>0.33102386451116245</v>
      </c>
      <c r="L55" t="str">
        <f>IF(FlipkartTable[[#This Row],[Selling Price]]&lt;15000,"Budget",IF(FlipkartTable[[#This Row],[Selling Price]]&lt;50000,"Mid Range","Premium"))</f>
        <v>Budget</v>
      </c>
      <c r="M55" t="str">
        <f>IF(FlipkartTable[[#This Row],[Rating]]&gt;4.5,"Excellent",IF(FlipkartTable[[#This Row],[Rating]]&gt;4,"Good",IF(FlipkartTable[[#This Row],[Rating]]&gt;3.5,"Average","Poor")))</f>
        <v>Good</v>
      </c>
    </row>
    <row r="56" spans="1:13" x14ac:dyDescent="0.35">
      <c r="A56" t="s">
        <v>8</v>
      </c>
      <c r="B56" s="9" t="s">
        <v>67</v>
      </c>
      <c r="C56" t="s">
        <v>72</v>
      </c>
      <c r="D56" t="s">
        <v>27</v>
      </c>
      <c r="E56" t="s">
        <v>64</v>
      </c>
      <c r="F56">
        <v>4.4000000000000004</v>
      </c>
      <c r="G56">
        <v>27990</v>
      </c>
      <c r="H56">
        <v>35990</v>
      </c>
      <c r="I56">
        <f>FlipkartTable[[#This Row],[Original Price]]-FlipkartTable[[#This Row],[Selling Price]]</f>
        <v>8000</v>
      </c>
      <c r="J56" s="4">
        <f>(FlipkartTable[[#This Row],[Original Price]]-FlipkartTable[[#This Row],[Selling Price]])/FlipkartTable[[#This Row],[Original Price]]</f>
        <v>0.22228396776882467</v>
      </c>
      <c r="K56">
        <f>(FlipkartTable[[#This Row],[Rating]]/FlipkartTable[[#This Row],[Selling Price]])*1000</f>
        <v>0.15719899964272957</v>
      </c>
      <c r="L56" t="str">
        <f>IF(FlipkartTable[[#This Row],[Selling Price]]&lt;15000,"Budget",IF(FlipkartTable[[#This Row],[Selling Price]]&lt;50000,"Mid Range","Premium"))</f>
        <v>Mid Range</v>
      </c>
      <c r="M56" t="str">
        <f>IF(FlipkartTable[[#This Row],[Rating]]&gt;4.5,"Excellent",IF(FlipkartTable[[#This Row],[Rating]]&gt;4,"Good",IF(FlipkartTable[[#This Row],[Rating]]&gt;3.5,"Average","Poor")))</f>
        <v>Good</v>
      </c>
    </row>
    <row r="57" spans="1:13" x14ac:dyDescent="0.35">
      <c r="A57" t="s">
        <v>8</v>
      </c>
      <c r="B57" s="9" t="s">
        <v>73</v>
      </c>
      <c r="C57" t="s">
        <v>74</v>
      </c>
      <c r="D57" t="s">
        <v>27</v>
      </c>
      <c r="E57" t="s">
        <v>15</v>
      </c>
      <c r="F57">
        <v>4.3</v>
      </c>
      <c r="G57">
        <v>21990</v>
      </c>
      <c r="H57">
        <v>23990</v>
      </c>
      <c r="I57">
        <f>FlipkartTable[[#This Row],[Original Price]]-FlipkartTable[[#This Row],[Selling Price]]</f>
        <v>2000</v>
      </c>
      <c r="J57" s="4">
        <f>(FlipkartTable[[#This Row],[Original Price]]-FlipkartTable[[#This Row],[Selling Price]])/FlipkartTable[[#This Row],[Original Price]]</f>
        <v>8.3368070029178828E-2</v>
      </c>
      <c r="K57">
        <f>(FlipkartTable[[#This Row],[Rating]]/FlipkartTable[[#This Row],[Selling Price]])*1000</f>
        <v>0.19554342883128695</v>
      </c>
      <c r="L57" t="str">
        <f>IF(FlipkartTable[[#This Row],[Selling Price]]&lt;15000,"Budget",IF(FlipkartTable[[#This Row],[Selling Price]]&lt;50000,"Mid Range","Premium"))</f>
        <v>Mid Range</v>
      </c>
      <c r="M57" t="str">
        <f>IF(FlipkartTable[[#This Row],[Rating]]&gt;4.5,"Excellent",IF(FlipkartTable[[#This Row],[Rating]]&gt;4,"Good",IF(FlipkartTable[[#This Row],[Rating]]&gt;3.5,"Average","Poor")))</f>
        <v>Good</v>
      </c>
    </row>
    <row r="58" spans="1:13" x14ac:dyDescent="0.35">
      <c r="A58" t="s">
        <v>8</v>
      </c>
      <c r="B58" s="9" t="s">
        <v>73</v>
      </c>
      <c r="C58" t="s">
        <v>33</v>
      </c>
      <c r="D58" t="s">
        <v>27</v>
      </c>
      <c r="E58" t="s">
        <v>64</v>
      </c>
      <c r="F58">
        <v>4.3</v>
      </c>
      <c r="G58">
        <v>23490</v>
      </c>
      <c r="H58">
        <v>25990</v>
      </c>
      <c r="I58">
        <f>FlipkartTable[[#This Row],[Original Price]]-FlipkartTable[[#This Row],[Selling Price]]</f>
        <v>2500</v>
      </c>
      <c r="J58" s="4">
        <f>(FlipkartTable[[#This Row],[Original Price]]-FlipkartTable[[#This Row],[Selling Price]])/FlipkartTable[[#This Row],[Original Price]]</f>
        <v>9.6190842631781459E-2</v>
      </c>
      <c r="K58">
        <f>(FlipkartTable[[#This Row],[Rating]]/FlipkartTable[[#This Row],[Selling Price]])*1000</f>
        <v>0.18305661983822902</v>
      </c>
      <c r="L58" t="str">
        <f>IF(FlipkartTable[[#This Row],[Selling Price]]&lt;15000,"Budget",IF(FlipkartTable[[#This Row],[Selling Price]]&lt;50000,"Mid Range","Premium"))</f>
        <v>Mid Range</v>
      </c>
      <c r="M58" t="str">
        <f>IF(FlipkartTable[[#This Row],[Rating]]&gt;4.5,"Excellent",IF(FlipkartTable[[#This Row],[Rating]]&gt;4,"Good",IF(FlipkartTable[[#This Row],[Rating]]&gt;3.5,"Average","Poor")))</f>
        <v>Good</v>
      </c>
    </row>
    <row r="59" spans="1:13" x14ac:dyDescent="0.35">
      <c r="A59" t="s">
        <v>8</v>
      </c>
      <c r="B59" s="9" t="s">
        <v>75</v>
      </c>
      <c r="C59" t="s">
        <v>76</v>
      </c>
      <c r="D59" t="s">
        <v>27</v>
      </c>
      <c r="E59" t="s">
        <v>15</v>
      </c>
      <c r="F59">
        <v>4.3</v>
      </c>
      <c r="G59">
        <v>25990</v>
      </c>
      <c r="H59">
        <v>29990</v>
      </c>
      <c r="I59">
        <f>FlipkartTable[[#This Row],[Original Price]]-FlipkartTable[[#This Row],[Selling Price]]</f>
        <v>4000</v>
      </c>
      <c r="J59" s="4">
        <f>(FlipkartTable[[#This Row],[Original Price]]-FlipkartTable[[#This Row],[Selling Price]])/FlipkartTable[[#This Row],[Original Price]]</f>
        <v>0.13337779259753252</v>
      </c>
      <c r="K59">
        <f>(FlipkartTable[[#This Row],[Rating]]/FlipkartTable[[#This Row],[Selling Price]])*1000</f>
        <v>0.16544824932666408</v>
      </c>
      <c r="L59" t="str">
        <f>IF(FlipkartTable[[#This Row],[Selling Price]]&lt;15000,"Budget",IF(FlipkartTable[[#This Row],[Selling Price]]&lt;50000,"Mid Range","Premium"))</f>
        <v>Mid Range</v>
      </c>
      <c r="M59" t="str">
        <f>IF(FlipkartTable[[#This Row],[Rating]]&gt;4.5,"Excellent",IF(FlipkartTable[[#This Row],[Rating]]&gt;4,"Good",IF(FlipkartTable[[#This Row],[Rating]]&gt;3.5,"Average","Poor")))</f>
        <v>Good</v>
      </c>
    </row>
    <row r="60" spans="1:13" x14ac:dyDescent="0.35">
      <c r="A60" t="s">
        <v>8</v>
      </c>
      <c r="B60" s="9" t="s">
        <v>75</v>
      </c>
      <c r="C60" t="s">
        <v>61</v>
      </c>
      <c r="D60" t="s">
        <v>27</v>
      </c>
      <c r="E60" t="s">
        <v>15</v>
      </c>
      <c r="F60">
        <v>4.3</v>
      </c>
      <c r="G60">
        <v>25990</v>
      </c>
      <c r="H60">
        <v>29990</v>
      </c>
      <c r="I60">
        <f>FlipkartTable[[#This Row],[Original Price]]-FlipkartTable[[#This Row],[Selling Price]]</f>
        <v>4000</v>
      </c>
      <c r="J60" s="4">
        <f>(FlipkartTable[[#This Row],[Original Price]]-FlipkartTable[[#This Row],[Selling Price]])/FlipkartTable[[#This Row],[Original Price]]</f>
        <v>0.13337779259753252</v>
      </c>
      <c r="K60">
        <f>(FlipkartTable[[#This Row],[Rating]]/FlipkartTable[[#This Row],[Selling Price]])*1000</f>
        <v>0.16544824932666408</v>
      </c>
      <c r="L60" t="str">
        <f>IF(FlipkartTable[[#This Row],[Selling Price]]&lt;15000,"Budget",IF(FlipkartTable[[#This Row],[Selling Price]]&lt;50000,"Mid Range","Premium"))</f>
        <v>Mid Range</v>
      </c>
      <c r="M60" t="str">
        <f>IF(FlipkartTable[[#This Row],[Rating]]&gt;4.5,"Excellent",IF(FlipkartTable[[#This Row],[Rating]]&gt;4,"Good",IF(FlipkartTable[[#This Row],[Rating]]&gt;3.5,"Average","Poor")))</f>
        <v>Good</v>
      </c>
    </row>
    <row r="61" spans="1:13" x14ac:dyDescent="0.35">
      <c r="A61" t="s">
        <v>8</v>
      </c>
      <c r="B61" s="9" t="s">
        <v>70</v>
      </c>
      <c r="C61" t="s">
        <v>77</v>
      </c>
      <c r="D61" t="s">
        <v>11</v>
      </c>
      <c r="E61" t="s">
        <v>12</v>
      </c>
      <c r="F61">
        <v>4.3</v>
      </c>
      <c r="G61">
        <v>12889</v>
      </c>
      <c r="H61">
        <v>12989</v>
      </c>
      <c r="I61">
        <f>FlipkartTable[[#This Row],[Original Price]]-FlipkartTable[[#This Row],[Selling Price]]</f>
        <v>100</v>
      </c>
      <c r="J61" s="4">
        <f>(FlipkartTable[[#This Row],[Original Price]]-FlipkartTable[[#This Row],[Selling Price]])/FlipkartTable[[#This Row],[Original Price]]</f>
        <v>7.6988220802217261E-3</v>
      </c>
      <c r="K61">
        <f>(FlipkartTable[[#This Row],[Rating]]/FlipkartTable[[#This Row],[Selling Price]])*1000</f>
        <v>0.33361781363953757</v>
      </c>
      <c r="L61" t="str">
        <f>IF(FlipkartTable[[#This Row],[Selling Price]]&lt;15000,"Budget",IF(FlipkartTable[[#This Row],[Selling Price]]&lt;50000,"Mid Range","Premium"))</f>
        <v>Budget</v>
      </c>
      <c r="M61" t="str">
        <f>IF(FlipkartTable[[#This Row],[Rating]]&gt;4.5,"Excellent",IF(FlipkartTable[[#This Row],[Rating]]&gt;4,"Good",IF(FlipkartTable[[#This Row],[Rating]]&gt;3.5,"Average","Poor")))</f>
        <v>Good</v>
      </c>
    </row>
    <row r="62" spans="1:13" x14ac:dyDescent="0.35">
      <c r="A62" t="s">
        <v>8</v>
      </c>
      <c r="B62" s="9" t="s">
        <v>73</v>
      </c>
      <c r="C62" t="s">
        <v>61</v>
      </c>
      <c r="D62" t="s">
        <v>27</v>
      </c>
      <c r="E62" t="s">
        <v>15</v>
      </c>
      <c r="F62">
        <v>4.3</v>
      </c>
      <c r="G62">
        <v>21990</v>
      </c>
      <c r="H62">
        <v>23990</v>
      </c>
      <c r="I62">
        <f>FlipkartTable[[#This Row],[Original Price]]-FlipkartTable[[#This Row],[Selling Price]]</f>
        <v>2000</v>
      </c>
      <c r="J62" s="4">
        <f>(FlipkartTable[[#This Row],[Original Price]]-FlipkartTable[[#This Row],[Selling Price]])/FlipkartTable[[#This Row],[Original Price]]</f>
        <v>8.3368070029178828E-2</v>
      </c>
      <c r="K62">
        <f>(FlipkartTable[[#This Row],[Rating]]/FlipkartTable[[#This Row],[Selling Price]])*1000</f>
        <v>0.19554342883128695</v>
      </c>
      <c r="L62" t="str">
        <f>IF(FlipkartTable[[#This Row],[Selling Price]]&lt;15000,"Budget",IF(FlipkartTable[[#This Row],[Selling Price]]&lt;50000,"Mid Range","Premium"))</f>
        <v>Mid Range</v>
      </c>
      <c r="M62" t="str">
        <f>IF(FlipkartTable[[#This Row],[Rating]]&gt;4.5,"Excellent",IF(FlipkartTable[[#This Row],[Rating]]&gt;4,"Good",IF(FlipkartTable[[#This Row],[Rating]]&gt;3.5,"Average","Poor")))</f>
        <v>Good</v>
      </c>
    </row>
    <row r="63" spans="1:13" x14ac:dyDescent="0.35">
      <c r="A63" t="s">
        <v>8</v>
      </c>
      <c r="B63" s="9" t="s">
        <v>73</v>
      </c>
      <c r="C63" t="s">
        <v>74</v>
      </c>
      <c r="D63" t="s">
        <v>27</v>
      </c>
      <c r="E63" t="s">
        <v>64</v>
      </c>
      <c r="F63">
        <v>4.3</v>
      </c>
      <c r="G63">
        <v>23490</v>
      </c>
      <c r="H63">
        <v>25990</v>
      </c>
      <c r="I63">
        <f>FlipkartTable[[#This Row],[Original Price]]-FlipkartTable[[#This Row],[Selling Price]]</f>
        <v>2500</v>
      </c>
      <c r="J63" s="4">
        <f>(FlipkartTable[[#This Row],[Original Price]]-FlipkartTable[[#This Row],[Selling Price]])/FlipkartTable[[#This Row],[Original Price]]</f>
        <v>9.6190842631781459E-2</v>
      </c>
      <c r="K63">
        <f>(FlipkartTable[[#This Row],[Rating]]/FlipkartTable[[#This Row],[Selling Price]])*1000</f>
        <v>0.18305661983822902</v>
      </c>
      <c r="L63" t="str">
        <f>IF(FlipkartTable[[#This Row],[Selling Price]]&lt;15000,"Budget",IF(FlipkartTable[[#This Row],[Selling Price]]&lt;50000,"Mid Range","Premium"))</f>
        <v>Mid Range</v>
      </c>
      <c r="M63" t="str">
        <f>IF(FlipkartTable[[#This Row],[Rating]]&gt;4.5,"Excellent",IF(FlipkartTable[[#This Row],[Rating]]&gt;4,"Good",IF(FlipkartTable[[#This Row],[Rating]]&gt;3.5,"Average","Poor")))</f>
        <v>Good</v>
      </c>
    </row>
    <row r="64" spans="1:13" x14ac:dyDescent="0.35">
      <c r="A64" t="s">
        <v>8</v>
      </c>
      <c r="B64" s="9" t="s">
        <v>73</v>
      </c>
      <c r="C64" t="s">
        <v>61</v>
      </c>
      <c r="D64" t="s">
        <v>27</v>
      </c>
      <c r="E64" t="s">
        <v>64</v>
      </c>
      <c r="F64">
        <v>4.3</v>
      </c>
      <c r="G64">
        <v>23490</v>
      </c>
      <c r="H64">
        <v>25990</v>
      </c>
      <c r="I64">
        <f>FlipkartTable[[#This Row],[Original Price]]-FlipkartTable[[#This Row],[Selling Price]]</f>
        <v>2500</v>
      </c>
      <c r="J64" s="4">
        <f>(FlipkartTable[[#This Row],[Original Price]]-FlipkartTable[[#This Row],[Selling Price]])/FlipkartTable[[#This Row],[Original Price]]</f>
        <v>9.6190842631781459E-2</v>
      </c>
      <c r="K64">
        <f>(FlipkartTable[[#This Row],[Rating]]/FlipkartTable[[#This Row],[Selling Price]])*1000</f>
        <v>0.18305661983822902</v>
      </c>
      <c r="L64" t="str">
        <f>IF(FlipkartTable[[#This Row],[Selling Price]]&lt;15000,"Budget",IF(FlipkartTable[[#This Row],[Selling Price]]&lt;50000,"Mid Range","Premium"))</f>
        <v>Mid Range</v>
      </c>
      <c r="M64" t="str">
        <f>IF(FlipkartTable[[#This Row],[Rating]]&gt;4.5,"Excellent",IF(FlipkartTable[[#This Row],[Rating]]&gt;4,"Good",IF(FlipkartTable[[#This Row],[Rating]]&gt;3.5,"Average","Poor")))</f>
        <v>Good</v>
      </c>
    </row>
    <row r="65" spans="1:13" x14ac:dyDescent="0.35">
      <c r="A65" t="s">
        <v>8</v>
      </c>
      <c r="B65" s="9" t="s">
        <v>73</v>
      </c>
      <c r="C65" t="s">
        <v>33</v>
      </c>
      <c r="D65" t="s">
        <v>27</v>
      </c>
      <c r="E65" t="s">
        <v>15</v>
      </c>
      <c r="F65">
        <v>4.3</v>
      </c>
      <c r="G65">
        <v>21990</v>
      </c>
      <c r="H65">
        <v>23990</v>
      </c>
      <c r="I65">
        <f>FlipkartTable[[#This Row],[Original Price]]-FlipkartTable[[#This Row],[Selling Price]]</f>
        <v>2000</v>
      </c>
      <c r="J65" s="4">
        <f>(FlipkartTable[[#This Row],[Original Price]]-FlipkartTable[[#This Row],[Selling Price]])/FlipkartTable[[#This Row],[Original Price]]</f>
        <v>8.3368070029178828E-2</v>
      </c>
      <c r="K65">
        <f>(FlipkartTable[[#This Row],[Rating]]/FlipkartTable[[#This Row],[Selling Price]])*1000</f>
        <v>0.19554342883128695</v>
      </c>
      <c r="L65" t="str">
        <f>IF(FlipkartTable[[#This Row],[Selling Price]]&lt;15000,"Budget",IF(FlipkartTable[[#This Row],[Selling Price]]&lt;50000,"Mid Range","Premium"))</f>
        <v>Mid Range</v>
      </c>
      <c r="M65" t="str">
        <f>IF(FlipkartTable[[#This Row],[Rating]]&gt;4.5,"Excellent",IF(FlipkartTable[[#This Row],[Rating]]&gt;4,"Good",IF(FlipkartTable[[#This Row],[Rating]]&gt;3.5,"Average","Poor")))</f>
        <v>Good</v>
      </c>
    </row>
    <row r="66" spans="1:13" x14ac:dyDescent="0.35">
      <c r="A66" t="s">
        <v>8</v>
      </c>
      <c r="B66" s="9" t="s">
        <v>9</v>
      </c>
      <c r="C66" t="s">
        <v>50</v>
      </c>
      <c r="D66" t="s">
        <v>11</v>
      </c>
      <c r="E66" t="s">
        <v>12</v>
      </c>
      <c r="F66">
        <v>4.5</v>
      </c>
      <c r="G66">
        <v>13499</v>
      </c>
      <c r="H66">
        <v>13499</v>
      </c>
      <c r="I66">
        <f>FlipkartTable[[#This Row],[Original Price]]-FlipkartTable[[#This Row],[Selling Price]]</f>
        <v>0</v>
      </c>
      <c r="J66" s="4">
        <f>(FlipkartTable[[#This Row],[Original Price]]-FlipkartTable[[#This Row],[Selling Price]])/FlipkartTable[[#This Row],[Original Price]]</f>
        <v>0</v>
      </c>
      <c r="K66">
        <f>(FlipkartTable[[#This Row],[Rating]]/FlipkartTable[[#This Row],[Selling Price]])*1000</f>
        <v>0.33335802652048296</v>
      </c>
      <c r="L66" t="str">
        <f>IF(FlipkartTable[[#This Row],[Selling Price]]&lt;15000,"Budget",IF(FlipkartTable[[#This Row],[Selling Price]]&lt;50000,"Mid Range","Premium"))</f>
        <v>Budget</v>
      </c>
      <c r="M66" t="str">
        <f>IF(FlipkartTable[[#This Row],[Rating]]&gt;4.5,"Excellent",IF(FlipkartTable[[#This Row],[Rating]]&gt;4,"Good",IF(FlipkartTable[[#This Row],[Rating]]&gt;3.5,"Average","Poor")))</f>
        <v>Good</v>
      </c>
    </row>
    <row r="67" spans="1:13" x14ac:dyDescent="0.35">
      <c r="A67" t="s">
        <v>8</v>
      </c>
      <c r="B67" s="9" t="s">
        <v>78</v>
      </c>
      <c r="C67" t="s">
        <v>79</v>
      </c>
      <c r="D67" t="s">
        <v>14</v>
      </c>
      <c r="E67" t="s">
        <v>15</v>
      </c>
      <c r="F67">
        <v>4.2</v>
      </c>
      <c r="G67">
        <v>19990</v>
      </c>
      <c r="H67">
        <v>20990</v>
      </c>
      <c r="I67">
        <f>FlipkartTable[[#This Row],[Original Price]]-FlipkartTable[[#This Row],[Selling Price]]</f>
        <v>1000</v>
      </c>
      <c r="J67" s="4">
        <f>(FlipkartTable[[#This Row],[Original Price]]-FlipkartTable[[#This Row],[Selling Price]])/FlipkartTable[[#This Row],[Original Price]]</f>
        <v>4.7641734159123393E-2</v>
      </c>
      <c r="K67">
        <f>(FlipkartTable[[#This Row],[Rating]]/FlipkartTable[[#This Row],[Selling Price]])*1000</f>
        <v>0.21010505252626313</v>
      </c>
      <c r="L67" t="str">
        <f>IF(FlipkartTable[[#This Row],[Selling Price]]&lt;15000,"Budget",IF(FlipkartTable[[#This Row],[Selling Price]]&lt;50000,"Mid Range","Premium"))</f>
        <v>Mid Range</v>
      </c>
      <c r="M67" t="str">
        <f>IF(FlipkartTable[[#This Row],[Rating]]&gt;4.5,"Excellent",IF(FlipkartTable[[#This Row],[Rating]]&gt;4,"Good",IF(FlipkartTable[[#This Row],[Rating]]&gt;3.5,"Average","Poor")))</f>
        <v>Good</v>
      </c>
    </row>
    <row r="68" spans="1:13" x14ac:dyDescent="0.35">
      <c r="A68" t="s">
        <v>8</v>
      </c>
      <c r="B68" s="9" t="s">
        <v>55</v>
      </c>
      <c r="C68" t="s">
        <v>58</v>
      </c>
      <c r="D68" t="s">
        <v>35</v>
      </c>
      <c r="E68" t="s">
        <v>21</v>
      </c>
      <c r="F68">
        <v>4</v>
      </c>
      <c r="G68">
        <v>9989</v>
      </c>
      <c r="H68">
        <v>9989</v>
      </c>
      <c r="I68">
        <f>FlipkartTable[[#This Row],[Original Price]]-FlipkartTable[[#This Row],[Selling Price]]</f>
        <v>0</v>
      </c>
      <c r="J68" s="4">
        <f>(FlipkartTable[[#This Row],[Original Price]]-FlipkartTable[[#This Row],[Selling Price]])/FlipkartTable[[#This Row],[Original Price]]</f>
        <v>0</v>
      </c>
      <c r="K68">
        <f>(FlipkartTable[[#This Row],[Rating]]/FlipkartTable[[#This Row],[Selling Price]])*1000</f>
        <v>0.40044048453298625</v>
      </c>
      <c r="L68" t="str">
        <f>IF(FlipkartTable[[#This Row],[Selling Price]]&lt;15000,"Budget",IF(FlipkartTable[[#This Row],[Selling Price]]&lt;50000,"Mid Range","Premium"))</f>
        <v>Budget</v>
      </c>
      <c r="M68" t="str">
        <f>IF(FlipkartTable[[#This Row],[Rating]]&gt;4.5,"Excellent",IF(FlipkartTable[[#This Row],[Rating]]&gt;4,"Good",IF(FlipkartTable[[#This Row],[Rating]]&gt;3.5,"Average","Poor")))</f>
        <v>Average</v>
      </c>
    </row>
    <row r="69" spans="1:13" x14ac:dyDescent="0.35">
      <c r="A69" t="s">
        <v>8</v>
      </c>
      <c r="B69" s="9" t="s">
        <v>67</v>
      </c>
      <c r="C69" t="s">
        <v>72</v>
      </c>
      <c r="D69" t="s">
        <v>27</v>
      </c>
      <c r="E69" t="s">
        <v>15</v>
      </c>
      <c r="F69">
        <v>4.4000000000000004</v>
      </c>
      <c r="G69">
        <v>24989</v>
      </c>
      <c r="H69">
        <v>24989</v>
      </c>
      <c r="I69">
        <f>FlipkartTable[[#This Row],[Original Price]]-FlipkartTable[[#This Row],[Selling Price]]</f>
        <v>0</v>
      </c>
      <c r="J69" s="4">
        <f>(FlipkartTable[[#This Row],[Original Price]]-FlipkartTable[[#This Row],[Selling Price]])/FlipkartTable[[#This Row],[Original Price]]</f>
        <v>0</v>
      </c>
      <c r="K69">
        <f>(FlipkartTable[[#This Row],[Rating]]/FlipkartTable[[#This Row],[Selling Price]])*1000</f>
        <v>0.176077474088599</v>
      </c>
      <c r="L69" t="str">
        <f>IF(FlipkartTable[[#This Row],[Selling Price]]&lt;15000,"Budget",IF(FlipkartTable[[#This Row],[Selling Price]]&lt;50000,"Mid Range","Premium"))</f>
        <v>Mid Range</v>
      </c>
      <c r="M69" t="str">
        <f>IF(FlipkartTable[[#This Row],[Rating]]&gt;4.5,"Excellent",IF(FlipkartTable[[#This Row],[Rating]]&gt;4,"Good",IF(FlipkartTable[[#This Row],[Rating]]&gt;3.5,"Average","Poor")))</f>
        <v>Good</v>
      </c>
    </row>
    <row r="70" spans="1:13" x14ac:dyDescent="0.35">
      <c r="A70" t="s">
        <v>8</v>
      </c>
      <c r="B70" s="9" t="s">
        <v>80</v>
      </c>
      <c r="C70" t="s">
        <v>81</v>
      </c>
      <c r="D70" t="s">
        <v>11</v>
      </c>
      <c r="E70" t="s">
        <v>12</v>
      </c>
      <c r="F70">
        <v>4.4000000000000004</v>
      </c>
      <c r="G70">
        <v>10990</v>
      </c>
      <c r="H70">
        <v>18990</v>
      </c>
      <c r="I70">
        <f>FlipkartTable[[#This Row],[Original Price]]-FlipkartTable[[#This Row],[Selling Price]]</f>
        <v>8000</v>
      </c>
      <c r="J70" s="4">
        <f>(FlipkartTable[[#This Row],[Original Price]]-FlipkartTable[[#This Row],[Selling Price]])/FlipkartTable[[#This Row],[Original Price]]</f>
        <v>0.42127435492364401</v>
      </c>
      <c r="K70">
        <f>(FlipkartTable[[#This Row],[Rating]]/FlipkartTable[[#This Row],[Selling Price]])*1000</f>
        <v>0.40036396724294815</v>
      </c>
      <c r="L70" t="str">
        <f>IF(FlipkartTable[[#This Row],[Selling Price]]&lt;15000,"Budget",IF(FlipkartTable[[#This Row],[Selling Price]]&lt;50000,"Mid Range","Premium"))</f>
        <v>Budget</v>
      </c>
      <c r="M70" t="str">
        <f>IF(FlipkartTable[[#This Row],[Rating]]&gt;4.5,"Excellent",IF(FlipkartTable[[#This Row],[Rating]]&gt;4,"Good",IF(FlipkartTable[[#This Row],[Rating]]&gt;3.5,"Average","Poor")))</f>
        <v>Good</v>
      </c>
    </row>
    <row r="71" spans="1:13" x14ac:dyDescent="0.35">
      <c r="A71" t="s">
        <v>8</v>
      </c>
      <c r="B71" s="9" t="s">
        <v>55</v>
      </c>
      <c r="C71" t="s">
        <v>71</v>
      </c>
      <c r="D71" t="s">
        <v>20</v>
      </c>
      <c r="E71" t="s">
        <v>21</v>
      </c>
      <c r="F71">
        <v>4.3</v>
      </c>
      <c r="G71">
        <v>11249</v>
      </c>
      <c r="H71">
        <v>11249</v>
      </c>
      <c r="I71">
        <f>FlipkartTable[[#This Row],[Original Price]]-FlipkartTable[[#This Row],[Selling Price]]</f>
        <v>0</v>
      </c>
      <c r="J71" s="4">
        <f>(FlipkartTable[[#This Row],[Original Price]]-FlipkartTable[[#This Row],[Selling Price]])/FlipkartTable[[#This Row],[Original Price]]</f>
        <v>0</v>
      </c>
      <c r="K71">
        <f>(FlipkartTable[[#This Row],[Rating]]/FlipkartTable[[#This Row],[Selling Price]])*1000</f>
        <v>0.38225620055116005</v>
      </c>
      <c r="L71" t="str">
        <f>IF(FlipkartTable[[#This Row],[Selling Price]]&lt;15000,"Budget",IF(FlipkartTable[[#This Row],[Selling Price]]&lt;50000,"Mid Range","Premium"))</f>
        <v>Budget</v>
      </c>
      <c r="M71" t="str">
        <f>IF(FlipkartTable[[#This Row],[Rating]]&gt;4.5,"Excellent",IF(FlipkartTable[[#This Row],[Rating]]&gt;4,"Good",IF(FlipkartTable[[#This Row],[Rating]]&gt;3.5,"Average","Poor")))</f>
        <v>Good</v>
      </c>
    </row>
    <row r="72" spans="1:13" x14ac:dyDescent="0.35">
      <c r="A72" t="s">
        <v>8</v>
      </c>
      <c r="B72" s="9" t="s">
        <v>53</v>
      </c>
      <c r="C72" t="s">
        <v>82</v>
      </c>
      <c r="D72" t="s">
        <v>27</v>
      </c>
      <c r="E72" t="s">
        <v>15</v>
      </c>
      <c r="F72">
        <v>4.4000000000000004</v>
      </c>
      <c r="G72">
        <v>35990</v>
      </c>
      <c r="H72">
        <v>38990</v>
      </c>
      <c r="I72">
        <f>FlipkartTable[[#This Row],[Original Price]]-FlipkartTable[[#This Row],[Selling Price]]</f>
        <v>3000</v>
      </c>
      <c r="J72" s="4">
        <f>(FlipkartTable[[#This Row],[Original Price]]-FlipkartTable[[#This Row],[Selling Price]])/FlipkartTable[[#This Row],[Original Price]]</f>
        <v>7.6942805847653242E-2</v>
      </c>
      <c r="K72">
        <f>(FlipkartTable[[#This Row],[Rating]]/FlipkartTable[[#This Row],[Selling Price]])*1000</f>
        <v>0.12225618227285358</v>
      </c>
      <c r="L72" t="str">
        <f>IF(FlipkartTable[[#This Row],[Selling Price]]&lt;15000,"Budget",IF(FlipkartTable[[#This Row],[Selling Price]]&lt;50000,"Mid Range","Premium"))</f>
        <v>Mid Range</v>
      </c>
      <c r="M72" t="str">
        <f>IF(FlipkartTable[[#This Row],[Rating]]&gt;4.5,"Excellent",IF(FlipkartTable[[#This Row],[Rating]]&gt;4,"Good",IF(FlipkartTable[[#This Row],[Rating]]&gt;3.5,"Average","Poor")))</f>
        <v>Good</v>
      </c>
    </row>
    <row r="73" spans="1:13" x14ac:dyDescent="0.35">
      <c r="A73" t="s">
        <v>8</v>
      </c>
      <c r="B73" s="9" t="s">
        <v>83</v>
      </c>
      <c r="C73" t="s">
        <v>84</v>
      </c>
      <c r="D73" t="s">
        <v>14</v>
      </c>
      <c r="E73" t="s">
        <v>12</v>
      </c>
      <c r="F73">
        <v>4.4000000000000004</v>
      </c>
      <c r="G73">
        <v>24990</v>
      </c>
      <c r="H73">
        <v>24990</v>
      </c>
      <c r="I73">
        <f>FlipkartTable[[#This Row],[Original Price]]-FlipkartTable[[#This Row],[Selling Price]]</f>
        <v>0</v>
      </c>
      <c r="J73" s="4">
        <f>(FlipkartTable[[#This Row],[Original Price]]-FlipkartTable[[#This Row],[Selling Price]])/FlipkartTable[[#This Row],[Original Price]]</f>
        <v>0</v>
      </c>
      <c r="K73">
        <f>(FlipkartTable[[#This Row],[Rating]]/FlipkartTable[[#This Row],[Selling Price]])*1000</f>
        <v>0.17607042817126853</v>
      </c>
      <c r="L73" t="str">
        <f>IF(FlipkartTable[[#This Row],[Selling Price]]&lt;15000,"Budget",IF(FlipkartTable[[#This Row],[Selling Price]]&lt;50000,"Mid Range","Premium"))</f>
        <v>Mid Range</v>
      </c>
      <c r="M73" t="str">
        <f>IF(FlipkartTable[[#This Row],[Rating]]&gt;4.5,"Excellent",IF(FlipkartTable[[#This Row],[Rating]]&gt;4,"Good",IF(FlipkartTable[[#This Row],[Rating]]&gt;3.5,"Average","Poor")))</f>
        <v>Good</v>
      </c>
    </row>
    <row r="74" spans="1:13" x14ac:dyDescent="0.35">
      <c r="A74" t="s">
        <v>8</v>
      </c>
      <c r="B74" s="9" t="s">
        <v>85</v>
      </c>
      <c r="C74" t="s">
        <v>22</v>
      </c>
      <c r="D74" t="s">
        <v>35</v>
      </c>
      <c r="E74" t="s">
        <v>21</v>
      </c>
      <c r="F74">
        <v>4.3</v>
      </c>
      <c r="G74">
        <v>8990</v>
      </c>
      <c r="H74">
        <v>12990</v>
      </c>
      <c r="I74">
        <f>FlipkartTable[[#This Row],[Original Price]]-FlipkartTable[[#This Row],[Selling Price]]</f>
        <v>4000</v>
      </c>
      <c r="J74" s="4">
        <f>(FlipkartTable[[#This Row],[Original Price]]-FlipkartTable[[#This Row],[Selling Price]])/FlipkartTable[[#This Row],[Original Price]]</f>
        <v>0.30792917628945343</v>
      </c>
      <c r="K74">
        <f>(FlipkartTable[[#This Row],[Rating]]/FlipkartTable[[#This Row],[Selling Price]])*1000</f>
        <v>0.47830923248053392</v>
      </c>
      <c r="L74" t="str">
        <f>IF(FlipkartTable[[#This Row],[Selling Price]]&lt;15000,"Budget",IF(FlipkartTable[[#This Row],[Selling Price]]&lt;50000,"Mid Range","Premium"))</f>
        <v>Budget</v>
      </c>
      <c r="M74" t="str">
        <f>IF(FlipkartTable[[#This Row],[Rating]]&gt;4.5,"Excellent",IF(FlipkartTable[[#This Row],[Rating]]&gt;4,"Good",IF(FlipkartTable[[#This Row],[Rating]]&gt;3.5,"Average","Poor")))</f>
        <v>Good</v>
      </c>
    </row>
    <row r="75" spans="1:13" x14ac:dyDescent="0.35">
      <c r="A75" t="s">
        <v>8</v>
      </c>
      <c r="B75" s="9" t="s">
        <v>86</v>
      </c>
      <c r="C75" t="s">
        <v>87</v>
      </c>
      <c r="D75" t="s">
        <v>27</v>
      </c>
      <c r="E75" t="s">
        <v>15</v>
      </c>
      <c r="F75">
        <v>4.4000000000000004</v>
      </c>
      <c r="G75">
        <v>29999</v>
      </c>
      <c r="H75">
        <v>29999</v>
      </c>
      <c r="I75">
        <f>FlipkartTable[[#This Row],[Original Price]]-FlipkartTable[[#This Row],[Selling Price]]</f>
        <v>0</v>
      </c>
      <c r="J75" s="4">
        <f>(FlipkartTable[[#This Row],[Original Price]]-FlipkartTable[[#This Row],[Selling Price]])/FlipkartTable[[#This Row],[Original Price]]</f>
        <v>0</v>
      </c>
      <c r="K75">
        <f>(FlipkartTable[[#This Row],[Rating]]/FlipkartTable[[#This Row],[Selling Price]])*1000</f>
        <v>0.14667155571852394</v>
      </c>
      <c r="L75" t="str">
        <f>IF(FlipkartTable[[#This Row],[Selling Price]]&lt;15000,"Budget",IF(FlipkartTable[[#This Row],[Selling Price]]&lt;50000,"Mid Range","Premium"))</f>
        <v>Mid Range</v>
      </c>
      <c r="M75" t="str">
        <f>IF(FlipkartTable[[#This Row],[Rating]]&gt;4.5,"Excellent",IF(FlipkartTable[[#This Row],[Rating]]&gt;4,"Good",IF(FlipkartTable[[#This Row],[Rating]]&gt;3.5,"Average","Poor")))</f>
        <v>Good</v>
      </c>
    </row>
    <row r="76" spans="1:13" x14ac:dyDescent="0.35">
      <c r="A76" t="s">
        <v>8</v>
      </c>
      <c r="B76" s="9" t="s">
        <v>88</v>
      </c>
      <c r="C76" t="s">
        <v>89</v>
      </c>
      <c r="D76" t="s">
        <v>27</v>
      </c>
      <c r="E76" t="s">
        <v>64</v>
      </c>
      <c r="F76">
        <v>4.5</v>
      </c>
      <c r="G76">
        <v>29489</v>
      </c>
      <c r="H76">
        <v>29489</v>
      </c>
      <c r="I76">
        <f>FlipkartTable[[#This Row],[Original Price]]-FlipkartTable[[#This Row],[Selling Price]]</f>
        <v>0</v>
      </c>
      <c r="J76" s="4">
        <f>(FlipkartTable[[#This Row],[Original Price]]-FlipkartTable[[#This Row],[Selling Price]])/FlipkartTable[[#This Row],[Original Price]]</f>
        <v>0</v>
      </c>
      <c r="K76">
        <f>(FlipkartTable[[#This Row],[Rating]]/FlipkartTable[[#This Row],[Selling Price]])*1000</f>
        <v>0.1525992743056733</v>
      </c>
      <c r="L76" t="str">
        <f>IF(FlipkartTable[[#This Row],[Selling Price]]&lt;15000,"Budget",IF(FlipkartTable[[#This Row],[Selling Price]]&lt;50000,"Mid Range","Premium"))</f>
        <v>Mid Range</v>
      </c>
      <c r="M76" t="str">
        <f>IF(FlipkartTable[[#This Row],[Rating]]&gt;4.5,"Excellent",IF(FlipkartTable[[#This Row],[Rating]]&gt;4,"Good",IF(FlipkartTable[[#This Row],[Rating]]&gt;3.5,"Average","Poor")))</f>
        <v>Good</v>
      </c>
    </row>
    <row r="77" spans="1:13" x14ac:dyDescent="0.35">
      <c r="A77" t="s">
        <v>8</v>
      </c>
      <c r="B77" s="9" t="s">
        <v>62</v>
      </c>
      <c r="C77" t="s">
        <v>41</v>
      </c>
      <c r="D77" t="s">
        <v>63</v>
      </c>
      <c r="E77" t="s">
        <v>64</v>
      </c>
      <c r="F77">
        <v>4.4000000000000004</v>
      </c>
      <c r="G77">
        <v>39990</v>
      </c>
      <c r="H77">
        <v>46990</v>
      </c>
      <c r="I77">
        <f>FlipkartTable[[#This Row],[Original Price]]-FlipkartTable[[#This Row],[Selling Price]]</f>
        <v>7000</v>
      </c>
      <c r="J77" s="4">
        <f>(FlipkartTable[[#This Row],[Original Price]]-FlipkartTable[[#This Row],[Selling Price]])/FlipkartTable[[#This Row],[Original Price]]</f>
        <v>0.14896786550329857</v>
      </c>
      <c r="K77">
        <f>(FlipkartTable[[#This Row],[Rating]]/FlipkartTable[[#This Row],[Selling Price]])*1000</f>
        <v>0.11002750687671919</v>
      </c>
      <c r="L77" t="str">
        <f>IF(FlipkartTable[[#This Row],[Selling Price]]&lt;15000,"Budget",IF(FlipkartTable[[#This Row],[Selling Price]]&lt;50000,"Mid Range","Premium"))</f>
        <v>Mid Range</v>
      </c>
      <c r="M77" t="str">
        <f>IF(FlipkartTable[[#This Row],[Rating]]&gt;4.5,"Excellent",IF(FlipkartTable[[#This Row],[Rating]]&gt;4,"Good",IF(FlipkartTable[[#This Row],[Rating]]&gt;3.5,"Average","Poor")))</f>
        <v>Good</v>
      </c>
    </row>
    <row r="78" spans="1:13" x14ac:dyDescent="0.35">
      <c r="A78" t="s">
        <v>8</v>
      </c>
      <c r="B78" s="9" t="s">
        <v>90</v>
      </c>
      <c r="C78" t="s">
        <v>91</v>
      </c>
      <c r="D78" t="s">
        <v>11</v>
      </c>
      <c r="E78" t="s">
        <v>15</v>
      </c>
      <c r="F78">
        <v>4.4000000000000004</v>
      </c>
      <c r="G78">
        <v>15990</v>
      </c>
      <c r="H78">
        <v>20990</v>
      </c>
      <c r="I78">
        <f>FlipkartTable[[#This Row],[Original Price]]-FlipkartTable[[#This Row],[Selling Price]]</f>
        <v>5000</v>
      </c>
      <c r="J78" s="4">
        <f>(FlipkartTable[[#This Row],[Original Price]]-FlipkartTable[[#This Row],[Selling Price]])/FlipkartTable[[#This Row],[Original Price]]</f>
        <v>0.23820867079561697</v>
      </c>
      <c r="K78">
        <f>(FlipkartTable[[#This Row],[Rating]]/FlipkartTable[[#This Row],[Selling Price]])*1000</f>
        <v>0.27517198248905567</v>
      </c>
      <c r="L78" t="str">
        <f>IF(FlipkartTable[[#This Row],[Selling Price]]&lt;15000,"Budget",IF(FlipkartTable[[#This Row],[Selling Price]]&lt;50000,"Mid Range","Premium"))</f>
        <v>Mid Range</v>
      </c>
      <c r="M78" t="str">
        <f>IF(FlipkartTable[[#This Row],[Rating]]&gt;4.5,"Excellent",IF(FlipkartTable[[#This Row],[Rating]]&gt;4,"Good",IF(FlipkartTable[[#This Row],[Rating]]&gt;3.5,"Average","Poor")))</f>
        <v>Good</v>
      </c>
    </row>
    <row r="79" spans="1:13" x14ac:dyDescent="0.35">
      <c r="A79" t="s">
        <v>8</v>
      </c>
      <c r="B79" s="9" t="s">
        <v>78</v>
      </c>
      <c r="C79" t="s">
        <v>92</v>
      </c>
      <c r="D79" t="s">
        <v>14</v>
      </c>
      <c r="E79" t="s">
        <v>15</v>
      </c>
      <c r="F79">
        <v>4.2</v>
      </c>
      <c r="G79">
        <v>19990</v>
      </c>
      <c r="H79">
        <v>20990</v>
      </c>
      <c r="I79">
        <f>FlipkartTable[[#This Row],[Original Price]]-FlipkartTable[[#This Row],[Selling Price]]</f>
        <v>1000</v>
      </c>
      <c r="J79" s="4">
        <f>(FlipkartTable[[#This Row],[Original Price]]-FlipkartTable[[#This Row],[Selling Price]])/FlipkartTable[[#This Row],[Original Price]]</f>
        <v>4.7641734159123393E-2</v>
      </c>
      <c r="K79">
        <f>(FlipkartTable[[#This Row],[Rating]]/FlipkartTable[[#This Row],[Selling Price]])*1000</f>
        <v>0.21010505252626313</v>
      </c>
      <c r="L79" t="str">
        <f>IF(FlipkartTable[[#This Row],[Selling Price]]&lt;15000,"Budget",IF(FlipkartTable[[#This Row],[Selling Price]]&lt;50000,"Mid Range","Premium"))</f>
        <v>Mid Range</v>
      </c>
      <c r="M79" t="str">
        <f>IF(FlipkartTable[[#This Row],[Rating]]&gt;4.5,"Excellent",IF(FlipkartTable[[#This Row],[Rating]]&gt;4,"Good",IF(FlipkartTable[[#This Row],[Rating]]&gt;3.5,"Average","Poor")))</f>
        <v>Good</v>
      </c>
    </row>
    <row r="80" spans="1:13" x14ac:dyDescent="0.35">
      <c r="A80" t="s">
        <v>8</v>
      </c>
      <c r="B80" s="9" t="s">
        <v>93</v>
      </c>
      <c r="C80" t="s">
        <v>94</v>
      </c>
      <c r="D80" t="s">
        <v>14</v>
      </c>
      <c r="E80" t="s">
        <v>12</v>
      </c>
      <c r="F80">
        <v>4.3</v>
      </c>
      <c r="G80">
        <v>13990</v>
      </c>
      <c r="H80">
        <v>20990</v>
      </c>
      <c r="I80">
        <f>FlipkartTable[[#This Row],[Original Price]]-FlipkartTable[[#This Row],[Selling Price]]</f>
        <v>7000</v>
      </c>
      <c r="J80" s="4">
        <f>(FlipkartTable[[#This Row],[Original Price]]-FlipkartTable[[#This Row],[Selling Price]])/FlipkartTable[[#This Row],[Original Price]]</f>
        <v>0.33349213911386372</v>
      </c>
      <c r="K80">
        <f>(FlipkartTable[[#This Row],[Rating]]/FlipkartTable[[#This Row],[Selling Price]])*1000</f>
        <v>0.30736240171551105</v>
      </c>
      <c r="L80" t="str">
        <f>IF(FlipkartTable[[#This Row],[Selling Price]]&lt;15000,"Budget",IF(FlipkartTable[[#This Row],[Selling Price]]&lt;50000,"Mid Range","Premium"))</f>
        <v>Budget</v>
      </c>
      <c r="M80" t="str">
        <f>IF(FlipkartTable[[#This Row],[Rating]]&gt;4.5,"Excellent",IF(FlipkartTable[[#This Row],[Rating]]&gt;4,"Good",IF(FlipkartTable[[#This Row],[Rating]]&gt;3.5,"Average","Poor")))</f>
        <v>Good</v>
      </c>
    </row>
    <row r="81" spans="1:13" x14ac:dyDescent="0.35">
      <c r="A81" t="s">
        <v>8</v>
      </c>
      <c r="B81" s="9" t="s">
        <v>48</v>
      </c>
      <c r="C81" t="s">
        <v>95</v>
      </c>
      <c r="D81" t="s">
        <v>14</v>
      </c>
      <c r="E81" t="s">
        <v>15</v>
      </c>
      <c r="F81">
        <v>4.2</v>
      </c>
      <c r="G81">
        <v>20999</v>
      </c>
      <c r="H81">
        <v>20999</v>
      </c>
      <c r="I81">
        <f>FlipkartTable[[#This Row],[Original Price]]-FlipkartTable[[#This Row],[Selling Price]]</f>
        <v>0</v>
      </c>
      <c r="J81" s="4">
        <f>(FlipkartTable[[#This Row],[Original Price]]-FlipkartTable[[#This Row],[Selling Price]])/FlipkartTable[[#This Row],[Original Price]]</f>
        <v>0</v>
      </c>
      <c r="K81">
        <f>(FlipkartTable[[#This Row],[Rating]]/FlipkartTable[[#This Row],[Selling Price]])*1000</f>
        <v>0.20000952426306015</v>
      </c>
      <c r="L81" t="str">
        <f>IF(FlipkartTable[[#This Row],[Selling Price]]&lt;15000,"Budget",IF(FlipkartTable[[#This Row],[Selling Price]]&lt;50000,"Mid Range","Premium"))</f>
        <v>Mid Range</v>
      </c>
      <c r="M81" t="str">
        <f>IF(FlipkartTable[[#This Row],[Rating]]&gt;4.5,"Excellent",IF(FlipkartTable[[#This Row],[Rating]]&gt;4,"Good",IF(FlipkartTable[[#This Row],[Rating]]&gt;3.5,"Average","Poor")))</f>
        <v>Good</v>
      </c>
    </row>
    <row r="82" spans="1:13" x14ac:dyDescent="0.35">
      <c r="A82" t="s">
        <v>8</v>
      </c>
      <c r="B82" s="9" t="s">
        <v>90</v>
      </c>
      <c r="C82" t="s">
        <v>96</v>
      </c>
      <c r="D82" t="s">
        <v>11</v>
      </c>
      <c r="E82" t="s">
        <v>15</v>
      </c>
      <c r="F82">
        <v>4.4000000000000004</v>
      </c>
      <c r="G82">
        <v>15990</v>
      </c>
      <c r="H82">
        <v>20990</v>
      </c>
      <c r="I82">
        <f>FlipkartTable[[#This Row],[Original Price]]-FlipkartTable[[#This Row],[Selling Price]]</f>
        <v>5000</v>
      </c>
      <c r="J82" s="4">
        <f>(FlipkartTable[[#This Row],[Original Price]]-FlipkartTable[[#This Row],[Selling Price]])/FlipkartTable[[#This Row],[Original Price]]</f>
        <v>0.23820867079561697</v>
      </c>
      <c r="K82">
        <f>(FlipkartTable[[#This Row],[Rating]]/FlipkartTable[[#This Row],[Selling Price]])*1000</f>
        <v>0.27517198248905567</v>
      </c>
      <c r="L82" t="str">
        <f>IF(FlipkartTable[[#This Row],[Selling Price]]&lt;15000,"Budget",IF(FlipkartTable[[#This Row],[Selling Price]]&lt;50000,"Mid Range","Premium"))</f>
        <v>Mid Range</v>
      </c>
      <c r="M82" t="str">
        <f>IF(FlipkartTable[[#This Row],[Rating]]&gt;4.5,"Excellent",IF(FlipkartTable[[#This Row],[Rating]]&gt;4,"Good",IF(FlipkartTable[[#This Row],[Rating]]&gt;3.5,"Average","Poor")))</f>
        <v>Good</v>
      </c>
    </row>
    <row r="83" spans="1:13" x14ac:dyDescent="0.35">
      <c r="A83" t="s">
        <v>8</v>
      </c>
      <c r="B83" s="9" t="s">
        <v>67</v>
      </c>
      <c r="C83" t="s">
        <v>66</v>
      </c>
      <c r="D83" t="s">
        <v>27</v>
      </c>
      <c r="E83" t="s">
        <v>15</v>
      </c>
      <c r="F83">
        <v>4.4000000000000004</v>
      </c>
      <c r="G83">
        <v>24719</v>
      </c>
      <c r="H83">
        <v>25489</v>
      </c>
      <c r="I83">
        <f>FlipkartTable[[#This Row],[Original Price]]-FlipkartTable[[#This Row],[Selling Price]]</f>
        <v>770</v>
      </c>
      <c r="J83" s="4">
        <f>(FlipkartTable[[#This Row],[Original Price]]-FlipkartTable[[#This Row],[Selling Price]])/FlipkartTable[[#This Row],[Original Price]]</f>
        <v>3.0209109812075797E-2</v>
      </c>
      <c r="K83">
        <f>(FlipkartTable[[#This Row],[Rating]]/FlipkartTable[[#This Row],[Selling Price]])*1000</f>
        <v>0.17800072818479715</v>
      </c>
      <c r="L83" t="str">
        <f>IF(FlipkartTable[[#This Row],[Selling Price]]&lt;15000,"Budget",IF(FlipkartTable[[#This Row],[Selling Price]]&lt;50000,"Mid Range","Premium"))</f>
        <v>Mid Range</v>
      </c>
      <c r="M83" t="str">
        <f>IF(FlipkartTable[[#This Row],[Rating]]&gt;4.5,"Excellent",IF(FlipkartTable[[#This Row],[Rating]]&gt;4,"Good",IF(FlipkartTable[[#This Row],[Rating]]&gt;3.5,"Average","Poor")))</f>
        <v>Good</v>
      </c>
    </row>
    <row r="84" spans="1:13" x14ac:dyDescent="0.35">
      <c r="A84" t="s">
        <v>8</v>
      </c>
      <c r="B84" s="9" t="s">
        <v>67</v>
      </c>
      <c r="C84" t="s">
        <v>68</v>
      </c>
      <c r="D84" t="s">
        <v>27</v>
      </c>
      <c r="E84" t="s">
        <v>15</v>
      </c>
      <c r="F84">
        <v>4.4000000000000004</v>
      </c>
      <c r="G84">
        <v>24768</v>
      </c>
      <c r="H84">
        <v>24990</v>
      </c>
      <c r="I84">
        <f>FlipkartTable[[#This Row],[Original Price]]-FlipkartTable[[#This Row],[Selling Price]]</f>
        <v>222</v>
      </c>
      <c r="J84" s="4">
        <f>(FlipkartTable[[#This Row],[Original Price]]-FlipkartTable[[#This Row],[Selling Price]])/FlipkartTable[[#This Row],[Original Price]]</f>
        <v>8.8835534213685466E-3</v>
      </c>
      <c r="K84">
        <f>(FlipkartTable[[#This Row],[Rating]]/FlipkartTable[[#This Row],[Selling Price]])*1000</f>
        <v>0.17764857881136953</v>
      </c>
      <c r="L84" t="str">
        <f>IF(FlipkartTable[[#This Row],[Selling Price]]&lt;15000,"Budget",IF(FlipkartTable[[#This Row],[Selling Price]]&lt;50000,"Mid Range","Premium"))</f>
        <v>Mid Range</v>
      </c>
      <c r="M84" t="str">
        <f>IF(FlipkartTable[[#This Row],[Rating]]&gt;4.5,"Excellent",IF(FlipkartTable[[#This Row],[Rating]]&gt;4,"Good",IF(FlipkartTable[[#This Row],[Rating]]&gt;3.5,"Average","Poor")))</f>
        <v>Good</v>
      </c>
    </row>
    <row r="85" spans="1:13" x14ac:dyDescent="0.35">
      <c r="A85" t="s">
        <v>8</v>
      </c>
      <c r="B85" s="9" t="s">
        <v>97</v>
      </c>
      <c r="C85" t="s">
        <v>98</v>
      </c>
      <c r="D85" t="s">
        <v>11</v>
      </c>
      <c r="E85" t="s">
        <v>15</v>
      </c>
      <c r="F85">
        <v>4.3</v>
      </c>
      <c r="G85">
        <v>14990</v>
      </c>
      <c r="H85">
        <v>18990</v>
      </c>
      <c r="I85">
        <f>FlipkartTable[[#This Row],[Original Price]]-FlipkartTable[[#This Row],[Selling Price]]</f>
        <v>4000</v>
      </c>
      <c r="J85" s="4">
        <f>(FlipkartTable[[#This Row],[Original Price]]-FlipkartTable[[#This Row],[Selling Price]])/FlipkartTable[[#This Row],[Original Price]]</f>
        <v>0.21063717746182201</v>
      </c>
      <c r="K85">
        <f>(FlipkartTable[[#This Row],[Rating]]/FlipkartTable[[#This Row],[Selling Price]])*1000</f>
        <v>0.28685790527018012</v>
      </c>
      <c r="L85" t="str">
        <f>IF(FlipkartTable[[#This Row],[Selling Price]]&lt;15000,"Budget",IF(FlipkartTable[[#This Row],[Selling Price]]&lt;50000,"Mid Range","Premium"))</f>
        <v>Budget</v>
      </c>
      <c r="M85" t="str">
        <f>IF(FlipkartTable[[#This Row],[Rating]]&gt;4.5,"Excellent",IF(FlipkartTable[[#This Row],[Rating]]&gt;4,"Good",IF(FlipkartTable[[#This Row],[Rating]]&gt;3.5,"Average","Poor")))</f>
        <v>Good</v>
      </c>
    </row>
    <row r="86" spans="1:13" x14ac:dyDescent="0.35">
      <c r="A86" t="s">
        <v>8</v>
      </c>
      <c r="B86" s="9" t="s">
        <v>99</v>
      </c>
      <c r="C86" t="s">
        <v>100</v>
      </c>
      <c r="D86" t="s">
        <v>27</v>
      </c>
      <c r="E86" t="s">
        <v>64</v>
      </c>
      <c r="F86">
        <v>4.5999999999999996</v>
      </c>
      <c r="G86">
        <v>60990</v>
      </c>
      <c r="H86">
        <v>60990</v>
      </c>
      <c r="I86">
        <f>FlipkartTable[[#This Row],[Original Price]]-FlipkartTable[[#This Row],[Selling Price]]</f>
        <v>0</v>
      </c>
      <c r="J86" s="4">
        <f>(FlipkartTable[[#This Row],[Original Price]]-FlipkartTable[[#This Row],[Selling Price]])/FlipkartTable[[#This Row],[Original Price]]</f>
        <v>0</v>
      </c>
      <c r="K86">
        <f>(FlipkartTable[[#This Row],[Rating]]/FlipkartTable[[#This Row],[Selling Price]])*1000</f>
        <v>7.5422200360714856E-2</v>
      </c>
      <c r="L86" t="str">
        <f>IF(FlipkartTable[[#This Row],[Selling Price]]&lt;15000,"Budget",IF(FlipkartTable[[#This Row],[Selling Price]]&lt;50000,"Mid Range","Premium"))</f>
        <v>Premium</v>
      </c>
      <c r="M86" t="str">
        <f>IF(FlipkartTable[[#This Row],[Rating]]&gt;4.5,"Excellent",IF(FlipkartTable[[#This Row],[Rating]]&gt;4,"Good",IF(FlipkartTable[[#This Row],[Rating]]&gt;3.5,"Average","Poor")))</f>
        <v>Excellent</v>
      </c>
    </row>
    <row r="87" spans="1:13" x14ac:dyDescent="0.35">
      <c r="A87" t="s">
        <v>8</v>
      </c>
      <c r="B87" s="9" t="s">
        <v>101</v>
      </c>
      <c r="C87" t="s">
        <v>102</v>
      </c>
      <c r="D87" t="s">
        <v>27</v>
      </c>
      <c r="E87" t="s">
        <v>15</v>
      </c>
      <c r="F87">
        <v>4.4000000000000004</v>
      </c>
      <c r="G87">
        <v>34990</v>
      </c>
      <c r="H87">
        <v>37990</v>
      </c>
      <c r="I87">
        <f>FlipkartTable[[#This Row],[Original Price]]-FlipkartTable[[#This Row],[Selling Price]]</f>
        <v>3000</v>
      </c>
      <c r="J87" s="4">
        <f>(FlipkartTable[[#This Row],[Original Price]]-FlipkartTable[[#This Row],[Selling Price]])/FlipkartTable[[#This Row],[Original Price]]</f>
        <v>7.8968149513029745E-2</v>
      </c>
      <c r="K87">
        <f>(FlipkartTable[[#This Row],[Rating]]/FlipkartTable[[#This Row],[Selling Price]])*1000</f>
        <v>0.12575021434695627</v>
      </c>
      <c r="L87" t="str">
        <f>IF(FlipkartTable[[#This Row],[Selling Price]]&lt;15000,"Budget",IF(FlipkartTable[[#This Row],[Selling Price]]&lt;50000,"Mid Range","Premium"))</f>
        <v>Mid Range</v>
      </c>
      <c r="M87" t="str">
        <f>IF(FlipkartTable[[#This Row],[Rating]]&gt;4.5,"Excellent",IF(FlipkartTable[[#This Row],[Rating]]&gt;4,"Good",IF(FlipkartTable[[#This Row],[Rating]]&gt;3.5,"Average","Poor")))</f>
        <v>Good</v>
      </c>
    </row>
    <row r="88" spans="1:13" x14ac:dyDescent="0.35">
      <c r="A88" t="s">
        <v>8</v>
      </c>
      <c r="B88" s="9" t="s">
        <v>103</v>
      </c>
      <c r="C88" t="s">
        <v>104</v>
      </c>
      <c r="D88" t="s">
        <v>14</v>
      </c>
      <c r="E88" t="s">
        <v>15</v>
      </c>
      <c r="F88">
        <v>4.4000000000000004</v>
      </c>
      <c r="G88">
        <v>17990</v>
      </c>
      <c r="H88">
        <v>23990</v>
      </c>
      <c r="I88">
        <f>FlipkartTable[[#This Row],[Original Price]]-FlipkartTable[[#This Row],[Selling Price]]</f>
        <v>6000</v>
      </c>
      <c r="J88" s="4">
        <f>(FlipkartTable[[#This Row],[Original Price]]-FlipkartTable[[#This Row],[Selling Price]])/FlipkartTable[[#This Row],[Original Price]]</f>
        <v>0.25010421008753647</v>
      </c>
      <c r="K88">
        <f>(FlipkartTable[[#This Row],[Rating]]/FlipkartTable[[#This Row],[Selling Price]])*1000</f>
        <v>0.24458032240133409</v>
      </c>
      <c r="L88" t="str">
        <f>IF(FlipkartTable[[#This Row],[Selling Price]]&lt;15000,"Budget",IF(FlipkartTable[[#This Row],[Selling Price]]&lt;50000,"Mid Range","Premium"))</f>
        <v>Mid Range</v>
      </c>
      <c r="M88" t="str">
        <f>IF(FlipkartTable[[#This Row],[Rating]]&gt;4.5,"Excellent",IF(FlipkartTable[[#This Row],[Rating]]&gt;4,"Good",IF(FlipkartTable[[#This Row],[Rating]]&gt;3.5,"Average","Poor")))</f>
        <v>Good</v>
      </c>
    </row>
    <row r="89" spans="1:13" x14ac:dyDescent="0.35">
      <c r="A89" t="s">
        <v>8</v>
      </c>
      <c r="B89" s="9" t="s">
        <v>105</v>
      </c>
      <c r="C89" t="s">
        <v>106</v>
      </c>
      <c r="D89" t="s">
        <v>11</v>
      </c>
      <c r="E89" t="s">
        <v>12</v>
      </c>
      <c r="F89">
        <v>4.4000000000000004</v>
      </c>
      <c r="G89">
        <v>15990</v>
      </c>
      <c r="H89">
        <v>15990</v>
      </c>
      <c r="I89">
        <f>FlipkartTable[[#This Row],[Original Price]]-FlipkartTable[[#This Row],[Selling Price]]</f>
        <v>0</v>
      </c>
      <c r="J89" s="4">
        <f>(FlipkartTable[[#This Row],[Original Price]]-FlipkartTable[[#This Row],[Selling Price]])/FlipkartTable[[#This Row],[Original Price]]</f>
        <v>0</v>
      </c>
      <c r="K89">
        <f>(FlipkartTable[[#This Row],[Rating]]/FlipkartTable[[#This Row],[Selling Price]])*1000</f>
        <v>0.27517198248905567</v>
      </c>
      <c r="L89" t="str">
        <f>IF(FlipkartTable[[#This Row],[Selling Price]]&lt;15000,"Budget",IF(FlipkartTable[[#This Row],[Selling Price]]&lt;50000,"Mid Range","Premium"))</f>
        <v>Mid Range</v>
      </c>
      <c r="M89" t="str">
        <f>IF(FlipkartTable[[#This Row],[Rating]]&gt;4.5,"Excellent",IF(FlipkartTable[[#This Row],[Rating]]&gt;4,"Good",IF(FlipkartTable[[#This Row],[Rating]]&gt;3.5,"Average","Poor")))</f>
        <v>Good</v>
      </c>
    </row>
    <row r="90" spans="1:13" x14ac:dyDescent="0.35">
      <c r="A90" t="s">
        <v>8</v>
      </c>
      <c r="B90" s="9" t="s">
        <v>107</v>
      </c>
      <c r="C90" t="s">
        <v>108</v>
      </c>
      <c r="D90" t="s">
        <v>27</v>
      </c>
      <c r="E90" t="s">
        <v>15</v>
      </c>
      <c r="F90">
        <v>4.4000000000000004</v>
      </c>
      <c r="G90">
        <v>34990</v>
      </c>
      <c r="H90">
        <v>37990</v>
      </c>
      <c r="I90">
        <f>FlipkartTable[[#This Row],[Original Price]]-FlipkartTable[[#This Row],[Selling Price]]</f>
        <v>3000</v>
      </c>
      <c r="J90" s="4">
        <f>(FlipkartTable[[#This Row],[Original Price]]-FlipkartTable[[#This Row],[Selling Price]])/FlipkartTable[[#This Row],[Original Price]]</f>
        <v>7.8968149513029745E-2</v>
      </c>
      <c r="K90">
        <f>(FlipkartTable[[#This Row],[Rating]]/FlipkartTable[[#This Row],[Selling Price]])*1000</f>
        <v>0.12575021434695627</v>
      </c>
      <c r="L90" t="str">
        <f>IF(FlipkartTable[[#This Row],[Selling Price]]&lt;15000,"Budget",IF(FlipkartTable[[#This Row],[Selling Price]]&lt;50000,"Mid Range","Premium"))</f>
        <v>Mid Range</v>
      </c>
      <c r="M90" t="str">
        <f>IF(FlipkartTable[[#This Row],[Rating]]&gt;4.5,"Excellent",IF(FlipkartTable[[#This Row],[Rating]]&gt;4,"Good",IF(FlipkartTable[[#This Row],[Rating]]&gt;3.5,"Average","Poor")))</f>
        <v>Good</v>
      </c>
    </row>
    <row r="91" spans="1:13" x14ac:dyDescent="0.35">
      <c r="A91" t="s">
        <v>8</v>
      </c>
      <c r="B91" s="9" t="s">
        <v>107</v>
      </c>
      <c r="C91" t="s">
        <v>109</v>
      </c>
      <c r="D91" t="s">
        <v>27</v>
      </c>
      <c r="E91" t="s">
        <v>15</v>
      </c>
      <c r="F91">
        <v>4.4000000000000004</v>
      </c>
      <c r="G91">
        <v>34990</v>
      </c>
      <c r="H91">
        <v>37990</v>
      </c>
      <c r="I91">
        <f>FlipkartTable[[#This Row],[Original Price]]-FlipkartTable[[#This Row],[Selling Price]]</f>
        <v>3000</v>
      </c>
      <c r="J91" s="4">
        <f>(FlipkartTable[[#This Row],[Original Price]]-FlipkartTable[[#This Row],[Selling Price]])/FlipkartTable[[#This Row],[Original Price]]</f>
        <v>7.8968149513029745E-2</v>
      </c>
      <c r="K91">
        <f>(FlipkartTable[[#This Row],[Rating]]/FlipkartTable[[#This Row],[Selling Price]])*1000</f>
        <v>0.12575021434695627</v>
      </c>
      <c r="L91" t="str">
        <f>IF(FlipkartTable[[#This Row],[Selling Price]]&lt;15000,"Budget",IF(FlipkartTable[[#This Row],[Selling Price]]&lt;50000,"Mid Range","Premium"))</f>
        <v>Mid Range</v>
      </c>
      <c r="M91" t="str">
        <f>IF(FlipkartTable[[#This Row],[Rating]]&gt;4.5,"Excellent",IF(FlipkartTable[[#This Row],[Rating]]&gt;4,"Good",IF(FlipkartTable[[#This Row],[Rating]]&gt;3.5,"Average","Poor")))</f>
        <v>Good</v>
      </c>
    </row>
    <row r="92" spans="1:13" x14ac:dyDescent="0.35">
      <c r="A92" t="s">
        <v>8</v>
      </c>
      <c r="B92" s="9" t="s">
        <v>78</v>
      </c>
      <c r="C92" t="s">
        <v>76</v>
      </c>
      <c r="D92" t="s">
        <v>14</v>
      </c>
      <c r="E92" t="s">
        <v>15</v>
      </c>
      <c r="F92">
        <v>4.2</v>
      </c>
      <c r="G92">
        <v>19990</v>
      </c>
      <c r="H92">
        <v>20990</v>
      </c>
      <c r="I92">
        <f>FlipkartTable[[#This Row],[Original Price]]-FlipkartTable[[#This Row],[Selling Price]]</f>
        <v>1000</v>
      </c>
      <c r="J92" s="4">
        <f>(FlipkartTable[[#This Row],[Original Price]]-FlipkartTable[[#This Row],[Selling Price]])/FlipkartTable[[#This Row],[Original Price]]</f>
        <v>4.7641734159123393E-2</v>
      </c>
      <c r="K92">
        <f>(FlipkartTable[[#This Row],[Rating]]/FlipkartTable[[#This Row],[Selling Price]])*1000</f>
        <v>0.21010505252626313</v>
      </c>
      <c r="L92" t="str">
        <f>IF(FlipkartTable[[#This Row],[Selling Price]]&lt;15000,"Budget",IF(FlipkartTable[[#This Row],[Selling Price]]&lt;50000,"Mid Range","Premium"))</f>
        <v>Mid Range</v>
      </c>
      <c r="M92" t="str">
        <f>IF(FlipkartTable[[#This Row],[Rating]]&gt;4.5,"Excellent",IF(FlipkartTable[[#This Row],[Rating]]&gt;4,"Good",IF(FlipkartTable[[#This Row],[Rating]]&gt;3.5,"Average","Poor")))</f>
        <v>Good</v>
      </c>
    </row>
    <row r="93" spans="1:13" x14ac:dyDescent="0.35">
      <c r="A93" t="s">
        <v>8</v>
      </c>
      <c r="B93" s="9" t="s">
        <v>17</v>
      </c>
      <c r="C93" t="s">
        <v>19</v>
      </c>
      <c r="D93" t="s">
        <v>11</v>
      </c>
      <c r="E93" t="s">
        <v>12</v>
      </c>
      <c r="F93">
        <v>4.4000000000000004</v>
      </c>
      <c r="G93">
        <v>10990</v>
      </c>
      <c r="H93">
        <v>10990</v>
      </c>
      <c r="I93">
        <f>FlipkartTable[[#This Row],[Original Price]]-FlipkartTable[[#This Row],[Selling Price]]</f>
        <v>0</v>
      </c>
      <c r="J93" s="4">
        <f>(FlipkartTable[[#This Row],[Original Price]]-FlipkartTable[[#This Row],[Selling Price]])/FlipkartTable[[#This Row],[Original Price]]</f>
        <v>0</v>
      </c>
      <c r="K93">
        <f>(FlipkartTable[[#This Row],[Rating]]/FlipkartTable[[#This Row],[Selling Price]])*1000</f>
        <v>0.40036396724294815</v>
      </c>
      <c r="L93" t="str">
        <f>IF(FlipkartTable[[#This Row],[Selling Price]]&lt;15000,"Budget",IF(FlipkartTable[[#This Row],[Selling Price]]&lt;50000,"Mid Range","Premium"))</f>
        <v>Budget</v>
      </c>
      <c r="M93" t="str">
        <f>IF(FlipkartTable[[#This Row],[Rating]]&gt;4.5,"Excellent",IF(FlipkartTable[[#This Row],[Rating]]&gt;4,"Good",IF(FlipkartTable[[#This Row],[Rating]]&gt;3.5,"Average","Poor")))</f>
        <v>Good</v>
      </c>
    </row>
    <row r="94" spans="1:13" x14ac:dyDescent="0.35">
      <c r="A94" t="s">
        <v>8</v>
      </c>
      <c r="B94" s="9" t="s">
        <v>97</v>
      </c>
      <c r="C94" t="s">
        <v>110</v>
      </c>
      <c r="D94" t="s">
        <v>11</v>
      </c>
      <c r="E94" t="s">
        <v>15</v>
      </c>
      <c r="F94">
        <v>4.3</v>
      </c>
      <c r="G94">
        <v>14990</v>
      </c>
      <c r="H94">
        <v>18990</v>
      </c>
      <c r="I94">
        <f>FlipkartTable[[#This Row],[Original Price]]-FlipkartTable[[#This Row],[Selling Price]]</f>
        <v>4000</v>
      </c>
      <c r="J94" s="4">
        <f>(FlipkartTable[[#This Row],[Original Price]]-FlipkartTable[[#This Row],[Selling Price]])/FlipkartTable[[#This Row],[Original Price]]</f>
        <v>0.21063717746182201</v>
      </c>
      <c r="K94">
        <f>(FlipkartTable[[#This Row],[Rating]]/FlipkartTable[[#This Row],[Selling Price]])*1000</f>
        <v>0.28685790527018012</v>
      </c>
      <c r="L94" t="str">
        <f>IF(FlipkartTable[[#This Row],[Selling Price]]&lt;15000,"Budget",IF(FlipkartTable[[#This Row],[Selling Price]]&lt;50000,"Mid Range","Premium"))</f>
        <v>Budget</v>
      </c>
      <c r="M94" t="str">
        <f>IF(FlipkartTable[[#This Row],[Rating]]&gt;4.5,"Excellent",IF(FlipkartTable[[#This Row],[Rating]]&gt;4,"Good",IF(FlipkartTable[[#This Row],[Rating]]&gt;3.5,"Average","Poor")))</f>
        <v>Good</v>
      </c>
    </row>
    <row r="95" spans="1:13" x14ac:dyDescent="0.35">
      <c r="A95" t="s">
        <v>8</v>
      </c>
      <c r="B95" s="9" t="s">
        <v>65</v>
      </c>
      <c r="C95" t="s">
        <v>66</v>
      </c>
      <c r="D95" t="s">
        <v>27</v>
      </c>
      <c r="E95" t="s">
        <v>15</v>
      </c>
      <c r="F95">
        <v>4.4000000000000004</v>
      </c>
      <c r="G95">
        <v>21990</v>
      </c>
      <c r="H95">
        <v>28990</v>
      </c>
      <c r="I95">
        <f>FlipkartTable[[#This Row],[Original Price]]-FlipkartTable[[#This Row],[Selling Price]]</f>
        <v>7000</v>
      </c>
      <c r="J95" s="4">
        <f>(FlipkartTable[[#This Row],[Original Price]]-FlipkartTable[[#This Row],[Selling Price]])/FlipkartTable[[#This Row],[Original Price]]</f>
        <v>0.24146257330113832</v>
      </c>
      <c r="K95">
        <f>(FlipkartTable[[#This Row],[Rating]]/FlipkartTable[[#This Row],[Selling Price]])*1000</f>
        <v>0.20009095043201458</v>
      </c>
      <c r="L95" t="str">
        <f>IF(FlipkartTable[[#This Row],[Selling Price]]&lt;15000,"Budget",IF(FlipkartTable[[#This Row],[Selling Price]]&lt;50000,"Mid Range","Premium"))</f>
        <v>Mid Range</v>
      </c>
      <c r="M95" t="str">
        <f>IF(FlipkartTable[[#This Row],[Rating]]&gt;4.5,"Excellent",IF(FlipkartTable[[#This Row],[Rating]]&gt;4,"Good",IF(FlipkartTable[[#This Row],[Rating]]&gt;3.5,"Average","Poor")))</f>
        <v>Good</v>
      </c>
    </row>
    <row r="96" spans="1:13" x14ac:dyDescent="0.35">
      <c r="A96" t="s">
        <v>8</v>
      </c>
      <c r="B96" s="9" t="s">
        <v>111</v>
      </c>
      <c r="C96" t="s">
        <v>112</v>
      </c>
      <c r="D96" t="s">
        <v>20</v>
      </c>
      <c r="E96" t="s">
        <v>12</v>
      </c>
      <c r="F96">
        <v>4.4000000000000004</v>
      </c>
      <c r="G96">
        <v>12990</v>
      </c>
      <c r="H96">
        <v>14990</v>
      </c>
      <c r="I96">
        <f>FlipkartTable[[#This Row],[Original Price]]-FlipkartTable[[#This Row],[Selling Price]]</f>
        <v>2000</v>
      </c>
      <c r="J96" s="4">
        <f>(FlipkartTable[[#This Row],[Original Price]]-FlipkartTable[[#This Row],[Selling Price]])/FlipkartTable[[#This Row],[Original Price]]</f>
        <v>0.13342228152101401</v>
      </c>
      <c r="K96">
        <f>(FlipkartTable[[#This Row],[Rating]]/FlipkartTable[[#This Row],[Selling Price]])*1000</f>
        <v>0.3387220939183988</v>
      </c>
      <c r="L96" t="str">
        <f>IF(FlipkartTable[[#This Row],[Selling Price]]&lt;15000,"Budget",IF(FlipkartTable[[#This Row],[Selling Price]]&lt;50000,"Mid Range","Premium"))</f>
        <v>Budget</v>
      </c>
      <c r="M96" t="str">
        <f>IF(FlipkartTable[[#This Row],[Rating]]&gt;4.5,"Excellent",IF(FlipkartTable[[#This Row],[Rating]]&gt;4,"Good",IF(FlipkartTable[[#This Row],[Rating]]&gt;3.5,"Average","Poor")))</f>
        <v>Good</v>
      </c>
    </row>
    <row r="97" spans="1:13" x14ac:dyDescent="0.35">
      <c r="A97" t="s">
        <v>8</v>
      </c>
      <c r="B97" s="9" t="s">
        <v>113</v>
      </c>
      <c r="C97" t="s">
        <v>114</v>
      </c>
      <c r="D97" t="s">
        <v>11</v>
      </c>
      <c r="E97" t="s">
        <v>12</v>
      </c>
      <c r="F97">
        <v>4.3</v>
      </c>
      <c r="G97">
        <v>17000</v>
      </c>
      <c r="H97">
        <v>17000</v>
      </c>
      <c r="I97">
        <f>FlipkartTable[[#This Row],[Original Price]]-FlipkartTable[[#This Row],[Selling Price]]</f>
        <v>0</v>
      </c>
      <c r="J97" s="4">
        <f>(FlipkartTable[[#This Row],[Original Price]]-FlipkartTable[[#This Row],[Selling Price]])/FlipkartTable[[#This Row],[Original Price]]</f>
        <v>0</v>
      </c>
      <c r="K97">
        <f>(FlipkartTable[[#This Row],[Rating]]/FlipkartTable[[#This Row],[Selling Price]])*1000</f>
        <v>0.25294117647058822</v>
      </c>
      <c r="L97" t="str">
        <f>IF(FlipkartTable[[#This Row],[Selling Price]]&lt;15000,"Budget",IF(FlipkartTable[[#This Row],[Selling Price]]&lt;50000,"Mid Range","Premium"))</f>
        <v>Mid Range</v>
      </c>
      <c r="M97" t="str">
        <f>IF(FlipkartTable[[#This Row],[Rating]]&gt;4.5,"Excellent",IF(FlipkartTable[[#This Row],[Rating]]&gt;4,"Good",IF(FlipkartTable[[#This Row],[Rating]]&gt;3.5,"Average","Poor")))</f>
        <v>Good</v>
      </c>
    </row>
    <row r="98" spans="1:13" x14ac:dyDescent="0.35">
      <c r="A98" t="s">
        <v>8</v>
      </c>
      <c r="B98" s="9" t="s">
        <v>115</v>
      </c>
      <c r="C98" t="s">
        <v>116</v>
      </c>
      <c r="D98" t="s">
        <v>11</v>
      </c>
      <c r="E98" t="s">
        <v>12</v>
      </c>
      <c r="F98">
        <v>4</v>
      </c>
      <c r="G98">
        <v>27500</v>
      </c>
      <c r="H98">
        <v>27500</v>
      </c>
      <c r="I98">
        <f>FlipkartTable[[#This Row],[Original Price]]-FlipkartTable[[#This Row],[Selling Price]]</f>
        <v>0</v>
      </c>
      <c r="J98" s="4">
        <f>(FlipkartTable[[#This Row],[Original Price]]-FlipkartTable[[#This Row],[Selling Price]])/FlipkartTable[[#This Row],[Original Price]]</f>
        <v>0</v>
      </c>
      <c r="K98">
        <f>(FlipkartTable[[#This Row],[Rating]]/FlipkartTable[[#This Row],[Selling Price]])*1000</f>
        <v>0.14545454545454545</v>
      </c>
      <c r="L98" t="str">
        <f>IF(FlipkartTable[[#This Row],[Selling Price]]&lt;15000,"Budget",IF(FlipkartTable[[#This Row],[Selling Price]]&lt;50000,"Mid Range","Premium"))</f>
        <v>Mid Range</v>
      </c>
      <c r="M98" t="str">
        <f>IF(FlipkartTable[[#This Row],[Rating]]&gt;4.5,"Excellent",IF(FlipkartTable[[#This Row],[Rating]]&gt;4,"Good",IF(FlipkartTable[[#This Row],[Rating]]&gt;3.5,"Average","Poor")))</f>
        <v>Average</v>
      </c>
    </row>
    <row r="99" spans="1:13" x14ac:dyDescent="0.35">
      <c r="A99" t="s">
        <v>8</v>
      </c>
      <c r="B99" s="9" t="s">
        <v>93</v>
      </c>
      <c r="C99" t="s">
        <v>94</v>
      </c>
      <c r="D99" t="s">
        <v>11</v>
      </c>
      <c r="E99" t="s">
        <v>12</v>
      </c>
      <c r="F99">
        <v>4.4000000000000004</v>
      </c>
      <c r="G99">
        <v>15000</v>
      </c>
      <c r="H99">
        <v>15000</v>
      </c>
      <c r="I99">
        <f>FlipkartTable[[#This Row],[Original Price]]-FlipkartTable[[#This Row],[Selling Price]]</f>
        <v>0</v>
      </c>
      <c r="J99" s="4">
        <f>(FlipkartTable[[#This Row],[Original Price]]-FlipkartTable[[#This Row],[Selling Price]])/FlipkartTable[[#This Row],[Original Price]]</f>
        <v>0</v>
      </c>
      <c r="K99">
        <f>(FlipkartTable[[#This Row],[Rating]]/FlipkartTable[[#This Row],[Selling Price]])*1000</f>
        <v>0.29333333333333339</v>
      </c>
      <c r="L99" t="str">
        <f>IF(FlipkartTable[[#This Row],[Selling Price]]&lt;15000,"Budget",IF(FlipkartTable[[#This Row],[Selling Price]]&lt;50000,"Mid Range","Premium"))</f>
        <v>Mid Range</v>
      </c>
      <c r="M99" t="str">
        <f>IF(FlipkartTable[[#This Row],[Rating]]&gt;4.5,"Excellent",IF(FlipkartTable[[#This Row],[Rating]]&gt;4,"Good",IF(FlipkartTable[[#This Row],[Rating]]&gt;3.5,"Average","Poor")))</f>
        <v>Good</v>
      </c>
    </row>
    <row r="100" spans="1:13" x14ac:dyDescent="0.35">
      <c r="A100" t="s">
        <v>8</v>
      </c>
      <c r="B100" s="9" t="s">
        <v>117</v>
      </c>
      <c r="C100" t="s">
        <v>22</v>
      </c>
      <c r="D100" t="s">
        <v>11</v>
      </c>
      <c r="E100" t="s">
        <v>12</v>
      </c>
      <c r="F100">
        <v>4.3</v>
      </c>
      <c r="G100">
        <v>15000</v>
      </c>
      <c r="H100">
        <v>15000</v>
      </c>
      <c r="I100">
        <f>FlipkartTable[[#This Row],[Original Price]]-FlipkartTable[[#This Row],[Selling Price]]</f>
        <v>0</v>
      </c>
      <c r="J100" s="4">
        <f>(FlipkartTable[[#This Row],[Original Price]]-FlipkartTable[[#This Row],[Selling Price]])/FlipkartTable[[#This Row],[Original Price]]</f>
        <v>0</v>
      </c>
      <c r="K100">
        <f>(FlipkartTable[[#This Row],[Rating]]/FlipkartTable[[#This Row],[Selling Price]])*1000</f>
        <v>0.28666666666666668</v>
      </c>
      <c r="L100" t="str">
        <f>IF(FlipkartTable[[#This Row],[Selling Price]]&lt;15000,"Budget",IF(FlipkartTable[[#This Row],[Selling Price]]&lt;50000,"Mid Range","Premium"))</f>
        <v>Mid Range</v>
      </c>
      <c r="M100" t="str">
        <f>IF(FlipkartTable[[#This Row],[Rating]]&gt;4.5,"Excellent",IF(FlipkartTable[[#This Row],[Rating]]&gt;4,"Good",IF(FlipkartTable[[#This Row],[Rating]]&gt;3.5,"Average","Poor")))</f>
        <v>Good</v>
      </c>
    </row>
    <row r="101" spans="1:13" x14ac:dyDescent="0.35">
      <c r="A101" t="s">
        <v>8</v>
      </c>
      <c r="B101" s="9" t="s">
        <v>118</v>
      </c>
      <c r="C101" t="s">
        <v>114</v>
      </c>
      <c r="D101" t="s">
        <v>11</v>
      </c>
      <c r="E101" t="s">
        <v>12</v>
      </c>
      <c r="F101">
        <v>4.3</v>
      </c>
      <c r="G101">
        <v>18000</v>
      </c>
      <c r="H101">
        <v>18000</v>
      </c>
      <c r="I101">
        <f>FlipkartTable[[#This Row],[Original Price]]-FlipkartTable[[#This Row],[Selling Price]]</f>
        <v>0</v>
      </c>
      <c r="J101" s="4">
        <f>(FlipkartTable[[#This Row],[Original Price]]-FlipkartTable[[#This Row],[Selling Price]])/FlipkartTable[[#This Row],[Original Price]]</f>
        <v>0</v>
      </c>
      <c r="K101">
        <f>(FlipkartTable[[#This Row],[Rating]]/FlipkartTable[[#This Row],[Selling Price]])*1000</f>
        <v>0.23888888888888887</v>
      </c>
      <c r="L101" t="str">
        <f>IF(FlipkartTable[[#This Row],[Selling Price]]&lt;15000,"Budget",IF(FlipkartTable[[#This Row],[Selling Price]]&lt;50000,"Mid Range","Premium"))</f>
        <v>Mid Range</v>
      </c>
      <c r="M101" t="str">
        <f>IF(FlipkartTable[[#This Row],[Rating]]&gt;4.5,"Excellent",IF(FlipkartTable[[#This Row],[Rating]]&gt;4,"Good",IF(FlipkartTable[[#This Row],[Rating]]&gt;3.5,"Average","Poor")))</f>
        <v>Good</v>
      </c>
    </row>
    <row r="102" spans="1:13" x14ac:dyDescent="0.35">
      <c r="A102" t="s">
        <v>8</v>
      </c>
      <c r="B102" s="9" t="s">
        <v>90</v>
      </c>
      <c r="C102" t="s">
        <v>119</v>
      </c>
      <c r="D102" t="s">
        <v>11</v>
      </c>
      <c r="E102" t="s">
        <v>15</v>
      </c>
      <c r="F102">
        <v>4.4000000000000004</v>
      </c>
      <c r="G102">
        <v>15990</v>
      </c>
      <c r="H102">
        <v>20990</v>
      </c>
      <c r="I102">
        <f>FlipkartTable[[#This Row],[Original Price]]-FlipkartTable[[#This Row],[Selling Price]]</f>
        <v>5000</v>
      </c>
      <c r="J102" s="4">
        <f>(FlipkartTable[[#This Row],[Original Price]]-FlipkartTable[[#This Row],[Selling Price]])/FlipkartTable[[#This Row],[Original Price]]</f>
        <v>0.23820867079561697</v>
      </c>
      <c r="K102">
        <f>(FlipkartTable[[#This Row],[Rating]]/FlipkartTable[[#This Row],[Selling Price]])*1000</f>
        <v>0.27517198248905567</v>
      </c>
      <c r="L102" t="str">
        <f>IF(FlipkartTable[[#This Row],[Selling Price]]&lt;15000,"Budget",IF(FlipkartTable[[#This Row],[Selling Price]]&lt;50000,"Mid Range","Premium"))</f>
        <v>Mid Range</v>
      </c>
      <c r="M102" t="str">
        <f>IF(FlipkartTable[[#This Row],[Rating]]&gt;4.5,"Excellent",IF(FlipkartTable[[#This Row],[Rating]]&gt;4,"Good",IF(FlipkartTable[[#This Row],[Rating]]&gt;3.5,"Average","Poor")))</f>
        <v>Good</v>
      </c>
    </row>
    <row r="103" spans="1:13" x14ac:dyDescent="0.35">
      <c r="A103" t="s">
        <v>8</v>
      </c>
      <c r="B103" s="9" t="s">
        <v>120</v>
      </c>
      <c r="C103" t="s">
        <v>121</v>
      </c>
      <c r="D103" t="s">
        <v>11</v>
      </c>
      <c r="E103" t="s">
        <v>12</v>
      </c>
      <c r="F103">
        <v>4.3</v>
      </c>
      <c r="G103">
        <v>15000</v>
      </c>
      <c r="H103">
        <v>15000</v>
      </c>
      <c r="I103">
        <f>FlipkartTable[[#This Row],[Original Price]]-FlipkartTable[[#This Row],[Selling Price]]</f>
        <v>0</v>
      </c>
      <c r="J103" s="4">
        <f>(FlipkartTable[[#This Row],[Original Price]]-FlipkartTable[[#This Row],[Selling Price]])/FlipkartTable[[#This Row],[Original Price]]</f>
        <v>0</v>
      </c>
      <c r="K103">
        <f>(FlipkartTable[[#This Row],[Rating]]/FlipkartTable[[#This Row],[Selling Price]])*1000</f>
        <v>0.28666666666666668</v>
      </c>
      <c r="L103" t="str">
        <f>IF(FlipkartTable[[#This Row],[Selling Price]]&lt;15000,"Budget",IF(FlipkartTable[[#This Row],[Selling Price]]&lt;50000,"Mid Range","Premium"))</f>
        <v>Mid Range</v>
      </c>
      <c r="M103" t="str">
        <f>IF(FlipkartTable[[#This Row],[Rating]]&gt;4.5,"Excellent",IF(FlipkartTable[[#This Row],[Rating]]&gt;4,"Good",IF(FlipkartTable[[#This Row],[Rating]]&gt;3.5,"Average","Poor")))</f>
        <v>Good</v>
      </c>
    </row>
    <row r="104" spans="1:13" x14ac:dyDescent="0.35">
      <c r="A104" t="s">
        <v>8</v>
      </c>
      <c r="B104" s="9" t="s">
        <v>122</v>
      </c>
      <c r="C104" t="s">
        <v>123</v>
      </c>
      <c r="D104" t="s">
        <v>35</v>
      </c>
      <c r="E104" t="s">
        <v>124</v>
      </c>
      <c r="F104">
        <v>4.2</v>
      </c>
      <c r="G104">
        <v>11000</v>
      </c>
      <c r="H104">
        <v>11000</v>
      </c>
      <c r="I104">
        <f>FlipkartTable[[#This Row],[Original Price]]-FlipkartTable[[#This Row],[Selling Price]]</f>
        <v>0</v>
      </c>
      <c r="J104" s="4">
        <f>(FlipkartTable[[#This Row],[Original Price]]-FlipkartTable[[#This Row],[Selling Price]])/FlipkartTable[[#This Row],[Original Price]]</f>
        <v>0</v>
      </c>
      <c r="K104">
        <f>(FlipkartTable[[#This Row],[Rating]]/FlipkartTable[[#This Row],[Selling Price]])*1000</f>
        <v>0.38181818181818183</v>
      </c>
      <c r="L104" t="str">
        <f>IF(FlipkartTable[[#This Row],[Selling Price]]&lt;15000,"Budget",IF(FlipkartTable[[#This Row],[Selling Price]]&lt;50000,"Mid Range","Premium"))</f>
        <v>Budget</v>
      </c>
      <c r="M104" t="str">
        <f>IF(FlipkartTable[[#This Row],[Rating]]&gt;4.5,"Excellent",IF(FlipkartTable[[#This Row],[Rating]]&gt;4,"Good",IF(FlipkartTable[[#This Row],[Rating]]&gt;3.5,"Average","Poor")))</f>
        <v>Good</v>
      </c>
    </row>
    <row r="105" spans="1:13" x14ac:dyDescent="0.35">
      <c r="A105" t="s">
        <v>8</v>
      </c>
      <c r="B105" s="9" t="s">
        <v>125</v>
      </c>
      <c r="C105" t="s">
        <v>126</v>
      </c>
      <c r="D105" t="s">
        <v>14</v>
      </c>
      <c r="E105" t="s">
        <v>12</v>
      </c>
      <c r="F105">
        <v>4.3</v>
      </c>
      <c r="G105">
        <v>23990</v>
      </c>
      <c r="H105">
        <v>24667</v>
      </c>
      <c r="I105">
        <f>FlipkartTable[[#This Row],[Original Price]]-FlipkartTable[[#This Row],[Selling Price]]</f>
        <v>677</v>
      </c>
      <c r="J105" s="4">
        <f>(FlipkartTable[[#This Row],[Original Price]]-FlipkartTable[[#This Row],[Selling Price]])/FlipkartTable[[#This Row],[Original Price]]</f>
        <v>2.7445575059796491E-2</v>
      </c>
      <c r="K105">
        <f>(FlipkartTable[[#This Row],[Rating]]/FlipkartTable[[#This Row],[Selling Price]])*1000</f>
        <v>0.17924135056273446</v>
      </c>
      <c r="L105" t="str">
        <f>IF(FlipkartTable[[#This Row],[Selling Price]]&lt;15000,"Budget",IF(FlipkartTable[[#This Row],[Selling Price]]&lt;50000,"Mid Range","Premium"))</f>
        <v>Mid Range</v>
      </c>
      <c r="M105" t="str">
        <f>IF(FlipkartTable[[#This Row],[Rating]]&gt;4.5,"Excellent",IF(FlipkartTable[[#This Row],[Rating]]&gt;4,"Good",IF(FlipkartTable[[#This Row],[Rating]]&gt;3.5,"Average","Poor")))</f>
        <v>Good</v>
      </c>
    </row>
    <row r="106" spans="1:13" x14ac:dyDescent="0.35">
      <c r="A106" t="s">
        <v>8</v>
      </c>
      <c r="B106" s="9" t="s">
        <v>127</v>
      </c>
      <c r="C106" t="s">
        <v>128</v>
      </c>
      <c r="D106" t="s">
        <v>11</v>
      </c>
      <c r="E106" t="s">
        <v>12</v>
      </c>
      <c r="F106">
        <v>4.5</v>
      </c>
      <c r="G106">
        <v>19000</v>
      </c>
      <c r="H106">
        <v>19000</v>
      </c>
      <c r="I106">
        <f>FlipkartTable[[#This Row],[Original Price]]-FlipkartTable[[#This Row],[Selling Price]]</f>
        <v>0</v>
      </c>
      <c r="J106" s="4">
        <f>(FlipkartTable[[#This Row],[Original Price]]-FlipkartTable[[#This Row],[Selling Price]])/FlipkartTable[[#This Row],[Original Price]]</f>
        <v>0</v>
      </c>
      <c r="K106">
        <f>(FlipkartTable[[#This Row],[Rating]]/FlipkartTable[[#This Row],[Selling Price]])*1000</f>
        <v>0.23684210526315788</v>
      </c>
      <c r="L106" t="str">
        <f>IF(FlipkartTable[[#This Row],[Selling Price]]&lt;15000,"Budget",IF(FlipkartTable[[#This Row],[Selling Price]]&lt;50000,"Mid Range","Premium"))</f>
        <v>Mid Range</v>
      </c>
      <c r="M106" t="str">
        <f>IF(FlipkartTable[[#This Row],[Rating]]&gt;4.5,"Excellent",IF(FlipkartTable[[#This Row],[Rating]]&gt;4,"Good",IF(FlipkartTable[[#This Row],[Rating]]&gt;3.5,"Average","Poor")))</f>
        <v>Good</v>
      </c>
    </row>
    <row r="107" spans="1:13" x14ac:dyDescent="0.35">
      <c r="A107" t="s">
        <v>8</v>
      </c>
      <c r="B107" s="9" t="s">
        <v>88</v>
      </c>
      <c r="C107" t="s">
        <v>66</v>
      </c>
      <c r="D107" t="s">
        <v>27</v>
      </c>
      <c r="E107" t="s">
        <v>64</v>
      </c>
      <c r="F107">
        <v>4.5</v>
      </c>
      <c r="G107">
        <v>29489</v>
      </c>
      <c r="H107">
        <v>32990</v>
      </c>
      <c r="I107">
        <f>FlipkartTable[[#This Row],[Original Price]]-FlipkartTable[[#This Row],[Selling Price]]</f>
        <v>3501</v>
      </c>
      <c r="J107" s="4">
        <f>(FlipkartTable[[#This Row],[Original Price]]-FlipkartTable[[#This Row],[Selling Price]])/FlipkartTable[[#This Row],[Original Price]]</f>
        <v>0.10612306759624128</v>
      </c>
      <c r="K107">
        <f>(FlipkartTable[[#This Row],[Rating]]/FlipkartTable[[#This Row],[Selling Price]])*1000</f>
        <v>0.1525992743056733</v>
      </c>
      <c r="L107" t="str">
        <f>IF(FlipkartTable[[#This Row],[Selling Price]]&lt;15000,"Budget",IF(FlipkartTable[[#This Row],[Selling Price]]&lt;50000,"Mid Range","Premium"))</f>
        <v>Mid Range</v>
      </c>
      <c r="M107" t="str">
        <f>IF(FlipkartTable[[#This Row],[Rating]]&gt;4.5,"Excellent",IF(FlipkartTable[[#This Row],[Rating]]&gt;4,"Good",IF(FlipkartTable[[#This Row],[Rating]]&gt;3.5,"Average","Poor")))</f>
        <v>Good</v>
      </c>
    </row>
    <row r="108" spans="1:13" x14ac:dyDescent="0.35">
      <c r="A108" t="s">
        <v>8</v>
      </c>
      <c r="B108" s="9" t="s">
        <v>85</v>
      </c>
      <c r="C108" t="s">
        <v>19</v>
      </c>
      <c r="D108" t="s">
        <v>20</v>
      </c>
      <c r="E108" t="s">
        <v>21</v>
      </c>
      <c r="F108">
        <v>4.4000000000000004</v>
      </c>
      <c r="G108">
        <v>9490</v>
      </c>
      <c r="H108">
        <v>12990</v>
      </c>
      <c r="I108">
        <f>FlipkartTable[[#This Row],[Original Price]]-FlipkartTable[[#This Row],[Selling Price]]</f>
        <v>3500</v>
      </c>
      <c r="J108" s="4">
        <f>(FlipkartTable[[#This Row],[Original Price]]-FlipkartTable[[#This Row],[Selling Price]])/FlipkartTable[[#This Row],[Original Price]]</f>
        <v>0.26943802925327176</v>
      </c>
      <c r="K108">
        <f>(FlipkartTable[[#This Row],[Rating]]/FlipkartTable[[#This Row],[Selling Price]])*1000</f>
        <v>0.46364594309799789</v>
      </c>
      <c r="L108" t="str">
        <f>IF(FlipkartTable[[#This Row],[Selling Price]]&lt;15000,"Budget",IF(FlipkartTable[[#This Row],[Selling Price]]&lt;50000,"Mid Range","Premium"))</f>
        <v>Budget</v>
      </c>
      <c r="M108" t="str">
        <f>IF(FlipkartTable[[#This Row],[Rating]]&gt;4.5,"Excellent",IF(FlipkartTable[[#This Row],[Rating]]&gt;4,"Good",IF(FlipkartTable[[#This Row],[Rating]]&gt;3.5,"Average","Poor")))</f>
        <v>Good</v>
      </c>
    </row>
    <row r="109" spans="1:13" x14ac:dyDescent="0.35">
      <c r="A109" t="s">
        <v>8</v>
      </c>
      <c r="B109" s="9" t="s">
        <v>122</v>
      </c>
      <c r="C109" t="s">
        <v>84</v>
      </c>
      <c r="D109" t="s">
        <v>11</v>
      </c>
      <c r="E109" t="s">
        <v>12</v>
      </c>
      <c r="F109">
        <v>4.3</v>
      </c>
      <c r="G109">
        <v>13990</v>
      </c>
      <c r="H109">
        <v>13990</v>
      </c>
      <c r="I109">
        <f>FlipkartTable[[#This Row],[Original Price]]-FlipkartTable[[#This Row],[Selling Price]]</f>
        <v>0</v>
      </c>
      <c r="J109" s="4">
        <f>(FlipkartTable[[#This Row],[Original Price]]-FlipkartTable[[#This Row],[Selling Price]])/FlipkartTable[[#This Row],[Original Price]]</f>
        <v>0</v>
      </c>
      <c r="K109">
        <f>(FlipkartTable[[#This Row],[Rating]]/FlipkartTable[[#This Row],[Selling Price]])*1000</f>
        <v>0.30736240171551105</v>
      </c>
      <c r="L109" t="str">
        <f>IF(FlipkartTable[[#This Row],[Selling Price]]&lt;15000,"Budget",IF(FlipkartTable[[#This Row],[Selling Price]]&lt;50000,"Mid Range","Premium"))</f>
        <v>Budget</v>
      </c>
      <c r="M109" t="str">
        <f>IF(FlipkartTable[[#This Row],[Rating]]&gt;4.5,"Excellent",IF(FlipkartTable[[#This Row],[Rating]]&gt;4,"Good",IF(FlipkartTable[[#This Row],[Rating]]&gt;3.5,"Average","Poor")))</f>
        <v>Good</v>
      </c>
    </row>
    <row r="110" spans="1:13" x14ac:dyDescent="0.35">
      <c r="A110" t="s">
        <v>8</v>
      </c>
      <c r="B110" s="9" t="s">
        <v>83</v>
      </c>
      <c r="C110" t="s">
        <v>19</v>
      </c>
      <c r="D110" t="s">
        <v>11</v>
      </c>
      <c r="E110" t="s">
        <v>21</v>
      </c>
      <c r="F110">
        <v>4.4000000000000004</v>
      </c>
      <c r="G110">
        <v>15500</v>
      </c>
      <c r="H110">
        <v>15500</v>
      </c>
      <c r="I110">
        <f>FlipkartTable[[#This Row],[Original Price]]-FlipkartTable[[#This Row],[Selling Price]]</f>
        <v>0</v>
      </c>
      <c r="J110" s="4">
        <f>(FlipkartTable[[#This Row],[Original Price]]-FlipkartTable[[#This Row],[Selling Price]])/FlipkartTable[[#This Row],[Original Price]]</f>
        <v>0</v>
      </c>
      <c r="K110">
        <f>(FlipkartTable[[#This Row],[Rating]]/FlipkartTable[[#This Row],[Selling Price]])*1000</f>
        <v>0.28387096774193549</v>
      </c>
      <c r="L110" t="str">
        <f>IF(FlipkartTable[[#This Row],[Selling Price]]&lt;15000,"Budget",IF(FlipkartTable[[#This Row],[Selling Price]]&lt;50000,"Mid Range","Premium"))</f>
        <v>Mid Range</v>
      </c>
      <c r="M110" t="str">
        <f>IF(FlipkartTable[[#This Row],[Rating]]&gt;4.5,"Excellent",IF(FlipkartTable[[#This Row],[Rating]]&gt;4,"Good",IF(FlipkartTable[[#This Row],[Rating]]&gt;3.5,"Average","Poor")))</f>
        <v>Good</v>
      </c>
    </row>
    <row r="111" spans="1:13" x14ac:dyDescent="0.35">
      <c r="A111" t="s">
        <v>8</v>
      </c>
      <c r="B111" s="9" t="s">
        <v>129</v>
      </c>
      <c r="C111" t="s">
        <v>130</v>
      </c>
      <c r="D111" t="s">
        <v>14</v>
      </c>
      <c r="E111" t="s">
        <v>15</v>
      </c>
      <c r="F111">
        <v>4.3</v>
      </c>
      <c r="G111">
        <v>17999</v>
      </c>
      <c r="H111">
        <v>17999</v>
      </c>
      <c r="I111">
        <f>FlipkartTable[[#This Row],[Original Price]]-FlipkartTable[[#This Row],[Selling Price]]</f>
        <v>0</v>
      </c>
      <c r="J111" s="4">
        <f>(FlipkartTable[[#This Row],[Original Price]]-FlipkartTable[[#This Row],[Selling Price]])/FlipkartTable[[#This Row],[Original Price]]</f>
        <v>0</v>
      </c>
      <c r="K111">
        <f>(FlipkartTable[[#This Row],[Rating]]/FlipkartTable[[#This Row],[Selling Price]])*1000</f>
        <v>0.23890216123117949</v>
      </c>
      <c r="L111" t="str">
        <f>IF(FlipkartTable[[#This Row],[Selling Price]]&lt;15000,"Budget",IF(FlipkartTable[[#This Row],[Selling Price]]&lt;50000,"Mid Range","Premium"))</f>
        <v>Mid Range</v>
      </c>
      <c r="M111" t="str">
        <f>IF(FlipkartTable[[#This Row],[Rating]]&gt;4.5,"Excellent",IF(FlipkartTable[[#This Row],[Rating]]&gt;4,"Good",IF(FlipkartTable[[#This Row],[Rating]]&gt;3.5,"Average","Poor")))</f>
        <v>Good</v>
      </c>
    </row>
    <row r="112" spans="1:13" x14ac:dyDescent="0.35">
      <c r="A112" t="s">
        <v>8</v>
      </c>
      <c r="B112" s="9" t="s">
        <v>129</v>
      </c>
      <c r="C112" t="s">
        <v>131</v>
      </c>
      <c r="D112" t="s">
        <v>14</v>
      </c>
      <c r="E112" t="s">
        <v>15</v>
      </c>
      <c r="F112">
        <v>4.3</v>
      </c>
      <c r="G112">
        <v>17999</v>
      </c>
      <c r="H112">
        <v>17999</v>
      </c>
      <c r="I112">
        <f>FlipkartTable[[#This Row],[Original Price]]-FlipkartTable[[#This Row],[Selling Price]]</f>
        <v>0</v>
      </c>
      <c r="J112" s="4">
        <f>(FlipkartTable[[#This Row],[Original Price]]-FlipkartTable[[#This Row],[Selling Price]])/FlipkartTable[[#This Row],[Original Price]]</f>
        <v>0</v>
      </c>
      <c r="K112">
        <f>(FlipkartTable[[#This Row],[Rating]]/FlipkartTable[[#This Row],[Selling Price]])*1000</f>
        <v>0.23890216123117949</v>
      </c>
      <c r="L112" t="str">
        <f>IF(FlipkartTable[[#This Row],[Selling Price]]&lt;15000,"Budget",IF(FlipkartTable[[#This Row],[Selling Price]]&lt;50000,"Mid Range","Premium"))</f>
        <v>Mid Range</v>
      </c>
      <c r="M112" t="str">
        <f>IF(FlipkartTable[[#This Row],[Rating]]&gt;4.5,"Excellent",IF(FlipkartTable[[#This Row],[Rating]]&gt;4,"Good",IF(FlipkartTable[[#This Row],[Rating]]&gt;3.5,"Average","Poor")))</f>
        <v>Good</v>
      </c>
    </row>
    <row r="113" spans="1:13" x14ac:dyDescent="0.35">
      <c r="A113" t="s">
        <v>8</v>
      </c>
      <c r="B113" s="9" t="s">
        <v>132</v>
      </c>
      <c r="C113" t="s">
        <v>19</v>
      </c>
      <c r="D113" t="s">
        <v>20</v>
      </c>
      <c r="E113" t="s">
        <v>124</v>
      </c>
      <c r="F113">
        <v>4.4000000000000004</v>
      </c>
      <c r="G113">
        <v>9940</v>
      </c>
      <c r="H113">
        <v>9940</v>
      </c>
      <c r="I113">
        <f>FlipkartTable[[#This Row],[Original Price]]-FlipkartTable[[#This Row],[Selling Price]]</f>
        <v>0</v>
      </c>
      <c r="J113" s="4">
        <f>(FlipkartTable[[#This Row],[Original Price]]-FlipkartTable[[#This Row],[Selling Price]])/FlipkartTable[[#This Row],[Original Price]]</f>
        <v>0</v>
      </c>
      <c r="K113">
        <f>(FlipkartTable[[#This Row],[Rating]]/FlipkartTable[[#This Row],[Selling Price]])*1000</f>
        <v>0.44265593561368216</v>
      </c>
      <c r="L113" t="str">
        <f>IF(FlipkartTable[[#This Row],[Selling Price]]&lt;15000,"Budget",IF(FlipkartTable[[#This Row],[Selling Price]]&lt;50000,"Mid Range","Premium"))</f>
        <v>Budget</v>
      </c>
      <c r="M113" t="str">
        <f>IF(FlipkartTable[[#This Row],[Rating]]&gt;4.5,"Excellent",IF(FlipkartTable[[#This Row],[Rating]]&gt;4,"Good",IF(FlipkartTable[[#This Row],[Rating]]&gt;3.5,"Average","Poor")))</f>
        <v>Good</v>
      </c>
    </row>
    <row r="114" spans="1:13" x14ac:dyDescent="0.35">
      <c r="A114" t="s">
        <v>8</v>
      </c>
      <c r="B114" s="9" t="s">
        <v>85</v>
      </c>
      <c r="C114" t="s">
        <v>19</v>
      </c>
      <c r="D114" t="s">
        <v>35</v>
      </c>
      <c r="E114" t="s">
        <v>21</v>
      </c>
      <c r="F114">
        <v>4.3</v>
      </c>
      <c r="G114">
        <v>12990</v>
      </c>
      <c r="H114">
        <v>12990</v>
      </c>
      <c r="I114">
        <f>FlipkartTable[[#This Row],[Original Price]]-FlipkartTable[[#This Row],[Selling Price]]</f>
        <v>0</v>
      </c>
      <c r="J114" s="4">
        <f>(FlipkartTable[[#This Row],[Original Price]]-FlipkartTable[[#This Row],[Selling Price]])/FlipkartTable[[#This Row],[Original Price]]</f>
        <v>0</v>
      </c>
      <c r="K114">
        <f>(FlipkartTable[[#This Row],[Rating]]/FlipkartTable[[#This Row],[Selling Price]])*1000</f>
        <v>0.33102386451116245</v>
      </c>
      <c r="L114" t="str">
        <f>IF(FlipkartTable[[#This Row],[Selling Price]]&lt;15000,"Budget",IF(FlipkartTable[[#This Row],[Selling Price]]&lt;50000,"Mid Range","Premium"))</f>
        <v>Budget</v>
      </c>
      <c r="M114" t="str">
        <f>IF(FlipkartTable[[#This Row],[Rating]]&gt;4.5,"Excellent",IF(FlipkartTable[[#This Row],[Rating]]&gt;4,"Good",IF(FlipkartTable[[#This Row],[Rating]]&gt;3.5,"Average","Poor")))</f>
        <v>Good</v>
      </c>
    </row>
    <row r="115" spans="1:13" x14ac:dyDescent="0.35">
      <c r="A115" t="s">
        <v>8</v>
      </c>
      <c r="B115" s="9" t="s">
        <v>133</v>
      </c>
      <c r="C115" t="s">
        <v>19</v>
      </c>
      <c r="D115" t="s">
        <v>134</v>
      </c>
      <c r="E115" t="s">
        <v>124</v>
      </c>
      <c r="F115">
        <v>3.8</v>
      </c>
      <c r="G115">
        <v>10000</v>
      </c>
      <c r="H115">
        <v>10000</v>
      </c>
      <c r="I115">
        <f>FlipkartTable[[#This Row],[Original Price]]-FlipkartTable[[#This Row],[Selling Price]]</f>
        <v>0</v>
      </c>
      <c r="J115" s="4">
        <f>(FlipkartTable[[#This Row],[Original Price]]-FlipkartTable[[#This Row],[Selling Price]])/FlipkartTable[[#This Row],[Original Price]]</f>
        <v>0</v>
      </c>
      <c r="K115">
        <f>(FlipkartTable[[#This Row],[Rating]]/FlipkartTable[[#This Row],[Selling Price]])*1000</f>
        <v>0.37999999999999995</v>
      </c>
      <c r="L115" t="str">
        <f>IF(FlipkartTable[[#This Row],[Selling Price]]&lt;15000,"Budget",IF(FlipkartTable[[#This Row],[Selling Price]]&lt;50000,"Mid Range","Premium"))</f>
        <v>Budget</v>
      </c>
      <c r="M115" t="str">
        <f>IF(FlipkartTable[[#This Row],[Rating]]&gt;4.5,"Excellent",IF(FlipkartTable[[#This Row],[Rating]]&gt;4,"Good",IF(FlipkartTable[[#This Row],[Rating]]&gt;3.5,"Average","Poor")))</f>
        <v>Average</v>
      </c>
    </row>
    <row r="116" spans="1:13" x14ac:dyDescent="0.35">
      <c r="A116" t="s">
        <v>8</v>
      </c>
      <c r="B116" s="9" t="s">
        <v>85</v>
      </c>
      <c r="C116" t="s">
        <v>116</v>
      </c>
      <c r="D116" t="s">
        <v>11</v>
      </c>
      <c r="E116" t="s">
        <v>12</v>
      </c>
      <c r="F116">
        <v>4.4000000000000004</v>
      </c>
      <c r="G116">
        <v>15726</v>
      </c>
      <c r="H116">
        <v>15726</v>
      </c>
      <c r="I116">
        <f>FlipkartTable[[#This Row],[Original Price]]-FlipkartTable[[#This Row],[Selling Price]]</f>
        <v>0</v>
      </c>
      <c r="J116" s="4">
        <f>(FlipkartTable[[#This Row],[Original Price]]-FlipkartTable[[#This Row],[Selling Price]])/FlipkartTable[[#This Row],[Original Price]]</f>
        <v>0</v>
      </c>
      <c r="K116">
        <f>(FlipkartTable[[#This Row],[Rating]]/FlipkartTable[[#This Row],[Selling Price]])*1000</f>
        <v>0.27979142820806313</v>
      </c>
      <c r="L116" t="str">
        <f>IF(FlipkartTable[[#This Row],[Selling Price]]&lt;15000,"Budget",IF(FlipkartTable[[#This Row],[Selling Price]]&lt;50000,"Mid Range","Premium"))</f>
        <v>Mid Range</v>
      </c>
      <c r="M116" t="str">
        <f>IF(FlipkartTable[[#This Row],[Rating]]&gt;4.5,"Excellent",IF(FlipkartTable[[#This Row],[Rating]]&gt;4,"Good",IF(FlipkartTable[[#This Row],[Rating]]&gt;3.5,"Average","Poor")))</f>
        <v>Good</v>
      </c>
    </row>
    <row r="117" spans="1:13" x14ac:dyDescent="0.35">
      <c r="A117" t="s">
        <v>8</v>
      </c>
      <c r="B117" s="9" t="s">
        <v>118</v>
      </c>
      <c r="C117" t="s">
        <v>116</v>
      </c>
      <c r="D117" t="s">
        <v>11</v>
      </c>
      <c r="E117" t="s">
        <v>12</v>
      </c>
      <c r="F117">
        <v>4.3</v>
      </c>
      <c r="G117">
        <v>18000</v>
      </c>
      <c r="H117">
        <v>18000</v>
      </c>
      <c r="I117">
        <f>FlipkartTable[[#This Row],[Original Price]]-FlipkartTable[[#This Row],[Selling Price]]</f>
        <v>0</v>
      </c>
      <c r="J117" s="4">
        <f>(FlipkartTable[[#This Row],[Original Price]]-FlipkartTable[[#This Row],[Selling Price]])/FlipkartTable[[#This Row],[Original Price]]</f>
        <v>0</v>
      </c>
      <c r="K117">
        <f>(FlipkartTable[[#This Row],[Rating]]/FlipkartTable[[#This Row],[Selling Price]])*1000</f>
        <v>0.23888888888888887</v>
      </c>
      <c r="L117" t="str">
        <f>IF(FlipkartTable[[#This Row],[Selling Price]]&lt;15000,"Budget",IF(FlipkartTable[[#This Row],[Selling Price]]&lt;50000,"Mid Range","Premium"))</f>
        <v>Mid Range</v>
      </c>
      <c r="M117" t="str">
        <f>IF(FlipkartTable[[#This Row],[Rating]]&gt;4.5,"Excellent",IF(FlipkartTable[[#This Row],[Rating]]&gt;4,"Good",IF(FlipkartTable[[#This Row],[Rating]]&gt;3.5,"Average","Poor")))</f>
        <v>Good</v>
      </c>
    </row>
    <row r="118" spans="1:13" x14ac:dyDescent="0.35">
      <c r="A118" t="s">
        <v>8</v>
      </c>
      <c r="B118" s="9" t="s">
        <v>135</v>
      </c>
      <c r="C118" t="s">
        <v>19</v>
      </c>
      <c r="D118" t="s">
        <v>20</v>
      </c>
      <c r="E118" t="s">
        <v>124</v>
      </c>
      <c r="F118">
        <v>4.2</v>
      </c>
      <c r="G118">
        <v>12500</v>
      </c>
      <c r="H118">
        <v>12500</v>
      </c>
      <c r="I118">
        <f>FlipkartTable[[#This Row],[Original Price]]-FlipkartTable[[#This Row],[Selling Price]]</f>
        <v>0</v>
      </c>
      <c r="J118" s="4">
        <f>(FlipkartTable[[#This Row],[Original Price]]-FlipkartTable[[#This Row],[Selling Price]])/FlipkartTable[[#This Row],[Original Price]]</f>
        <v>0</v>
      </c>
      <c r="K118">
        <f>(FlipkartTable[[#This Row],[Rating]]/FlipkartTable[[#This Row],[Selling Price]])*1000</f>
        <v>0.33600000000000002</v>
      </c>
      <c r="L118" t="str">
        <f>IF(FlipkartTable[[#This Row],[Selling Price]]&lt;15000,"Budget",IF(FlipkartTable[[#This Row],[Selling Price]]&lt;50000,"Mid Range","Premium"))</f>
        <v>Budget</v>
      </c>
      <c r="M118" t="str">
        <f>IF(FlipkartTable[[#This Row],[Rating]]&gt;4.5,"Excellent",IF(FlipkartTable[[#This Row],[Rating]]&gt;4,"Good",IF(FlipkartTable[[#This Row],[Rating]]&gt;3.5,"Average","Poor")))</f>
        <v>Good</v>
      </c>
    </row>
    <row r="119" spans="1:13" x14ac:dyDescent="0.35">
      <c r="A119" t="s">
        <v>8</v>
      </c>
      <c r="B119" s="9" t="s">
        <v>135</v>
      </c>
      <c r="C119" t="s">
        <v>116</v>
      </c>
      <c r="D119" t="s">
        <v>20</v>
      </c>
      <c r="E119" t="s">
        <v>124</v>
      </c>
      <c r="F119">
        <v>4.2</v>
      </c>
      <c r="G119">
        <v>12500</v>
      </c>
      <c r="H119">
        <v>12500</v>
      </c>
      <c r="I119">
        <f>FlipkartTable[[#This Row],[Original Price]]-FlipkartTable[[#This Row],[Selling Price]]</f>
        <v>0</v>
      </c>
      <c r="J119" s="4">
        <f>(FlipkartTable[[#This Row],[Original Price]]-FlipkartTable[[#This Row],[Selling Price]])/FlipkartTable[[#This Row],[Original Price]]</f>
        <v>0</v>
      </c>
      <c r="K119">
        <f>(FlipkartTable[[#This Row],[Rating]]/FlipkartTable[[#This Row],[Selling Price]])*1000</f>
        <v>0.33600000000000002</v>
      </c>
      <c r="L119" t="str">
        <f>IF(FlipkartTable[[#This Row],[Selling Price]]&lt;15000,"Budget",IF(FlipkartTable[[#This Row],[Selling Price]]&lt;50000,"Mid Range","Premium"))</f>
        <v>Budget</v>
      </c>
      <c r="M119" t="str">
        <f>IF(FlipkartTable[[#This Row],[Rating]]&gt;4.5,"Excellent",IF(FlipkartTable[[#This Row],[Rating]]&gt;4,"Good",IF(FlipkartTable[[#This Row],[Rating]]&gt;3.5,"Average","Poor")))</f>
        <v>Good</v>
      </c>
    </row>
    <row r="120" spans="1:13" x14ac:dyDescent="0.35">
      <c r="A120" t="s">
        <v>8</v>
      </c>
      <c r="B120" s="9" t="s">
        <v>90</v>
      </c>
      <c r="C120" t="s">
        <v>96</v>
      </c>
      <c r="D120" t="s">
        <v>27</v>
      </c>
      <c r="E120" t="s">
        <v>15</v>
      </c>
      <c r="F120">
        <v>4.4000000000000004</v>
      </c>
      <c r="G120">
        <v>18990</v>
      </c>
      <c r="H120">
        <v>22990</v>
      </c>
      <c r="I120">
        <f>FlipkartTable[[#This Row],[Original Price]]-FlipkartTable[[#This Row],[Selling Price]]</f>
        <v>4000</v>
      </c>
      <c r="J120" s="4">
        <f>(FlipkartTable[[#This Row],[Original Price]]-FlipkartTable[[#This Row],[Selling Price]])/FlipkartTable[[#This Row],[Original Price]]</f>
        <v>0.17398869073510223</v>
      </c>
      <c r="K120">
        <f>(FlipkartTable[[#This Row],[Rating]]/FlipkartTable[[#This Row],[Selling Price]])*1000</f>
        <v>0.23170089520800424</v>
      </c>
      <c r="L120" t="str">
        <f>IF(FlipkartTable[[#This Row],[Selling Price]]&lt;15000,"Budget",IF(FlipkartTable[[#This Row],[Selling Price]]&lt;50000,"Mid Range","Premium"))</f>
        <v>Mid Range</v>
      </c>
      <c r="M120" t="str">
        <f>IF(FlipkartTable[[#This Row],[Rating]]&gt;4.5,"Excellent",IF(FlipkartTable[[#This Row],[Rating]]&gt;4,"Good",IF(FlipkartTable[[#This Row],[Rating]]&gt;3.5,"Average","Poor")))</f>
        <v>Good</v>
      </c>
    </row>
    <row r="121" spans="1:13" x14ac:dyDescent="0.35">
      <c r="A121" t="s">
        <v>8</v>
      </c>
      <c r="B121" s="9" t="s">
        <v>90</v>
      </c>
      <c r="C121" t="s">
        <v>119</v>
      </c>
      <c r="D121" t="s">
        <v>27</v>
      </c>
      <c r="E121" t="s">
        <v>15</v>
      </c>
      <c r="F121">
        <v>4.4000000000000004</v>
      </c>
      <c r="G121">
        <v>18990</v>
      </c>
      <c r="H121">
        <v>22990</v>
      </c>
      <c r="I121">
        <f>FlipkartTable[[#This Row],[Original Price]]-FlipkartTable[[#This Row],[Selling Price]]</f>
        <v>4000</v>
      </c>
      <c r="J121" s="4">
        <f>(FlipkartTable[[#This Row],[Original Price]]-FlipkartTable[[#This Row],[Selling Price]])/FlipkartTable[[#This Row],[Original Price]]</f>
        <v>0.17398869073510223</v>
      </c>
      <c r="K121">
        <f>(FlipkartTable[[#This Row],[Rating]]/FlipkartTable[[#This Row],[Selling Price]])*1000</f>
        <v>0.23170089520800424</v>
      </c>
      <c r="L121" t="str">
        <f>IF(FlipkartTable[[#This Row],[Selling Price]]&lt;15000,"Budget",IF(FlipkartTable[[#This Row],[Selling Price]]&lt;50000,"Mid Range","Premium"))</f>
        <v>Mid Range</v>
      </c>
      <c r="M121" t="str">
        <f>IF(FlipkartTable[[#This Row],[Rating]]&gt;4.5,"Excellent",IF(FlipkartTable[[#This Row],[Rating]]&gt;4,"Good",IF(FlipkartTable[[#This Row],[Rating]]&gt;3.5,"Average","Poor")))</f>
        <v>Good</v>
      </c>
    </row>
    <row r="122" spans="1:13" x14ac:dyDescent="0.35">
      <c r="A122" t="s">
        <v>8</v>
      </c>
      <c r="B122" s="9" t="s">
        <v>136</v>
      </c>
      <c r="C122" t="s">
        <v>116</v>
      </c>
      <c r="D122" t="s">
        <v>20</v>
      </c>
      <c r="E122" t="s">
        <v>21</v>
      </c>
      <c r="F122">
        <v>4.2</v>
      </c>
      <c r="G122">
        <v>18000</v>
      </c>
      <c r="H122">
        <v>18000</v>
      </c>
      <c r="I122">
        <f>FlipkartTable[[#This Row],[Original Price]]-FlipkartTable[[#This Row],[Selling Price]]</f>
        <v>0</v>
      </c>
      <c r="J122" s="4">
        <f>(FlipkartTable[[#This Row],[Original Price]]-FlipkartTable[[#This Row],[Selling Price]])/FlipkartTable[[#This Row],[Original Price]]</f>
        <v>0</v>
      </c>
      <c r="K122">
        <f>(FlipkartTable[[#This Row],[Rating]]/FlipkartTable[[#This Row],[Selling Price]])*1000</f>
        <v>0.23333333333333334</v>
      </c>
      <c r="L122" t="str">
        <f>IF(FlipkartTable[[#This Row],[Selling Price]]&lt;15000,"Budget",IF(FlipkartTable[[#This Row],[Selling Price]]&lt;50000,"Mid Range","Premium"))</f>
        <v>Mid Range</v>
      </c>
      <c r="M122" t="str">
        <f>IF(FlipkartTable[[#This Row],[Rating]]&gt;4.5,"Excellent",IF(FlipkartTable[[#This Row],[Rating]]&gt;4,"Good",IF(FlipkartTable[[#This Row],[Rating]]&gt;3.5,"Average","Poor")))</f>
        <v>Good</v>
      </c>
    </row>
    <row r="123" spans="1:13" x14ac:dyDescent="0.35">
      <c r="A123" t="s">
        <v>8</v>
      </c>
      <c r="B123" s="9" t="s">
        <v>29</v>
      </c>
      <c r="C123" t="s">
        <v>31</v>
      </c>
      <c r="D123" t="s">
        <v>14</v>
      </c>
      <c r="E123" t="s">
        <v>15</v>
      </c>
      <c r="F123">
        <v>4.3</v>
      </c>
      <c r="G123">
        <v>13799</v>
      </c>
      <c r="H123">
        <v>13799</v>
      </c>
      <c r="I123">
        <f>FlipkartTable[[#This Row],[Original Price]]-FlipkartTable[[#This Row],[Selling Price]]</f>
        <v>0</v>
      </c>
      <c r="J123" s="4">
        <f>(FlipkartTable[[#This Row],[Original Price]]-FlipkartTable[[#This Row],[Selling Price]])/FlipkartTable[[#This Row],[Original Price]]</f>
        <v>0</v>
      </c>
      <c r="K123">
        <f>(FlipkartTable[[#This Row],[Rating]]/FlipkartTable[[#This Row],[Selling Price]])*1000</f>
        <v>0.31161678382491481</v>
      </c>
      <c r="L123" t="str">
        <f>IF(FlipkartTable[[#This Row],[Selling Price]]&lt;15000,"Budget",IF(FlipkartTable[[#This Row],[Selling Price]]&lt;50000,"Mid Range","Premium"))</f>
        <v>Budget</v>
      </c>
      <c r="M123" t="str">
        <f>IF(FlipkartTable[[#This Row],[Rating]]&gt;4.5,"Excellent",IF(FlipkartTable[[#This Row],[Rating]]&gt;4,"Good",IF(FlipkartTable[[#This Row],[Rating]]&gt;3.5,"Average","Poor")))</f>
        <v>Good</v>
      </c>
    </row>
    <row r="124" spans="1:13" x14ac:dyDescent="0.35">
      <c r="A124" t="s">
        <v>8</v>
      </c>
      <c r="B124" s="9" t="s">
        <v>29</v>
      </c>
      <c r="C124" t="s">
        <v>47</v>
      </c>
      <c r="D124" t="s">
        <v>14</v>
      </c>
      <c r="E124" t="s">
        <v>15</v>
      </c>
      <c r="F124">
        <v>4.3</v>
      </c>
      <c r="G124">
        <v>13899</v>
      </c>
      <c r="H124">
        <v>13899</v>
      </c>
      <c r="I124">
        <f>FlipkartTable[[#This Row],[Original Price]]-FlipkartTable[[#This Row],[Selling Price]]</f>
        <v>0</v>
      </c>
      <c r="J124" s="4">
        <f>(FlipkartTable[[#This Row],[Original Price]]-FlipkartTable[[#This Row],[Selling Price]])/FlipkartTable[[#This Row],[Original Price]]</f>
        <v>0</v>
      </c>
      <c r="K124">
        <f>(FlipkartTable[[#This Row],[Rating]]/FlipkartTable[[#This Row],[Selling Price]])*1000</f>
        <v>0.30937477516368084</v>
      </c>
      <c r="L124" t="str">
        <f>IF(FlipkartTable[[#This Row],[Selling Price]]&lt;15000,"Budget",IF(FlipkartTable[[#This Row],[Selling Price]]&lt;50000,"Mid Range","Premium"))</f>
        <v>Budget</v>
      </c>
      <c r="M124" t="str">
        <f>IF(FlipkartTable[[#This Row],[Rating]]&gt;4.5,"Excellent",IF(FlipkartTable[[#This Row],[Rating]]&gt;4,"Good",IF(FlipkartTable[[#This Row],[Rating]]&gt;3.5,"Average","Poor")))</f>
        <v>Good</v>
      </c>
    </row>
    <row r="125" spans="1:13" x14ac:dyDescent="0.35">
      <c r="A125" t="s">
        <v>8</v>
      </c>
      <c r="B125" s="9" t="s">
        <v>97</v>
      </c>
      <c r="C125" t="s">
        <v>98</v>
      </c>
      <c r="D125" t="s">
        <v>27</v>
      </c>
      <c r="E125" t="s">
        <v>15</v>
      </c>
      <c r="F125">
        <v>4.3</v>
      </c>
      <c r="G125">
        <v>15990</v>
      </c>
      <c r="H125">
        <v>21990</v>
      </c>
      <c r="I125">
        <f>FlipkartTable[[#This Row],[Original Price]]-FlipkartTable[[#This Row],[Selling Price]]</f>
        <v>6000</v>
      </c>
      <c r="J125" s="4">
        <f>(FlipkartTable[[#This Row],[Original Price]]-FlipkartTable[[#This Row],[Selling Price]])/FlipkartTable[[#This Row],[Original Price]]</f>
        <v>0.27285129604365621</v>
      </c>
      <c r="K125">
        <f>(FlipkartTable[[#This Row],[Rating]]/FlipkartTable[[#This Row],[Selling Price]])*1000</f>
        <v>0.26891807379612259</v>
      </c>
      <c r="L125" t="str">
        <f>IF(FlipkartTable[[#This Row],[Selling Price]]&lt;15000,"Budget",IF(FlipkartTable[[#This Row],[Selling Price]]&lt;50000,"Mid Range","Premium"))</f>
        <v>Mid Range</v>
      </c>
      <c r="M125" t="str">
        <f>IF(FlipkartTable[[#This Row],[Rating]]&gt;4.5,"Excellent",IF(FlipkartTable[[#This Row],[Rating]]&gt;4,"Good",IF(FlipkartTable[[#This Row],[Rating]]&gt;3.5,"Average","Poor")))</f>
        <v>Good</v>
      </c>
    </row>
    <row r="126" spans="1:13" x14ac:dyDescent="0.35">
      <c r="A126" t="s">
        <v>8</v>
      </c>
      <c r="B126" s="9" t="s">
        <v>97</v>
      </c>
      <c r="C126" t="s">
        <v>137</v>
      </c>
      <c r="D126" t="s">
        <v>11</v>
      </c>
      <c r="E126" t="s">
        <v>15</v>
      </c>
      <c r="F126">
        <v>4.3</v>
      </c>
      <c r="G126">
        <v>14990</v>
      </c>
      <c r="H126">
        <v>18990</v>
      </c>
      <c r="I126">
        <f>FlipkartTable[[#This Row],[Original Price]]-FlipkartTable[[#This Row],[Selling Price]]</f>
        <v>4000</v>
      </c>
      <c r="J126" s="4">
        <f>(FlipkartTable[[#This Row],[Original Price]]-FlipkartTable[[#This Row],[Selling Price]])/FlipkartTable[[#This Row],[Original Price]]</f>
        <v>0.21063717746182201</v>
      </c>
      <c r="K126">
        <f>(FlipkartTable[[#This Row],[Rating]]/FlipkartTable[[#This Row],[Selling Price]])*1000</f>
        <v>0.28685790527018012</v>
      </c>
      <c r="L126" t="str">
        <f>IF(FlipkartTable[[#This Row],[Selling Price]]&lt;15000,"Budget",IF(FlipkartTable[[#This Row],[Selling Price]]&lt;50000,"Mid Range","Premium"))</f>
        <v>Budget</v>
      </c>
      <c r="M126" t="str">
        <f>IF(FlipkartTable[[#This Row],[Rating]]&gt;4.5,"Excellent",IF(FlipkartTable[[#This Row],[Rating]]&gt;4,"Good",IF(FlipkartTable[[#This Row],[Rating]]&gt;3.5,"Average","Poor")))</f>
        <v>Good</v>
      </c>
    </row>
    <row r="127" spans="1:13" x14ac:dyDescent="0.35">
      <c r="A127" t="s">
        <v>8</v>
      </c>
      <c r="B127" s="9" t="s">
        <v>65</v>
      </c>
      <c r="C127" t="s">
        <v>30</v>
      </c>
      <c r="D127" t="s">
        <v>27</v>
      </c>
      <c r="E127" t="s">
        <v>15</v>
      </c>
      <c r="F127">
        <v>4.4000000000000004</v>
      </c>
      <c r="G127">
        <v>25889</v>
      </c>
      <c r="H127">
        <v>25889</v>
      </c>
      <c r="I127">
        <f>FlipkartTable[[#This Row],[Original Price]]-FlipkartTable[[#This Row],[Selling Price]]</f>
        <v>0</v>
      </c>
      <c r="J127" s="4">
        <f>(FlipkartTable[[#This Row],[Original Price]]-FlipkartTable[[#This Row],[Selling Price]])/FlipkartTable[[#This Row],[Original Price]]</f>
        <v>0</v>
      </c>
      <c r="K127">
        <f>(FlipkartTable[[#This Row],[Rating]]/FlipkartTable[[#This Row],[Selling Price]])*1000</f>
        <v>0.16995635211866045</v>
      </c>
      <c r="L127" t="str">
        <f>IF(FlipkartTable[[#This Row],[Selling Price]]&lt;15000,"Budget",IF(FlipkartTable[[#This Row],[Selling Price]]&lt;50000,"Mid Range","Premium"))</f>
        <v>Mid Range</v>
      </c>
      <c r="M127" t="str">
        <f>IF(FlipkartTable[[#This Row],[Rating]]&gt;4.5,"Excellent",IF(FlipkartTable[[#This Row],[Rating]]&gt;4,"Good",IF(FlipkartTable[[#This Row],[Rating]]&gt;3.5,"Average","Poor")))</f>
        <v>Good</v>
      </c>
    </row>
    <row r="128" spans="1:13" x14ac:dyDescent="0.35">
      <c r="A128" t="s">
        <v>8</v>
      </c>
      <c r="B128" s="9" t="s">
        <v>85</v>
      </c>
      <c r="C128" t="s">
        <v>84</v>
      </c>
      <c r="D128" t="s">
        <v>35</v>
      </c>
      <c r="E128" t="s">
        <v>21</v>
      </c>
      <c r="F128">
        <v>4.3</v>
      </c>
      <c r="G128">
        <v>12990</v>
      </c>
      <c r="H128">
        <v>4990</v>
      </c>
      <c r="I128">
        <f>FlipkartTable[[#This Row],[Original Price]]-FlipkartTable[[#This Row],[Selling Price]]</f>
        <v>-8000</v>
      </c>
      <c r="J128" s="4">
        <f>(FlipkartTable[[#This Row],[Original Price]]-FlipkartTable[[#This Row],[Selling Price]])/FlipkartTable[[#This Row],[Original Price]]</f>
        <v>-1.6032064128256514</v>
      </c>
      <c r="K128">
        <f>(FlipkartTable[[#This Row],[Rating]]/FlipkartTable[[#This Row],[Selling Price]])*1000</f>
        <v>0.33102386451116245</v>
      </c>
      <c r="L128" t="str">
        <f>IF(FlipkartTable[[#This Row],[Selling Price]]&lt;15000,"Budget",IF(FlipkartTable[[#This Row],[Selling Price]]&lt;50000,"Mid Range","Premium"))</f>
        <v>Budget</v>
      </c>
      <c r="M128" t="str">
        <f>IF(FlipkartTable[[#This Row],[Rating]]&gt;4.5,"Excellent",IF(FlipkartTable[[#This Row],[Rating]]&gt;4,"Good",IF(FlipkartTable[[#This Row],[Rating]]&gt;3.5,"Average","Poor")))</f>
        <v>Good</v>
      </c>
    </row>
    <row r="129" spans="1:13" x14ac:dyDescent="0.35">
      <c r="A129" t="s">
        <v>8</v>
      </c>
      <c r="B129" s="9" t="s">
        <v>138</v>
      </c>
      <c r="C129" t="s">
        <v>84</v>
      </c>
      <c r="D129" t="s">
        <v>35</v>
      </c>
      <c r="E129" t="s">
        <v>21</v>
      </c>
      <c r="F129">
        <v>4.3</v>
      </c>
      <c r="G129">
        <v>8490</v>
      </c>
      <c r="H129">
        <v>13400</v>
      </c>
      <c r="I129">
        <f>FlipkartTable[[#This Row],[Original Price]]-FlipkartTable[[#This Row],[Selling Price]]</f>
        <v>4910</v>
      </c>
      <c r="J129" s="4">
        <f>(FlipkartTable[[#This Row],[Original Price]]-FlipkartTable[[#This Row],[Selling Price]])/FlipkartTable[[#This Row],[Original Price]]</f>
        <v>0.36641791044776117</v>
      </c>
      <c r="K129">
        <f>(FlipkartTable[[#This Row],[Rating]]/FlipkartTable[[#This Row],[Selling Price]])*1000</f>
        <v>0.50647820965842172</v>
      </c>
      <c r="L129" t="str">
        <f>IF(FlipkartTable[[#This Row],[Selling Price]]&lt;15000,"Budget",IF(FlipkartTable[[#This Row],[Selling Price]]&lt;50000,"Mid Range","Premium"))</f>
        <v>Budget</v>
      </c>
      <c r="M129" t="str">
        <f>IF(FlipkartTable[[#This Row],[Rating]]&gt;4.5,"Excellent",IF(FlipkartTable[[#This Row],[Rating]]&gt;4,"Good",IF(FlipkartTable[[#This Row],[Rating]]&gt;3.5,"Average","Poor")))</f>
        <v>Good</v>
      </c>
    </row>
    <row r="130" spans="1:13" x14ac:dyDescent="0.35">
      <c r="A130" t="s">
        <v>8</v>
      </c>
      <c r="B130" s="9" t="s">
        <v>85</v>
      </c>
      <c r="C130" t="s">
        <v>139</v>
      </c>
      <c r="D130" t="s">
        <v>11</v>
      </c>
      <c r="E130" t="s">
        <v>12</v>
      </c>
      <c r="F130">
        <v>4.4000000000000004</v>
      </c>
      <c r="G130">
        <v>15677</v>
      </c>
      <c r="H130">
        <v>15677</v>
      </c>
      <c r="I130">
        <f>FlipkartTable[[#This Row],[Original Price]]-FlipkartTable[[#This Row],[Selling Price]]</f>
        <v>0</v>
      </c>
      <c r="J130" s="4">
        <f>(FlipkartTable[[#This Row],[Original Price]]-FlipkartTable[[#This Row],[Selling Price]])/FlipkartTable[[#This Row],[Original Price]]</f>
        <v>0</v>
      </c>
      <c r="K130">
        <f>(FlipkartTable[[#This Row],[Rating]]/FlipkartTable[[#This Row],[Selling Price]])*1000</f>
        <v>0.28066594373923581</v>
      </c>
      <c r="L130" t="str">
        <f>IF(FlipkartTable[[#This Row],[Selling Price]]&lt;15000,"Budget",IF(FlipkartTable[[#This Row],[Selling Price]]&lt;50000,"Mid Range","Premium"))</f>
        <v>Mid Range</v>
      </c>
      <c r="M130" t="str">
        <f>IF(FlipkartTable[[#This Row],[Rating]]&gt;4.5,"Excellent",IF(FlipkartTable[[#This Row],[Rating]]&gt;4,"Good",IF(FlipkartTable[[#This Row],[Rating]]&gt;3.5,"Average","Poor")))</f>
        <v>Good</v>
      </c>
    </row>
    <row r="131" spans="1:13" x14ac:dyDescent="0.35">
      <c r="A131" t="s">
        <v>8</v>
      </c>
      <c r="B131" s="9" t="s">
        <v>140</v>
      </c>
      <c r="C131" t="s">
        <v>141</v>
      </c>
      <c r="D131" t="s">
        <v>35</v>
      </c>
      <c r="E131" t="s">
        <v>124</v>
      </c>
      <c r="F131">
        <v>4.2</v>
      </c>
      <c r="G131">
        <v>10000</v>
      </c>
      <c r="H131">
        <v>10000</v>
      </c>
      <c r="I131">
        <f>FlipkartTable[[#This Row],[Original Price]]-FlipkartTable[[#This Row],[Selling Price]]</f>
        <v>0</v>
      </c>
      <c r="J131" s="4">
        <f>(FlipkartTable[[#This Row],[Original Price]]-FlipkartTable[[#This Row],[Selling Price]])/FlipkartTable[[#This Row],[Original Price]]</f>
        <v>0</v>
      </c>
      <c r="K131">
        <f>(FlipkartTable[[#This Row],[Rating]]/FlipkartTable[[#This Row],[Selling Price]])*1000</f>
        <v>0.42000000000000004</v>
      </c>
      <c r="L131" t="str">
        <f>IF(FlipkartTable[[#This Row],[Selling Price]]&lt;15000,"Budget",IF(FlipkartTable[[#This Row],[Selling Price]]&lt;50000,"Mid Range","Premium"))</f>
        <v>Budget</v>
      </c>
      <c r="M131" t="str">
        <f>IF(FlipkartTable[[#This Row],[Rating]]&gt;4.5,"Excellent",IF(FlipkartTable[[#This Row],[Rating]]&gt;4,"Good",IF(FlipkartTable[[#This Row],[Rating]]&gt;3.5,"Average","Poor")))</f>
        <v>Good</v>
      </c>
    </row>
    <row r="132" spans="1:13" x14ac:dyDescent="0.35">
      <c r="A132" t="s">
        <v>8</v>
      </c>
      <c r="B132" s="9" t="s">
        <v>142</v>
      </c>
      <c r="C132" t="s">
        <v>143</v>
      </c>
      <c r="D132" t="s">
        <v>14</v>
      </c>
      <c r="E132" t="s">
        <v>12</v>
      </c>
      <c r="F132">
        <v>4.5</v>
      </c>
      <c r="G132">
        <v>19990</v>
      </c>
      <c r="H132">
        <v>25000</v>
      </c>
      <c r="I132">
        <f>FlipkartTable[[#This Row],[Original Price]]-FlipkartTable[[#This Row],[Selling Price]]</f>
        <v>5010</v>
      </c>
      <c r="J132" s="4">
        <f>(FlipkartTable[[#This Row],[Original Price]]-FlipkartTable[[#This Row],[Selling Price]])/FlipkartTable[[#This Row],[Original Price]]</f>
        <v>0.20039999999999999</v>
      </c>
      <c r="K132">
        <f>(FlipkartTable[[#This Row],[Rating]]/FlipkartTable[[#This Row],[Selling Price]])*1000</f>
        <v>0.22511255627813909</v>
      </c>
      <c r="L132" t="str">
        <f>IF(FlipkartTable[[#This Row],[Selling Price]]&lt;15000,"Budget",IF(FlipkartTable[[#This Row],[Selling Price]]&lt;50000,"Mid Range","Premium"))</f>
        <v>Mid Range</v>
      </c>
      <c r="M132" t="str">
        <f>IF(FlipkartTable[[#This Row],[Rating]]&gt;4.5,"Excellent",IF(FlipkartTable[[#This Row],[Rating]]&gt;4,"Good",IF(FlipkartTable[[#This Row],[Rating]]&gt;3.5,"Average","Poor")))</f>
        <v>Good</v>
      </c>
    </row>
    <row r="133" spans="1:13" x14ac:dyDescent="0.35">
      <c r="A133" t="s">
        <v>8</v>
      </c>
      <c r="B133" s="9" t="s">
        <v>120</v>
      </c>
      <c r="C133" t="s">
        <v>84</v>
      </c>
      <c r="D133" t="s">
        <v>20</v>
      </c>
      <c r="E133" t="s">
        <v>21</v>
      </c>
      <c r="F133">
        <v>4.3</v>
      </c>
      <c r="G133">
        <v>12000</v>
      </c>
      <c r="H133">
        <v>12000</v>
      </c>
      <c r="I133">
        <f>FlipkartTable[[#This Row],[Original Price]]-FlipkartTable[[#This Row],[Selling Price]]</f>
        <v>0</v>
      </c>
      <c r="J133" s="4">
        <f>(FlipkartTable[[#This Row],[Original Price]]-FlipkartTable[[#This Row],[Selling Price]])/FlipkartTable[[#This Row],[Original Price]]</f>
        <v>0</v>
      </c>
      <c r="K133">
        <f>(FlipkartTable[[#This Row],[Rating]]/FlipkartTable[[#This Row],[Selling Price]])*1000</f>
        <v>0.35833333333333334</v>
      </c>
      <c r="L133" t="str">
        <f>IF(FlipkartTable[[#This Row],[Selling Price]]&lt;15000,"Budget",IF(FlipkartTable[[#This Row],[Selling Price]]&lt;50000,"Mid Range","Premium"))</f>
        <v>Budget</v>
      </c>
      <c r="M133" t="str">
        <f>IF(FlipkartTable[[#This Row],[Rating]]&gt;4.5,"Excellent",IF(FlipkartTable[[#This Row],[Rating]]&gt;4,"Good",IF(FlipkartTable[[#This Row],[Rating]]&gt;3.5,"Average","Poor")))</f>
        <v>Good</v>
      </c>
    </row>
    <row r="134" spans="1:13" x14ac:dyDescent="0.35">
      <c r="A134" t="s">
        <v>8</v>
      </c>
      <c r="B134" s="9" t="s">
        <v>142</v>
      </c>
      <c r="C134" t="s">
        <v>144</v>
      </c>
      <c r="D134" t="s">
        <v>14</v>
      </c>
      <c r="E134" t="s">
        <v>12</v>
      </c>
      <c r="F134">
        <v>4.5</v>
      </c>
      <c r="G134">
        <v>21150</v>
      </c>
      <c r="H134">
        <v>21150</v>
      </c>
      <c r="I134">
        <f>FlipkartTable[[#This Row],[Original Price]]-FlipkartTable[[#This Row],[Selling Price]]</f>
        <v>0</v>
      </c>
      <c r="J134" s="4">
        <f>(FlipkartTable[[#This Row],[Original Price]]-FlipkartTable[[#This Row],[Selling Price]])/FlipkartTable[[#This Row],[Original Price]]</f>
        <v>0</v>
      </c>
      <c r="K134">
        <f>(FlipkartTable[[#This Row],[Rating]]/FlipkartTable[[#This Row],[Selling Price]])*1000</f>
        <v>0.21276595744680851</v>
      </c>
      <c r="L134" t="str">
        <f>IF(FlipkartTable[[#This Row],[Selling Price]]&lt;15000,"Budget",IF(FlipkartTable[[#This Row],[Selling Price]]&lt;50000,"Mid Range","Premium"))</f>
        <v>Mid Range</v>
      </c>
      <c r="M134" t="str">
        <f>IF(FlipkartTable[[#This Row],[Rating]]&gt;4.5,"Excellent",IF(FlipkartTable[[#This Row],[Rating]]&gt;4,"Good",IF(FlipkartTable[[#This Row],[Rating]]&gt;3.5,"Average","Poor")))</f>
        <v>Good</v>
      </c>
    </row>
    <row r="135" spans="1:13" x14ac:dyDescent="0.35">
      <c r="A135" t="s">
        <v>8</v>
      </c>
      <c r="B135" s="9" t="s">
        <v>122</v>
      </c>
      <c r="C135" t="s">
        <v>123</v>
      </c>
      <c r="D135" t="s">
        <v>20</v>
      </c>
      <c r="E135" t="s">
        <v>21</v>
      </c>
      <c r="F135">
        <v>4.4000000000000004</v>
      </c>
      <c r="G135">
        <v>14995</v>
      </c>
      <c r="H135">
        <v>14995</v>
      </c>
      <c r="I135">
        <f>FlipkartTable[[#This Row],[Original Price]]-FlipkartTable[[#This Row],[Selling Price]]</f>
        <v>0</v>
      </c>
      <c r="J135" s="4">
        <f>(FlipkartTable[[#This Row],[Original Price]]-FlipkartTable[[#This Row],[Selling Price]])/FlipkartTable[[#This Row],[Original Price]]</f>
        <v>0</v>
      </c>
      <c r="K135">
        <f>(FlipkartTable[[#This Row],[Rating]]/FlipkartTable[[#This Row],[Selling Price]])*1000</f>
        <v>0.29343114371457152</v>
      </c>
      <c r="L135" t="str">
        <f>IF(FlipkartTable[[#This Row],[Selling Price]]&lt;15000,"Budget",IF(FlipkartTable[[#This Row],[Selling Price]]&lt;50000,"Mid Range","Premium"))</f>
        <v>Budget</v>
      </c>
      <c r="M135" t="str">
        <f>IF(FlipkartTable[[#This Row],[Rating]]&gt;4.5,"Excellent",IF(FlipkartTable[[#This Row],[Rating]]&gt;4,"Good",IF(FlipkartTable[[#This Row],[Rating]]&gt;3.5,"Average","Poor")))</f>
        <v>Good</v>
      </c>
    </row>
    <row r="136" spans="1:13" x14ac:dyDescent="0.35">
      <c r="A136" t="s">
        <v>8</v>
      </c>
      <c r="B136" s="9" t="s">
        <v>120</v>
      </c>
      <c r="C136" t="s">
        <v>84</v>
      </c>
      <c r="D136" t="s">
        <v>35</v>
      </c>
      <c r="E136" t="s">
        <v>124</v>
      </c>
      <c r="F136">
        <v>4.4000000000000004</v>
      </c>
      <c r="G136">
        <v>9500</v>
      </c>
      <c r="H136">
        <v>9500</v>
      </c>
      <c r="I136">
        <f>FlipkartTable[[#This Row],[Original Price]]-FlipkartTable[[#This Row],[Selling Price]]</f>
        <v>0</v>
      </c>
      <c r="J136" s="4">
        <f>(FlipkartTable[[#This Row],[Original Price]]-FlipkartTable[[#This Row],[Selling Price]])/FlipkartTable[[#This Row],[Original Price]]</f>
        <v>0</v>
      </c>
      <c r="K136">
        <f>(FlipkartTable[[#This Row],[Rating]]/FlipkartTable[[#This Row],[Selling Price]])*1000</f>
        <v>0.46315789473684216</v>
      </c>
      <c r="L136" t="str">
        <f>IF(FlipkartTable[[#This Row],[Selling Price]]&lt;15000,"Budget",IF(FlipkartTable[[#This Row],[Selling Price]]&lt;50000,"Mid Range","Premium"))</f>
        <v>Budget</v>
      </c>
      <c r="M136" t="str">
        <f>IF(FlipkartTable[[#This Row],[Rating]]&gt;4.5,"Excellent",IF(FlipkartTable[[#This Row],[Rating]]&gt;4,"Good",IF(FlipkartTable[[#This Row],[Rating]]&gt;3.5,"Average","Poor")))</f>
        <v>Good</v>
      </c>
    </row>
    <row r="137" spans="1:13" x14ac:dyDescent="0.35">
      <c r="A137" t="s">
        <v>8</v>
      </c>
      <c r="B137" s="9" t="s">
        <v>142</v>
      </c>
      <c r="C137" t="s">
        <v>145</v>
      </c>
      <c r="D137" t="s">
        <v>14</v>
      </c>
      <c r="E137" t="s">
        <v>12</v>
      </c>
      <c r="F137">
        <v>4.5</v>
      </c>
      <c r="G137">
        <v>21150</v>
      </c>
      <c r="H137">
        <v>21150</v>
      </c>
      <c r="I137">
        <f>FlipkartTable[[#This Row],[Original Price]]-FlipkartTable[[#This Row],[Selling Price]]</f>
        <v>0</v>
      </c>
      <c r="J137" s="4">
        <f>(FlipkartTable[[#This Row],[Original Price]]-FlipkartTable[[#This Row],[Selling Price]])/FlipkartTable[[#This Row],[Original Price]]</f>
        <v>0</v>
      </c>
      <c r="K137">
        <f>(FlipkartTable[[#This Row],[Rating]]/FlipkartTable[[#This Row],[Selling Price]])*1000</f>
        <v>0.21276595744680851</v>
      </c>
      <c r="L137" t="str">
        <f>IF(FlipkartTable[[#This Row],[Selling Price]]&lt;15000,"Budget",IF(FlipkartTable[[#This Row],[Selling Price]]&lt;50000,"Mid Range","Premium"))</f>
        <v>Mid Range</v>
      </c>
      <c r="M137" t="str">
        <f>IF(FlipkartTable[[#This Row],[Rating]]&gt;4.5,"Excellent",IF(FlipkartTable[[#This Row],[Rating]]&gt;4,"Good",IF(FlipkartTable[[#This Row],[Rating]]&gt;3.5,"Average","Poor")))</f>
        <v>Good</v>
      </c>
    </row>
    <row r="138" spans="1:13" x14ac:dyDescent="0.35">
      <c r="A138" t="s">
        <v>8</v>
      </c>
      <c r="B138" s="9" t="s">
        <v>85</v>
      </c>
      <c r="C138" t="s">
        <v>22</v>
      </c>
      <c r="D138" t="s">
        <v>20</v>
      </c>
      <c r="E138" t="s">
        <v>21</v>
      </c>
      <c r="F138">
        <v>4.4000000000000004</v>
      </c>
      <c r="G138">
        <v>13750</v>
      </c>
      <c r="H138">
        <v>13750</v>
      </c>
      <c r="I138">
        <f>FlipkartTable[[#This Row],[Original Price]]-FlipkartTable[[#This Row],[Selling Price]]</f>
        <v>0</v>
      </c>
      <c r="J138" s="4">
        <f>(FlipkartTable[[#This Row],[Original Price]]-FlipkartTable[[#This Row],[Selling Price]])/FlipkartTable[[#This Row],[Original Price]]</f>
        <v>0</v>
      </c>
      <c r="K138">
        <f>(FlipkartTable[[#This Row],[Rating]]/FlipkartTable[[#This Row],[Selling Price]])*1000</f>
        <v>0.32</v>
      </c>
      <c r="L138" t="str">
        <f>IF(FlipkartTable[[#This Row],[Selling Price]]&lt;15000,"Budget",IF(FlipkartTable[[#This Row],[Selling Price]]&lt;50000,"Mid Range","Premium"))</f>
        <v>Budget</v>
      </c>
      <c r="M138" t="str">
        <f>IF(FlipkartTable[[#This Row],[Rating]]&gt;4.5,"Excellent",IF(FlipkartTable[[#This Row],[Rating]]&gt;4,"Good",IF(FlipkartTable[[#This Row],[Rating]]&gt;3.5,"Average","Poor")))</f>
        <v>Good</v>
      </c>
    </row>
    <row r="139" spans="1:13" x14ac:dyDescent="0.35">
      <c r="A139" t="s">
        <v>8</v>
      </c>
      <c r="B139" s="9" t="s">
        <v>85</v>
      </c>
      <c r="C139" t="s">
        <v>84</v>
      </c>
      <c r="D139" t="s">
        <v>20</v>
      </c>
      <c r="E139" t="s">
        <v>21</v>
      </c>
      <c r="F139">
        <v>4.4000000000000004</v>
      </c>
      <c r="G139">
        <v>12990</v>
      </c>
      <c r="H139">
        <v>12990</v>
      </c>
      <c r="I139">
        <f>FlipkartTable[[#This Row],[Original Price]]-FlipkartTable[[#This Row],[Selling Price]]</f>
        <v>0</v>
      </c>
      <c r="J139" s="4">
        <f>(FlipkartTable[[#This Row],[Original Price]]-FlipkartTable[[#This Row],[Selling Price]])/FlipkartTable[[#This Row],[Original Price]]</f>
        <v>0</v>
      </c>
      <c r="K139">
        <f>(FlipkartTable[[#This Row],[Rating]]/FlipkartTable[[#This Row],[Selling Price]])*1000</f>
        <v>0.3387220939183988</v>
      </c>
      <c r="L139" t="str">
        <f>IF(FlipkartTable[[#This Row],[Selling Price]]&lt;15000,"Budget",IF(FlipkartTable[[#This Row],[Selling Price]]&lt;50000,"Mid Range","Premium"))</f>
        <v>Budget</v>
      </c>
      <c r="M139" t="str">
        <f>IF(FlipkartTable[[#This Row],[Rating]]&gt;4.5,"Excellent",IF(FlipkartTable[[#This Row],[Rating]]&gt;4,"Good",IF(FlipkartTable[[#This Row],[Rating]]&gt;3.5,"Average","Poor")))</f>
        <v>Good</v>
      </c>
    </row>
    <row r="140" spans="1:13" x14ac:dyDescent="0.35">
      <c r="A140" t="s">
        <v>8</v>
      </c>
      <c r="B140" s="9" t="s">
        <v>120</v>
      </c>
      <c r="C140" t="s">
        <v>121</v>
      </c>
      <c r="D140" t="s">
        <v>20</v>
      </c>
      <c r="E140" t="s">
        <v>21</v>
      </c>
      <c r="F140">
        <v>4.3</v>
      </c>
      <c r="G140">
        <v>12990</v>
      </c>
      <c r="H140">
        <v>12990</v>
      </c>
      <c r="I140">
        <f>FlipkartTable[[#This Row],[Original Price]]-FlipkartTable[[#This Row],[Selling Price]]</f>
        <v>0</v>
      </c>
      <c r="J140" s="4">
        <f>(FlipkartTable[[#This Row],[Original Price]]-FlipkartTable[[#This Row],[Selling Price]])/FlipkartTable[[#This Row],[Original Price]]</f>
        <v>0</v>
      </c>
      <c r="K140">
        <f>(FlipkartTable[[#This Row],[Rating]]/FlipkartTable[[#This Row],[Selling Price]])*1000</f>
        <v>0.33102386451116245</v>
      </c>
      <c r="L140" t="str">
        <f>IF(FlipkartTable[[#This Row],[Selling Price]]&lt;15000,"Budget",IF(FlipkartTable[[#This Row],[Selling Price]]&lt;50000,"Mid Range","Premium"))</f>
        <v>Budget</v>
      </c>
      <c r="M140" t="str">
        <f>IF(FlipkartTable[[#This Row],[Rating]]&gt;4.5,"Excellent",IF(FlipkartTable[[#This Row],[Rating]]&gt;4,"Good",IF(FlipkartTable[[#This Row],[Rating]]&gt;3.5,"Average","Poor")))</f>
        <v>Good</v>
      </c>
    </row>
    <row r="141" spans="1:13" x14ac:dyDescent="0.35">
      <c r="A141" t="s">
        <v>8</v>
      </c>
      <c r="B141" s="9" t="s">
        <v>120</v>
      </c>
      <c r="C141" t="s">
        <v>121</v>
      </c>
      <c r="D141" t="s">
        <v>35</v>
      </c>
      <c r="E141" t="s">
        <v>124</v>
      </c>
      <c r="F141">
        <v>4.4000000000000004</v>
      </c>
      <c r="G141">
        <v>9500</v>
      </c>
      <c r="H141">
        <v>9500</v>
      </c>
      <c r="I141">
        <f>FlipkartTable[[#This Row],[Original Price]]-FlipkartTable[[#This Row],[Selling Price]]</f>
        <v>0</v>
      </c>
      <c r="J141" s="4">
        <f>(FlipkartTable[[#This Row],[Original Price]]-FlipkartTable[[#This Row],[Selling Price]])/FlipkartTable[[#This Row],[Original Price]]</f>
        <v>0</v>
      </c>
      <c r="K141">
        <f>(FlipkartTable[[#This Row],[Rating]]/FlipkartTable[[#This Row],[Selling Price]])*1000</f>
        <v>0.46315789473684216</v>
      </c>
      <c r="L141" t="str">
        <f>IF(FlipkartTable[[#This Row],[Selling Price]]&lt;15000,"Budget",IF(FlipkartTable[[#This Row],[Selling Price]]&lt;50000,"Mid Range","Premium"))</f>
        <v>Budget</v>
      </c>
      <c r="M141" t="str">
        <f>IF(FlipkartTable[[#This Row],[Rating]]&gt;4.5,"Excellent",IF(FlipkartTable[[#This Row],[Rating]]&gt;4,"Good",IF(FlipkartTable[[#This Row],[Rating]]&gt;3.5,"Average","Poor")))</f>
        <v>Good</v>
      </c>
    </row>
    <row r="142" spans="1:13" x14ac:dyDescent="0.35">
      <c r="A142" t="s">
        <v>8</v>
      </c>
      <c r="B142" s="9" t="s">
        <v>105</v>
      </c>
      <c r="C142" t="s">
        <v>106</v>
      </c>
      <c r="D142" t="s">
        <v>11</v>
      </c>
      <c r="E142" t="s">
        <v>21</v>
      </c>
      <c r="F142">
        <v>4.4000000000000004</v>
      </c>
      <c r="G142">
        <v>15000</v>
      </c>
      <c r="H142">
        <v>15000</v>
      </c>
      <c r="I142">
        <f>FlipkartTable[[#This Row],[Original Price]]-FlipkartTable[[#This Row],[Selling Price]]</f>
        <v>0</v>
      </c>
      <c r="J142" s="4">
        <f>(FlipkartTable[[#This Row],[Original Price]]-FlipkartTable[[#This Row],[Selling Price]])/FlipkartTable[[#This Row],[Original Price]]</f>
        <v>0</v>
      </c>
      <c r="K142">
        <f>(FlipkartTable[[#This Row],[Rating]]/FlipkartTable[[#This Row],[Selling Price]])*1000</f>
        <v>0.29333333333333339</v>
      </c>
      <c r="L142" t="str">
        <f>IF(FlipkartTable[[#This Row],[Selling Price]]&lt;15000,"Budget",IF(FlipkartTable[[#This Row],[Selling Price]]&lt;50000,"Mid Range","Premium"))</f>
        <v>Mid Range</v>
      </c>
      <c r="M142" t="str">
        <f>IF(FlipkartTable[[#This Row],[Rating]]&gt;4.5,"Excellent",IF(FlipkartTable[[#This Row],[Rating]]&gt;4,"Good",IF(FlipkartTable[[#This Row],[Rating]]&gt;3.5,"Average","Poor")))</f>
        <v>Good</v>
      </c>
    </row>
    <row r="143" spans="1:13" x14ac:dyDescent="0.35">
      <c r="A143" t="s">
        <v>8</v>
      </c>
      <c r="B143" s="9" t="s">
        <v>105</v>
      </c>
      <c r="C143" t="s">
        <v>106</v>
      </c>
      <c r="D143" t="s">
        <v>11</v>
      </c>
      <c r="E143" t="s">
        <v>21</v>
      </c>
      <c r="F143">
        <v>4.4000000000000004</v>
      </c>
      <c r="G143">
        <v>15000</v>
      </c>
      <c r="H143">
        <v>15000</v>
      </c>
      <c r="I143">
        <f>FlipkartTable[[#This Row],[Original Price]]-FlipkartTable[[#This Row],[Selling Price]]</f>
        <v>0</v>
      </c>
      <c r="J143" s="4">
        <f>(FlipkartTable[[#This Row],[Original Price]]-FlipkartTable[[#This Row],[Selling Price]])/FlipkartTable[[#This Row],[Original Price]]</f>
        <v>0</v>
      </c>
      <c r="K143">
        <f>(FlipkartTable[[#This Row],[Rating]]/FlipkartTable[[#This Row],[Selling Price]])*1000</f>
        <v>0.29333333333333339</v>
      </c>
      <c r="L143" t="str">
        <f>IF(FlipkartTable[[#This Row],[Selling Price]]&lt;15000,"Budget",IF(FlipkartTable[[#This Row],[Selling Price]]&lt;50000,"Mid Range","Premium"))</f>
        <v>Mid Range</v>
      </c>
      <c r="M143" t="str">
        <f>IF(FlipkartTable[[#This Row],[Rating]]&gt;4.5,"Excellent",IF(FlipkartTable[[#This Row],[Rating]]&gt;4,"Good",IF(FlipkartTable[[#This Row],[Rating]]&gt;3.5,"Average","Poor")))</f>
        <v>Good</v>
      </c>
    </row>
    <row r="144" spans="1:13" x14ac:dyDescent="0.35">
      <c r="A144" t="s">
        <v>8</v>
      </c>
      <c r="B144" s="9" t="s">
        <v>105</v>
      </c>
      <c r="C144" t="s">
        <v>147</v>
      </c>
      <c r="D144" t="s">
        <v>11</v>
      </c>
      <c r="E144" t="s">
        <v>21</v>
      </c>
      <c r="F144">
        <v>4.4000000000000004</v>
      </c>
      <c r="G144">
        <v>13500</v>
      </c>
      <c r="H144">
        <v>13500</v>
      </c>
      <c r="I144">
        <f>FlipkartTable[[#This Row],[Original Price]]-FlipkartTable[[#This Row],[Selling Price]]</f>
        <v>0</v>
      </c>
      <c r="J144" s="4">
        <f>(FlipkartTable[[#This Row],[Original Price]]-FlipkartTable[[#This Row],[Selling Price]])/FlipkartTable[[#This Row],[Original Price]]</f>
        <v>0</v>
      </c>
      <c r="K144">
        <f>(FlipkartTable[[#This Row],[Rating]]/FlipkartTable[[#This Row],[Selling Price]])*1000</f>
        <v>0.32592592592592595</v>
      </c>
      <c r="L144" t="str">
        <f>IF(FlipkartTable[[#This Row],[Selling Price]]&lt;15000,"Budget",IF(FlipkartTable[[#This Row],[Selling Price]]&lt;50000,"Mid Range","Premium"))</f>
        <v>Budget</v>
      </c>
      <c r="M144" t="str">
        <f>IF(FlipkartTable[[#This Row],[Rating]]&gt;4.5,"Excellent",IF(FlipkartTable[[#This Row],[Rating]]&gt;4,"Good",IF(FlipkartTable[[#This Row],[Rating]]&gt;3.5,"Average","Poor")))</f>
        <v>Good</v>
      </c>
    </row>
    <row r="145" spans="1:13" x14ac:dyDescent="0.35">
      <c r="A145" t="s">
        <v>8</v>
      </c>
      <c r="B145" s="9" t="s">
        <v>105</v>
      </c>
      <c r="C145" t="s">
        <v>147</v>
      </c>
      <c r="D145" t="s">
        <v>11</v>
      </c>
      <c r="E145" t="s">
        <v>12</v>
      </c>
      <c r="F145">
        <v>4.4000000000000004</v>
      </c>
      <c r="G145">
        <v>15990</v>
      </c>
      <c r="H145">
        <v>15990</v>
      </c>
      <c r="I145">
        <f>FlipkartTable[[#This Row],[Original Price]]-FlipkartTable[[#This Row],[Selling Price]]</f>
        <v>0</v>
      </c>
      <c r="J145" s="4">
        <f>(FlipkartTable[[#This Row],[Original Price]]-FlipkartTable[[#This Row],[Selling Price]])/FlipkartTable[[#This Row],[Original Price]]</f>
        <v>0</v>
      </c>
      <c r="K145">
        <f>(FlipkartTable[[#This Row],[Rating]]/FlipkartTable[[#This Row],[Selling Price]])*1000</f>
        <v>0.27517198248905567</v>
      </c>
      <c r="L145" t="str">
        <f>IF(FlipkartTable[[#This Row],[Selling Price]]&lt;15000,"Budget",IF(FlipkartTable[[#This Row],[Selling Price]]&lt;50000,"Mid Range","Premium"))</f>
        <v>Mid Range</v>
      </c>
      <c r="M145" t="str">
        <f>IF(FlipkartTable[[#This Row],[Rating]]&gt;4.5,"Excellent",IF(FlipkartTable[[#This Row],[Rating]]&gt;4,"Good",IF(FlipkartTable[[#This Row],[Rating]]&gt;3.5,"Average","Poor")))</f>
        <v>Good</v>
      </c>
    </row>
    <row r="146" spans="1:13" x14ac:dyDescent="0.35">
      <c r="A146" t="s">
        <v>8</v>
      </c>
      <c r="B146" s="9" t="s">
        <v>129</v>
      </c>
      <c r="C146" t="s">
        <v>131</v>
      </c>
      <c r="D146" t="s">
        <v>14</v>
      </c>
      <c r="E146" t="s">
        <v>15</v>
      </c>
      <c r="F146">
        <v>4.3</v>
      </c>
      <c r="G146">
        <v>16990</v>
      </c>
      <c r="H146">
        <v>19990</v>
      </c>
      <c r="I146">
        <f>FlipkartTable[[#This Row],[Original Price]]-FlipkartTable[[#This Row],[Selling Price]]</f>
        <v>3000</v>
      </c>
      <c r="J146" s="4">
        <f>(FlipkartTable[[#This Row],[Original Price]]-FlipkartTable[[#This Row],[Selling Price]])/FlipkartTable[[#This Row],[Original Price]]</f>
        <v>0.15007503751875939</v>
      </c>
      <c r="K146">
        <f>(FlipkartTable[[#This Row],[Rating]]/FlipkartTable[[#This Row],[Selling Price]])*1000</f>
        <v>0.25309005297233667</v>
      </c>
      <c r="L146" t="str">
        <f>IF(FlipkartTable[[#This Row],[Selling Price]]&lt;15000,"Budget",IF(FlipkartTable[[#This Row],[Selling Price]]&lt;50000,"Mid Range","Premium"))</f>
        <v>Mid Range</v>
      </c>
      <c r="M146" t="str">
        <f>IF(FlipkartTable[[#This Row],[Rating]]&gt;4.5,"Excellent",IF(FlipkartTable[[#This Row],[Rating]]&gt;4,"Good",IF(FlipkartTable[[#This Row],[Rating]]&gt;3.5,"Average","Poor")))</f>
        <v>Good</v>
      </c>
    </row>
    <row r="147" spans="1:13" x14ac:dyDescent="0.35">
      <c r="A147" t="s">
        <v>8</v>
      </c>
      <c r="B147" s="9" t="s">
        <v>28</v>
      </c>
      <c r="C147" t="s">
        <v>13</v>
      </c>
      <c r="D147" t="s">
        <v>20</v>
      </c>
      <c r="E147" t="s">
        <v>21</v>
      </c>
      <c r="F147">
        <v>4.3</v>
      </c>
      <c r="G147">
        <v>10490</v>
      </c>
      <c r="H147">
        <v>12990</v>
      </c>
      <c r="I147">
        <f>FlipkartTable[[#This Row],[Original Price]]-FlipkartTable[[#This Row],[Selling Price]]</f>
        <v>2500</v>
      </c>
      <c r="J147" s="4">
        <f>(FlipkartTable[[#This Row],[Original Price]]-FlipkartTable[[#This Row],[Selling Price]])/FlipkartTable[[#This Row],[Original Price]]</f>
        <v>0.19245573518090839</v>
      </c>
      <c r="K147">
        <f>(FlipkartTable[[#This Row],[Rating]]/FlipkartTable[[#This Row],[Selling Price]])*1000</f>
        <v>0.40991420400381312</v>
      </c>
      <c r="L147" t="str">
        <f>IF(FlipkartTable[[#This Row],[Selling Price]]&lt;15000,"Budget",IF(FlipkartTable[[#This Row],[Selling Price]]&lt;50000,"Mid Range","Premium"))</f>
        <v>Budget</v>
      </c>
      <c r="M147" t="str">
        <f>IF(FlipkartTable[[#This Row],[Rating]]&gt;4.5,"Excellent",IF(FlipkartTable[[#This Row],[Rating]]&gt;4,"Good",IF(FlipkartTable[[#This Row],[Rating]]&gt;3.5,"Average","Poor")))</f>
        <v>Good</v>
      </c>
    </row>
    <row r="148" spans="1:13" x14ac:dyDescent="0.35">
      <c r="A148" t="s">
        <v>8</v>
      </c>
      <c r="B148" s="9" t="s">
        <v>48</v>
      </c>
      <c r="C148" t="s">
        <v>57</v>
      </c>
      <c r="D148" t="s">
        <v>27</v>
      </c>
      <c r="E148" t="s">
        <v>15</v>
      </c>
      <c r="F148">
        <v>4.3</v>
      </c>
      <c r="G148">
        <v>22990</v>
      </c>
      <c r="H148">
        <v>22990</v>
      </c>
      <c r="I148">
        <f>FlipkartTable[[#This Row],[Original Price]]-FlipkartTable[[#This Row],[Selling Price]]</f>
        <v>0</v>
      </c>
      <c r="J148" s="4">
        <f>(FlipkartTable[[#This Row],[Original Price]]-FlipkartTable[[#This Row],[Selling Price]])/FlipkartTable[[#This Row],[Original Price]]</f>
        <v>0</v>
      </c>
      <c r="K148">
        <f>(FlipkartTable[[#This Row],[Rating]]/FlipkartTable[[#This Row],[Selling Price]])*1000</f>
        <v>0.18703784254023487</v>
      </c>
      <c r="L148" t="str">
        <f>IF(FlipkartTable[[#This Row],[Selling Price]]&lt;15000,"Budget",IF(FlipkartTable[[#This Row],[Selling Price]]&lt;50000,"Mid Range","Premium"))</f>
        <v>Mid Range</v>
      </c>
      <c r="M148" t="str">
        <f>IF(FlipkartTable[[#This Row],[Rating]]&gt;4.5,"Excellent",IF(FlipkartTable[[#This Row],[Rating]]&gt;4,"Good",IF(FlipkartTable[[#This Row],[Rating]]&gt;3.5,"Average","Poor")))</f>
        <v>Good</v>
      </c>
    </row>
    <row r="149" spans="1:13" x14ac:dyDescent="0.35">
      <c r="A149" t="s">
        <v>8</v>
      </c>
      <c r="B149" s="9" t="s">
        <v>48</v>
      </c>
      <c r="C149" t="s">
        <v>95</v>
      </c>
      <c r="D149" t="s">
        <v>27</v>
      </c>
      <c r="E149" t="s">
        <v>15</v>
      </c>
      <c r="F149">
        <v>4.3</v>
      </c>
      <c r="G149">
        <v>22990</v>
      </c>
      <c r="H149">
        <v>22990</v>
      </c>
      <c r="I149">
        <f>FlipkartTable[[#This Row],[Original Price]]-FlipkartTable[[#This Row],[Selling Price]]</f>
        <v>0</v>
      </c>
      <c r="J149" s="4">
        <f>(FlipkartTable[[#This Row],[Original Price]]-FlipkartTable[[#This Row],[Selling Price]])/FlipkartTable[[#This Row],[Original Price]]</f>
        <v>0</v>
      </c>
      <c r="K149">
        <f>(FlipkartTable[[#This Row],[Rating]]/FlipkartTable[[#This Row],[Selling Price]])*1000</f>
        <v>0.18703784254023487</v>
      </c>
      <c r="L149" t="str">
        <f>IF(FlipkartTable[[#This Row],[Selling Price]]&lt;15000,"Budget",IF(FlipkartTable[[#This Row],[Selling Price]]&lt;50000,"Mid Range","Premium"))</f>
        <v>Mid Range</v>
      </c>
      <c r="M149" t="str">
        <f>IF(FlipkartTable[[#This Row],[Rating]]&gt;4.5,"Excellent",IF(FlipkartTable[[#This Row],[Rating]]&gt;4,"Good",IF(FlipkartTable[[#This Row],[Rating]]&gt;3.5,"Average","Poor")))</f>
        <v>Good</v>
      </c>
    </row>
    <row r="150" spans="1:13" x14ac:dyDescent="0.35">
      <c r="A150" t="s">
        <v>8</v>
      </c>
      <c r="B150" s="9" t="s">
        <v>69</v>
      </c>
      <c r="C150" t="s">
        <v>56</v>
      </c>
      <c r="D150" t="s">
        <v>11</v>
      </c>
      <c r="E150" t="s">
        <v>15</v>
      </c>
      <c r="F150">
        <v>4.3</v>
      </c>
      <c r="G150">
        <v>13489</v>
      </c>
      <c r="H150">
        <v>13489</v>
      </c>
      <c r="I150">
        <f>FlipkartTable[[#This Row],[Original Price]]-FlipkartTable[[#This Row],[Selling Price]]</f>
        <v>0</v>
      </c>
      <c r="J150" s="4">
        <f>(FlipkartTable[[#This Row],[Original Price]]-FlipkartTable[[#This Row],[Selling Price]])/FlipkartTable[[#This Row],[Original Price]]</f>
        <v>0</v>
      </c>
      <c r="K150">
        <f>(FlipkartTable[[#This Row],[Rating]]/FlipkartTable[[#This Row],[Selling Price]])*1000</f>
        <v>0.31877826377047969</v>
      </c>
      <c r="L150" t="str">
        <f>IF(FlipkartTable[[#This Row],[Selling Price]]&lt;15000,"Budget",IF(FlipkartTable[[#This Row],[Selling Price]]&lt;50000,"Mid Range","Premium"))</f>
        <v>Budget</v>
      </c>
      <c r="M150" t="str">
        <f>IF(FlipkartTable[[#This Row],[Rating]]&gt;4.5,"Excellent",IF(FlipkartTable[[#This Row],[Rating]]&gt;4,"Good",IF(FlipkartTable[[#This Row],[Rating]]&gt;3.5,"Average","Poor")))</f>
        <v>Good</v>
      </c>
    </row>
    <row r="151" spans="1:13" x14ac:dyDescent="0.35">
      <c r="A151" t="s">
        <v>8</v>
      </c>
      <c r="B151" s="9" t="s">
        <v>55</v>
      </c>
      <c r="C151" t="s">
        <v>56</v>
      </c>
      <c r="D151" t="s">
        <v>35</v>
      </c>
      <c r="E151" t="s">
        <v>21</v>
      </c>
      <c r="F151">
        <v>4</v>
      </c>
      <c r="G151">
        <v>8990</v>
      </c>
      <c r="H151">
        <v>10990</v>
      </c>
      <c r="I151">
        <f>FlipkartTable[[#This Row],[Original Price]]-FlipkartTable[[#This Row],[Selling Price]]</f>
        <v>2000</v>
      </c>
      <c r="J151" s="4">
        <f>(FlipkartTable[[#This Row],[Original Price]]-FlipkartTable[[#This Row],[Selling Price]])/FlipkartTable[[#This Row],[Original Price]]</f>
        <v>0.18198362147406733</v>
      </c>
      <c r="K151">
        <f>(FlipkartTable[[#This Row],[Rating]]/FlipkartTable[[#This Row],[Selling Price]])*1000</f>
        <v>0.44493882091212461</v>
      </c>
      <c r="L151" t="str">
        <f>IF(FlipkartTable[[#This Row],[Selling Price]]&lt;15000,"Budget",IF(FlipkartTable[[#This Row],[Selling Price]]&lt;50000,"Mid Range","Premium"))</f>
        <v>Budget</v>
      </c>
      <c r="M151" t="str">
        <f>IF(FlipkartTable[[#This Row],[Rating]]&gt;4.5,"Excellent",IF(FlipkartTable[[#This Row],[Rating]]&gt;4,"Good",IF(FlipkartTable[[#This Row],[Rating]]&gt;3.5,"Average","Poor")))</f>
        <v>Average</v>
      </c>
    </row>
    <row r="152" spans="1:13" x14ac:dyDescent="0.35">
      <c r="A152" t="s">
        <v>8</v>
      </c>
      <c r="B152" s="9" t="s">
        <v>129</v>
      </c>
      <c r="C152" t="s">
        <v>130</v>
      </c>
      <c r="D152" t="s">
        <v>11</v>
      </c>
      <c r="E152" t="s">
        <v>15</v>
      </c>
      <c r="F152">
        <v>4.4000000000000004</v>
      </c>
      <c r="G152">
        <v>14990</v>
      </c>
      <c r="H152">
        <v>17990</v>
      </c>
      <c r="I152">
        <f>FlipkartTable[[#This Row],[Original Price]]-FlipkartTable[[#This Row],[Selling Price]]</f>
        <v>3000</v>
      </c>
      <c r="J152" s="4">
        <f>(FlipkartTable[[#This Row],[Original Price]]-FlipkartTable[[#This Row],[Selling Price]])/FlipkartTable[[#This Row],[Original Price]]</f>
        <v>0.16675931072818231</v>
      </c>
      <c r="K152">
        <f>(FlipkartTable[[#This Row],[Rating]]/FlipkartTable[[#This Row],[Selling Price]])*1000</f>
        <v>0.29352901934623082</v>
      </c>
      <c r="L152" t="str">
        <f>IF(FlipkartTable[[#This Row],[Selling Price]]&lt;15000,"Budget",IF(FlipkartTable[[#This Row],[Selling Price]]&lt;50000,"Mid Range","Premium"))</f>
        <v>Budget</v>
      </c>
      <c r="M152" t="str">
        <f>IF(FlipkartTable[[#This Row],[Rating]]&gt;4.5,"Excellent",IF(FlipkartTable[[#This Row],[Rating]]&gt;4,"Good",IF(FlipkartTable[[#This Row],[Rating]]&gt;3.5,"Average","Poor")))</f>
        <v>Good</v>
      </c>
    </row>
    <row r="153" spans="1:13" x14ac:dyDescent="0.35">
      <c r="A153" t="s">
        <v>8</v>
      </c>
      <c r="B153" s="9" t="s">
        <v>67</v>
      </c>
      <c r="C153" t="s">
        <v>66</v>
      </c>
      <c r="D153" t="s">
        <v>27</v>
      </c>
      <c r="E153" t="s">
        <v>64</v>
      </c>
      <c r="F153">
        <v>4.4000000000000004</v>
      </c>
      <c r="G153">
        <v>27990</v>
      </c>
      <c r="H153">
        <v>35990</v>
      </c>
      <c r="I153">
        <f>FlipkartTable[[#This Row],[Original Price]]-FlipkartTable[[#This Row],[Selling Price]]</f>
        <v>8000</v>
      </c>
      <c r="J153" s="4">
        <f>(FlipkartTable[[#This Row],[Original Price]]-FlipkartTable[[#This Row],[Selling Price]])/FlipkartTable[[#This Row],[Original Price]]</f>
        <v>0.22228396776882467</v>
      </c>
      <c r="K153">
        <f>(FlipkartTable[[#This Row],[Rating]]/FlipkartTable[[#This Row],[Selling Price]])*1000</f>
        <v>0.15719899964272957</v>
      </c>
      <c r="L153" t="str">
        <f>IF(FlipkartTable[[#This Row],[Selling Price]]&lt;15000,"Budget",IF(FlipkartTable[[#This Row],[Selling Price]]&lt;50000,"Mid Range","Premium"))</f>
        <v>Mid Range</v>
      </c>
      <c r="M153" t="str">
        <f>IF(FlipkartTable[[#This Row],[Rating]]&gt;4.5,"Excellent",IF(FlipkartTable[[#This Row],[Rating]]&gt;4,"Good",IF(FlipkartTable[[#This Row],[Rating]]&gt;3.5,"Average","Poor")))</f>
        <v>Good</v>
      </c>
    </row>
    <row r="154" spans="1:13" x14ac:dyDescent="0.35">
      <c r="A154" t="s">
        <v>8</v>
      </c>
      <c r="B154" s="9" t="s">
        <v>80</v>
      </c>
      <c r="C154" t="s">
        <v>81</v>
      </c>
      <c r="D154" t="s">
        <v>20</v>
      </c>
      <c r="E154" t="s">
        <v>12</v>
      </c>
      <c r="F154">
        <v>4.3</v>
      </c>
      <c r="G154">
        <v>10990</v>
      </c>
      <c r="H154">
        <v>16990</v>
      </c>
      <c r="I154">
        <f>FlipkartTable[[#This Row],[Original Price]]-FlipkartTable[[#This Row],[Selling Price]]</f>
        <v>6000</v>
      </c>
      <c r="J154" s="4">
        <f>(FlipkartTable[[#This Row],[Original Price]]-FlipkartTable[[#This Row],[Selling Price]])/FlipkartTable[[#This Row],[Original Price]]</f>
        <v>0.35314891112419072</v>
      </c>
      <c r="K154">
        <f>(FlipkartTable[[#This Row],[Rating]]/FlipkartTable[[#This Row],[Selling Price]])*1000</f>
        <v>0.39126478616924476</v>
      </c>
      <c r="L154" t="str">
        <f>IF(FlipkartTable[[#This Row],[Selling Price]]&lt;15000,"Budget",IF(FlipkartTable[[#This Row],[Selling Price]]&lt;50000,"Mid Range","Premium"))</f>
        <v>Budget</v>
      </c>
      <c r="M154" t="str">
        <f>IF(FlipkartTable[[#This Row],[Rating]]&gt;4.5,"Excellent",IF(FlipkartTable[[#This Row],[Rating]]&gt;4,"Good",IF(FlipkartTable[[#This Row],[Rating]]&gt;3.5,"Average","Poor")))</f>
        <v>Good</v>
      </c>
    </row>
    <row r="155" spans="1:13" x14ac:dyDescent="0.35">
      <c r="A155" t="s">
        <v>8</v>
      </c>
      <c r="B155" s="9" t="s">
        <v>138</v>
      </c>
      <c r="C155" t="s">
        <v>19</v>
      </c>
      <c r="D155" t="s">
        <v>35</v>
      </c>
      <c r="E155" t="s">
        <v>21</v>
      </c>
      <c r="F155">
        <v>4.3</v>
      </c>
      <c r="G155">
        <v>7990</v>
      </c>
      <c r="H155">
        <v>10990</v>
      </c>
      <c r="I155">
        <f>FlipkartTable[[#This Row],[Original Price]]-FlipkartTable[[#This Row],[Selling Price]]</f>
        <v>3000</v>
      </c>
      <c r="J155" s="4">
        <f>(FlipkartTable[[#This Row],[Original Price]]-FlipkartTable[[#This Row],[Selling Price]])/FlipkartTable[[#This Row],[Original Price]]</f>
        <v>0.27297543221110099</v>
      </c>
      <c r="K155">
        <f>(FlipkartTable[[#This Row],[Rating]]/FlipkartTable[[#This Row],[Selling Price]])*1000</f>
        <v>0.53817271589486848</v>
      </c>
      <c r="L155" t="str">
        <f>IF(FlipkartTable[[#This Row],[Selling Price]]&lt;15000,"Budget",IF(FlipkartTable[[#This Row],[Selling Price]]&lt;50000,"Mid Range","Premium"))</f>
        <v>Budget</v>
      </c>
      <c r="M155" t="str">
        <f>IF(FlipkartTable[[#This Row],[Rating]]&gt;4.5,"Excellent",IF(FlipkartTable[[#This Row],[Rating]]&gt;4,"Good",IF(FlipkartTable[[#This Row],[Rating]]&gt;3.5,"Average","Poor")))</f>
        <v>Good</v>
      </c>
    </row>
    <row r="156" spans="1:13" x14ac:dyDescent="0.35">
      <c r="A156" t="s">
        <v>8</v>
      </c>
      <c r="B156" s="9" t="s">
        <v>129</v>
      </c>
      <c r="C156" t="s">
        <v>130</v>
      </c>
      <c r="D156" t="s">
        <v>27</v>
      </c>
      <c r="E156" t="s">
        <v>15</v>
      </c>
      <c r="F156">
        <v>4.3</v>
      </c>
      <c r="G156">
        <v>20990</v>
      </c>
      <c r="H156">
        <v>20990</v>
      </c>
      <c r="I156">
        <f>FlipkartTable[[#This Row],[Original Price]]-FlipkartTable[[#This Row],[Selling Price]]</f>
        <v>0</v>
      </c>
      <c r="J156" s="4">
        <f>(FlipkartTable[[#This Row],[Original Price]]-FlipkartTable[[#This Row],[Selling Price]])/FlipkartTable[[#This Row],[Original Price]]</f>
        <v>0</v>
      </c>
      <c r="K156">
        <f>(FlipkartTable[[#This Row],[Rating]]/FlipkartTable[[#This Row],[Selling Price]])*1000</f>
        <v>0.2048594568842306</v>
      </c>
      <c r="L156" t="str">
        <f>IF(FlipkartTable[[#This Row],[Selling Price]]&lt;15000,"Budget",IF(FlipkartTable[[#This Row],[Selling Price]]&lt;50000,"Mid Range","Premium"))</f>
        <v>Mid Range</v>
      </c>
      <c r="M156" t="str">
        <f>IF(FlipkartTable[[#This Row],[Rating]]&gt;4.5,"Excellent",IF(FlipkartTable[[#This Row],[Rating]]&gt;4,"Good",IF(FlipkartTable[[#This Row],[Rating]]&gt;3.5,"Average","Poor")))</f>
        <v>Good</v>
      </c>
    </row>
    <row r="157" spans="1:13" x14ac:dyDescent="0.35">
      <c r="A157" t="s">
        <v>8</v>
      </c>
      <c r="B157" s="9" t="s">
        <v>129</v>
      </c>
      <c r="C157" t="s">
        <v>131</v>
      </c>
      <c r="D157" t="s">
        <v>27</v>
      </c>
      <c r="E157" t="s">
        <v>15</v>
      </c>
      <c r="F157">
        <v>4.3</v>
      </c>
      <c r="G157">
        <v>20990</v>
      </c>
      <c r="H157">
        <v>20990</v>
      </c>
      <c r="I157">
        <f>FlipkartTable[[#This Row],[Original Price]]-FlipkartTable[[#This Row],[Selling Price]]</f>
        <v>0</v>
      </c>
      <c r="J157" s="4">
        <f>(FlipkartTable[[#This Row],[Original Price]]-FlipkartTable[[#This Row],[Selling Price]])/FlipkartTable[[#This Row],[Original Price]]</f>
        <v>0</v>
      </c>
      <c r="K157">
        <f>(FlipkartTable[[#This Row],[Rating]]/FlipkartTable[[#This Row],[Selling Price]])*1000</f>
        <v>0.2048594568842306</v>
      </c>
      <c r="L157" t="str">
        <f>IF(FlipkartTable[[#This Row],[Selling Price]]&lt;15000,"Budget",IF(FlipkartTable[[#This Row],[Selling Price]]&lt;50000,"Mid Range","Premium"))</f>
        <v>Mid Range</v>
      </c>
      <c r="M157" t="str">
        <f>IF(FlipkartTable[[#This Row],[Rating]]&gt;4.5,"Excellent",IF(FlipkartTable[[#This Row],[Rating]]&gt;4,"Good",IF(FlipkartTable[[#This Row],[Rating]]&gt;3.5,"Average","Poor")))</f>
        <v>Good</v>
      </c>
    </row>
    <row r="158" spans="1:13" x14ac:dyDescent="0.35">
      <c r="A158" t="s">
        <v>8</v>
      </c>
      <c r="B158" s="9" t="s">
        <v>129</v>
      </c>
      <c r="C158" t="s">
        <v>131</v>
      </c>
      <c r="D158" t="s">
        <v>11</v>
      </c>
      <c r="E158" t="s">
        <v>15</v>
      </c>
      <c r="F158">
        <v>4.4000000000000004</v>
      </c>
      <c r="G158">
        <v>14990</v>
      </c>
      <c r="H158">
        <v>17990</v>
      </c>
      <c r="I158">
        <f>FlipkartTable[[#This Row],[Original Price]]-FlipkartTable[[#This Row],[Selling Price]]</f>
        <v>3000</v>
      </c>
      <c r="J158" s="4">
        <f>(FlipkartTable[[#This Row],[Original Price]]-FlipkartTable[[#This Row],[Selling Price]])/FlipkartTable[[#This Row],[Original Price]]</f>
        <v>0.16675931072818231</v>
      </c>
      <c r="K158">
        <f>(FlipkartTable[[#This Row],[Rating]]/FlipkartTable[[#This Row],[Selling Price]])*1000</f>
        <v>0.29352901934623082</v>
      </c>
      <c r="L158" t="str">
        <f>IF(FlipkartTable[[#This Row],[Selling Price]]&lt;15000,"Budget",IF(FlipkartTable[[#This Row],[Selling Price]]&lt;50000,"Mid Range","Premium"))</f>
        <v>Budget</v>
      </c>
      <c r="M158" t="str">
        <f>IF(FlipkartTable[[#This Row],[Rating]]&gt;4.5,"Excellent",IF(FlipkartTable[[#This Row],[Rating]]&gt;4,"Good",IF(FlipkartTable[[#This Row],[Rating]]&gt;3.5,"Average","Poor")))</f>
        <v>Good</v>
      </c>
    </row>
    <row r="159" spans="1:13" x14ac:dyDescent="0.35">
      <c r="A159" t="s">
        <v>8</v>
      </c>
      <c r="B159" s="9" t="s">
        <v>85</v>
      </c>
      <c r="C159" t="s">
        <v>22</v>
      </c>
      <c r="D159" t="s">
        <v>11</v>
      </c>
      <c r="E159" t="s">
        <v>12</v>
      </c>
      <c r="F159">
        <v>4.4000000000000004</v>
      </c>
      <c r="G159">
        <v>10990</v>
      </c>
      <c r="H159">
        <v>15990</v>
      </c>
      <c r="I159">
        <f>FlipkartTable[[#This Row],[Original Price]]-FlipkartTable[[#This Row],[Selling Price]]</f>
        <v>5000</v>
      </c>
      <c r="J159" s="4">
        <f>(FlipkartTable[[#This Row],[Original Price]]-FlipkartTable[[#This Row],[Selling Price]])/FlipkartTable[[#This Row],[Original Price]]</f>
        <v>0.31269543464665417</v>
      </c>
      <c r="K159">
        <f>(FlipkartTable[[#This Row],[Rating]]/FlipkartTable[[#This Row],[Selling Price]])*1000</f>
        <v>0.40036396724294815</v>
      </c>
      <c r="L159" t="str">
        <f>IF(FlipkartTable[[#This Row],[Selling Price]]&lt;15000,"Budget",IF(FlipkartTable[[#This Row],[Selling Price]]&lt;50000,"Mid Range","Premium"))</f>
        <v>Budget</v>
      </c>
      <c r="M159" t="str">
        <f>IF(FlipkartTable[[#This Row],[Rating]]&gt;4.5,"Excellent",IF(FlipkartTable[[#This Row],[Rating]]&gt;4,"Good",IF(FlipkartTable[[#This Row],[Rating]]&gt;3.5,"Average","Poor")))</f>
        <v>Good</v>
      </c>
    </row>
    <row r="160" spans="1:13" x14ac:dyDescent="0.35">
      <c r="A160" t="s">
        <v>8</v>
      </c>
      <c r="B160" s="9" t="s">
        <v>83</v>
      </c>
      <c r="C160" t="s">
        <v>19</v>
      </c>
      <c r="D160" t="s">
        <v>14</v>
      </c>
      <c r="E160" t="s">
        <v>12</v>
      </c>
      <c r="F160">
        <v>4.4000000000000004</v>
      </c>
      <c r="G160">
        <v>14990</v>
      </c>
      <c r="H160">
        <v>14990</v>
      </c>
      <c r="I160">
        <f>FlipkartTable[[#This Row],[Original Price]]-FlipkartTable[[#This Row],[Selling Price]]</f>
        <v>0</v>
      </c>
      <c r="J160" s="4">
        <f>(FlipkartTable[[#This Row],[Original Price]]-FlipkartTable[[#This Row],[Selling Price]])/FlipkartTable[[#This Row],[Original Price]]</f>
        <v>0</v>
      </c>
      <c r="K160">
        <f>(FlipkartTable[[#This Row],[Rating]]/FlipkartTable[[#This Row],[Selling Price]])*1000</f>
        <v>0.29352901934623082</v>
      </c>
      <c r="L160" t="str">
        <f>IF(FlipkartTable[[#This Row],[Selling Price]]&lt;15000,"Budget",IF(FlipkartTable[[#This Row],[Selling Price]]&lt;50000,"Mid Range","Premium"))</f>
        <v>Budget</v>
      </c>
      <c r="M160" t="str">
        <f>IF(FlipkartTable[[#This Row],[Rating]]&gt;4.5,"Excellent",IF(FlipkartTable[[#This Row],[Rating]]&gt;4,"Good",IF(FlipkartTable[[#This Row],[Rating]]&gt;3.5,"Average","Poor")))</f>
        <v>Good</v>
      </c>
    </row>
    <row r="161" spans="1:13" x14ac:dyDescent="0.35">
      <c r="A161" t="s">
        <v>8</v>
      </c>
      <c r="B161" s="9" t="s">
        <v>80</v>
      </c>
      <c r="C161" t="s">
        <v>148</v>
      </c>
      <c r="D161" t="s">
        <v>11</v>
      </c>
      <c r="E161" t="s">
        <v>12</v>
      </c>
      <c r="F161">
        <v>4.4000000000000004</v>
      </c>
      <c r="G161">
        <v>10990</v>
      </c>
      <c r="H161">
        <v>18990</v>
      </c>
      <c r="I161">
        <f>FlipkartTable[[#This Row],[Original Price]]-FlipkartTable[[#This Row],[Selling Price]]</f>
        <v>8000</v>
      </c>
      <c r="J161" s="4">
        <f>(FlipkartTable[[#This Row],[Original Price]]-FlipkartTable[[#This Row],[Selling Price]])/FlipkartTable[[#This Row],[Original Price]]</f>
        <v>0.42127435492364401</v>
      </c>
      <c r="K161">
        <f>(FlipkartTable[[#This Row],[Rating]]/FlipkartTable[[#This Row],[Selling Price]])*1000</f>
        <v>0.40036396724294815</v>
      </c>
      <c r="L161" t="str">
        <f>IF(FlipkartTable[[#This Row],[Selling Price]]&lt;15000,"Budget",IF(FlipkartTable[[#This Row],[Selling Price]]&lt;50000,"Mid Range","Premium"))</f>
        <v>Budget</v>
      </c>
      <c r="M161" t="str">
        <f>IF(FlipkartTable[[#This Row],[Rating]]&gt;4.5,"Excellent",IF(FlipkartTable[[#This Row],[Rating]]&gt;4,"Good",IF(FlipkartTable[[#This Row],[Rating]]&gt;3.5,"Average","Poor")))</f>
        <v>Good</v>
      </c>
    </row>
    <row r="162" spans="1:13" x14ac:dyDescent="0.35">
      <c r="A162" t="s">
        <v>8</v>
      </c>
      <c r="B162" s="9" t="s">
        <v>122</v>
      </c>
      <c r="C162" t="s">
        <v>84</v>
      </c>
      <c r="D162" t="s">
        <v>35</v>
      </c>
      <c r="E162" t="s">
        <v>124</v>
      </c>
      <c r="F162">
        <v>4.2</v>
      </c>
      <c r="G162">
        <v>9990</v>
      </c>
      <c r="H162">
        <v>9990</v>
      </c>
      <c r="I162">
        <f>FlipkartTable[[#This Row],[Original Price]]-FlipkartTable[[#This Row],[Selling Price]]</f>
        <v>0</v>
      </c>
      <c r="J162" s="4">
        <f>(FlipkartTable[[#This Row],[Original Price]]-FlipkartTable[[#This Row],[Selling Price]])/FlipkartTable[[#This Row],[Original Price]]</f>
        <v>0</v>
      </c>
      <c r="K162">
        <f>(FlipkartTable[[#This Row],[Rating]]/FlipkartTable[[#This Row],[Selling Price]])*1000</f>
        <v>0.42042042042042044</v>
      </c>
      <c r="L162" t="str">
        <f>IF(FlipkartTable[[#This Row],[Selling Price]]&lt;15000,"Budget",IF(FlipkartTable[[#This Row],[Selling Price]]&lt;50000,"Mid Range","Premium"))</f>
        <v>Budget</v>
      </c>
      <c r="M162" t="str">
        <f>IF(FlipkartTable[[#This Row],[Rating]]&gt;4.5,"Excellent",IF(FlipkartTable[[#This Row],[Rating]]&gt;4,"Good",IF(FlipkartTable[[#This Row],[Rating]]&gt;3.5,"Average","Poor")))</f>
        <v>Good</v>
      </c>
    </row>
    <row r="163" spans="1:13" x14ac:dyDescent="0.35">
      <c r="A163" t="s">
        <v>8</v>
      </c>
      <c r="B163" s="9" t="s">
        <v>120</v>
      </c>
      <c r="C163" t="s">
        <v>84</v>
      </c>
      <c r="D163" t="s">
        <v>11</v>
      </c>
      <c r="E163" t="s">
        <v>12</v>
      </c>
      <c r="F163">
        <v>4.3</v>
      </c>
      <c r="G163">
        <v>13990</v>
      </c>
      <c r="H163">
        <v>13990</v>
      </c>
      <c r="I163">
        <f>FlipkartTable[[#This Row],[Original Price]]-FlipkartTable[[#This Row],[Selling Price]]</f>
        <v>0</v>
      </c>
      <c r="J163" s="4">
        <f>(FlipkartTable[[#This Row],[Original Price]]-FlipkartTable[[#This Row],[Selling Price]])/FlipkartTable[[#This Row],[Original Price]]</f>
        <v>0</v>
      </c>
      <c r="K163">
        <f>(FlipkartTable[[#This Row],[Rating]]/FlipkartTable[[#This Row],[Selling Price]])*1000</f>
        <v>0.30736240171551105</v>
      </c>
      <c r="L163" t="str">
        <f>IF(FlipkartTable[[#This Row],[Selling Price]]&lt;15000,"Budget",IF(FlipkartTable[[#This Row],[Selling Price]]&lt;50000,"Mid Range","Premium"))</f>
        <v>Budget</v>
      </c>
      <c r="M163" t="str">
        <f>IF(FlipkartTable[[#This Row],[Rating]]&gt;4.5,"Excellent",IF(FlipkartTable[[#This Row],[Rating]]&gt;4,"Good",IF(FlipkartTable[[#This Row],[Rating]]&gt;3.5,"Average","Poor")))</f>
        <v>Good</v>
      </c>
    </row>
    <row r="164" spans="1:13" x14ac:dyDescent="0.35">
      <c r="A164" t="s">
        <v>8</v>
      </c>
      <c r="B164" s="9" t="s">
        <v>80</v>
      </c>
      <c r="C164" t="s">
        <v>148</v>
      </c>
      <c r="D164" t="s">
        <v>20</v>
      </c>
      <c r="E164" t="s">
        <v>12</v>
      </c>
      <c r="F164">
        <v>4.3</v>
      </c>
      <c r="G164">
        <v>10990</v>
      </c>
      <c r="H164">
        <v>16990</v>
      </c>
      <c r="I164">
        <f>FlipkartTable[[#This Row],[Original Price]]-FlipkartTable[[#This Row],[Selling Price]]</f>
        <v>6000</v>
      </c>
      <c r="J164" s="4">
        <f>(FlipkartTable[[#This Row],[Original Price]]-FlipkartTable[[#This Row],[Selling Price]])/FlipkartTable[[#This Row],[Original Price]]</f>
        <v>0.35314891112419072</v>
      </c>
      <c r="K164">
        <f>(FlipkartTable[[#This Row],[Rating]]/FlipkartTable[[#This Row],[Selling Price]])*1000</f>
        <v>0.39126478616924476</v>
      </c>
      <c r="L164" t="str">
        <f>IF(FlipkartTable[[#This Row],[Selling Price]]&lt;15000,"Budget",IF(FlipkartTable[[#This Row],[Selling Price]]&lt;50000,"Mid Range","Premium"))</f>
        <v>Budget</v>
      </c>
      <c r="M164" t="str">
        <f>IF(FlipkartTable[[#This Row],[Rating]]&gt;4.5,"Excellent",IF(FlipkartTable[[#This Row],[Rating]]&gt;4,"Good",IF(FlipkartTable[[#This Row],[Rating]]&gt;3.5,"Average","Poor")))</f>
        <v>Good</v>
      </c>
    </row>
    <row r="165" spans="1:13" x14ac:dyDescent="0.35">
      <c r="A165" t="s">
        <v>8</v>
      </c>
      <c r="B165" s="9" t="s">
        <v>111</v>
      </c>
      <c r="C165" t="s">
        <v>149</v>
      </c>
      <c r="D165" t="s">
        <v>20</v>
      </c>
      <c r="E165" t="s">
        <v>12</v>
      </c>
      <c r="F165">
        <v>4.4000000000000004</v>
      </c>
      <c r="G165">
        <v>14990</v>
      </c>
      <c r="H165">
        <v>14990</v>
      </c>
      <c r="I165">
        <f>FlipkartTable[[#This Row],[Original Price]]-FlipkartTable[[#This Row],[Selling Price]]</f>
        <v>0</v>
      </c>
      <c r="J165" s="4">
        <f>(FlipkartTable[[#This Row],[Original Price]]-FlipkartTable[[#This Row],[Selling Price]])/FlipkartTable[[#This Row],[Original Price]]</f>
        <v>0</v>
      </c>
      <c r="K165">
        <f>(FlipkartTable[[#This Row],[Rating]]/FlipkartTable[[#This Row],[Selling Price]])*1000</f>
        <v>0.29352901934623082</v>
      </c>
      <c r="L165" t="str">
        <f>IF(FlipkartTable[[#This Row],[Selling Price]]&lt;15000,"Budget",IF(FlipkartTable[[#This Row],[Selling Price]]&lt;50000,"Mid Range","Premium"))</f>
        <v>Budget</v>
      </c>
      <c r="M165" t="str">
        <f>IF(FlipkartTable[[#This Row],[Rating]]&gt;4.5,"Excellent",IF(FlipkartTable[[#This Row],[Rating]]&gt;4,"Good",IF(FlipkartTable[[#This Row],[Rating]]&gt;3.5,"Average","Poor")))</f>
        <v>Good</v>
      </c>
    </row>
    <row r="166" spans="1:13" x14ac:dyDescent="0.35">
      <c r="A166" t="s">
        <v>8</v>
      </c>
      <c r="B166" s="9" t="s">
        <v>122</v>
      </c>
      <c r="C166" t="s">
        <v>123</v>
      </c>
      <c r="D166" t="s">
        <v>11</v>
      </c>
      <c r="E166" t="s">
        <v>12</v>
      </c>
      <c r="F166">
        <v>4.3</v>
      </c>
      <c r="G166">
        <v>16990</v>
      </c>
      <c r="H166">
        <v>16990</v>
      </c>
      <c r="I166">
        <f>FlipkartTable[[#This Row],[Original Price]]-FlipkartTable[[#This Row],[Selling Price]]</f>
        <v>0</v>
      </c>
      <c r="J166" s="4">
        <f>(FlipkartTable[[#This Row],[Original Price]]-FlipkartTable[[#This Row],[Selling Price]])/FlipkartTable[[#This Row],[Original Price]]</f>
        <v>0</v>
      </c>
      <c r="K166">
        <f>(FlipkartTable[[#This Row],[Rating]]/FlipkartTable[[#This Row],[Selling Price]])*1000</f>
        <v>0.25309005297233667</v>
      </c>
      <c r="L166" t="str">
        <f>IF(FlipkartTable[[#This Row],[Selling Price]]&lt;15000,"Budget",IF(FlipkartTable[[#This Row],[Selling Price]]&lt;50000,"Mid Range","Premium"))</f>
        <v>Mid Range</v>
      </c>
      <c r="M166" t="str">
        <f>IF(FlipkartTable[[#This Row],[Rating]]&gt;4.5,"Excellent",IF(FlipkartTable[[#This Row],[Rating]]&gt;4,"Good",IF(FlipkartTable[[#This Row],[Rating]]&gt;3.5,"Average","Poor")))</f>
        <v>Good</v>
      </c>
    </row>
    <row r="167" spans="1:13" x14ac:dyDescent="0.35">
      <c r="A167" t="s">
        <v>8</v>
      </c>
      <c r="B167" s="9" t="s">
        <v>83</v>
      </c>
      <c r="C167" t="s">
        <v>116</v>
      </c>
      <c r="D167" t="s">
        <v>11</v>
      </c>
      <c r="E167" t="s">
        <v>21</v>
      </c>
      <c r="F167">
        <v>4.4000000000000004</v>
      </c>
      <c r="G167">
        <v>19990</v>
      </c>
      <c r="H167">
        <v>19990</v>
      </c>
      <c r="I167">
        <f>FlipkartTable[[#This Row],[Original Price]]-FlipkartTable[[#This Row],[Selling Price]]</f>
        <v>0</v>
      </c>
      <c r="J167" s="4">
        <f>(FlipkartTable[[#This Row],[Original Price]]-FlipkartTable[[#This Row],[Selling Price]])/FlipkartTable[[#This Row],[Original Price]]</f>
        <v>0</v>
      </c>
      <c r="K167">
        <f>(FlipkartTable[[#This Row],[Rating]]/FlipkartTable[[#This Row],[Selling Price]])*1000</f>
        <v>0.22011005502751377</v>
      </c>
      <c r="L167" t="str">
        <f>IF(FlipkartTable[[#This Row],[Selling Price]]&lt;15000,"Budget",IF(FlipkartTable[[#This Row],[Selling Price]]&lt;50000,"Mid Range","Premium"))</f>
        <v>Mid Range</v>
      </c>
      <c r="M167" t="str">
        <f>IF(FlipkartTable[[#This Row],[Rating]]&gt;4.5,"Excellent",IF(FlipkartTable[[#This Row],[Rating]]&gt;4,"Good",IF(FlipkartTable[[#This Row],[Rating]]&gt;3.5,"Average","Poor")))</f>
        <v>Good</v>
      </c>
    </row>
    <row r="168" spans="1:13" x14ac:dyDescent="0.35">
      <c r="A168" t="s">
        <v>8</v>
      </c>
      <c r="B168" s="9" t="s">
        <v>125</v>
      </c>
      <c r="C168" t="s">
        <v>150</v>
      </c>
      <c r="D168" t="s">
        <v>14</v>
      </c>
      <c r="E168" t="s">
        <v>12</v>
      </c>
      <c r="F168">
        <v>4.3</v>
      </c>
      <c r="G168">
        <v>24990</v>
      </c>
      <c r="H168">
        <v>24990</v>
      </c>
      <c r="I168">
        <f>FlipkartTable[[#This Row],[Original Price]]-FlipkartTable[[#This Row],[Selling Price]]</f>
        <v>0</v>
      </c>
      <c r="J168" s="4">
        <f>(FlipkartTable[[#This Row],[Original Price]]-FlipkartTable[[#This Row],[Selling Price]])/FlipkartTable[[#This Row],[Original Price]]</f>
        <v>0</v>
      </c>
      <c r="K168">
        <f>(FlipkartTable[[#This Row],[Rating]]/FlipkartTable[[#This Row],[Selling Price]])*1000</f>
        <v>0.17206882753101241</v>
      </c>
      <c r="L168" t="str">
        <f>IF(FlipkartTable[[#This Row],[Selling Price]]&lt;15000,"Budget",IF(FlipkartTable[[#This Row],[Selling Price]]&lt;50000,"Mid Range","Premium"))</f>
        <v>Mid Range</v>
      </c>
      <c r="M168" t="str">
        <f>IF(FlipkartTable[[#This Row],[Rating]]&gt;4.5,"Excellent",IF(FlipkartTable[[#This Row],[Rating]]&gt;4,"Good",IF(FlipkartTable[[#This Row],[Rating]]&gt;3.5,"Average","Poor")))</f>
        <v>Good</v>
      </c>
    </row>
    <row r="169" spans="1:13" x14ac:dyDescent="0.35">
      <c r="A169" t="s">
        <v>8</v>
      </c>
      <c r="B169" s="9" t="s">
        <v>151</v>
      </c>
      <c r="C169" t="s">
        <v>116</v>
      </c>
      <c r="D169" t="s">
        <v>20</v>
      </c>
      <c r="E169" t="s">
        <v>124</v>
      </c>
      <c r="F169">
        <v>4.4000000000000004</v>
      </c>
      <c r="G169">
        <v>10990</v>
      </c>
      <c r="H169">
        <v>10990</v>
      </c>
      <c r="I169">
        <f>FlipkartTable[[#This Row],[Original Price]]-FlipkartTable[[#This Row],[Selling Price]]</f>
        <v>0</v>
      </c>
      <c r="J169" s="4">
        <f>(FlipkartTable[[#This Row],[Original Price]]-FlipkartTable[[#This Row],[Selling Price]])/FlipkartTable[[#This Row],[Original Price]]</f>
        <v>0</v>
      </c>
      <c r="K169">
        <f>(FlipkartTable[[#This Row],[Rating]]/FlipkartTable[[#This Row],[Selling Price]])*1000</f>
        <v>0.40036396724294815</v>
      </c>
      <c r="L169" t="str">
        <f>IF(FlipkartTable[[#This Row],[Selling Price]]&lt;15000,"Budget",IF(FlipkartTable[[#This Row],[Selling Price]]&lt;50000,"Mid Range","Premium"))</f>
        <v>Budget</v>
      </c>
      <c r="M169" t="str">
        <f>IF(FlipkartTable[[#This Row],[Rating]]&gt;4.5,"Excellent",IF(FlipkartTable[[#This Row],[Rating]]&gt;4,"Good",IF(FlipkartTable[[#This Row],[Rating]]&gt;3.5,"Average","Poor")))</f>
        <v>Good</v>
      </c>
    </row>
    <row r="170" spans="1:13" x14ac:dyDescent="0.35">
      <c r="A170" t="s">
        <v>8</v>
      </c>
      <c r="B170" s="9" t="s">
        <v>133</v>
      </c>
      <c r="C170" t="s">
        <v>152</v>
      </c>
      <c r="D170" t="s">
        <v>134</v>
      </c>
      <c r="E170" t="s">
        <v>124</v>
      </c>
      <c r="F170">
        <v>3.8</v>
      </c>
      <c r="G170">
        <v>8490</v>
      </c>
      <c r="H170">
        <v>8490</v>
      </c>
      <c r="I170">
        <f>FlipkartTable[[#This Row],[Original Price]]-FlipkartTable[[#This Row],[Selling Price]]</f>
        <v>0</v>
      </c>
      <c r="J170" s="4">
        <f>(FlipkartTable[[#This Row],[Original Price]]-FlipkartTable[[#This Row],[Selling Price]])/FlipkartTable[[#This Row],[Original Price]]</f>
        <v>0</v>
      </c>
      <c r="K170">
        <f>(FlipkartTable[[#This Row],[Rating]]/FlipkartTable[[#This Row],[Selling Price]])*1000</f>
        <v>0.44758539458186103</v>
      </c>
      <c r="L170" t="str">
        <f>IF(FlipkartTable[[#This Row],[Selling Price]]&lt;15000,"Budget",IF(FlipkartTable[[#This Row],[Selling Price]]&lt;50000,"Mid Range","Premium"))</f>
        <v>Budget</v>
      </c>
      <c r="M170" t="str">
        <f>IF(FlipkartTable[[#This Row],[Rating]]&gt;4.5,"Excellent",IF(FlipkartTable[[#This Row],[Rating]]&gt;4,"Good",IF(FlipkartTable[[#This Row],[Rating]]&gt;3.5,"Average","Poor")))</f>
        <v>Average</v>
      </c>
    </row>
    <row r="171" spans="1:13" x14ac:dyDescent="0.35">
      <c r="A171" t="s">
        <v>8</v>
      </c>
      <c r="B171" s="9" t="s">
        <v>93</v>
      </c>
      <c r="C171" t="s">
        <v>54</v>
      </c>
      <c r="D171" t="s">
        <v>11</v>
      </c>
      <c r="E171" t="s">
        <v>12</v>
      </c>
      <c r="F171">
        <v>4.4000000000000004</v>
      </c>
      <c r="G171">
        <v>14990</v>
      </c>
      <c r="H171">
        <v>18990</v>
      </c>
      <c r="I171">
        <f>FlipkartTable[[#This Row],[Original Price]]-FlipkartTable[[#This Row],[Selling Price]]</f>
        <v>4000</v>
      </c>
      <c r="J171" s="4">
        <f>(FlipkartTable[[#This Row],[Original Price]]-FlipkartTable[[#This Row],[Selling Price]])/FlipkartTable[[#This Row],[Original Price]]</f>
        <v>0.21063717746182201</v>
      </c>
      <c r="K171">
        <f>(FlipkartTable[[#This Row],[Rating]]/FlipkartTable[[#This Row],[Selling Price]])*1000</f>
        <v>0.29352901934623082</v>
      </c>
      <c r="L171" t="str">
        <f>IF(FlipkartTable[[#This Row],[Selling Price]]&lt;15000,"Budget",IF(FlipkartTable[[#This Row],[Selling Price]]&lt;50000,"Mid Range","Premium"))</f>
        <v>Budget</v>
      </c>
      <c r="M171" t="str">
        <f>IF(FlipkartTable[[#This Row],[Rating]]&gt;4.5,"Excellent",IF(FlipkartTable[[#This Row],[Rating]]&gt;4,"Good",IF(FlipkartTable[[#This Row],[Rating]]&gt;3.5,"Average","Poor")))</f>
        <v>Good</v>
      </c>
    </row>
    <row r="172" spans="1:13" x14ac:dyDescent="0.35">
      <c r="A172" t="s">
        <v>8</v>
      </c>
      <c r="B172" s="9" t="s">
        <v>93</v>
      </c>
      <c r="C172" t="s">
        <v>54</v>
      </c>
      <c r="D172" t="s">
        <v>14</v>
      </c>
      <c r="E172" t="s">
        <v>12</v>
      </c>
      <c r="F172">
        <v>4.3</v>
      </c>
      <c r="G172">
        <v>13990</v>
      </c>
      <c r="H172">
        <v>20990</v>
      </c>
      <c r="I172">
        <f>FlipkartTable[[#This Row],[Original Price]]-FlipkartTable[[#This Row],[Selling Price]]</f>
        <v>7000</v>
      </c>
      <c r="J172" s="4">
        <f>(FlipkartTable[[#This Row],[Original Price]]-FlipkartTable[[#This Row],[Selling Price]])/FlipkartTable[[#This Row],[Original Price]]</f>
        <v>0.33349213911386372</v>
      </c>
      <c r="K172">
        <f>(FlipkartTable[[#This Row],[Rating]]/FlipkartTable[[#This Row],[Selling Price]])*1000</f>
        <v>0.30736240171551105</v>
      </c>
      <c r="L172" t="str">
        <f>IF(FlipkartTable[[#This Row],[Selling Price]]&lt;15000,"Budget",IF(FlipkartTable[[#This Row],[Selling Price]]&lt;50000,"Mid Range","Premium"))</f>
        <v>Budget</v>
      </c>
      <c r="M172" t="str">
        <f>IF(FlipkartTable[[#This Row],[Rating]]&gt;4.5,"Excellent",IF(FlipkartTable[[#This Row],[Rating]]&gt;4,"Good",IF(FlipkartTable[[#This Row],[Rating]]&gt;3.5,"Average","Poor")))</f>
        <v>Good</v>
      </c>
    </row>
    <row r="173" spans="1:13" x14ac:dyDescent="0.35">
      <c r="A173" t="s">
        <v>8</v>
      </c>
      <c r="B173" s="9" t="s">
        <v>125</v>
      </c>
      <c r="C173" t="s">
        <v>150</v>
      </c>
      <c r="D173" t="s">
        <v>27</v>
      </c>
      <c r="E173" t="s">
        <v>15</v>
      </c>
      <c r="F173">
        <v>4.2</v>
      </c>
      <c r="G173">
        <v>30994</v>
      </c>
      <c r="H173">
        <v>30994</v>
      </c>
      <c r="I173">
        <f>FlipkartTable[[#This Row],[Original Price]]-FlipkartTable[[#This Row],[Selling Price]]</f>
        <v>0</v>
      </c>
      <c r="J173" s="4">
        <f>(FlipkartTable[[#This Row],[Original Price]]-FlipkartTable[[#This Row],[Selling Price]])/FlipkartTable[[#This Row],[Original Price]]</f>
        <v>0</v>
      </c>
      <c r="K173">
        <f>(FlipkartTable[[#This Row],[Rating]]/FlipkartTable[[#This Row],[Selling Price]])*1000</f>
        <v>0.13551009872878622</v>
      </c>
      <c r="L173" t="str">
        <f>IF(FlipkartTable[[#This Row],[Selling Price]]&lt;15000,"Budget",IF(FlipkartTable[[#This Row],[Selling Price]]&lt;50000,"Mid Range","Premium"))</f>
        <v>Mid Range</v>
      </c>
      <c r="M173" t="str">
        <f>IF(FlipkartTable[[#This Row],[Rating]]&gt;4.5,"Excellent",IF(FlipkartTable[[#This Row],[Rating]]&gt;4,"Good",IF(FlipkartTable[[#This Row],[Rating]]&gt;3.5,"Average","Poor")))</f>
        <v>Good</v>
      </c>
    </row>
    <row r="174" spans="1:13" x14ac:dyDescent="0.35">
      <c r="A174" t="s">
        <v>8</v>
      </c>
      <c r="B174" s="9" t="s">
        <v>85</v>
      </c>
      <c r="C174" t="s">
        <v>19</v>
      </c>
      <c r="D174" t="s">
        <v>11</v>
      </c>
      <c r="E174" t="s">
        <v>12</v>
      </c>
      <c r="F174">
        <v>4.4000000000000004</v>
      </c>
      <c r="G174">
        <v>10990</v>
      </c>
      <c r="H174">
        <v>15990</v>
      </c>
      <c r="I174">
        <f>FlipkartTable[[#This Row],[Original Price]]-FlipkartTable[[#This Row],[Selling Price]]</f>
        <v>5000</v>
      </c>
      <c r="J174" s="4">
        <f>(FlipkartTable[[#This Row],[Original Price]]-FlipkartTable[[#This Row],[Selling Price]])/FlipkartTable[[#This Row],[Original Price]]</f>
        <v>0.31269543464665417</v>
      </c>
      <c r="K174">
        <f>(FlipkartTable[[#This Row],[Rating]]/FlipkartTable[[#This Row],[Selling Price]])*1000</f>
        <v>0.40036396724294815</v>
      </c>
      <c r="L174" t="str">
        <f>IF(FlipkartTable[[#This Row],[Selling Price]]&lt;15000,"Budget",IF(FlipkartTable[[#This Row],[Selling Price]]&lt;50000,"Mid Range","Premium"))</f>
        <v>Budget</v>
      </c>
      <c r="M174" t="str">
        <f>IF(FlipkartTable[[#This Row],[Rating]]&gt;4.5,"Excellent",IF(FlipkartTable[[#This Row],[Rating]]&gt;4,"Good",IF(FlipkartTable[[#This Row],[Rating]]&gt;3.5,"Average","Poor")))</f>
        <v>Good</v>
      </c>
    </row>
    <row r="175" spans="1:13" x14ac:dyDescent="0.35">
      <c r="A175" t="s">
        <v>8</v>
      </c>
      <c r="B175" s="9" t="s">
        <v>127</v>
      </c>
      <c r="C175" t="s">
        <v>153</v>
      </c>
      <c r="D175" t="s">
        <v>11</v>
      </c>
      <c r="E175" t="s">
        <v>12</v>
      </c>
      <c r="F175">
        <v>4.5</v>
      </c>
      <c r="G175">
        <v>17890</v>
      </c>
      <c r="H175">
        <v>21990</v>
      </c>
      <c r="I175">
        <f>FlipkartTable[[#This Row],[Original Price]]-FlipkartTable[[#This Row],[Selling Price]]</f>
        <v>4100</v>
      </c>
      <c r="J175" s="4">
        <f>(FlipkartTable[[#This Row],[Original Price]]-FlipkartTable[[#This Row],[Selling Price]])/FlipkartTable[[#This Row],[Original Price]]</f>
        <v>0.18644838562983174</v>
      </c>
      <c r="K175">
        <f>(FlipkartTable[[#This Row],[Rating]]/FlipkartTable[[#This Row],[Selling Price]])*1000</f>
        <v>0.25153717160424821</v>
      </c>
      <c r="L175" t="str">
        <f>IF(FlipkartTable[[#This Row],[Selling Price]]&lt;15000,"Budget",IF(FlipkartTable[[#This Row],[Selling Price]]&lt;50000,"Mid Range","Premium"))</f>
        <v>Mid Range</v>
      </c>
      <c r="M175" t="str">
        <f>IF(FlipkartTable[[#This Row],[Rating]]&gt;4.5,"Excellent",IF(FlipkartTable[[#This Row],[Rating]]&gt;4,"Good",IF(FlipkartTable[[#This Row],[Rating]]&gt;3.5,"Average","Poor")))</f>
        <v>Good</v>
      </c>
    </row>
    <row r="176" spans="1:13" x14ac:dyDescent="0.35">
      <c r="A176" t="s">
        <v>8</v>
      </c>
      <c r="B176" s="9" t="s">
        <v>118</v>
      </c>
      <c r="C176" t="s">
        <v>19</v>
      </c>
      <c r="D176" t="s">
        <v>11</v>
      </c>
      <c r="E176" t="s">
        <v>12</v>
      </c>
      <c r="F176">
        <v>4.3</v>
      </c>
      <c r="G176">
        <v>20990</v>
      </c>
      <c r="H176">
        <v>20990</v>
      </c>
      <c r="I176">
        <f>FlipkartTable[[#This Row],[Original Price]]-FlipkartTable[[#This Row],[Selling Price]]</f>
        <v>0</v>
      </c>
      <c r="J176" s="4">
        <f>(FlipkartTable[[#This Row],[Original Price]]-FlipkartTable[[#This Row],[Selling Price]])/FlipkartTable[[#This Row],[Original Price]]</f>
        <v>0</v>
      </c>
      <c r="K176">
        <f>(FlipkartTable[[#This Row],[Rating]]/FlipkartTable[[#This Row],[Selling Price]])*1000</f>
        <v>0.2048594568842306</v>
      </c>
      <c r="L176" t="str">
        <f>IF(FlipkartTable[[#This Row],[Selling Price]]&lt;15000,"Budget",IF(FlipkartTable[[#This Row],[Selling Price]]&lt;50000,"Mid Range","Premium"))</f>
        <v>Mid Range</v>
      </c>
      <c r="M176" t="str">
        <f>IF(FlipkartTable[[#This Row],[Rating]]&gt;4.5,"Excellent",IF(FlipkartTable[[#This Row],[Rating]]&gt;4,"Good",IF(FlipkartTable[[#This Row],[Rating]]&gt;3.5,"Average","Poor")))</f>
        <v>Good</v>
      </c>
    </row>
    <row r="177" spans="1:13" x14ac:dyDescent="0.35">
      <c r="A177" t="s">
        <v>8</v>
      </c>
      <c r="B177" s="9" t="s">
        <v>136</v>
      </c>
      <c r="C177" t="s">
        <v>19</v>
      </c>
      <c r="D177" t="s">
        <v>20</v>
      </c>
      <c r="E177" t="s">
        <v>21</v>
      </c>
      <c r="F177">
        <v>4.2</v>
      </c>
      <c r="G177">
        <v>14990</v>
      </c>
      <c r="H177">
        <v>14990</v>
      </c>
      <c r="I177">
        <f>FlipkartTable[[#This Row],[Original Price]]-FlipkartTable[[#This Row],[Selling Price]]</f>
        <v>0</v>
      </c>
      <c r="J177" s="4">
        <f>(FlipkartTable[[#This Row],[Original Price]]-FlipkartTable[[#This Row],[Selling Price]])/FlipkartTable[[#This Row],[Original Price]]</f>
        <v>0</v>
      </c>
      <c r="K177">
        <f>(FlipkartTable[[#This Row],[Rating]]/FlipkartTable[[#This Row],[Selling Price]])*1000</f>
        <v>0.28018679119412943</v>
      </c>
      <c r="L177" t="str">
        <f>IF(FlipkartTable[[#This Row],[Selling Price]]&lt;15000,"Budget",IF(FlipkartTable[[#This Row],[Selling Price]]&lt;50000,"Mid Range","Premium"))</f>
        <v>Budget</v>
      </c>
      <c r="M177" t="str">
        <f>IF(FlipkartTable[[#This Row],[Rating]]&gt;4.5,"Excellent",IF(FlipkartTable[[#This Row],[Rating]]&gt;4,"Good",IF(FlipkartTable[[#This Row],[Rating]]&gt;3.5,"Average","Poor")))</f>
        <v>Good</v>
      </c>
    </row>
    <row r="178" spans="1:13" x14ac:dyDescent="0.35">
      <c r="A178" t="s">
        <v>8</v>
      </c>
      <c r="B178" s="9" t="s">
        <v>154</v>
      </c>
      <c r="C178" t="s">
        <v>104</v>
      </c>
      <c r="D178" t="s">
        <v>11</v>
      </c>
      <c r="E178" t="s">
        <v>15</v>
      </c>
      <c r="F178">
        <v>4.4000000000000004</v>
      </c>
      <c r="G178">
        <v>12990</v>
      </c>
      <c r="H178">
        <v>16990</v>
      </c>
      <c r="I178">
        <f>FlipkartTable[[#This Row],[Original Price]]-FlipkartTable[[#This Row],[Selling Price]]</f>
        <v>4000</v>
      </c>
      <c r="J178" s="4">
        <f>(FlipkartTable[[#This Row],[Original Price]]-FlipkartTable[[#This Row],[Selling Price]])/FlipkartTable[[#This Row],[Original Price]]</f>
        <v>0.23543260741612712</v>
      </c>
      <c r="K178">
        <f>(FlipkartTable[[#This Row],[Rating]]/FlipkartTable[[#This Row],[Selling Price]])*1000</f>
        <v>0.3387220939183988</v>
      </c>
      <c r="L178" t="str">
        <f>IF(FlipkartTable[[#This Row],[Selling Price]]&lt;15000,"Budget",IF(FlipkartTable[[#This Row],[Selling Price]]&lt;50000,"Mid Range","Premium"))</f>
        <v>Budget</v>
      </c>
      <c r="M178" t="str">
        <f>IF(FlipkartTable[[#This Row],[Rating]]&gt;4.5,"Excellent",IF(FlipkartTable[[#This Row],[Rating]]&gt;4,"Good",IF(FlipkartTable[[#This Row],[Rating]]&gt;3.5,"Average","Poor")))</f>
        <v>Good</v>
      </c>
    </row>
    <row r="179" spans="1:13" x14ac:dyDescent="0.35">
      <c r="A179" t="s">
        <v>8</v>
      </c>
      <c r="B179" s="9" t="s">
        <v>154</v>
      </c>
      <c r="C179" t="s">
        <v>155</v>
      </c>
      <c r="D179" t="s">
        <v>11</v>
      </c>
      <c r="E179" t="s">
        <v>15</v>
      </c>
      <c r="F179">
        <v>4.4000000000000004</v>
      </c>
      <c r="G179">
        <v>12990</v>
      </c>
      <c r="H179">
        <v>16990</v>
      </c>
      <c r="I179">
        <f>FlipkartTable[[#This Row],[Original Price]]-FlipkartTable[[#This Row],[Selling Price]]</f>
        <v>4000</v>
      </c>
      <c r="J179" s="4">
        <f>(FlipkartTable[[#This Row],[Original Price]]-FlipkartTable[[#This Row],[Selling Price]])/FlipkartTable[[#This Row],[Original Price]]</f>
        <v>0.23543260741612712</v>
      </c>
      <c r="K179">
        <f>(FlipkartTable[[#This Row],[Rating]]/FlipkartTable[[#This Row],[Selling Price]])*1000</f>
        <v>0.3387220939183988</v>
      </c>
      <c r="L179" t="str">
        <f>IF(FlipkartTable[[#This Row],[Selling Price]]&lt;15000,"Budget",IF(FlipkartTable[[#This Row],[Selling Price]]&lt;50000,"Mid Range","Premium"))</f>
        <v>Budget</v>
      </c>
      <c r="M179" t="str">
        <f>IF(FlipkartTable[[#This Row],[Rating]]&gt;4.5,"Excellent",IF(FlipkartTable[[#This Row],[Rating]]&gt;4,"Good",IF(FlipkartTable[[#This Row],[Rating]]&gt;3.5,"Average","Poor")))</f>
        <v>Good</v>
      </c>
    </row>
    <row r="180" spans="1:13" x14ac:dyDescent="0.35">
      <c r="A180" t="s">
        <v>8</v>
      </c>
      <c r="B180" s="9" t="s">
        <v>156</v>
      </c>
      <c r="C180" t="s">
        <v>19</v>
      </c>
      <c r="D180" t="s">
        <v>14</v>
      </c>
      <c r="E180" t="s">
        <v>12</v>
      </c>
      <c r="F180">
        <v>4.3</v>
      </c>
      <c r="G180">
        <v>22990</v>
      </c>
      <c r="H180">
        <v>22990</v>
      </c>
      <c r="I180">
        <f>FlipkartTable[[#This Row],[Original Price]]-FlipkartTable[[#This Row],[Selling Price]]</f>
        <v>0</v>
      </c>
      <c r="J180" s="4">
        <f>(FlipkartTable[[#This Row],[Original Price]]-FlipkartTable[[#This Row],[Selling Price]])/FlipkartTable[[#This Row],[Original Price]]</f>
        <v>0</v>
      </c>
      <c r="K180">
        <f>(FlipkartTable[[#This Row],[Rating]]/FlipkartTable[[#This Row],[Selling Price]])*1000</f>
        <v>0.18703784254023487</v>
      </c>
      <c r="L180" t="str">
        <f>IF(FlipkartTable[[#This Row],[Selling Price]]&lt;15000,"Budget",IF(FlipkartTable[[#This Row],[Selling Price]]&lt;50000,"Mid Range","Premium"))</f>
        <v>Mid Range</v>
      </c>
      <c r="M180" t="str">
        <f>IF(FlipkartTable[[#This Row],[Rating]]&gt;4.5,"Excellent",IF(FlipkartTable[[#This Row],[Rating]]&gt;4,"Good",IF(FlipkartTable[[#This Row],[Rating]]&gt;3.5,"Average","Poor")))</f>
        <v>Good</v>
      </c>
    </row>
    <row r="181" spans="1:13" x14ac:dyDescent="0.35">
      <c r="A181" t="s">
        <v>8</v>
      </c>
      <c r="B181" s="9" t="s">
        <v>156</v>
      </c>
      <c r="C181" t="s">
        <v>116</v>
      </c>
      <c r="D181" t="s">
        <v>14</v>
      </c>
      <c r="E181" t="s">
        <v>12</v>
      </c>
      <c r="F181">
        <v>4.3</v>
      </c>
      <c r="G181">
        <v>22990</v>
      </c>
      <c r="H181">
        <v>22990</v>
      </c>
      <c r="I181">
        <f>FlipkartTable[[#This Row],[Original Price]]-FlipkartTable[[#This Row],[Selling Price]]</f>
        <v>0</v>
      </c>
      <c r="J181" s="4">
        <f>(FlipkartTable[[#This Row],[Original Price]]-FlipkartTable[[#This Row],[Selling Price]])/FlipkartTable[[#This Row],[Original Price]]</f>
        <v>0</v>
      </c>
      <c r="K181">
        <f>(FlipkartTable[[#This Row],[Rating]]/FlipkartTable[[#This Row],[Selling Price]])*1000</f>
        <v>0.18703784254023487</v>
      </c>
      <c r="L181" t="str">
        <f>IF(FlipkartTable[[#This Row],[Selling Price]]&lt;15000,"Budget",IF(FlipkartTable[[#This Row],[Selling Price]]&lt;50000,"Mid Range","Premium"))</f>
        <v>Mid Range</v>
      </c>
      <c r="M181" t="str">
        <f>IF(FlipkartTable[[#This Row],[Rating]]&gt;4.5,"Excellent",IF(FlipkartTable[[#This Row],[Rating]]&gt;4,"Good",IF(FlipkartTable[[#This Row],[Rating]]&gt;3.5,"Average","Poor")))</f>
        <v>Good</v>
      </c>
    </row>
    <row r="182" spans="1:13" x14ac:dyDescent="0.35">
      <c r="A182" t="s">
        <v>8</v>
      </c>
      <c r="B182" s="9" t="s">
        <v>156</v>
      </c>
      <c r="C182" t="s">
        <v>19</v>
      </c>
      <c r="D182" t="s">
        <v>11</v>
      </c>
      <c r="E182" t="s">
        <v>12</v>
      </c>
      <c r="F182">
        <v>4.3</v>
      </c>
      <c r="G182">
        <v>30990</v>
      </c>
      <c r="H182">
        <v>30990</v>
      </c>
      <c r="I182">
        <f>FlipkartTable[[#This Row],[Original Price]]-FlipkartTable[[#This Row],[Selling Price]]</f>
        <v>0</v>
      </c>
      <c r="J182" s="4">
        <f>(FlipkartTable[[#This Row],[Original Price]]-FlipkartTable[[#This Row],[Selling Price]])/FlipkartTable[[#This Row],[Original Price]]</f>
        <v>0</v>
      </c>
      <c r="K182">
        <f>(FlipkartTable[[#This Row],[Rating]]/FlipkartTable[[#This Row],[Selling Price]])*1000</f>
        <v>0.13875443691513392</v>
      </c>
      <c r="L182" t="str">
        <f>IF(FlipkartTable[[#This Row],[Selling Price]]&lt;15000,"Budget",IF(FlipkartTable[[#This Row],[Selling Price]]&lt;50000,"Mid Range","Premium"))</f>
        <v>Mid Range</v>
      </c>
      <c r="M182" t="str">
        <f>IF(FlipkartTable[[#This Row],[Rating]]&gt;4.5,"Excellent",IF(FlipkartTable[[#This Row],[Rating]]&gt;4,"Good",IF(FlipkartTable[[#This Row],[Rating]]&gt;3.5,"Average","Poor")))</f>
        <v>Good</v>
      </c>
    </row>
    <row r="183" spans="1:13" x14ac:dyDescent="0.35">
      <c r="A183" t="s">
        <v>8</v>
      </c>
      <c r="B183" s="9" t="s">
        <v>157</v>
      </c>
      <c r="C183" t="s">
        <v>19</v>
      </c>
      <c r="D183" t="s">
        <v>11</v>
      </c>
      <c r="E183" t="s">
        <v>12</v>
      </c>
      <c r="F183">
        <v>4.4000000000000004</v>
      </c>
      <c r="G183">
        <v>22990</v>
      </c>
      <c r="H183">
        <v>22990</v>
      </c>
      <c r="I183">
        <f>FlipkartTable[[#This Row],[Original Price]]-FlipkartTable[[#This Row],[Selling Price]]</f>
        <v>0</v>
      </c>
      <c r="J183" s="4">
        <f>(FlipkartTable[[#This Row],[Original Price]]-FlipkartTable[[#This Row],[Selling Price]])/FlipkartTable[[#This Row],[Original Price]]</f>
        <v>0</v>
      </c>
      <c r="K183">
        <f>(FlipkartTable[[#This Row],[Rating]]/FlipkartTable[[#This Row],[Selling Price]])*1000</f>
        <v>0.19138755980861244</v>
      </c>
      <c r="L183" t="str">
        <f>IF(FlipkartTable[[#This Row],[Selling Price]]&lt;15000,"Budget",IF(FlipkartTable[[#This Row],[Selling Price]]&lt;50000,"Mid Range","Premium"))</f>
        <v>Mid Range</v>
      </c>
      <c r="M183" t="str">
        <f>IF(FlipkartTable[[#This Row],[Rating]]&gt;4.5,"Excellent",IF(FlipkartTable[[#This Row],[Rating]]&gt;4,"Good",IF(FlipkartTable[[#This Row],[Rating]]&gt;3.5,"Average","Poor")))</f>
        <v>Good</v>
      </c>
    </row>
    <row r="184" spans="1:13" x14ac:dyDescent="0.35">
      <c r="A184" t="s">
        <v>8</v>
      </c>
      <c r="B184" s="9" t="s">
        <v>158</v>
      </c>
      <c r="C184" t="s">
        <v>116</v>
      </c>
      <c r="D184" t="s">
        <v>27</v>
      </c>
      <c r="E184" t="s">
        <v>15</v>
      </c>
      <c r="F184">
        <v>4.3</v>
      </c>
      <c r="G184">
        <v>21999</v>
      </c>
      <c r="H184">
        <v>21999</v>
      </c>
      <c r="I184">
        <f>FlipkartTable[[#This Row],[Original Price]]-FlipkartTable[[#This Row],[Selling Price]]</f>
        <v>0</v>
      </c>
      <c r="J184" s="4">
        <f>(FlipkartTable[[#This Row],[Original Price]]-FlipkartTable[[#This Row],[Selling Price]])/FlipkartTable[[#This Row],[Original Price]]</f>
        <v>0</v>
      </c>
      <c r="K184">
        <f>(FlipkartTable[[#This Row],[Rating]]/FlipkartTable[[#This Row],[Selling Price]])*1000</f>
        <v>0.19546343015591616</v>
      </c>
      <c r="L184" t="str">
        <f>IF(FlipkartTable[[#This Row],[Selling Price]]&lt;15000,"Budget",IF(FlipkartTable[[#This Row],[Selling Price]]&lt;50000,"Mid Range","Premium"))</f>
        <v>Mid Range</v>
      </c>
      <c r="M184" t="str">
        <f>IF(FlipkartTable[[#This Row],[Rating]]&gt;4.5,"Excellent",IF(FlipkartTable[[#This Row],[Rating]]&gt;4,"Good",IF(FlipkartTable[[#This Row],[Rating]]&gt;3.5,"Average","Poor")))</f>
        <v>Good</v>
      </c>
    </row>
    <row r="185" spans="1:13" x14ac:dyDescent="0.35">
      <c r="A185" t="s">
        <v>8</v>
      </c>
      <c r="B185" s="9" t="s">
        <v>159</v>
      </c>
      <c r="C185" t="s">
        <v>19</v>
      </c>
      <c r="D185" t="s">
        <v>11</v>
      </c>
      <c r="E185" t="s">
        <v>12</v>
      </c>
      <c r="F185">
        <v>4.4000000000000004</v>
      </c>
      <c r="G185">
        <v>22990</v>
      </c>
      <c r="H185">
        <v>22990</v>
      </c>
      <c r="I185">
        <f>FlipkartTable[[#This Row],[Original Price]]-FlipkartTable[[#This Row],[Selling Price]]</f>
        <v>0</v>
      </c>
      <c r="J185" s="4">
        <f>(FlipkartTable[[#This Row],[Original Price]]-FlipkartTable[[#This Row],[Selling Price]])/FlipkartTable[[#This Row],[Original Price]]</f>
        <v>0</v>
      </c>
      <c r="K185">
        <f>(FlipkartTable[[#This Row],[Rating]]/FlipkartTable[[#This Row],[Selling Price]])*1000</f>
        <v>0.19138755980861244</v>
      </c>
      <c r="L185" t="str">
        <f>IF(FlipkartTable[[#This Row],[Selling Price]]&lt;15000,"Budget",IF(FlipkartTable[[#This Row],[Selling Price]]&lt;50000,"Mid Range","Premium"))</f>
        <v>Mid Range</v>
      </c>
      <c r="M185" t="str">
        <f>IF(FlipkartTable[[#This Row],[Rating]]&gt;4.5,"Excellent",IF(FlipkartTable[[#This Row],[Rating]]&gt;4,"Good",IF(FlipkartTable[[#This Row],[Rating]]&gt;3.5,"Average","Poor")))</f>
        <v>Good</v>
      </c>
    </row>
    <row r="186" spans="1:13" x14ac:dyDescent="0.35">
      <c r="A186" t="s">
        <v>8</v>
      </c>
      <c r="B186" s="9" t="s">
        <v>101</v>
      </c>
      <c r="C186" t="s">
        <v>109</v>
      </c>
      <c r="D186" t="s">
        <v>27</v>
      </c>
      <c r="E186" t="s">
        <v>15</v>
      </c>
      <c r="F186">
        <v>4.4000000000000004</v>
      </c>
      <c r="G186">
        <v>34990</v>
      </c>
      <c r="H186">
        <v>37990</v>
      </c>
      <c r="I186">
        <f>FlipkartTable[[#This Row],[Original Price]]-FlipkartTable[[#This Row],[Selling Price]]</f>
        <v>3000</v>
      </c>
      <c r="J186" s="4">
        <f>(FlipkartTable[[#This Row],[Original Price]]-FlipkartTable[[#This Row],[Selling Price]])/FlipkartTable[[#This Row],[Original Price]]</f>
        <v>7.8968149513029745E-2</v>
      </c>
      <c r="K186">
        <f>(FlipkartTable[[#This Row],[Rating]]/FlipkartTable[[#This Row],[Selling Price]])*1000</f>
        <v>0.12575021434695627</v>
      </c>
      <c r="L186" t="str">
        <f>IF(FlipkartTable[[#This Row],[Selling Price]]&lt;15000,"Budget",IF(FlipkartTable[[#This Row],[Selling Price]]&lt;50000,"Mid Range","Premium"))</f>
        <v>Mid Range</v>
      </c>
      <c r="M186" t="str">
        <f>IF(FlipkartTable[[#This Row],[Rating]]&gt;4.5,"Excellent",IF(FlipkartTable[[#This Row],[Rating]]&gt;4,"Good",IF(FlipkartTable[[#This Row],[Rating]]&gt;3.5,"Average","Poor")))</f>
        <v>Good</v>
      </c>
    </row>
    <row r="187" spans="1:13" x14ac:dyDescent="0.35">
      <c r="A187" t="s">
        <v>8</v>
      </c>
      <c r="B187" s="9" t="s">
        <v>160</v>
      </c>
      <c r="C187" t="s">
        <v>19</v>
      </c>
      <c r="D187" t="s">
        <v>11</v>
      </c>
      <c r="E187" t="s">
        <v>12</v>
      </c>
      <c r="F187">
        <v>4.4000000000000004</v>
      </c>
      <c r="G187">
        <v>22990</v>
      </c>
      <c r="H187">
        <v>22990</v>
      </c>
      <c r="I187">
        <f>FlipkartTable[[#This Row],[Original Price]]-FlipkartTable[[#This Row],[Selling Price]]</f>
        <v>0</v>
      </c>
      <c r="J187" s="4">
        <f>(FlipkartTable[[#This Row],[Original Price]]-FlipkartTable[[#This Row],[Selling Price]])/FlipkartTable[[#This Row],[Original Price]]</f>
        <v>0</v>
      </c>
      <c r="K187">
        <f>(FlipkartTable[[#This Row],[Rating]]/FlipkartTable[[#This Row],[Selling Price]])*1000</f>
        <v>0.19138755980861244</v>
      </c>
      <c r="L187" t="str">
        <f>IF(FlipkartTable[[#This Row],[Selling Price]]&lt;15000,"Budget",IF(FlipkartTable[[#This Row],[Selling Price]]&lt;50000,"Mid Range","Premium"))</f>
        <v>Mid Range</v>
      </c>
      <c r="M187" t="str">
        <f>IF(FlipkartTable[[#This Row],[Rating]]&gt;4.5,"Excellent",IF(FlipkartTable[[#This Row],[Rating]]&gt;4,"Good",IF(FlipkartTable[[#This Row],[Rating]]&gt;3.5,"Average","Poor")))</f>
        <v>Good</v>
      </c>
    </row>
    <row r="188" spans="1:13" x14ac:dyDescent="0.35">
      <c r="A188" t="s">
        <v>8</v>
      </c>
      <c r="B188" s="9" t="s">
        <v>101</v>
      </c>
      <c r="C188" t="s">
        <v>109</v>
      </c>
      <c r="D188" t="s">
        <v>27</v>
      </c>
      <c r="E188" t="s">
        <v>15</v>
      </c>
      <c r="F188">
        <v>4.4000000000000004</v>
      </c>
      <c r="G188">
        <v>34990</v>
      </c>
      <c r="H188">
        <v>37990</v>
      </c>
      <c r="I188">
        <f>FlipkartTable[[#This Row],[Original Price]]-FlipkartTable[[#This Row],[Selling Price]]</f>
        <v>3000</v>
      </c>
      <c r="J188" s="4">
        <f>(FlipkartTable[[#This Row],[Original Price]]-FlipkartTable[[#This Row],[Selling Price]])/FlipkartTable[[#This Row],[Original Price]]</f>
        <v>7.8968149513029745E-2</v>
      </c>
      <c r="K188">
        <f>(FlipkartTable[[#This Row],[Rating]]/FlipkartTable[[#This Row],[Selling Price]])*1000</f>
        <v>0.12575021434695627</v>
      </c>
      <c r="L188" t="str">
        <f>IF(FlipkartTable[[#This Row],[Selling Price]]&lt;15000,"Budget",IF(FlipkartTable[[#This Row],[Selling Price]]&lt;50000,"Mid Range","Premium"))</f>
        <v>Mid Range</v>
      </c>
      <c r="M188" t="str">
        <f>IF(FlipkartTable[[#This Row],[Rating]]&gt;4.5,"Excellent",IF(FlipkartTable[[#This Row],[Rating]]&gt;4,"Good",IF(FlipkartTable[[#This Row],[Rating]]&gt;3.5,"Average","Poor")))</f>
        <v>Good</v>
      </c>
    </row>
    <row r="189" spans="1:13" x14ac:dyDescent="0.35">
      <c r="A189" t="s">
        <v>8</v>
      </c>
      <c r="B189" s="9" t="s">
        <v>160</v>
      </c>
      <c r="C189" t="s">
        <v>19</v>
      </c>
      <c r="D189" t="s">
        <v>11</v>
      </c>
      <c r="E189" t="s">
        <v>12</v>
      </c>
      <c r="F189">
        <v>4.4000000000000004</v>
      </c>
      <c r="G189">
        <v>22990</v>
      </c>
      <c r="H189">
        <v>22990</v>
      </c>
      <c r="I189">
        <f>FlipkartTable[[#This Row],[Original Price]]-FlipkartTable[[#This Row],[Selling Price]]</f>
        <v>0</v>
      </c>
      <c r="J189" s="4">
        <f>(FlipkartTable[[#This Row],[Original Price]]-FlipkartTable[[#This Row],[Selling Price]])/FlipkartTable[[#This Row],[Original Price]]</f>
        <v>0</v>
      </c>
      <c r="K189">
        <f>(FlipkartTable[[#This Row],[Rating]]/FlipkartTable[[#This Row],[Selling Price]])*1000</f>
        <v>0.19138755980861244</v>
      </c>
      <c r="L189" t="str">
        <f>IF(FlipkartTable[[#This Row],[Selling Price]]&lt;15000,"Budget",IF(FlipkartTable[[#This Row],[Selling Price]]&lt;50000,"Mid Range","Premium"))</f>
        <v>Mid Range</v>
      </c>
      <c r="M189" t="str">
        <f>IF(FlipkartTable[[#This Row],[Rating]]&gt;4.5,"Excellent",IF(FlipkartTable[[#This Row],[Rating]]&gt;4,"Good",IF(FlipkartTable[[#This Row],[Rating]]&gt;3.5,"Average","Poor")))</f>
        <v>Good</v>
      </c>
    </row>
    <row r="190" spans="1:13" x14ac:dyDescent="0.35">
      <c r="A190" t="s">
        <v>8</v>
      </c>
      <c r="B190" s="9" t="s">
        <v>156</v>
      </c>
      <c r="C190" t="s">
        <v>116</v>
      </c>
      <c r="D190" t="s">
        <v>11</v>
      </c>
      <c r="E190" t="s">
        <v>12</v>
      </c>
      <c r="F190">
        <v>4.3</v>
      </c>
      <c r="G190">
        <v>12990</v>
      </c>
      <c r="H190">
        <v>12990</v>
      </c>
      <c r="I190">
        <f>FlipkartTable[[#This Row],[Original Price]]-FlipkartTable[[#This Row],[Selling Price]]</f>
        <v>0</v>
      </c>
      <c r="J190" s="4">
        <f>(FlipkartTable[[#This Row],[Original Price]]-FlipkartTable[[#This Row],[Selling Price]])/FlipkartTable[[#This Row],[Original Price]]</f>
        <v>0</v>
      </c>
      <c r="K190">
        <f>(FlipkartTable[[#This Row],[Rating]]/FlipkartTable[[#This Row],[Selling Price]])*1000</f>
        <v>0.33102386451116245</v>
      </c>
      <c r="L190" t="str">
        <f>IF(FlipkartTable[[#This Row],[Selling Price]]&lt;15000,"Budget",IF(FlipkartTable[[#This Row],[Selling Price]]&lt;50000,"Mid Range","Premium"))</f>
        <v>Budget</v>
      </c>
      <c r="M190" t="str">
        <f>IF(FlipkartTable[[#This Row],[Rating]]&gt;4.5,"Excellent",IF(FlipkartTable[[#This Row],[Rating]]&gt;4,"Good",IF(FlipkartTable[[#This Row],[Rating]]&gt;3.5,"Average","Poor")))</f>
        <v>Good</v>
      </c>
    </row>
    <row r="191" spans="1:13" x14ac:dyDescent="0.35">
      <c r="A191" t="s">
        <v>8</v>
      </c>
      <c r="B191" s="9" t="s">
        <v>161</v>
      </c>
      <c r="C191" t="s">
        <v>162</v>
      </c>
      <c r="D191" t="s">
        <v>14</v>
      </c>
      <c r="E191" t="s">
        <v>15</v>
      </c>
      <c r="F191">
        <v>4.5</v>
      </c>
      <c r="G191">
        <v>14990</v>
      </c>
      <c r="H191">
        <v>29990</v>
      </c>
      <c r="I191">
        <f>FlipkartTable[[#This Row],[Original Price]]-FlipkartTable[[#This Row],[Selling Price]]</f>
        <v>15000</v>
      </c>
      <c r="J191" s="4">
        <f>(FlipkartTable[[#This Row],[Original Price]]-FlipkartTable[[#This Row],[Selling Price]])/FlipkartTable[[#This Row],[Original Price]]</f>
        <v>0.50016672224074687</v>
      </c>
      <c r="K191">
        <f>(FlipkartTable[[#This Row],[Rating]]/FlipkartTable[[#This Row],[Selling Price]])*1000</f>
        <v>0.30020013342228152</v>
      </c>
      <c r="L191" t="str">
        <f>IF(FlipkartTable[[#This Row],[Selling Price]]&lt;15000,"Budget",IF(FlipkartTable[[#This Row],[Selling Price]]&lt;50000,"Mid Range","Premium"))</f>
        <v>Budget</v>
      </c>
      <c r="M191" t="str">
        <f>IF(FlipkartTable[[#This Row],[Rating]]&gt;4.5,"Excellent",IF(FlipkartTable[[#This Row],[Rating]]&gt;4,"Good",IF(FlipkartTable[[#This Row],[Rating]]&gt;3.5,"Average","Poor")))</f>
        <v>Good</v>
      </c>
    </row>
    <row r="192" spans="1:13" x14ac:dyDescent="0.35">
      <c r="A192" t="s">
        <v>8</v>
      </c>
      <c r="B192" s="9" t="s">
        <v>161</v>
      </c>
      <c r="C192" t="s">
        <v>163</v>
      </c>
      <c r="D192" t="s">
        <v>14</v>
      </c>
      <c r="E192" t="s">
        <v>15</v>
      </c>
      <c r="F192">
        <v>4.5</v>
      </c>
      <c r="G192">
        <v>17990</v>
      </c>
      <c r="H192">
        <v>29990</v>
      </c>
      <c r="I192">
        <f>FlipkartTable[[#This Row],[Original Price]]-FlipkartTable[[#This Row],[Selling Price]]</f>
        <v>12000</v>
      </c>
      <c r="J192" s="4">
        <f>(FlipkartTable[[#This Row],[Original Price]]-FlipkartTable[[#This Row],[Selling Price]])/FlipkartTable[[#This Row],[Original Price]]</f>
        <v>0.40013337779259756</v>
      </c>
      <c r="K192">
        <f>(FlipkartTable[[#This Row],[Rating]]/FlipkartTable[[#This Row],[Selling Price]])*1000</f>
        <v>0.25013896609227348</v>
      </c>
      <c r="L192" t="str">
        <f>IF(FlipkartTable[[#This Row],[Selling Price]]&lt;15000,"Budget",IF(FlipkartTable[[#This Row],[Selling Price]]&lt;50000,"Mid Range","Premium"))</f>
        <v>Mid Range</v>
      </c>
      <c r="M192" t="str">
        <f>IF(FlipkartTable[[#This Row],[Rating]]&gt;4.5,"Excellent",IF(FlipkartTable[[#This Row],[Rating]]&gt;4,"Good",IF(FlipkartTable[[#This Row],[Rating]]&gt;3.5,"Average","Poor")))</f>
        <v>Good</v>
      </c>
    </row>
    <row r="193" spans="1:13" x14ac:dyDescent="0.35">
      <c r="A193" t="s">
        <v>8</v>
      </c>
      <c r="B193" s="9" t="s">
        <v>164</v>
      </c>
      <c r="C193" t="s">
        <v>152</v>
      </c>
      <c r="D193" t="s">
        <v>134</v>
      </c>
      <c r="E193" t="s">
        <v>124</v>
      </c>
      <c r="F193">
        <v>3</v>
      </c>
      <c r="G193">
        <v>21452</v>
      </c>
      <c r="H193">
        <v>21452</v>
      </c>
      <c r="I193">
        <f>FlipkartTable[[#This Row],[Original Price]]-FlipkartTable[[#This Row],[Selling Price]]</f>
        <v>0</v>
      </c>
      <c r="J193" s="4">
        <f>(FlipkartTable[[#This Row],[Original Price]]-FlipkartTable[[#This Row],[Selling Price]])/FlipkartTable[[#This Row],[Original Price]]</f>
        <v>0</v>
      </c>
      <c r="K193">
        <f>(FlipkartTable[[#This Row],[Rating]]/FlipkartTable[[#This Row],[Selling Price]])*1000</f>
        <v>0.13984710050344956</v>
      </c>
      <c r="L193" t="str">
        <f>IF(FlipkartTable[[#This Row],[Selling Price]]&lt;15000,"Budget",IF(FlipkartTable[[#This Row],[Selling Price]]&lt;50000,"Mid Range","Premium"))</f>
        <v>Mid Range</v>
      </c>
      <c r="M193" t="str">
        <f>IF(FlipkartTable[[#This Row],[Rating]]&gt;4.5,"Excellent",IF(FlipkartTable[[#This Row],[Rating]]&gt;4,"Good",IF(FlipkartTable[[#This Row],[Rating]]&gt;3.5,"Average","Poor")))</f>
        <v>Poor</v>
      </c>
    </row>
    <row r="194" spans="1:13" x14ac:dyDescent="0.35">
      <c r="A194" t="s">
        <v>8</v>
      </c>
      <c r="B194" s="9" t="s">
        <v>103</v>
      </c>
      <c r="C194" t="s">
        <v>155</v>
      </c>
      <c r="D194" t="s">
        <v>14</v>
      </c>
      <c r="E194" t="s">
        <v>15</v>
      </c>
      <c r="F194">
        <v>4.4000000000000004</v>
      </c>
      <c r="G194">
        <v>17990</v>
      </c>
      <c r="H194">
        <v>23990</v>
      </c>
      <c r="I194">
        <f>FlipkartTable[[#This Row],[Original Price]]-FlipkartTable[[#This Row],[Selling Price]]</f>
        <v>6000</v>
      </c>
      <c r="J194" s="4">
        <f>(FlipkartTable[[#This Row],[Original Price]]-FlipkartTable[[#This Row],[Selling Price]])/FlipkartTable[[#This Row],[Original Price]]</f>
        <v>0.25010421008753647</v>
      </c>
      <c r="K194">
        <f>(FlipkartTable[[#This Row],[Rating]]/FlipkartTable[[#This Row],[Selling Price]])*1000</f>
        <v>0.24458032240133409</v>
      </c>
      <c r="L194" t="str">
        <f>IF(FlipkartTable[[#This Row],[Selling Price]]&lt;15000,"Budget",IF(FlipkartTable[[#This Row],[Selling Price]]&lt;50000,"Mid Range","Premium"))</f>
        <v>Mid Range</v>
      </c>
      <c r="M194" t="str">
        <f>IF(FlipkartTable[[#This Row],[Rating]]&gt;4.5,"Excellent",IF(FlipkartTable[[#This Row],[Rating]]&gt;4,"Good",IF(FlipkartTable[[#This Row],[Rating]]&gt;3.5,"Average","Poor")))</f>
        <v>Good</v>
      </c>
    </row>
    <row r="195" spans="1:13" x14ac:dyDescent="0.35">
      <c r="A195" t="s">
        <v>8</v>
      </c>
      <c r="B195" s="9" t="s">
        <v>103</v>
      </c>
      <c r="C195" t="s">
        <v>155</v>
      </c>
      <c r="D195" t="s">
        <v>11</v>
      </c>
      <c r="E195" t="s">
        <v>15</v>
      </c>
      <c r="F195">
        <v>4.4000000000000004</v>
      </c>
      <c r="G195">
        <v>13990</v>
      </c>
      <c r="H195">
        <v>21990</v>
      </c>
      <c r="I195">
        <f>FlipkartTable[[#This Row],[Original Price]]-FlipkartTable[[#This Row],[Selling Price]]</f>
        <v>8000</v>
      </c>
      <c r="J195" s="4">
        <f>(FlipkartTable[[#This Row],[Original Price]]-FlipkartTable[[#This Row],[Selling Price]])/FlipkartTable[[#This Row],[Original Price]]</f>
        <v>0.36380172805820826</v>
      </c>
      <c r="K195">
        <f>(FlipkartTable[[#This Row],[Rating]]/FlipkartTable[[#This Row],[Selling Price]])*1000</f>
        <v>0.31451036454610443</v>
      </c>
      <c r="L195" t="str">
        <f>IF(FlipkartTable[[#This Row],[Selling Price]]&lt;15000,"Budget",IF(FlipkartTable[[#This Row],[Selling Price]]&lt;50000,"Mid Range","Premium"))</f>
        <v>Budget</v>
      </c>
      <c r="M195" t="str">
        <f>IF(FlipkartTable[[#This Row],[Rating]]&gt;4.5,"Excellent",IF(FlipkartTable[[#This Row],[Rating]]&gt;4,"Good",IF(FlipkartTable[[#This Row],[Rating]]&gt;3.5,"Average","Poor")))</f>
        <v>Good</v>
      </c>
    </row>
    <row r="196" spans="1:13" x14ac:dyDescent="0.35">
      <c r="A196" t="s">
        <v>8</v>
      </c>
      <c r="B196" s="9" t="s">
        <v>97</v>
      </c>
      <c r="C196" t="s">
        <v>137</v>
      </c>
      <c r="D196" t="s">
        <v>27</v>
      </c>
      <c r="E196" t="s">
        <v>15</v>
      </c>
      <c r="F196">
        <v>4.3</v>
      </c>
      <c r="G196">
        <v>15990</v>
      </c>
      <c r="H196">
        <v>21990</v>
      </c>
      <c r="I196">
        <f>FlipkartTable[[#This Row],[Original Price]]-FlipkartTable[[#This Row],[Selling Price]]</f>
        <v>6000</v>
      </c>
      <c r="J196" s="4">
        <f>(FlipkartTable[[#This Row],[Original Price]]-FlipkartTable[[#This Row],[Selling Price]])/FlipkartTable[[#This Row],[Original Price]]</f>
        <v>0.27285129604365621</v>
      </c>
      <c r="K196">
        <f>(FlipkartTable[[#This Row],[Rating]]/FlipkartTable[[#This Row],[Selling Price]])*1000</f>
        <v>0.26891807379612259</v>
      </c>
      <c r="L196" t="str">
        <f>IF(FlipkartTable[[#This Row],[Selling Price]]&lt;15000,"Budget",IF(FlipkartTable[[#This Row],[Selling Price]]&lt;50000,"Mid Range","Premium"))</f>
        <v>Mid Range</v>
      </c>
      <c r="M196" t="str">
        <f>IF(FlipkartTable[[#This Row],[Rating]]&gt;4.5,"Excellent",IF(FlipkartTable[[#This Row],[Rating]]&gt;4,"Good",IF(FlipkartTable[[#This Row],[Rating]]&gt;3.5,"Average","Poor")))</f>
        <v>Good</v>
      </c>
    </row>
    <row r="197" spans="1:13" x14ac:dyDescent="0.35">
      <c r="A197" t="s">
        <v>8</v>
      </c>
      <c r="B197" s="9" t="s">
        <v>164</v>
      </c>
      <c r="C197" t="s">
        <v>19</v>
      </c>
      <c r="D197" t="s">
        <v>134</v>
      </c>
      <c r="E197" t="s">
        <v>124</v>
      </c>
      <c r="F197">
        <v>3</v>
      </c>
      <c r="G197">
        <v>24990</v>
      </c>
      <c r="H197">
        <v>24990</v>
      </c>
      <c r="I197">
        <f>FlipkartTable[[#This Row],[Original Price]]-FlipkartTable[[#This Row],[Selling Price]]</f>
        <v>0</v>
      </c>
      <c r="J197" s="4">
        <f>(FlipkartTable[[#This Row],[Original Price]]-FlipkartTable[[#This Row],[Selling Price]])/FlipkartTable[[#This Row],[Original Price]]</f>
        <v>0</v>
      </c>
      <c r="K197">
        <f>(FlipkartTable[[#This Row],[Rating]]/FlipkartTable[[#This Row],[Selling Price]])*1000</f>
        <v>0.12004801920768308</v>
      </c>
      <c r="L197" t="str">
        <f>IF(FlipkartTable[[#This Row],[Selling Price]]&lt;15000,"Budget",IF(FlipkartTable[[#This Row],[Selling Price]]&lt;50000,"Mid Range","Premium"))</f>
        <v>Mid Range</v>
      </c>
      <c r="M197" t="str">
        <f>IF(FlipkartTable[[#This Row],[Rating]]&gt;4.5,"Excellent",IF(FlipkartTable[[#This Row],[Rating]]&gt;4,"Good",IF(FlipkartTable[[#This Row],[Rating]]&gt;3.5,"Average","Poor")))</f>
        <v>Poor</v>
      </c>
    </row>
    <row r="198" spans="1:13" x14ac:dyDescent="0.35">
      <c r="A198" t="s">
        <v>8</v>
      </c>
      <c r="B198" s="9" t="s">
        <v>161</v>
      </c>
      <c r="C198" t="s">
        <v>165</v>
      </c>
      <c r="D198" t="s">
        <v>14</v>
      </c>
      <c r="E198" t="s">
        <v>12</v>
      </c>
      <c r="F198">
        <v>4.5</v>
      </c>
      <c r="G198">
        <v>16990</v>
      </c>
      <c r="H198">
        <v>28990</v>
      </c>
      <c r="I198">
        <f>FlipkartTable[[#This Row],[Original Price]]-FlipkartTable[[#This Row],[Selling Price]]</f>
        <v>12000</v>
      </c>
      <c r="J198" s="4">
        <f>(FlipkartTable[[#This Row],[Original Price]]-FlipkartTable[[#This Row],[Selling Price]])/FlipkartTable[[#This Row],[Original Price]]</f>
        <v>0.41393583994480854</v>
      </c>
      <c r="K198">
        <f>(FlipkartTable[[#This Row],[Rating]]/FlipkartTable[[#This Row],[Selling Price]])*1000</f>
        <v>0.26486168334314297</v>
      </c>
      <c r="L198" t="str">
        <f>IF(FlipkartTable[[#This Row],[Selling Price]]&lt;15000,"Budget",IF(FlipkartTable[[#This Row],[Selling Price]]&lt;50000,"Mid Range","Premium"))</f>
        <v>Mid Range</v>
      </c>
      <c r="M198" t="str">
        <f>IF(FlipkartTable[[#This Row],[Rating]]&gt;4.5,"Excellent",IF(FlipkartTable[[#This Row],[Rating]]&gt;4,"Good",IF(FlipkartTable[[#This Row],[Rating]]&gt;3.5,"Average","Poor")))</f>
        <v>Good</v>
      </c>
    </row>
    <row r="199" spans="1:13" x14ac:dyDescent="0.35">
      <c r="A199" t="s">
        <v>8</v>
      </c>
      <c r="B199" s="9" t="s">
        <v>161</v>
      </c>
      <c r="C199" t="s">
        <v>163</v>
      </c>
      <c r="D199" t="s">
        <v>14</v>
      </c>
      <c r="E199" t="s">
        <v>12</v>
      </c>
      <c r="F199">
        <v>4.5</v>
      </c>
      <c r="G199">
        <v>16890</v>
      </c>
      <c r="H199">
        <v>28990</v>
      </c>
      <c r="I199">
        <f>FlipkartTable[[#This Row],[Original Price]]-FlipkartTable[[#This Row],[Selling Price]]</f>
        <v>12100</v>
      </c>
      <c r="J199" s="4">
        <f>(FlipkartTable[[#This Row],[Original Price]]-FlipkartTable[[#This Row],[Selling Price]])/FlipkartTable[[#This Row],[Original Price]]</f>
        <v>0.41738530527768197</v>
      </c>
      <c r="K199">
        <f>(FlipkartTable[[#This Row],[Rating]]/FlipkartTable[[#This Row],[Selling Price]])*1000</f>
        <v>0.26642984014209592</v>
      </c>
      <c r="L199" t="str">
        <f>IF(FlipkartTable[[#This Row],[Selling Price]]&lt;15000,"Budget",IF(FlipkartTable[[#This Row],[Selling Price]]&lt;50000,"Mid Range","Premium"))</f>
        <v>Mid Range</v>
      </c>
      <c r="M199" t="str">
        <f>IF(FlipkartTable[[#This Row],[Rating]]&gt;4.5,"Excellent",IF(FlipkartTable[[#This Row],[Rating]]&gt;4,"Good",IF(FlipkartTable[[#This Row],[Rating]]&gt;3.5,"Average","Poor")))</f>
        <v>Good</v>
      </c>
    </row>
    <row r="200" spans="1:13" x14ac:dyDescent="0.35">
      <c r="A200" t="s">
        <v>8</v>
      </c>
      <c r="B200" s="9" t="s">
        <v>125</v>
      </c>
      <c r="C200" t="s">
        <v>126</v>
      </c>
      <c r="D200" t="s">
        <v>27</v>
      </c>
      <c r="E200" t="s">
        <v>15</v>
      </c>
      <c r="F200">
        <v>4.2</v>
      </c>
      <c r="G200">
        <v>29999</v>
      </c>
      <c r="H200">
        <v>29999</v>
      </c>
      <c r="I200">
        <f>FlipkartTable[[#This Row],[Original Price]]-FlipkartTable[[#This Row],[Selling Price]]</f>
        <v>0</v>
      </c>
      <c r="J200" s="4">
        <f>(FlipkartTable[[#This Row],[Original Price]]-FlipkartTable[[#This Row],[Selling Price]])/FlipkartTable[[#This Row],[Original Price]]</f>
        <v>0</v>
      </c>
      <c r="K200">
        <f>(FlipkartTable[[#This Row],[Rating]]/FlipkartTable[[#This Row],[Selling Price]])*1000</f>
        <v>0.14000466682222742</v>
      </c>
      <c r="L200" t="str">
        <f>IF(FlipkartTable[[#This Row],[Selling Price]]&lt;15000,"Budget",IF(FlipkartTable[[#This Row],[Selling Price]]&lt;50000,"Mid Range","Premium"))</f>
        <v>Mid Range</v>
      </c>
      <c r="M200" t="str">
        <f>IF(FlipkartTable[[#This Row],[Rating]]&gt;4.5,"Excellent",IF(FlipkartTable[[#This Row],[Rating]]&gt;4,"Good",IF(FlipkartTable[[#This Row],[Rating]]&gt;3.5,"Average","Poor")))</f>
        <v>Good</v>
      </c>
    </row>
    <row r="201" spans="1:13" x14ac:dyDescent="0.35">
      <c r="A201" t="s">
        <v>8</v>
      </c>
      <c r="B201" s="9" t="s">
        <v>97</v>
      </c>
      <c r="C201" t="s">
        <v>110</v>
      </c>
      <c r="D201" t="s">
        <v>27</v>
      </c>
      <c r="E201" t="s">
        <v>15</v>
      </c>
      <c r="F201">
        <v>4.3</v>
      </c>
      <c r="G201">
        <v>15990</v>
      </c>
      <c r="H201">
        <v>21990</v>
      </c>
      <c r="I201">
        <f>FlipkartTable[[#This Row],[Original Price]]-FlipkartTable[[#This Row],[Selling Price]]</f>
        <v>6000</v>
      </c>
      <c r="J201" s="4">
        <f>(FlipkartTable[[#This Row],[Original Price]]-FlipkartTable[[#This Row],[Selling Price]])/FlipkartTable[[#This Row],[Original Price]]</f>
        <v>0.27285129604365621</v>
      </c>
      <c r="K201">
        <f>(FlipkartTable[[#This Row],[Rating]]/FlipkartTable[[#This Row],[Selling Price]])*1000</f>
        <v>0.26891807379612259</v>
      </c>
      <c r="L201" t="str">
        <f>IF(FlipkartTable[[#This Row],[Selling Price]]&lt;15000,"Budget",IF(FlipkartTable[[#This Row],[Selling Price]]&lt;50000,"Mid Range","Premium"))</f>
        <v>Mid Range</v>
      </c>
      <c r="M201" t="str">
        <f>IF(FlipkartTable[[#This Row],[Rating]]&gt;4.5,"Excellent",IF(FlipkartTable[[#This Row],[Rating]]&gt;4,"Good",IF(FlipkartTable[[#This Row],[Rating]]&gt;3.5,"Average","Poor")))</f>
        <v>Good</v>
      </c>
    </row>
    <row r="202" spans="1:13" x14ac:dyDescent="0.35">
      <c r="A202" t="s">
        <v>8</v>
      </c>
      <c r="B202" s="9" t="s">
        <v>70</v>
      </c>
      <c r="C202" t="s">
        <v>166</v>
      </c>
      <c r="D202" t="s">
        <v>11</v>
      </c>
      <c r="E202" t="s">
        <v>15</v>
      </c>
      <c r="F202">
        <v>4.3</v>
      </c>
      <c r="G202">
        <v>13489</v>
      </c>
      <c r="H202">
        <v>13489</v>
      </c>
      <c r="I202">
        <f>FlipkartTable[[#This Row],[Original Price]]-FlipkartTable[[#This Row],[Selling Price]]</f>
        <v>0</v>
      </c>
      <c r="J202" s="4">
        <f>(FlipkartTable[[#This Row],[Original Price]]-FlipkartTable[[#This Row],[Selling Price]])/FlipkartTable[[#This Row],[Original Price]]</f>
        <v>0</v>
      </c>
      <c r="K202">
        <f>(FlipkartTable[[#This Row],[Rating]]/FlipkartTable[[#This Row],[Selling Price]])*1000</f>
        <v>0.31877826377047969</v>
      </c>
      <c r="L202" t="str">
        <f>IF(FlipkartTable[[#This Row],[Selling Price]]&lt;15000,"Budget",IF(FlipkartTable[[#This Row],[Selling Price]]&lt;50000,"Mid Range","Premium"))</f>
        <v>Budget</v>
      </c>
      <c r="M202" t="str">
        <f>IF(FlipkartTable[[#This Row],[Rating]]&gt;4.5,"Excellent",IF(FlipkartTable[[#This Row],[Rating]]&gt;4,"Good",IF(FlipkartTable[[#This Row],[Rating]]&gt;3.5,"Average","Poor")))</f>
        <v>Good</v>
      </c>
    </row>
    <row r="203" spans="1:13" x14ac:dyDescent="0.35">
      <c r="A203" t="s">
        <v>8</v>
      </c>
      <c r="B203" s="9" t="s">
        <v>69</v>
      </c>
      <c r="C203" t="s">
        <v>71</v>
      </c>
      <c r="D203" t="s">
        <v>11</v>
      </c>
      <c r="E203" t="s">
        <v>15</v>
      </c>
      <c r="F203">
        <v>4.3</v>
      </c>
      <c r="G203">
        <v>13489</v>
      </c>
      <c r="H203">
        <v>13489</v>
      </c>
      <c r="I203">
        <f>FlipkartTable[[#This Row],[Original Price]]-FlipkartTable[[#This Row],[Selling Price]]</f>
        <v>0</v>
      </c>
      <c r="J203" s="4">
        <f>(FlipkartTable[[#This Row],[Original Price]]-FlipkartTable[[#This Row],[Selling Price]])/FlipkartTable[[#This Row],[Original Price]]</f>
        <v>0</v>
      </c>
      <c r="K203">
        <f>(FlipkartTable[[#This Row],[Rating]]/FlipkartTable[[#This Row],[Selling Price]])*1000</f>
        <v>0.31877826377047969</v>
      </c>
      <c r="L203" t="str">
        <f>IF(FlipkartTable[[#This Row],[Selling Price]]&lt;15000,"Budget",IF(FlipkartTable[[#This Row],[Selling Price]]&lt;50000,"Mid Range","Premium"))</f>
        <v>Budget</v>
      </c>
      <c r="M203" t="str">
        <f>IF(FlipkartTable[[#This Row],[Rating]]&gt;4.5,"Excellent",IF(FlipkartTable[[#This Row],[Rating]]&gt;4,"Good",IF(FlipkartTable[[#This Row],[Rating]]&gt;3.5,"Average","Poor")))</f>
        <v>Good</v>
      </c>
    </row>
    <row r="204" spans="1:13" x14ac:dyDescent="0.35">
      <c r="A204" t="s">
        <v>8</v>
      </c>
      <c r="B204" s="9" t="s">
        <v>151</v>
      </c>
      <c r="C204" t="s">
        <v>22</v>
      </c>
      <c r="D204" t="s">
        <v>20</v>
      </c>
      <c r="E204" t="s">
        <v>124</v>
      </c>
      <c r="F204">
        <v>4.4000000000000004</v>
      </c>
      <c r="G204">
        <v>10990</v>
      </c>
      <c r="H204">
        <v>10990</v>
      </c>
      <c r="I204">
        <f>FlipkartTable[[#This Row],[Original Price]]-FlipkartTable[[#This Row],[Selling Price]]</f>
        <v>0</v>
      </c>
      <c r="J204" s="4">
        <f>(FlipkartTable[[#This Row],[Original Price]]-FlipkartTable[[#This Row],[Selling Price]])/FlipkartTable[[#This Row],[Original Price]]</f>
        <v>0</v>
      </c>
      <c r="K204">
        <f>(FlipkartTable[[#This Row],[Rating]]/FlipkartTable[[#This Row],[Selling Price]])*1000</f>
        <v>0.40036396724294815</v>
      </c>
      <c r="L204" t="str">
        <f>IF(FlipkartTable[[#This Row],[Selling Price]]&lt;15000,"Budget",IF(FlipkartTable[[#This Row],[Selling Price]]&lt;50000,"Mid Range","Premium"))</f>
        <v>Budget</v>
      </c>
      <c r="M204" t="str">
        <f>IF(FlipkartTable[[#This Row],[Rating]]&gt;4.5,"Excellent",IF(FlipkartTable[[#This Row],[Rating]]&gt;4,"Good",IF(FlipkartTable[[#This Row],[Rating]]&gt;3.5,"Average","Poor")))</f>
        <v>Good</v>
      </c>
    </row>
    <row r="205" spans="1:13" x14ac:dyDescent="0.35">
      <c r="A205" t="s">
        <v>8</v>
      </c>
      <c r="B205" s="9" t="s">
        <v>167</v>
      </c>
      <c r="C205" t="s">
        <v>19</v>
      </c>
      <c r="D205" t="s">
        <v>20</v>
      </c>
      <c r="E205" t="s">
        <v>21</v>
      </c>
      <c r="F205">
        <v>4.3</v>
      </c>
      <c r="G205">
        <v>17990</v>
      </c>
      <c r="H205">
        <v>17990</v>
      </c>
      <c r="I205">
        <f>FlipkartTable[[#This Row],[Original Price]]-FlipkartTable[[#This Row],[Selling Price]]</f>
        <v>0</v>
      </c>
      <c r="J205" s="4">
        <f>(FlipkartTable[[#This Row],[Original Price]]-FlipkartTable[[#This Row],[Selling Price]])/FlipkartTable[[#This Row],[Original Price]]</f>
        <v>0</v>
      </c>
      <c r="K205">
        <f>(FlipkartTable[[#This Row],[Rating]]/FlipkartTable[[#This Row],[Selling Price]])*1000</f>
        <v>0.23902167871039465</v>
      </c>
      <c r="L205" t="str">
        <f>IF(FlipkartTable[[#This Row],[Selling Price]]&lt;15000,"Budget",IF(FlipkartTable[[#This Row],[Selling Price]]&lt;50000,"Mid Range","Premium"))</f>
        <v>Mid Range</v>
      </c>
      <c r="M205" t="str">
        <f>IF(FlipkartTable[[#This Row],[Rating]]&gt;4.5,"Excellent",IF(FlipkartTable[[#This Row],[Rating]]&gt;4,"Good",IF(FlipkartTable[[#This Row],[Rating]]&gt;3.5,"Average","Poor")))</f>
        <v>Good</v>
      </c>
    </row>
    <row r="206" spans="1:13" x14ac:dyDescent="0.35">
      <c r="A206" t="s">
        <v>8</v>
      </c>
      <c r="B206" s="9" t="s">
        <v>167</v>
      </c>
      <c r="C206" t="s">
        <v>116</v>
      </c>
      <c r="D206" t="s">
        <v>20</v>
      </c>
      <c r="E206" t="s">
        <v>21</v>
      </c>
      <c r="F206">
        <v>4.3</v>
      </c>
      <c r="G206">
        <v>17990</v>
      </c>
      <c r="H206">
        <v>17990</v>
      </c>
      <c r="I206">
        <f>FlipkartTable[[#This Row],[Original Price]]-FlipkartTable[[#This Row],[Selling Price]]</f>
        <v>0</v>
      </c>
      <c r="J206" s="4">
        <f>(FlipkartTable[[#This Row],[Original Price]]-FlipkartTable[[#This Row],[Selling Price]])/FlipkartTable[[#This Row],[Original Price]]</f>
        <v>0</v>
      </c>
      <c r="K206">
        <f>(FlipkartTable[[#This Row],[Rating]]/FlipkartTable[[#This Row],[Selling Price]])*1000</f>
        <v>0.23902167871039465</v>
      </c>
      <c r="L206" t="str">
        <f>IF(FlipkartTable[[#This Row],[Selling Price]]&lt;15000,"Budget",IF(FlipkartTable[[#This Row],[Selling Price]]&lt;50000,"Mid Range","Premium"))</f>
        <v>Mid Range</v>
      </c>
      <c r="M206" t="str">
        <f>IF(FlipkartTable[[#This Row],[Rating]]&gt;4.5,"Excellent",IF(FlipkartTable[[#This Row],[Rating]]&gt;4,"Good",IF(FlipkartTable[[#This Row],[Rating]]&gt;3.5,"Average","Poor")))</f>
        <v>Good</v>
      </c>
    </row>
    <row r="207" spans="1:13" x14ac:dyDescent="0.35">
      <c r="A207" t="s">
        <v>8</v>
      </c>
      <c r="B207" s="9" t="s">
        <v>103</v>
      </c>
      <c r="C207" t="s">
        <v>168</v>
      </c>
      <c r="D207" t="s">
        <v>14</v>
      </c>
      <c r="E207" t="s">
        <v>15</v>
      </c>
      <c r="F207">
        <v>4.4000000000000004</v>
      </c>
      <c r="G207">
        <v>17990</v>
      </c>
      <c r="H207">
        <v>23990</v>
      </c>
      <c r="I207">
        <f>FlipkartTable[[#This Row],[Original Price]]-FlipkartTable[[#This Row],[Selling Price]]</f>
        <v>6000</v>
      </c>
      <c r="J207" s="4">
        <f>(FlipkartTable[[#This Row],[Original Price]]-FlipkartTable[[#This Row],[Selling Price]])/FlipkartTable[[#This Row],[Original Price]]</f>
        <v>0.25010421008753647</v>
      </c>
      <c r="K207">
        <f>(FlipkartTable[[#This Row],[Rating]]/FlipkartTable[[#This Row],[Selling Price]])*1000</f>
        <v>0.24458032240133409</v>
      </c>
      <c r="L207" t="str">
        <f>IF(FlipkartTable[[#This Row],[Selling Price]]&lt;15000,"Budget",IF(FlipkartTable[[#This Row],[Selling Price]]&lt;50000,"Mid Range","Premium"))</f>
        <v>Mid Range</v>
      </c>
      <c r="M207" t="str">
        <f>IF(FlipkartTable[[#This Row],[Rating]]&gt;4.5,"Excellent",IF(FlipkartTable[[#This Row],[Rating]]&gt;4,"Good",IF(FlipkartTable[[#This Row],[Rating]]&gt;3.5,"Average","Poor")))</f>
        <v>Good</v>
      </c>
    </row>
    <row r="208" spans="1:13" x14ac:dyDescent="0.35">
      <c r="A208" t="s">
        <v>8</v>
      </c>
      <c r="B208" s="9" t="s">
        <v>169</v>
      </c>
      <c r="C208" t="s">
        <v>19</v>
      </c>
      <c r="D208" t="s">
        <v>11</v>
      </c>
      <c r="E208" t="s">
        <v>12</v>
      </c>
      <c r="F208">
        <v>4.4000000000000004</v>
      </c>
      <c r="G208">
        <v>22990</v>
      </c>
      <c r="H208">
        <v>22990</v>
      </c>
      <c r="I208">
        <f>FlipkartTable[[#This Row],[Original Price]]-FlipkartTable[[#This Row],[Selling Price]]</f>
        <v>0</v>
      </c>
      <c r="J208" s="4">
        <f>(FlipkartTable[[#This Row],[Original Price]]-FlipkartTable[[#This Row],[Selling Price]])/FlipkartTable[[#This Row],[Original Price]]</f>
        <v>0</v>
      </c>
      <c r="K208">
        <f>(FlipkartTable[[#This Row],[Rating]]/FlipkartTable[[#This Row],[Selling Price]])*1000</f>
        <v>0.19138755980861244</v>
      </c>
      <c r="L208" t="str">
        <f>IF(FlipkartTable[[#This Row],[Selling Price]]&lt;15000,"Budget",IF(FlipkartTable[[#This Row],[Selling Price]]&lt;50000,"Mid Range","Premium"))</f>
        <v>Mid Range</v>
      </c>
      <c r="M208" t="str">
        <f>IF(FlipkartTable[[#This Row],[Rating]]&gt;4.5,"Excellent",IF(FlipkartTable[[#This Row],[Rating]]&gt;4,"Good",IF(FlipkartTable[[#This Row],[Rating]]&gt;3.5,"Average","Poor")))</f>
        <v>Good</v>
      </c>
    </row>
    <row r="209" spans="1:13" x14ac:dyDescent="0.35">
      <c r="A209" t="s">
        <v>8</v>
      </c>
      <c r="B209" s="9" t="s">
        <v>169</v>
      </c>
      <c r="C209" t="s">
        <v>84</v>
      </c>
      <c r="D209" t="s">
        <v>11</v>
      </c>
      <c r="E209" t="s">
        <v>12</v>
      </c>
      <c r="F209">
        <v>4.4000000000000004</v>
      </c>
      <c r="G209">
        <v>22990</v>
      </c>
      <c r="H209">
        <v>22990</v>
      </c>
      <c r="I209">
        <f>FlipkartTable[[#This Row],[Original Price]]-FlipkartTable[[#This Row],[Selling Price]]</f>
        <v>0</v>
      </c>
      <c r="J209" s="4">
        <f>(FlipkartTable[[#This Row],[Original Price]]-FlipkartTable[[#This Row],[Selling Price]])/FlipkartTable[[#This Row],[Original Price]]</f>
        <v>0</v>
      </c>
      <c r="K209">
        <f>(FlipkartTable[[#This Row],[Rating]]/FlipkartTable[[#This Row],[Selling Price]])*1000</f>
        <v>0.19138755980861244</v>
      </c>
      <c r="L209" t="str">
        <f>IF(FlipkartTable[[#This Row],[Selling Price]]&lt;15000,"Budget",IF(FlipkartTable[[#This Row],[Selling Price]]&lt;50000,"Mid Range","Premium"))</f>
        <v>Mid Range</v>
      </c>
      <c r="M209" t="str">
        <f>IF(FlipkartTable[[#This Row],[Rating]]&gt;4.5,"Excellent",IF(FlipkartTable[[#This Row],[Rating]]&gt;4,"Good",IF(FlipkartTable[[#This Row],[Rating]]&gt;3.5,"Average","Poor")))</f>
        <v>Good</v>
      </c>
    </row>
    <row r="210" spans="1:13" x14ac:dyDescent="0.35">
      <c r="A210" t="s">
        <v>8</v>
      </c>
      <c r="B210" s="9" t="s">
        <v>169</v>
      </c>
      <c r="C210" t="s">
        <v>170</v>
      </c>
      <c r="D210" t="s">
        <v>11</v>
      </c>
      <c r="E210" t="s">
        <v>12</v>
      </c>
      <c r="F210">
        <v>4.4000000000000004</v>
      </c>
      <c r="G210">
        <v>22990</v>
      </c>
      <c r="H210">
        <v>22990</v>
      </c>
      <c r="I210">
        <f>FlipkartTable[[#This Row],[Original Price]]-FlipkartTable[[#This Row],[Selling Price]]</f>
        <v>0</v>
      </c>
      <c r="J210" s="4">
        <f>(FlipkartTable[[#This Row],[Original Price]]-FlipkartTable[[#This Row],[Selling Price]])/FlipkartTable[[#This Row],[Original Price]]</f>
        <v>0</v>
      </c>
      <c r="K210">
        <f>(FlipkartTable[[#This Row],[Rating]]/FlipkartTable[[#This Row],[Selling Price]])*1000</f>
        <v>0.19138755980861244</v>
      </c>
      <c r="L210" t="str">
        <f>IF(FlipkartTable[[#This Row],[Selling Price]]&lt;15000,"Budget",IF(FlipkartTable[[#This Row],[Selling Price]]&lt;50000,"Mid Range","Premium"))</f>
        <v>Mid Range</v>
      </c>
      <c r="M210" t="str">
        <f>IF(FlipkartTable[[#This Row],[Rating]]&gt;4.5,"Excellent",IF(FlipkartTable[[#This Row],[Rating]]&gt;4,"Good",IF(FlipkartTable[[#This Row],[Rating]]&gt;3.5,"Average","Poor")))</f>
        <v>Good</v>
      </c>
    </row>
    <row r="211" spans="1:13" x14ac:dyDescent="0.35">
      <c r="A211" t="s">
        <v>8</v>
      </c>
      <c r="B211" s="9" t="s">
        <v>99</v>
      </c>
      <c r="C211" t="s">
        <v>171</v>
      </c>
      <c r="D211" t="s">
        <v>27</v>
      </c>
      <c r="E211" t="s">
        <v>64</v>
      </c>
      <c r="F211">
        <v>4.5999999999999996</v>
      </c>
      <c r="G211">
        <v>60990</v>
      </c>
      <c r="H211">
        <v>60990</v>
      </c>
      <c r="I211">
        <f>FlipkartTable[[#This Row],[Original Price]]-FlipkartTable[[#This Row],[Selling Price]]</f>
        <v>0</v>
      </c>
      <c r="J211" s="4">
        <f>(FlipkartTable[[#This Row],[Original Price]]-FlipkartTable[[#This Row],[Selling Price]])/FlipkartTable[[#This Row],[Original Price]]</f>
        <v>0</v>
      </c>
      <c r="K211">
        <f>(FlipkartTable[[#This Row],[Rating]]/FlipkartTable[[#This Row],[Selling Price]])*1000</f>
        <v>7.5422200360714856E-2</v>
      </c>
      <c r="L211" t="str">
        <f>IF(FlipkartTable[[#This Row],[Selling Price]]&lt;15000,"Budget",IF(FlipkartTable[[#This Row],[Selling Price]]&lt;50000,"Mid Range","Premium"))</f>
        <v>Premium</v>
      </c>
      <c r="M211" t="str">
        <f>IF(FlipkartTable[[#This Row],[Rating]]&gt;4.5,"Excellent",IF(FlipkartTable[[#This Row],[Rating]]&gt;4,"Good",IF(FlipkartTable[[#This Row],[Rating]]&gt;3.5,"Average","Poor")))</f>
        <v>Excellent</v>
      </c>
    </row>
    <row r="212" spans="1:13" x14ac:dyDescent="0.35">
      <c r="A212" t="s">
        <v>8</v>
      </c>
      <c r="B212" s="9" t="s">
        <v>172</v>
      </c>
      <c r="C212" t="s">
        <v>19</v>
      </c>
      <c r="D212" t="s">
        <v>134</v>
      </c>
      <c r="E212" t="s">
        <v>124</v>
      </c>
      <c r="F212">
        <v>3.8</v>
      </c>
      <c r="G212">
        <v>4999</v>
      </c>
      <c r="H212">
        <v>7856</v>
      </c>
      <c r="I212">
        <f>FlipkartTable[[#This Row],[Original Price]]-FlipkartTable[[#This Row],[Selling Price]]</f>
        <v>2857</v>
      </c>
      <c r="J212" s="4">
        <f>(FlipkartTable[[#This Row],[Original Price]]-FlipkartTable[[#This Row],[Selling Price]])/FlipkartTable[[#This Row],[Original Price]]</f>
        <v>0.36367107942973526</v>
      </c>
      <c r="K212">
        <f>(FlipkartTable[[#This Row],[Rating]]/FlipkartTable[[#This Row],[Selling Price]])*1000</f>
        <v>0.76015203040608115</v>
      </c>
      <c r="L212" t="str">
        <f>IF(FlipkartTable[[#This Row],[Selling Price]]&lt;15000,"Budget",IF(FlipkartTable[[#This Row],[Selling Price]]&lt;50000,"Mid Range","Premium"))</f>
        <v>Budget</v>
      </c>
      <c r="M212" t="str">
        <f>IF(FlipkartTable[[#This Row],[Rating]]&gt;4.5,"Excellent",IF(FlipkartTable[[#This Row],[Rating]]&gt;4,"Good",IF(FlipkartTable[[#This Row],[Rating]]&gt;3.5,"Average","Poor")))</f>
        <v>Average</v>
      </c>
    </row>
    <row r="213" spans="1:13" x14ac:dyDescent="0.35">
      <c r="A213" t="s">
        <v>8</v>
      </c>
      <c r="B213" s="9" t="s">
        <v>169</v>
      </c>
      <c r="C213" t="s">
        <v>84</v>
      </c>
      <c r="D213" t="s">
        <v>14</v>
      </c>
      <c r="E213" t="s">
        <v>15</v>
      </c>
      <c r="F213">
        <v>4.5</v>
      </c>
      <c r="G213">
        <v>27990</v>
      </c>
      <c r="H213">
        <v>27990</v>
      </c>
      <c r="I213">
        <f>FlipkartTable[[#This Row],[Original Price]]-FlipkartTable[[#This Row],[Selling Price]]</f>
        <v>0</v>
      </c>
      <c r="J213" s="4">
        <f>(FlipkartTable[[#This Row],[Original Price]]-FlipkartTable[[#This Row],[Selling Price]])/FlipkartTable[[#This Row],[Original Price]]</f>
        <v>0</v>
      </c>
      <c r="K213">
        <f>(FlipkartTable[[#This Row],[Rating]]/FlipkartTable[[#This Row],[Selling Price]])*1000</f>
        <v>0.16077170418006431</v>
      </c>
      <c r="L213" t="str">
        <f>IF(FlipkartTable[[#This Row],[Selling Price]]&lt;15000,"Budget",IF(FlipkartTable[[#This Row],[Selling Price]]&lt;50000,"Mid Range","Premium"))</f>
        <v>Mid Range</v>
      </c>
      <c r="M213" t="str">
        <f>IF(FlipkartTable[[#This Row],[Rating]]&gt;4.5,"Excellent",IF(FlipkartTable[[#This Row],[Rating]]&gt;4,"Good",IF(FlipkartTable[[#This Row],[Rating]]&gt;3.5,"Average","Poor")))</f>
        <v>Good</v>
      </c>
    </row>
    <row r="214" spans="1:13" x14ac:dyDescent="0.35">
      <c r="A214" t="s">
        <v>8</v>
      </c>
      <c r="B214" s="9" t="s">
        <v>173</v>
      </c>
      <c r="C214" t="s">
        <v>116</v>
      </c>
      <c r="D214" t="s">
        <v>20</v>
      </c>
      <c r="E214" t="s">
        <v>124</v>
      </c>
      <c r="F214">
        <v>4.0999999999999996</v>
      </c>
      <c r="G214">
        <v>15739</v>
      </c>
      <c r="H214">
        <v>15739</v>
      </c>
      <c r="I214">
        <f>FlipkartTable[[#This Row],[Original Price]]-FlipkartTable[[#This Row],[Selling Price]]</f>
        <v>0</v>
      </c>
      <c r="J214" s="4">
        <f>(FlipkartTable[[#This Row],[Original Price]]-FlipkartTable[[#This Row],[Selling Price]])/FlipkartTable[[#This Row],[Original Price]]</f>
        <v>0</v>
      </c>
      <c r="K214">
        <f>(FlipkartTable[[#This Row],[Rating]]/FlipkartTable[[#This Row],[Selling Price]])*1000</f>
        <v>0.26049939640383757</v>
      </c>
      <c r="L214" t="str">
        <f>IF(FlipkartTable[[#This Row],[Selling Price]]&lt;15000,"Budget",IF(FlipkartTable[[#This Row],[Selling Price]]&lt;50000,"Mid Range","Premium"))</f>
        <v>Mid Range</v>
      </c>
      <c r="M214" t="str">
        <f>IF(FlipkartTable[[#This Row],[Rating]]&gt;4.5,"Excellent",IF(FlipkartTable[[#This Row],[Rating]]&gt;4,"Good",IF(FlipkartTable[[#This Row],[Rating]]&gt;3.5,"Average","Poor")))</f>
        <v>Good</v>
      </c>
    </row>
    <row r="215" spans="1:13" x14ac:dyDescent="0.35">
      <c r="A215" t="s">
        <v>8</v>
      </c>
      <c r="B215" s="9" t="s">
        <v>174</v>
      </c>
      <c r="C215" t="s">
        <v>89</v>
      </c>
      <c r="D215" t="s">
        <v>27</v>
      </c>
      <c r="E215" t="s">
        <v>64</v>
      </c>
      <c r="F215">
        <v>4.4000000000000004</v>
      </c>
      <c r="G215">
        <v>38990</v>
      </c>
      <c r="H215">
        <v>39990</v>
      </c>
      <c r="I215">
        <f>FlipkartTable[[#This Row],[Original Price]]-FlipkartTable[[#This Row],[Selling Price]]</f>
        <v>1000</v>
      </c>
      <c r="J215" s="4">
        <f>(FlipkartTable[[#This Row],[Original Price]]-FlipkartTable[[#This Row],[Selling Price]])/FlipkartTable[[#This Row],[Original Price]]</f>
        <v>2.5006251562890724E-2</v>
      </c>
      <c r="K215">
        <f>(FlipkartTable[[#This Row],[Rating]]/FlipkartTable[[#This Row],[Selling Price]])*1000</f>
        <v>0.1128494485765581</v>
      </c>
      <c r="L215" t="str">
        <f>IF(FlipkartTable[[#This Row],[Selling Price]]&lt;15000,"Budget",IF(FlipkartTable[[#This Row],[Selling Price]]&lt;50000,"Mid Range","Premium"))</f>
        <v>Mid Range</v>
      </c>
      <c r="M215" t="str">
        <f>IF(FlipkartTable[[#This Row],[Rating]]&gt;4.5,"Excellent",IF(FlipkartTable[[#This Row],[Rating]]&gt;4,"Good",IF(FlipkartTable[[#This Row],[Rating]]&gt;3.5,"Average","Poor")))</f>
        <v>Good</v>
      </c>
    </row>
    <row r="216" spans="1:13" x14ac:dyDescent="0.35">
      <c r="A216" t="s">
        <v>8</v>
      </c>
      <c r="B216" s="9" t="s">
        <v>169</v>
      </c>
      <c r="C216" t="s">
        <v>19</v>
      </c>
      <c r="D216" t="s">
        <v>14</v>
      </c>
      <c r="E216" t="s">
        <v>15</v>
      </c>
      <c r="F216">
        <v>4.5</v>
      </c>
      <c r="G216">
        <v>27990</v>
      </c>
      <c r="H216">
        <v>27990</v>
      </c>
      <c r="I216">
        <f>FlipkartTable[[#This Row],[Original Price]]-FlipkartTable[[#This Row],[Selling Price]]</f>
        <v>0</v>
      </c>
      <c r="J216" s="4">
        <f>(FlipkartTable[[#This Row],[Original Price]]-FlipkartTable[[#This Row],[Selling Price]])/FlipkartTable[[#This Row],[Original Price]]</f>
        <v>0</v>
      </c>
      <c r="K216">
        <f>(FlipkartTable[[#This Row],[Rating]]/FlipkartTable[[#This Row],[Selling Price]])*1000</f>
        <v>0.16077170418006431</v>
      </c>
      <c r="L216" t="str">
        <f>IF(FlipkartTable[[#This Row],[Selling Price]]&lt;15000,"Budget",IF(FlipkartTable[[#This Row],[Selling Price]]&lt;50000,"Mid Range","Premium"))</f>
        <v>Mid Range</v>
      </c>
      <c r="M216" t="str">
        <f>IF(FlipkartTable[[#This Row],[Rating]]&gt;4.5,"Excellent",IF(FlipkartTable[[#This Row],[Rating]]&gt;4,"Good",IF(FlipkartTable[[#This Row],[Rating]]&gt;3.5,"Average","Poor")))</f>
        <v>Good</v>
      </c>
    </row>
    <row r="217" spans="1:13" x14ac:dyDescent="0.35">
      <c r="A217" t="s">
        <v>8</v>
      </c>
      <c r="B217" s="9" t="s">
        <v>172</v>
      </c>
      <c r="C217" t="s">
        <v>152</v>
      </c>
      <c r="D217" t="s">
        <v>134</v>
      </c>
      <c r="E217" t="s">
        <v>124</v>
      </c>
      <c r="F217">
        <v>3.8</v>
      </c>
      <c r="G217">
        <v>4999</v>
      </c>
      <c r="H217">
        <v>7490</v>
      </c>
      <c r="I217">
        <f>FlipkartTable[[#This Row],[Original Price]]-FlipkartTable[[#This Row],[Selling Price]]</f>
        <v>2491</v>
      </c>
      <c r="J217" s="4">
        <f>(FlipkartTable[[#This Row],[Original Price]]-FlipkartTable[[#This Row],[Selling Price]])/FlipkartTable[[#This Row],[Original Price]]</f>
        <v>0.33257676902536715</v>
      </c>
      <c r="K217">
        <f>(FlipkartTable[[#This Row],[Rating]]/FlipkartTable[[#This Row],[Selling Price]])*1000</f>
        <v>0.76015203040608115</v>
      </c>
      <c r="L217" t="str">
        <f>IF(FlipkartTable[[#This Row],[Selling Price]]&lt;15000,"Budget",IF(FlipkartTable[[#This Row],[Selling Price]]&lt;50000,"Mid Range","Premium"))</f>
        <v>Budget</v>
      </c>
      <c r="M217" t="str">
        <f>IF(FlipkartTable[[#This Row],[Rating]]&gt;4.5,"Excellent",IF(FlipkartTable[[#This Row],[Rating]]&gt;4,"Good",IF(FlipkartTable[[#This Row],[Rating]]&gt;3.5,"Average","Poor")))</f>
        <v>Average</v>
      </c>
    </row>
    <row r="218" spans="1:13" x14ac:dyDescent="0.35">
      <c r="A218" t="s">
        <v>8</v>
      </c>
      <c r="B218" s="9" t="s">
        <v>175</v>
      </c>
      <c r="C218" t="s">
        <v>176</v>
      </c>
      <c r="D218" t="s">
        <v>27</v>
      </c>
      <c r="E218" t="s">
        <v>15</v>
      </c>
      <c r="F218">
        <v>3.7</v>
      </c>
      <c r="G218">
        <v>38999</v>
      </c>
      <c r="H218">
        <v>38999</v>
      </c>
      <c r="I218">
        <f>FlipkartTable[[#This Row],[Original Price]]-FlipkartTable[[#This Row],[Selling Price]]</f>
        <v>0</v>
      </c>
      <c r="J218" s="4">
        <f>(FlipkartTable[[#This Row],[Original Price]]-FlipkartTable[[#This Row],[Selling Price]])/FlipkartTable[[#This Row],[Original Price]]</f>
        <v>0</v>
      </c>
      <c r="K218">
        <f>(FlipkartTable[[#This Row],[Rating]]/FlipkartTable[[#This Row],[Selling Price]])*1000</f>
        <v>9.4874227544296016E-2</v>
      </c>
      <c r="L218" t="str">
        <f>IF(FlipkartTable[[#This Row],[Selling Price]]&lt;15000,"Budget",IF(FlipkartTable[[#This Row],[Selling Price]]&lt;50000,"Mid Range","Premium"))</f>
        <v>Mid Range</v>
      </c>
      <c r="M218" t="str">
        <f>IF(FlipkartTable[[#This Row],[Rating]]&gt;4.5,"Excellent",IF(FlipkartTable[[#This Row],[Rating]]&gt;4,"Good",IF(FlipkartTable[[#This Row],[Rating]]&gt;3.5,"Average","Poor")))</f>
        <v>Average</v>
      </c>
    </row>
    <row r="219" spans="1:13" x14ac:dyDescent="0.35">
      <c r="A219" t="s">
        <v>8</v>
      </c>
      <c r="B219" s="9" t="s">
        <v>55</v>
      </c>
      <c r="C219" t="s">
        <v>71</v>
      </c>
      <c r="D219" t="s">
        <v>35</v>
      </c>
      <c r="E219" t="s">
        <v>21</v>
      </c>
      <c r="F219">
        <v>4</v>
      </c>
      <c r="G219">
        <v>9490</v>
      </c>
      <c r="H219">
        <v>9500</v>
      </c>
      <c r="I219">
        <f>FlipkartTable[[#This Row],[Original Price]]-FlipkartTable[[#This Row],[Selling Price]]</f>
        <v>10</v>
      </c>
      <c r="J219" s="4">
        <f>(FlipkartTable[[#This Row],[Original Price]]-FlipkartTable[[#This Row],[Selling Price]])/FlipkartTable[[#This Row],[Original Price]]</f>
        <v>1.0526315789473684E-3</v>
      </c>
      <c r="K219">
        <f>(FlipkartTable[[#This Row],[Rating]]/FlipkartTable[[#This Row],[Selling Price]])*1000</f>
        <v>0.42149631190727083</v>
      </c>
      <c r="L219" t="str">
        <f>IF(FlipkartTable[[#This Row],[Selling Price]]&lt;15000,"Budget",IF(FlipkartTable[[#This Row],[Selling Price]]&lt;50000,"Mid Range","Premium"))</f>
        <v>Budget</v>
      </c>
      <c r="M219" t="str">
        <f>IF(FlipkartTable[[#This Row],[Rating]]&gt;4.5,"Excellent",IF(FlipkartTable[[#This Row],[Rating]]&gt;4,"Good",IF(FlipkartTable[[#This Row],[Rating]]&gt;3.5,"Average","Poor")))</f>
        <v>Average</v>
      </c>
    </row>
    <row r="220" spans="1:13" x14ac:dyDescent="0.35">
      <c r="A220" t="s">
        <v>8</v>
      </c>
      <c r="B220" s="9" t="s">
        <v>90</v>
      </c>
      <c r="C220" t="s">
        <v>91</v>
      </c>
      <c r="D220" t="s">
        <v>27</v>
      </c>
      <c r="E220" t="s">
        <v>15</v>
      </c>
      <c r="F220">
        <v>4.4000000000000004</v>
      </c>
      <c r="G220">
        <v>18990</v>
      </c>
      <c r="H220">
        <v>22990</v>
      </c>
      <c r="I220">
        <f>FlipkartTable[[#This Row],[Original Price]]-FlipkartTable[[#This Row],[Selling Price]]</f>
        <v>4000</v>
      </c>
      <c r="J220" s="4">
        <f>(FlipkartTable[[#This Row],[Original Price]]-FlipkartTable[[#This Row],[Selling Price]])/FlipkartTable[[#This Row],[Original Price]]</f>
        <v>0.17398869073510223</v>
      </c>
      <c r="K220">
        <f>(FlipkartTable[[#This Row],[Rating]]/FlipkartTable[[#This Row],[Selling Price]])*1000</f>
        <v>0.23170089520800424</v>
      </c>
      <c r="L220" t="str">
        <f>IF(FlipkartTable[[#This Row],[Selling Price]]&lt;15000,"Budget",IF(FlipkartTable[[#This Row],[Selling Price]]&lt;50000,"Mid Range","Premium"))</f>
        <v>Mid Range</v>
      </c>
      <c r="M220" t="str">
        <f>IF(FlipkartTable[[#This Row],[Rating]]&gt;4.5,"Excellent",IF(FlipkartTable[[#This Row],[Rating]]&gt;4,"Good",IF(FlipkartTable[[#This Row],[Rating]]&gt;3.5,"Average","Poor")))</f>
        <v>Good</v>
      </c>
    </row>
    <row r="221" spans="1:13" x14ac:dyDescent="0.35">
      <c r="A221" t="s">
        <v>8</v>
      </c>
      <c r="B221" s="9" t="s">
        <v>178</v>
      </c>
      <c r="C221" t="s">
        <v>179</v>
      </c>
      <c r="D221" t="s">
        <v>14</v>
      </c>
      <c r="E221" t="s">
        <v>15</v>
      </c>
      <c r="F221">
        <v>4.5</v>
      </c>
      <c r="G221">
        <v>38990</v>
      </c>
      <c r="H221">
        <v>41990</v>
      </c>
      <c r="I221">
        <f>FlipkartTable[[#This Row],[Original Price]]-FlipkartTable[[#This Row],[Selling Price]]</f>
        <v>3000</v>
      </c>
      <c r="J221" s="4">
        <f>(FlipkartTable[[#This Row],[Original Price]]-FlipkartTable[[#This Row],[Selling Price]])/FlipkartTable[[#This Row],[Original Price]]</f>
        <v>7.1445582281495598E-2</v>
      </c>
      <c r="K221">
        <f>(FlipkartTable[[#This Row],[Rating]]/FlipkartTable[[#This Row],[Selling Price]])*1000</f>
        <v>0.11541420877147987</v>
      </c>
      <c r="L221" t="str">
        <f>IF(FlipkartTable[[#This Row],[Selling Price]]&lt;15000,"Budget",IF(FlipkartTable[[#This Row],[Selling Price]]&lt;50000,"Mid Range","Premium"))</f>
        <v>Mid Range</v>
      </c>
      <c r="M221" t="str">
        <f>IF(FlipkartTable[[#This Row],[Rating]]&gt;4.5,"Excellent",IF(FlipkartTable[[#This Row],[Rating]]&gt;4,"Good",IF(FlipkartTable[[#This Row],[Rating]]&gt;3.5,"Average","Poor")))</f>
        <v>Good</v>
      </c>
    </row>
    <row r="222" spans="1:13" x14ac:dyDescent="0.35">
      <c r="A222" t="s">
        <v>8</v>
      </c>
      <c r="B222" s="9" t="s">
        <v>103</v>
      </c>
      <c r="C222" t="s">
        <v>104</v>
      </c>
      <c r="D222" t="s">
        <v>11</v>
      </c>
      <c r="E222" t="s">
        <v>15</v>
      </c>
      <c r="F222">
        <v>4.4000000000000004</v>
      </c>
      <c r="G222">
        <v>13990</v>
      </c>
      <c r="H222">
        <v>21990</v>
      </c>
      <c r="I222">
        <f>FlipkartTable[[#This Row],[Original Price]]-FlipkartTable[[#This Row],[Selling Price]]</f>
        <v>8000</v>
      </c>
      <c r="J222" s="4">
        <f>(FlipkartTable[[#This Row],[Original Price]]-FlipkartTable[[#This Row],[Selling Price]])/FlipkartTable[[#This Row],[Original Price]]</f>
        <v>0.36380172805820826</v>
      </c>
      <c r="K222">
        <f>(FlipkartTable[[#This Row],[Rating]]/FlipkartTable[[#This Row],[Selling Price]])*1000</f>
        <v>0.31451036454610443</v>
      </c>
      <c r="L222" t="str">
        <f>IF(FlipkartTable[[#This Row],[Selling Price]]&lt;15000,"Budget",IF(FlipkartTable[[#This Row],[Selling Price]]&lt;50000,"Mid Range","Premium"))</f>
        <v>Budget</v>
      </c>
      <c r="M222" t="str">
        <f>IF(FlipkartTable[[#This Row],[Rating]]&gt;4.5,"Excellent",IF(FlipkartTable[[#This Row],[Rating]]&gt;4,"Good",IF(FlipkartTable[[#This Row],[Rating]]&gt;3.5,"Average","Poor")))</f>
        <v>Good</v>
      </c>
    </row>
    <row r="223" spans="1:13" x14ac:dyDescent="0.35">
      <c r="A223" t="s">
        <v>8</v>
      </c>
      <c r="B223" s="9" t="s">
        <v>62</v>
      </c>
      <c r="C223" t="s">
        <v>180</v>
      </c>
      <c r="D223" t="s">
        <v>63</v>
      </c>
      <c r="E223" t="s">
        <v>64</v>
      </c>
      <c r="F223">
        <v>4.4000000000000004</v>
      </c>
      <c r="G223">
        <v>41990</v>
      </c>
      <c r="H223">
        <v>45990</v>
      </c>
      <c r="I223">
        <f>FlipkartTable[[#This Row],[Original Price]]-FlipkartTable[[#This Row],[Selling Price]]</f>
        <v>4000</v>
      </c>
      <c r="J223" s="4">
        <f>(FlipkartTable[[#This Row],[Original Price]]-FlipkartTable[[#This Row],[Selling Price]])/FlipkartTable[[#This Row],[Original Price]]</f>
        <v>8.6975429441182861E-2</v>
      </c>
      <c r="K223">
        <f>(FlipkartTable[[#This Row],[Rating]]/FlipkartTable[[#This Row],[Selling Price]])*1000</f>
        <v>0.10478685401286021</v>
      </c>
      <c r="L223" t="str">
        <f>IF(FlipkartTable[[#This Row],[Selling Price]]&lt;15000,"Budget",IF(FlipkartTable[[#This Row],[Selling Price]]&lt;50000,"Mid Range","Premium"))</f>
        <v>Mid Range</v>
      </c>
      <c r="M223" t="str">
        <f>IF(FlipkartTable[[#This Row],[Rating]]&gt;4.5,"Excellent",IF(FlipkartTable[[#This Row],[Rating]]&gt;4,"Good",IF(FlipkartTable[[#This Row],[Rating]]&gt;3.5,"Average","Poor")))</f>
        <v>Good</v>
      </c>
    </row>
    <row r="224" spans="1:13" x14ac:dyDescent="0.35">
      <c r="A224" t="s">
        <v>8</v>
      </c>
      <c r="B224" s="9" t="s">
        <v>140</v>
      </c>
      <c r="C224" t="s">
        <v>19</v>
      </c>
      <c r="D224" t="s">
        <v>35</v>
      </c>
      <c r="E224" t="s">
        <v>124</v>
      </c>
      <c r="F224">
        <v>4.2</v>
      </c>
      <c r="G224">
        <v>9990</v>
      </c>
      <c r="H224">
        <v>9990</v>
      </c>
      <c r="I224">
        <f>FlipkartTable[[#This Row],[Original Price]]-FlipkartTable[[#This Row],[Selling Price]]</f>
        <v>0</v>
      </c>
      <c r="J224" s="4">
        <f>(FlipkartTable[[#This Row],[Original Price]]-FlipkartTable[[#This Row],[Selling Price]])/FlipkartTable[[#This Row],[Original Price]]</f>
        <v>0</v>
      </c>
      <c r="K224">
        <f>(FlipkartTable[[#This Row],[Rating]]/FlipkartTable[[#This Row],[Selling Price]])*1000</f>
        <v>0.42042042042042044</v>
      </c>
      <c r="L224" t="str">
        <f>IF(FlipkartTable[[#This Row],[Selling Price]]&lt;15000,"Budget",IF(FlipkartTable[[#This Row],[Selling Price]]&lt;50000,"Mid Range","Premium"))</f>
        <v>Budget</v>
      </c>
      <c r="M224" t="str">
        <f>IF(FlipkartTable[[#This Row],[Rating]]&gt;4.5,"Excellent",IF(FlipkartTable[[#This Row],[Rating]]&gt;4,"Good",IF(FlipkartTable[[#This Row],[Rating]]&gt;3.5,"Average","Poor")))</f>
        <v>Good</v>
      </c>
    </row>
    <row r="225" spans="1:13" x14ac:dyDescent="0.35">
      <c r="A225" t="s">
        <v>8</v>
      </c>
      <c r="B225" s="9" t="s">
        <v>181</v>
      </c>
      <c r="C225" t="s">
        <v>141</v>
      </c>
      <c r="D225" t="s">
        <v>20</v>
      </c>
      <c r="E225" t="s">
        <v>21</v>
      </c>
      <c r="F225">
        <v>4.2</v>
      </c>
      <c r="G225">
        <v>12990</v>
      </c>
      <c r="H225">
        <v>12990</v>
      </c>
      <c r="I225">
        <f>FlipkartTable[[#This Row],[Original Price]]-FlipkartTable[[#This Row],[Selling Price]]</f>
        <v>0</v>
      </c>
      <c r="J225" s="4">
        <f>(FlipkartTable[[#This Row],[Original Price]]-FlipkartTable[[#This Row],[Selling Price]])/FlipkartTable[[#This Row],[Original Price]]</f>
        <v>0</v>
      </c>
      <c r="K225">
        <f>(FlipkartTable[[#This Row],[Rating]]/FlipkartTable[[#This Row],[Selling Price]])*1000</f>
        <v>0.32332563510392609</v>
      </c>
      <c r="L225" t="str">
        <f>IF(FlipkartTable[[#This Row],[Selling Price]]&lt;15000,"Budget",IF(FlipkartTable[[#This Row],[Selling Price]]&lt;50000,"Mid Range","Premium"))</f>
        <v>Budget</v>
      </c>
      <c r="M225" t="str">
        <f>IF(FlipkartTable[[#This Row],[Rating]]&gt;4.5,"Excellent",IF(FlipkartTable[[#This Row],[Rating]]&gt;4,"Good",IF(FlipkartTable[[#This Row],[Rating]]&gt;3.5,"Average","Poor")))</f>
        <v>Good</v>
      </c>
    </row>
    <row r="226" spans="1:13" x14ac:dyDescent="0.35">
      <c r="A226" t="s">
        <v>8</v>
      </c>
      <c r="B226" s="9" t="s">
        <v>115</v>
      </c>
      <c r="C226" t="s">
        <v>114</v>
      </c>
      <c r="D226" t="s">
        <v>11</v>
      </c>
      <c r="E226" t="s">
        <v>12</v>
      </c>
      <c r="F226">
        <v>4</v>
      </c>
      <c r="G226">
        <v>24900</v>
      </c>
      <c r="H226">
        <v>24900</v>
      </c>
      <c r="I226">
        <f>FlipkartTable[[#This Row],[Original Price]]-FlipkartTable[[#This Row],[Selling Price]]</f>
        <v>0</v>
      </c>
      <c r="J226" s="4">
        <f>(FlipkartTable[[#This Row],[Original Price]]-FlipkartTable[[#This Row],[Selling Price]])/FlipkartTable[[#This Row],[Original Price]]</f>
        <v>0</v>
      </c>
      <c r="K226">
        <f>(FlipkartTable[[#This Row],[Rating]]/FlipkartTable[[#This Row],[Selling Price]])*1000</f>
        <v>0.1606425702811245</v>
      </c>
      <c r="L226" t="str">
        <f>IF(FlipkartTable[[#This Row],[Selling Price]]&lt;15000,"Budget",IF(FlipkartTable[[#This Row],[Selling Price]]&lt;50000,"Mid Range","Premium"))</f>
        <v>Mid Range</v>
      </c>
      <c r="M226" t="str">
        <f>IF(FlipkartTable[[#This Row],[Rating]]&gt;4.5,"Excellent",IF(FlipkartTable[[#This Row],[Rating]]&gt;4,"Good",IF(FlipkartTable[[#This Row],[Rating]]&gt;3.5,"Average","Poor")))</f>
        <v>Average</v>
      </c>
    </row>
    <row r="227" spans="1:13" x14ac:dyDescent="0.35">
      <c r="A227" t="s">
        <v>8</v>
      </c>
      <c r="B227" s="9" t="s">
        <v>122</v>
      </c>
      <c r="C227" t="s">
        <v>19</v>
      </c>
      <c r="D227" t="s">
        <v>20</v>
      </c>
      <c r="E227" t="s">
        <v>21</v>
      </c>
      <c r="F227">
        <v>4.4000000000000004</v>
      </c>
      <c r="G227">
        <v>13490</v>
      </c>
      <c r="H227">
        <v>13490</v>
      </c>
      <c r="I227">
        <f>FlipkartTable[[#This Row],[Original Price]]-FlipkartTable[[#This Row],[Selling Price]]</f>
        <v>0</v>
      </c>
      <c r="J227" s="4">
        <f>(FlipkartTable[[#This Row],[Original Price]]-FlipkartTable[[#This Row],[Selling Price]])/FlipkartTable[[#This Row],[Original Price]]</f>
        <v>0</v>
      </c>
      <c r="K227">
        <f>(FlipkartTable[[#This Row],[Rating]]/FlipkartTable[[#This Row],[Selling Price]])*1000</f>
        <v>0.32616753150481836</v>
      </c>
      <c r="L227" t="str">
        <f>IF(FlipkartTable[[#This Row],[Selling Price]]&lt;15000,"Budget",IF(FlipkartTable[[#This Row],[Selling Price]]&lt;50000,"Mid Range","Premium"))</f>
        <v>Budget</v>
      </c>
      <c r="M227" t="str">
        <f>IF(FlipkartTable[[#This Row],[Rating]]&gt;4.5,"Excellent",IF(FlipkartTable[[#This Row],[Rating]]&gt;4,"Good",IF(FlipkartTable[[#This Row],[Rating]]&gt;3.5,"Average","Poor")))</f>
        <v>Good</v>
      </c>
    </row>
    <row r="228" spans="1:13" x14ac:dyDescent="0.35">
      <c r="A228" t="s">
        <v>8</v>
      </c>
      <c r="B228" s="9" t="s">
        <v>161</v>
      </c>
      <c r="C228" t="s">
        <v>165</v>
      </c>
      <c r="D228" t="s">
        <v>14</v>
      </c>
      <c r="E228" t="s">
        <v>15</v>
      </c>
      <c r="F228">
        <v>4.5</v>
      </c>
      <c r="G228">
        <v>17990</v>
      </c>
      <c r="H228">
        <v>29990</v>
      </c>
      <c r="I228">
        <f>FlipkartTable[[#This Row],[Original Price]]-FlipkartTable[[#This Row],[Selling Price]]</f>
        <v>12000</v>
      </c>
      <c r="J228" s="4">
        <f>(FlipkartTable[[#This Row],[Original Price]]-FlipkartTable[[#This Row],[Selling Price]])/FlipkartTable[[#This Row],[Original Price]]</f>
        <v>0.40013337779259756</v>
      </c>
      <c r="K228">
        <f>(FlipkartTable[[#This Row],[Rating]]/FlipkartTable[[#This Row],[Selling Price]])*1000</f>
        <v>0.25013896609227348</v>
      </c>
      <c r="L228" t="str">
        <f>IF(FlipkartTable[[#This Row],[Selling Price]]&lt;15000,"Budget",IF(FlipkartTable[[#This Row],[Selling Price]]&lt;50000,"Mid Range","Premium"))</f>
        <v>Mid Range</v>
      </c>
      <c r="M228" t="str">
        <f>IF(FlipkartTable[[#This Row],[Rating]]&gt;4.5,"Excellent",IF(FlipkartTable[[#This Row],[Rating]]&gt;4,"Good",IF(FlipkartTable[[#This Row],[Rating]]&gt;3.5,"Average","Poor")))</f>
        <v>Good</v>
      </c>
    </row>
    <row r="229" spans="1:13" x14ac:dyDescent="0.35">
      <c r="A229" t="s">
        <v>8</v>
      </c>
      <c r="B229" s="9" t="s">
        <v>181</v>
      </c>
      <c r="C229" t="s">
        <v>141</v>
      </c>
      <c r="D229" t="s">
        <v>11</v>
      </c>
      <c r="E229" t="s">
        <v>12</v>
      </c>
      <c r="F229">
        <v>4.3</v>
      </c>
      <c r="G229">
        <v>18990</v>
      </c>
      <c r="H229">
        <v>18990</v>
      </c>
      <c r="I229">
        <f>FlipkartTable[[#This Row],[Original Price]]-FlipkartTable[[#This Row],[Selling Price]]</f>
        <v>0</v>
      </c>
      <c r="J229" s="4">
        <f>(FlipkartTable[[#This Row],[Original Price]]-FlipkartTable[[#This Row],[Selling Price]])/FlipkartTable[[#This Row],[Original Price]]</f>
        <v>0</v>
      </c>
      <c r="K229">
        <f>(FlipkartTable[[#This Row],[Rating]]/FlipkartTable[[#This Row],[Selling Price]])*1000</f>
        <v>0.22643496577145866</v>
      </c>
      <c r="L229" t="str">
        <f>IF(FlipkartTable[[#This Row],[Selling Price]]&lt;15000,"Budget",IF(FlipkartTable[[#This Row],[Selling Price]]&lt;50000,"Mid Range","Premium"))</f>
        <v>Mid Range</v>
      </c>
      <c r="M229" t="str">
        <f>IF(FlipkartTable[[#This Row],[Rating]]&gt;4.5,"Excellent",IF(FlipkartTable[[#This Row],[Rating]]&gt;4,"Good",IF(FlipkartTable[[#This Row],[Rating]]&gt;3.5,"Average","Poor")))</f>
        <v>Good</v>
      </c>
    </row>
    <row r="230" spans="1:13" x14ac:dyDescent="0.35">
      <c r="A230" t="s">
        <v>8</v>
      </c>
      <c r="B230" s="9" t="s">
        <v>181</v>
      </c>
      <c r="C230" t="s">
        <v>114</v>
      </c>
      <c r="D230" t="s">
        <v>11</v>
      </c>
      <c r="E230" t="s">
        <v>12</v>
      </c>
      <c r="F230">
        <v>4.3</v>
      </c>
      <c r="G230">
        <v>18990</v>
      </c>
      <c r="H230">
        <v>18990</v>
      </c>
      <c r="I230">
        <f>FlipkartTable[[#This Row],[Original Price]]-FlipkartTable[[#This Row],[Selling Price]]</f>
        <v>0</v>
      </c>
      <c r="J230" s="4">
        <f>(FlipkartTable[[#This Row],[Original Price]]-FlipkartTable[[#This Row],[Selling Price]])/FlipkartTable[[#This Row],[Original Price]]</f>
        <v>0</v>
      </c>
      <c r="K230">
        <f>(FlipkartTable[[#This Row],[Rating]]/FlipkartTable[[#This Row],[Selling Price]])*1000</f>
        <v>0.22643496577145866</v>
      </c>
      <c r="L230" t="str">
        <f>IF(FlipkartTable[[#This Row],[Selling Price]]&lt;15000,"Budget",IF(FlipkartTable[[#This Row],[Selling Price]]&lt;50000,"Mid Range","Premium"))</f>
        <v>Mid Range</v>
      </c>
      <c r="M230" t="str">
        <f>IF(FlipkartTable[[#This Row],[Rating]]&gt;4.5,"Excellent",IF(FlipkartTable[[#This Row],[Rating]]&gt;4,"Good",IF(FlipkartTable[[#This Row],[Rating]]&gt;3.5,"Average","Poor")))</f>
        <v>Good</v>
      </c>
    </row>
    <row r="231" spans="1:13" x14ac:dyDescent="0.35">
      <c r="A231" t="s">
        <v>8</v>
      </c>
      <c r="B231" s="9" t="s">
        <v>181</v>
      </c>
      <c r="C231" t="s">
        <v>116</v>
      </c>
      <c r="D231" t="s">
        <v>11</v>
      </c>
      <c r="E231" t="s">
        <v>12</v>
      </c>
      <c r="F231">
        <v>4.3</v>
      </c>
      <c r="G231">
        <v>18990</v>
      </c>
      <c r="H231">
        <v>18990</v>
      </c>
      <c r="I231">
        <f>FlipkartTable[[#This Row],[Original Price]]-FlipkartTable[[#This Row],[Selling Price]]</f>
        <v>0</v>
      </c>
      <c r="J231" s="4">
        <f>(FlipkartTable[[#This Row],[Original Price]]-FlipkartTable[[#This Row],[Selling Price]])/FlipkartTable[[#This Row],[Original Price]]</f>
        <v>0</v>
      </c>
      <c r="K231">
        <f>(FlipkartTable[[#This Row],[Rating]]/FlipkartTable[[#This Row],[Selling Price]])*1000</f>
        <v>0.22643496577145866</v>
      </c>
      <c r="L231" t="str">
        <f>IF(FlipkartTable[[#This Row],[Selling Price]]&lt;15000,"Budget",IF(FlipkartTable[[#This Row],[Selling Price]]&lt;50000,"Mid Range","Premium"))</f>
        <v>Mid Range</v>
      </c>
      <c r="M231" t="str">
        <f>IF(FlipkartTable[[#This Row],[Rating]]&gt;4.5,"Excellent",IF(FlipkartTable[[#This Row],[Rating]]&gt;4,"Good",IF(FlipkartTable[[#This Row],[Rating]]&gt;3.5,"Average","Poor")))</f>
        <v>Good</v>
      </c>
    </row>
    <row r="232" spans="1:13" x14ac:dyDescent="0.35">
      <c r="A232" t="s">
        <v>8</v>
      </c>
      <c r="B232" s="9" t="s">
        <v>178</v>
      </c>
      <c r="C232" t="s">
        <v>182</v>
      </c>
      <c r="D232" t="s">
        <v>14</v>
      </c>
      <c r="E232" t="s">
        <v>15</v>
      </c>
      <c r="F232">
        <v>4.5</v>
      </c>
      <c r="G232">
        <v>38990</v>
      </c>
      <c r="H232">
        <v>41990</v>
      </c>
      <c r="I232">
        <f>FlipkartTable[[#This Row],[Original Price]]-FlipkartTable[[#This Row],[Selling Price]]</f>
        <v>3000</v>
      </c>
      <c r="J232" s="4">
        <f>(FlipkartTable[[#This Row],[Original Price]]-FlipkartTable[[#This Row],[Selling Price]])/FlipkartTable[[#This Row],[Original Price]]</f>
        <v>7.1445582281495598E-2</v>
      </c>
      <c r="K232">
        <f>(FlipkartTable[[#This Row],[Rating]]/FlipkartTable[[#This Row],[Selling Price]])*1000</f>
        <v>0.11541420877147987</v>
      </c>
      <c r="L232" t="str">
        <f>IF(FlipkartTable[[#This Row],[Selling Price]]&lt;15000,"Budget",IF(FlipkartTable[[#This Row],[Selling Price]]&lt;50000,"Mid Range","Premium"))</f>
        <v>Mid Range</v>
      </c>
      <c r="M232" t="str">
        <f>IF(FlipkartTable[[#This Row],[Rating]]&gt;4.5,"Excellent",IF(FlipkartTable[[#This Row],[Rating]]&gt;4,"Good",IF(FlipkartTable[[#This Row],[Rating]]&gt;3.5,"Average","Poor")))</f>
        <v>Good</v>
      </c>
    </row>
    <row r="233" spans="1:13" x14ac:dyDescent="0.35">
      <c r="A233" t="s">
        <v>8</v>
      </c>
      <c r="B233" s="9" t="s">
        <v>178</v>
      </c>
      <c r="C233" t="s">
        <v>179</v>
      </c>
      <c r="D233" t="s">
        <v>27</v>
      </c>
      <c r="E233" t="s">
        <v>64</v>
      </c>
      <c r="F233">
        <v>4.4000000000000004</v>
      </c>
      <c r="G233">
        <v>41990</v>
      </c>
      <c r="H233">
        <v>55990</v>
      </c>
      <c r="I233">
        <f>FlipkartTable[[#This Row],[Original Price]]-FlipkartTable[[#This Row],[Selling Price]]</f>
        <v>14000</v>
      </c>
      <c r="J233" s="4">
        <f>(FlipkartTable[[#This Row],[Original Price]]-FlipkartTable[[#This Row],[Selling Price]])/FlipkartTable[[#This Row],[Original Price]]</f>
        <v>0.25004465083050542</v>
      </c>
      <c r="K233">
        <f>(FlipkartTable[[#This Row],[Rating]]/FlipkartTable[[#This Row],[Selling Price]])*1000</f>
        <v>0.10478685401286021</v>
      </c>
      <c r="L233" t="str">
        <f>IF(FlipkartTable[[#This Row],[Selling Price]]&lt;15000,"Budget",IF(FlipkartTable[[#This Row],[Selling Price]]&lt;50000,"Mid Range","Premium"))</f>
        <v>Mid Range</v>
      </c>
      <c r="M233" t="str">
        <f>IF(FlipkartTable[[#This Row],[Rating]]&gt;4.5,"Excellent",IF(FlipkartTable[[#This Row],[Rating]]&gt;4,"Good",IF(FlipkartTable[[#This Row],[Rating]]&gt;3.5,"Average","Poor")))</f>
        <v>Good</v>
      </c>
    </row>
    <row r="234" spans="1:13" x14ac:dyDescent="0.35">
      <c r="A234" t="s">
        <v>8</v>
      </c>
      <c r="B234" s="9" t="s">
        <v>178</v>
      </c>
      <c r="C234" t="s">
        <v>182</v>
      </c>
      <c r="D234" t="s">
        <v>27</v>
      </c>
      <c r="E234" t="s">
        <v>64</v>
      </c>
      <c r="F234">
        <v>4.4000000000000004</v>
      </c>
      <c r="G234">
        <v>41990</v>
      </c>
      <c r="H234">
        <v>55990</v>
      </c>
      <c r="I234">
        <f>FlipkartTable[[#This Row],[Original Price]]-FlipkartTable[[#This Row],[Selling Price]]</f>
        <v>14000</v>
      </c>
      <c r="J234" s="4">
        <f>(FlipkartTable[[#This Row],[Original Price]]-FlipkartTable[[#This Row],[Selling Price]])/FlipkartTable[[#This Row],[Original Price]]</f>
        <v>0.25004465083050542</v>
      </c>
      <c r="K234">
        <f>(FlipkartTable[[#This Row],[Rating]]/FlipkartTable[[#This Row],[Selling Price]])*1000</f>
        <v>0.10478685401286021</v>
      </c>
      <c r="L234" t="str">
        <f>IF(FlipkartTable[[#This Row],[Selling Price]]&lt;15000,"Budget",IF(FlipkartTable[[#This Row],[Selling Price]]&lt;50000,"Mid Range","Premium"))</f>
        <v>Mid Range</v>
      </c>
      <c r="M234" t="str">
        <f>IF(FlipkartTable[[#This Row],[Rating]]&gt;4.5,"Excellent",IF(FlipkartTable[[#This Row],[Rating]]&gt;4,"Good",IF(FlipkartTable[[#This Row],[Rating]]&gt;3.5,"Average","Poor")))</f>
        <v>Good</v>
      </c>
    </row>
    <row r="235" spans="1:13" x14ac:dyDescent="0.35">
      <c r="A235" t="s">
        <v>8</v>
      </c>
      <c r="B235" s="9" t="s">
        <v>140</v>
      </c>
      <c r="C235" t="s">
        <v>116</v>
      </c>
      <c r="D235" t="s">
        <v>35</v>
      </c>
      <c r="E235" t="s">
        <v>124</v>
      </c>
      <c r="F235">
        <v>4.2</v>
      </c>
      <c r="G235">
        <v>9990</v>
      </c>
      <c r="H235">
        <v>9990</v>
      </c>
      <c r="I235">
        <f>FlipkartTable[[#This Row],[Original Price]]-FlipkartTable[[#This Row],[Selling Price]]</f>
        <v>0</v>
      </c>
      <c r="J235" s="4">
        <f>(FlipkartTable[[#This Row],[Original Price]]-FlipkartTable[[#This Row],[Selling Price]])/FlipkartTable[[#This Row],[Original Price]]</f>
        <v>0</v>
      </c>
      <c r="K235">
        <f>(FlipkartTable[[#This Row],[Rating]]/FlipkartTable[[#This Row],[Selling Price]])*1000</f>
        <v>0.42042042042042044</v>
      </c>
      <c r="L235" t="str">
        <f>IF(FlipkartTable[[#This Row],[Selling Price]]&lt;15000,"Budget",IF(FlipkartTable[[#This Row],[Selling Price]]&lt;50000,"Mid Range","Premium"))</f>
        <v>Budget</v>
      </c>
      <c r="M235" t="str">
        <f>IF(FlipkartTable[[#This Row],[Rating]]&gt;4.5,"Excellent",IF(FlipkartTable[[#This Row],[Rating]]&gt;4,"Good",IF(FlipkartTable[[#This Row],[Rating]]&gt;3.5,"Average","Poor")))</f>
        <v>Good</v>
      </c>
    </row>
    <row r="236" spans="1:13" x14ac:dyDescent="0.35">
      <c r="A236" t="s">
        <v>8</v>
      </c>
      <c r="B236" s="9" t="s">
        <v>174</v>
      </c>
      <c r="C236" t="s">
        <v>183</v>
      </c>
      <c r="D236" t="s">
        <v>27</v>
      </c>
      <c r="E236" t="s">
        <v>64</v>
      </c>
      <c r="F236">
        <v>4.4000000000000004</v>
      </c>
      <c r="G236">
        <v>38990</v>
      </c>
      <c r="H236">
        <v>39990</v>
      </c>
      <c r="I236">
        <f>FlipkartTable[[#This Row],[Original Price]]-FlipkartTable[[#This Row],[Selling Price]]</f>
        <v>1000</v>
      </c>
      <c r="J236" s="4">
        <f>(FlipkartTable[[#This Row],[Original Price]]-FlipkartTable[[#This Row],[Selling Price]])/FlipkartTable[[#This Row],[Original Price]]</f>
        <v>2.5006251562890724E-2</v>
      </c>
      <c r="K236">
        <f>(FlipkartTable[[#This Row],[Rating]]/FlipkartTable[[#This Row],[Selling Price]])*1000</f>
        <v>0.1128494485765581</v>
      </c>
      <c r="L236" t="str">
        <f>IF(FlipkartTable[[#This Row],[Selling Price]]&lt;15000,"Budget",IF(FlipkartTable[[#This Row],[Selling Price]]&lt;50000,"Mid Range","Premium"))</f>
        <v>Mid Range</v>
      </c>
      <c r="M236" t="str">
        <f>IF(FlipkartTable[[#This Row],[Rating]]&gt;4.5,"Excellent",IF(FlipkartTable[[#This Row],[Rating]]&gt;4,"Good",IF(FlipkartTable[[#This Row],[Rating]]&gt;3.5,"Average","Poor")))</f>
        <v>Good</v>
      </c>
    </row>
    <row r="237" spans="1:13" x14ac:dyDescent="0.35">
      <c r="A237" t="s">
        <v>8</v>
      </c>
      <c r="B237" s="9" t="s">
        <v>184</v>
      </c>
      <c r="C237" t="s">
        <v>152</v>
      </c>
      <c r="D237" t="s">
        <v>35</v>
      </c>
      <c r="E237" t="s">
        <v>124</v>
      </c>
      <c r="F237">
        <v>3.1</v>
      </c>
      <c r="G237">
        <v>9990</v>
      </c>
      <c r="H237">
        <v>9990</v>
      </c>
      <c r="I237">
        <f>FlipkartTable[[#This Row],[Original Price]]-FlipkartTable[[#This Row],[Selling Price]]</f>
        <v>0</v>
      </c>
      <c r="J237" s="4">
        <f>(FlipkartTable[[#This Row],[Original Price]]-FlipkartTable[[#This Row],[Selling Price]])/FlipkartTable[[#This Row],[Original Price]]</f>
        <v>0</v>
      </c>
      <c r="K237">
        <f>(FlipkartTable[[#This Row],[Rating]]/FlipkartTable[[#This Row],[Selling Price]])*1000</f>
        <v>0.31031031031031031</v>
      </c>
      <c r="L237" t="str">
        <f>IF(FlipkartTable[[#This Row],[Selling Price]]&lt;15000,"Budget",IF(FlipkartTable[[#This Row],[Selling Price]]&lt;50000,"Mid Range","Premium"))</f>
        <v>Budget</v>
      </c>
      <c r="M237" t="str">
        <f>IF(FlipkartTable[[#This Row],[Rating]]&gt;4.5,"Excellent",IF(FlipkartTable[[#This Row],[Rating]]&gt;4,"Good",IF(FlipkartTable[[#This Row],[Rating]]&gt;3.5,"Average","Poor")))</f>
        <v>Poor</v>
      </c>
    </row>
    <row r="238" spans="1:13" x14ac:dyDescent="0.35">
      <c r="A238" t="s">
        <v>8</v>
      </c>
      <c r="B238" s="9" t="s">
        <v>142</v>
      </c>
      <c r="C238" t="s">
        <v>185</v>
      </c>
      <c r="D238" t="s">
        <v>14</v>
      </c>
      <c r="E238" t="s">
        <v>15</v>
      </c>
      <c r="F238">
        <v>4.5</v>
      </c>
      <c r="G238">
        <v>21990</v>
      </c>
      <c r="H238">
        <v>27990</v>
      </c>
      <c r="I238">
        <f>FlipkartTable[[#This Row],[Original Price]]-FlipkartTable[[#This Row],[Selling Price]]</f>
        <v>6000</v>
      </c>
      <c r="J238" s="4">
        <f>(FlipkartTable[[#This Row],[Original Price]]-FlipkartTable[[#This Row],[Selling Price]])/FlipkartTable[[#This Row],[Original Price]]</f>
        <v>0.21436227224008575</v>
      </c>
      <c r="K238">
        <f>(FlipkartTable[[#This Row],[Rating]]/FlipkartTable[[#This Row],[Selling Price]])*1000</f>
        <v>0.20463847203274216</v>
      </c>
      <c r="L238" t="str">
        <f>IF(FlipkartTable[[#This Row],[Selling Price]]&lt;15000,"Budget",IF(FlipkartTable[[#This Row],[Selling Price]]&lt;50000,"Mid Range","Premium"))</f>
        <v>Mid Range</v>
      </c>
      <c r="M238" t="str">
        <f>IF(FlipkartTable[[#This Row],[Rating]]&gt;4.5,"Excellent",IF(FlipkartTable[[#This Row],[Rating]]&gt;4,"Good",IF(FlipkartTable[[#This Row],[Rating]]&gt;3.5,"Average","Poor")))</f>
        <v>Good</v>
      </c>
    </row>
    <row r="239" spans="1:13" x14ac:dyDescent="0.35">
      <c r="A239" t="s">
        <v>186</v>
      </c>
      <c r="B239" s="9" t="s">
        <v>187</v>
      </c>
      <c r="C239" t="s">
        <v>188</v>
      </c>
      <c r="D239" t="s">
        <v>14</v>
      </c>
      <c r="E239" t="s">
        <v>15</v>
      </c>
      <c r="F239">
        <v>4.7</v>
      </c>
      <c r="G239">
        <v>56990</v>
      </c>
      <c r="H239">
        <v>56990</v>
      </c>
      <c r="I239">
        <f>FlipkartTable[[#This Row],[Original Price]]-FlipkartTable[[#This Row],[Selling Price]]</f>
        <v>0</v>
      </c>
      <c r="J239" s="4">
        <f>(FlipkartTable[[#This Row],[Original Price]]-FlipkartTable[[#This Row],[Selling Price]])/FlipkartTable[[#This Row],[Original Price]]</f>
        <v>0</v>
      </c>
      <c r="K239">
        <f>(FlipkartTable[[#This Row],[Rating]]/FlipkartTable[[#This Row],[Selling Price]])*1000</f>
        <v>8.2470608878750656E-2</v>
      </c>
      <c r="L239" t="str">
        <f>IF(FlipkartTable[[#This Row],[Selling Price]]&lt;15000,"Budget",IF(FlipkartTable[[#This Row],[Selling Price]]&lt;50000,"Mid Range","Premium"))</f>
        <v>Premium</v>
      </c>
      <c r="M239" t="str">
        <f>IF(FlipkartTable[[#This Row],[Rating]]&gt;4.5,"Excellent",IF(FlipkartTable[[#This Row],[Rating]]&gt;4,"Good",IF(FlipkartTable[[#This Row],[Rating]]&gt;3.5,"Average","Poor")))</f>
        <v>Excellent</v>
      </c>
    </row>
    <row r="240" spans="1:13" x14ac:dyDescent="0.35">
      <c r="A240" t="s">
        <v>186</v>
      </c>
      <c r="B240" s="9" t="s">
        <v>189</v>
      </c>
      <c r="C240" t="s">
        <v>22</v>
      </c>
      <c r="D240" t="s">
        <v>20</v>
      </c>
      <c r="E240" t="s">
        <v>21</v>
      </c>
      <c r="F240">
        <v>3.9</v>
      </c>
      <c r="G240">
        <v>12999</v>
      </c>
      <c r="H240">
        <v>12999</v>
      </c>
      <c r="I240">
        <f>FlipkartTable[[#This Row],[Original Price]]-FlipkartTable[[#This Row],[Selling Price]]</f>
        <v>0</v>
      </c>
      <c r="J240" s="4">
        <f>(FlipkartTable[[#This Row],[Original Price]]-FlipkartTable[[#This Row],[Selling Price]])/FlipkartTable[[#This Row],[Original Price]]</f>
        <v>0</v>
      </c>
      <c r="K240">
        <f>(FlipkartTable[[#This Row],[Rating]]/FlipkartTable[[#This Row],[Selling Price]])*1000</f>
        <v>0.30002307869836142</v>
      </c>
      <c r="L240" t="str">
        <f>IF(FlipkartTable[[#This Row],[Selling Price]]&lt;15000,"Budget",IF(FlipkartTable[[#This Row],[Selling Price]]&lt;50000,"Mid Range","Premium"))</f>
        <v>Budget</v>
      </c>
      <c r="M240" t="str">
        <f>IF(FlipkartTable[[#This Row],[Rating]]&gt;4.5,"Excellent",IF(FlipkartTable[[#This Row],[Rating]]&gt;4,"Good",IF(FlipkartTable[[#This Row],[Rating]]&gt;3.5,"Average","Poor")))</f>
        <v>Average</v>
      </c>
    </row>
    <row r="241" spans="1:13" x14ac:dyDescent="0.35">
      <c r="A241" t="s">
        <v>186</v>
      </c>
      <c r="B241" s="9" t="s">
        <v>189</v>
      </c>
      <c r="C241" t="s">
        <v>22</v>
      </c>
      <c r="D241" t="s">
        <v>11</v>
      </c>
      <c r="E241" t="s">
        <v>15</v>
      </c>
      <c r="F241">
        <v>3.9</v>
      </c>
      <c r="G241">
        <v>16999</v>
      </c>
      <c r="H241">
        <v>16999</v>
      </c>
      <c r="I241">
        <f>FlipkartTable[[#This Row],[Original Price]]-FlipkartTable[[#This Row],[Selling Price]]</f>
        <v>0</v>
      </c>
      <c r="J241" s="4">
        <f>(FlipkartTable[[#This Row],[Original Price]]-FlipkartTable[[#This Row],[Selling Price]])/FlipkartTable[[#This Row],[Original Price]]</f>
        <v>0</v>
      </c>
      <c r="K241">
        <f>(FlipkartTable[[#This Row],[Rating]]/FlipkartTable[[#This Row],[Selling Price]])*1000</f>
        <v>0.22942526030942997</v>
      </c>
      <c r="L241" t="str">
        <f>IF(FlipkartTable[[#This Row],[Selling Price]]&lt;15000,"Budget",IF(FlipkartTable[[#This Row],[Selling Price]]&lt;50000,"Mid Range","Premium"))</f>
        <v>Mid Range</v>
      </c>
      <c r="M241" t="str">
        <f>IF(FlipkartTable[[#This Row],[Rating]]&gt;4.5,"Excellent",IF(FlipkartTable[[#This Row],[Rating]]&gt;4,"Good",IF(FlipkartTable[[#This Row],[Rating]]&gt;3.5,"Average","Poor")))</f>
        <v>Average</v>
      </c>
    </row>
    <row r="242" spans="1:13" x14ac:dyDescent="0.35">
      <c r="A242" t="s">
        <v>186</v>
      </c>
      <c r="B242" s="9" t="s">
        <v>189</v>
      </c>
      <c r="C242" t="s">
        <v>22</v>
      </c>
      <c r="D242" t="s">
        <v>11</v>
      </c>
      <c r="E242" t="s">
        <v>15</v>
      </c>
      <c r="F242">
        <v>3.9</v>
      </c>
      <c r="G242">
        <v>17999</v>
      </c>
      <c r="H242">
        <v>17999</v>
      </c>
      <c r="I242">
        <f>FlipkartTable[[#This Row],[Original Price]]-FlipkartTable[[#This Row],[Selling Price]]</f>
        <v>0</v>
      </c>
      <c r="J242" s="4">
        <f>(FlipkartTable[[#This Row],[Original Price]]-FlipkartTable[[#This Row],[Selling Price]])/FlipkartTable[[#This Row],[Original Price]]</f>
        <v>0</v>
      </c>
      <c r="K242">
        <f>(FlipkartTable[[#This Row],[Rating]]/FlipkartTable[[#This Row],[Selling Price]])*1000</f>
        <v>0.21667870437246511</v>
      </c>
      <c r="L242" t="str">
        <f>IF(FlipkartTable[[#This Row],[Selling Price]]&lt;15000,"Budget",IF(FlipkartTable[[#This Row],[Selling Price]]&lt;50000,"Mid Range","Premium"))</f>
        <v>Mid Range</v>
      </c>
      <c r="M242" t="str">
        <f>IF(FlipkartTable[[#This Row],[Rating]]&gt;4.5,"Excellent",IF(FlipkartTable[[#This Row],[Rating]]&gt;4,"Good",IF(FlipkartTable[[#This Row],[Rating]]&gt;3.5,"Average","Poor")))</f>
        <v>Average</v>
      </c>
    </row>
    <row r="243" spans="1:13" x14ac:dyDescent="0.35">
      <c r="A243" t="s">
        <v>186</v>
      </c>
      <c r="B243" s="9" t="s">
        <v>189</v>
      </c>
      <c r="C243" t="s">
        <v>190</v>
      </c>
      <c r="D243" t="s">
        <v>20</v>
      </c>
      <c r="E243" t="s">
        <v>21</v>
      </c>
      <c r="F243">
        <v>3.9</v>
      </c>
      <c r="G243">
        <v>13999</v>
      </c>
      <c r="H243">
        <v>13999</v>
      </c>
      <c r="I243">
        <f>FlipkartTable[[#This Row],[Original Price]]-FlipkartTable[[#This Row],[Selling Price]]</f>
        <v>0</v>
      </c>
      <c r="J243" s="4">
        <f>(FlipkartTable[[#This Row],[Original Price]]-FlipkartTable[[#This Row],[Selling Price]])/FlipkartTable[[#This Row],[Original Price]]</f>
        <v>0</v>
      </c>
      <c r="K243">
        <f>(FlipkartTable[[#This Row],[Rating]]/FlipkartTable[[#This Row],[Selling Price]])*1000</f>
        <v>0.27859132795199659</v>
      </c>
      <c r="L243" t="str">
        <f>IF(FlipkartTable[[#This Row],[Selling Price]]&lt;15000,"Budget",IF(FlipkartTable[[#This Row],[Selling Price]]&lt;50000,"Mid Range","Premium"))</f>
        <v>Budget</v>
      </c>
      <c r="M243" t="str">
        <f>IF(FlipkartTable[[#This Row],[Rating]]&gt;4.5,"Excellent",IF(FlipkartTable[[#This Row],[Rating]]&gt;4,"Good",IF(FlipkartTable[[#This Row],[Rating]]&gt;3.5,"Average","Poor")))</f>
        <v>Average</v>
      </c>
    </row>
    <row r="244" spans="1:13" x14ac:dyDescent="0.35">
      <c r="A244" t="s">
        <v>191</v>
      </c>
      <c r="B244" s="9">
        <v>3</v>
      </c>
      <c r="C244" t="s">
        <v>192</v>
      </c>
      <c r="D244" t="s">
        <v>27</v>
      </c>
      <c r="E244" t="s">
        <v>15</v>
      </c>
      <c r="F244">
        <v>4.4000000000000004</v>
      </c>
      <c r="G244">
        <v>34990</v>
      </c>
      <c r="H244">
        <v>37990</v>
      </c>
      <c r="I244">
        <f>FlipkartTable[[#This Row],[Original Price]]-FlipkartTable[[#This Row],[Selling Price]]</f>
        <v>3000</v>
      </c>
      <c r="J244" s="4">
        <f>(FlipkartTable[[#This Row],[Original Price]]-FlipkartTable[[#This Row],[Selling Price]])/FlipkartTable[[#This Row],[Original Price]]</f>
        <v>7.8968149513029745E-2</v>
      </c>
      <c r="K244">
        <f>(FlipkartTable[[#This Row],[Rating]]/FlipkartTable[[#This Row],[Selling Price]])*1000</f>
        <v>0.12575021434695627</v>
      </c>
      <c r="L244" t="str">
        <f>IF(FlipkartTable[[#This Row],[Selling Price]]&lt;15000,"Budget",IF(FlipkartTable[[#This Row],[Selling Price]]&lt;50000,"Mid Range","Premium"))</f>
        <v>Mid Range</v>
      </c>
      <c r="M244" t="str">
        <f>IF(FlipkartTable[[#This Row],[Rating]]&gt;4.5,"Excellent",IF(FlipkartTable[[#This Row],[Rating]]&gt;4,"Good",IF(FlipkartTable[[#This Row],[Rating]]&gt;3.5,"Average","Poor")))</f>
        <v>Good</v>
      </c>
    </row>
    <row r="245" spans="1:13" x14ac:dyDescent="0.35">
      <c r="A245" t="s">
        <v>191</v>
      </c>
      <c r="B245" s="9">
        <v>3</v>
      </c>
      <c r="C245" t="s">
        <v>193</v>
      </c>
      <c r="D245" t="s">
        <v>27</v>
      </c>
      <c r="E245" t="s">
        <v>15</v>
      </c>
      <c r="F245">
        <v>4.4000000000000004</v>
      </c>
      <c r="G245">
        <v>34990</v>
      </c>
      <c r="H245">
        <v>37990</v>
      </c>
      <c r="I245">
        <f>FlipkartTable[[#This Row],[Original Price]]-FlipkartTable[[#This Row],[Selling Price]]</f>
        <v>3000</v>
      </c>
      <c r="J245" s="4">
        <f>(FlipkartTable[[#This Row],[Original Price]]-FlipkartTable[[#This Row],[Selling Price]])/FlipkartTable[[#This Row],[Original Price]]</f>
        <v>7.8968149513029745E-2</v>
      </c>
      <c r="K245">
        <f>(FlipkartTable[[#This Row],[Rating]]/FlipkartTable[[#This Row],[Selling Price]])*1000</f>
        <v>0.12575021434695627</v>
      </c>
      <c r="L245" t="str">
        <f>IF(FlipkartTable[[#This Row],[Selling Price]]&lt;15000,"Budget",IF(FlipkartTable[[#This Row],[Selling Price]]&lt;50000,"Mid Range","Premium"))</f>
        <v>Mid Range</v>
      </c>
      <c r="M245" t="str">
        <f>IF(FlipkartTable[[#This Row],[Rating]]&gt;4.5,"Excellent",IF(FlipkartTable[[#This Row],[Rating]]&gt;4,"Good",IF(FlipkartTable[[#This Row],[Rating]]&gt;3.5,"Average","Poor")))</f>
        <v>Good</v>
      </c>
    </row>
    <row r="246" spans="1:13" x14ac:dyDescent="0.35">
      <c r="A246" t="s">
        <v>191</v>
      </c>
      <c r="B246" s="9">
        <v>3</v>
      </c>
      <c r="C246" t="s">
        <v>192</v>
      </c>
      <c r="D246" t="s">
        <v>27</v>
      </c>
      <c r="E246" t="s">
        <v>64</v>
      </c>
      <c r="F246">
        <v>4.4000000000000004</v>
      </c>
      <c r="G246">
        <v>37990</v>
      </c>
      <c r="H246">
        <v>40990</v>
      </c>
      <c r="I246">
        <f>FlipkartTable[[#This Row],[Original Price]]-FlipkartTable[[#This Row],[Selling Price]]</f>
        <v>3000</v>
      </c>
      <c r="J246" s="4">
        <f>(FlipkartTable[[#This Row],[Original Price]]-FlipkartTable[[#This Row],[Selling Price]])/FlipkartTable[[#This Row],[Original Price]]</f>
        <v>7.3188582581117351E-2</v>
      </c>
      <c r="K246">
        <f>(FlipkartTable[[#This Row],[Rating]]/FlipkartTable[[#This Row],[Selling Price]])*1000</f>
        <v>0.11581995261911029</v>
      </c>
      <c r="L246" t="str">
        <f>IF(FlipkartTable[[#This Row],[Selling Price]]&lt;15000,"Budget",IF(FlipkartTable[[#This Row],[Selling Price]]&lt;50000,"Mid Range","Premium"))</f>
        <v>Mid Range</v>
      </c>
      <c r="M246" t="str">
        <f>IF(FlipkartTable[[#This Row],[Rating]]&gt;4.5,"Excellent",IF(FlipkartTable[[#This Row],[Rating]]&gt;4,"Good",IF(FlipkartTable[[#This Row],[Rating]]&gt;3.5,"Average","Poor")))</f>
        <v>Good</v>
      </c>
    </row>
    <row r="247" spans="1:13" x14ac:dyDescent="0.35">
      <c r="A247" t="s">
        <v>191</v>
      </c>
      <c r="B247" s="9">
        <v>3</v>
      </c>
      <c r="C247" t="s">
        <v>193</v>
      </c>
      <c r="D247" t="s">
        <v>27</v>
      </c>
      <c r="E247" t="s">
        <v>64</v>
      </c>
      <c r="F247">
        <v>4.4000000000000004</v>
      </c>
      <c r="G247">
        <v>37990</v>
      </c>
      <c r="H247">
        <v>40990</v>
      </c>
      <c r="I247">
        <f>FlipkartTable[[#This Row],[Original Price]]-FlipkartTable[[#This Row],[Selling Price]]</f>
        <v>3000</v>
      </c>
      <c r="J247" s="4">
        <f>(FlipkartTable[[#This Row],[Original Price]]-FlipkartTable[[#This Row],[Selling Price]])/FlipkartTable[[#This Row],[Original Price]]</f>
        <v>7.3188582581117351E-2</v>
      </c>
      <c r="K247">
        <f>(FlipkartTable[[#This Row],[Rating]]/FlipkartTable[[#This Row],[Selling Price]])*1000</f>
        <v>0.11581995261911029</v>
      </c>
      <c r="L247" t="str">
        <f>IF(FlipkartTable[[#This Row],[Selling Price]]&lt;15000,"Budget",IF(FlipkartTable[[#This Row],[Selling Price]]&lt;50000,"Mid Range","Premium"))</f>
        <v>Mid Range</v>
      </c>
      <c r="M247" t="str">
        <f>IF(FlipkartTable[[#This Row],[Rating]]&gt;4.5,"Excellent",IF(FlipkartTable[[#This Row],[Rating]]&gt;4,"Good",IF(FlipkartTable[[#This Row],[Rating]]&gt;3.5,"Average","Poor")))</f>
        <v>Good</v>
      </c>
    </row>
    <row r="248" spans="1:13" x14ac:dyDescent="0.35">
      <c r="A248" t="s">
        <v>191</v>
      </c>
      <c r="B248" s="9">
        <v>3</v>
      </c>
      <c r="C248" t="s">
        <v>194</v>
      </c>
      <c r="D248" t="s">
        <v>63</v>
      </c>
      <c r="E248" t="s">
        <v>64</v>
      </c>
      <c r="F248">
        <v>4.4000000000000004</v>
      </c>
      <c r="G248">
        <v>39990</v>
      </c>
      <c r="H248">
        <v>46990</v>
      </c>
      <c r="I248">
        <f>FlipkartTable[[#This Row],[Original Price]]-FlipkartTable[[#This Row],[Selling Price]]</f>
        <v>7000</v>
      </c>
      <c r="J248" s="4">
        <f>(FlipkartTable[[#This Row],[Original Price]]-FlipkartTable[[#This Row],[Selling Price]])/FlipkartTable[[#This Row],[Original Price]]</f>
        <v>0.14896786550329857</v>
      </c>
      <c r="K248">
        <f>(FlipkartTable[[#This Row],[Rating]]/FlipkartTable[[#This Row],[Selling Price]])*1000</f>
        <v>0.11002750687671919</v>
      </c>
      <c r="L248" t="str">
        <f>IF(FlipkartTable[[#This Row],[Selling Price]]&lt;15000,"Budget",IF(FlipkartTable[[#This Row],[Selling Price]]&lt;50000,"Mid Range","Premium"))</f>
        <v>Mid Range</v>
      </c>
      <c r="M248" t="str">
        <f>IF(FlipkartTable[[#This Row],[Rating]]&gt;4.5,"Excellent",IF(FlipkartTable[[#This Row],[Rating]]&gt;4,"Good",IF(FlipkartTable[[#This Row],[Rating]]&gt;3.5,"Average","Poor")))</f>
        <v>Good</v>
      </c>
    </row>
    <row r="249" spans="1:13" x14ac:dyDescent="0.35">
      <c r="A249" t="s">
        <v>195</v>
      </c>
      <c r="B249" s="9" t="s">
        <v>196</v>
      </c>
      <c r="C249" t="s">
        <v>197</v>
      </c>
      <c r="D249" t="s">
        <v>14</v>
      </c>
      <c r="E249" t="s">
        <v>15</v>
      </c>
      <c r="F249">
        <v>4.5</v>
      </c>
      <c r="G249">
        <v>31999</v>
      </c>
      <c r="H249">
        <v>31999</v>
      </c>
      <c r="I249">
        <f>FlipkartTable[[#This Row],[Original Price]]-FlipkartTable[[#This Row],[Selling Price]]</f>
        <v>0</v>
      </c>
      <c r="J249" s="4">
        <f>(FlipkartTable[[#This Row],[Original Price]]-FlipkartTable[[#This Row],[Selling Price]])/FlipkartTable[[#This Row],[Original Price]]</f>
        <v>0</v>
      </c>
      <c r="K249">
        <f>(FlipkartTable[[#This Row],[Rating]]/FlipkartTable[[#This Row],[Selling Price]])*1000</f>
        <v>0.1406293946685834</v>
      </c>
      <c r="L249" t="str">
        <f>IF(FlipkartTable[[#This Row],[Selling Price]]&lt;15000,"Budget",IF(FlipkartTable[[#This Row],[Selling Price]]&lt;50000,"Mid Range","Premium"))</f>
        <v>Mid Range</v>
      </c>
      <c r="M249" t="str">
        <f>IF(FlipkartTable[[#This Row],[Rating]]&gt;4.5,"Excellent",IF(FlipkartTable[[#This Row],[Rating]]&gt;4,"Good",IF(FlipkartTable[[#This Row],[Rating]]&gt;3.5,"Average","Poor")))</f>
        <v>Good</v>
      </c>
    </row>
    <row r="250" spans="1:13" x14ac:dyDescent="0.35">
      <c r="A250" t="s">
        <v>195</v>
      </c>
      <c r="B250" s="9" t="s">
        <v>198</v>
      </c>
      <c r="C250" t="s">
        <v>199</v>
      </c>
      <c r="D250" t="s">
        <v>11</v>
      </c>
      <c r="E250" t="s">
        <v>12</v>
      </c>
      <c r="F250">
        <v>4.5</v>
      </c>
      <c r="G250">
        <v>44999</v>
      </c>
      <c r="H250">
        <v>44999</v>
      </c>
      <c r="I250">
        <f>FlipkartTable[[#This Row],[Original Price]]-FlipkartTable[[#This Row],[Selling Price]]</f>
        <v>0</v>
      </c>
      <c r="J250" s="4">
        <f>(FlipkartTable[[#This Row],[Original Price]]-FlipkartTable[[#This Row],[Selling Price]])/FlipkartTable[[#This Row],[Original Price]]</f>
        <v>0</v>
      </c>
      <c r="K250">
        <f>(FlipkartTable[[#This Row],[Rating]]/FlipkartTable[[#This Row],[Selling Price]])*1000</f>
        <v>0.10000222227160603</v>
      </c>
      <c r="L250" t="str">
        <f>IF(FlipkartTable[[#This Row],[Selling Price]]&lt;15000,"Budget",IF(FlipkartTable[[#This Row],[Selling Price]]&lt;50000,"Mid Range","Premium"))</f>
        <v>Mid Range</v>
      </c>
      <c r="M250" t="str">
        <f>IF(FlipkartTable[[#This Row],[Rating]]&gt;4.5,"Excellent",IF(FlipkartTable[[#This Row],[Rating]]&gt;4,"Good",IF(FlipkartTable[[#This Row],[Rating]]&gt;3.5,"Average","Poor")))</f>
        <v>Good</v>
      </c>
    </row>
    <row r="251" spans="1:13" x14ac:dyDescent="0.35">
      <c r="A251" t="s">
        <v>195</v>
      </c>
      <c r="B251" s="9">
        <v>3</v>
      </c>
      <c r="C251" t="s">
        <v>197</v>
      </c>
      <c r="D251" t="s">
        <v>11</v>
      </c>
      <c r="E251" t="s">
        <v>12</v>
      </c>
      <c r="F251">
        <v>4.5</v>
      </c>
      <c r="G251">
        <v>69999</v>
      </c>
      <c r="H251">
        <v>69999</v>
      </c>
      <c r="I251">
        <f>FlipkartTable[[#This Row],[Original Price]]-FlipkartTable[[#This Row],[Selling Price]]</f>
        <v>0</v>
      </c>
      <c r="J251" s="4">
        <f>(FlipkartTable[[#This Row],[Original Price]]-FlipkartTable[[#This Row],[Selling Price]])/FlipkartTable[[#This Row],[Original Price]]</f>
        <v>0</v>
      </c>
      <c r="K251">
        <f>(FlipkartTable[[#This Row],[Rating]]/FlipkartTable[[#This Row],[Selling Price]])*1000</f>
        <v>6.428663266618094E-2</v>
      </c>
      <c r="L251" t="str">
        <f>IF(FlipkartTable[[#This Row],[Selling Price]]&lt;15000,"Budget",IF(FlipkartTable[[#This Row],[Selling Price]]&lt;50000,"Mid Range","Premium"))</f>
        <v>Premium</v>
      </c>
      <c r="M251" t="str">
        <f>IF(FlipkartTable[[#This Row],[Rating]]&gt;4.5,"Excellent",IF(FlipkartTable[[#This Row],[Rating]]&gt;4,"Good",IF(FlipkartTable[[#This Row],[Rating]]&gt;3.5,"Average","Poor")))</f>
        <v>Good</v>
      </c>
    </row>
    <row r="252" spans="1:13" x14ac:dyDescent="0.35">
      <c r="A252" t="s">
        <v>195</v>
      </c>
      <c r="B252" s="9" t="s">
        <v>198</v>
      </c>
      <c r="C252" t="s">
        <v>197</v>
      </c>
      <c r="D252" t="s">
        <v>11</v>
      </c>
      <c r="E252" t="s">
        <v>12</v>
      </c>
      <c r="F252">
        <v>4.5</v>
      </c>
      <c r="G252">
        <v>44999</v>
      </c>
      <c r="H252">
        <v>44999</v>
      </c>
      <c r="I252">
        <f>FlipkartTable[[#This Row],[Original Price]]-FlipkartTable[[#This Row],[Selling Price]]</f>
        <v>0</v>
      </c>
      <c r="J252" s="4">
        <f>(FlipkartTable[[#This Row],[Original Price]]-FlipkartTable[[#This Row],[Selling Price]])/FlipkartTable[[#This Row],[Original Price]]</f>
        <v>0</v>
      </c>
      <c r="K252">
        <f>(FlipkartTable[[#This Row],[Rating]]/FlipkartTable[[#This Row],[Selling Price]])*1000</f>
        <v>0.10000222227160603</v>
      </c>
      <c r="L252" t="str">
        <f>IF(FlipkartTable[[#This Row],[Selling Price]]&lt;15000,"Budget",IF(FlipkartTable[[#This Row],[Selling Price]]&lt;50000,"Mid Range","Premium"))</f>
        <v>Mid Range</v>
      </c>
      <c r="M252" t="str">
        <f>IF(FlipkartTable[[#This Row],[Rating]]&gt;4.5,"Excellent",IF(FlipkartTable[[#This Row],[Rating]]&gt;4,"Good",IF(FlipkartTable[[#This Row],[Rating]]&gt;3.5,"Average","Poor")))</f>
        <v>Good</v>
      </c>
    </row>
    <row r="253" spans="1:13" x14ac:dyDescent="0.35">
      <c r="A253" t="s">
        <v>195</v>
      </c>
      <c r="B253" s="9">
        <v>3</v>
      </c>
      <c r="C253" t="s">
        <v>199</v>
      </c>
      <c r="D253" t="s">
        <v>11</v>
      </c>
      <c r="E253" t="s">
        <v>12</v>
      </c>
      <c r="F253">
        <v>4.5</v>
      </c>
      <c r="G253">
        <v>71000</v>
      </c>
      <c r="H253">
        <v>71000</v>
      </c>
      <c r="I253">
        <f>FlipkartTable[[#This Row],[Original Price]]-FlipkartTable[[#This Row],[Selling Price]]</f>
        <v>0</v>
      </c>
      <c r="J253" s="4">
        <f>(FlipkartTable[[#This Row],[Original Price]]-FlipkartTable[[#This Row],[Selling Price]])/FlipkartTable[[#This Row],[Original Price]]</f>
        <v>0</v>
      </c>
      <c r="K253">
        <f>(FlipkartTable[[#This Row],[Rating]]/FlipkartTable[[#This Row],[Selling Price]])*1000</f>
        <v>6.3380281690140858E-2</v>
      </c>
      <c r="L253" t="str">
        <f>IF(FlipkartTable[[#This Row],[Selling Price]]&lt;15000,"Budget",IF(FlipkartTable[[#This Row],[Selling Price]]&lt;50000,"Mid Range","Premium"))</f>
        <v>Premium</v>
      </c>
      <c r="M253" t="str">
        <f>IF(FlipkartTable[[#This Row],[Rating]]&gt;4.5,"Excellent",IF(FlipkartTable[[#This Row],[Rating]]&gt;4,"Good",IF(FlipkartTable[[#This Row],[Rating]]&gt;3.5,"Average","Poor")))</f>
        <v>Good</v>
      </c>
    </row>
    <row r="254" spans="1:13" x14ac:dyDescent="0.35">
      <c r="A254" t="s">
        <v>195</v>
      </c>
      <c r="B254" s="9">
        <v>3</v>
      </c>
      <c r="C254" t="s">
        <v>200</v>
      </c>
      <c r="D254" t="s">
        <v>11</v>
      </c>
      <c r="E254" t="s">
        <v>12</v>
      </c>
      <c r="F254">
        <v>4.5</v>
      </c>
      <c r="G254">
        <v>71000</v>
      </c>
      <c r="H254">
        <v>71000</v>
      </c>
      <c r="I254">
        <f>FlipkartTable[[#This Row],[Original Price]]-FlipkartTable[[#This Row],[Selling Price]]</f>
        <v>0</v>
      </c>
      <c r="J254" s="4">
        <f>(FlipkartTable[[#This Row],[Original Price]]-FlipkartTable[[#This Row],[Selling Price]])/FlipkartTable[[#This Row],[Original Price]]</f>
        <v>0</v>
      </c>
      <c r="K254">
        <f>(FlipkartTable[[#This Row],[Rating]]/FlipkartTable[[#This Row],[Selling Price]])*1000</f>
        <v>6.3380281690140858E-2</v>
      </c>
      <c r="L254" t="str">
        <f>IF(FlipkartTable[[#This Row],[Selling Price]]&lt;15000,"Budget",IF(FlipkartTable[[#This Row],[Selling Price]]&lt;50000,"Mid Range","Premium"))</f>
        <v>Premium</v>
      </c>
      <c r="M254" t="str">
        <f>IF(FlipkartTable[[#This Row],[Rating]]&gt;4.5,"Excellent",IF(FlipkartTable[[#This Row],[Rating]]&gt;4,"Good",IF(FlipkartTable[[#This Row],[Rating]]&gt;3.5,"Average","Poor")))</f>
        <v>Good</v>
      </c>
    </row>
    <row r="255" spans="1:13" x14ac:dyDescent="0.35">
      <c r="A255" t="s">
        <v>195</v>
      </c>
      <c r="B255" s="9">
        <v>3</v>
      </c>
      <c r="C255" t="s">
        <v>200</v>
      </c>
      <c r="D255" t="s">
        <v>11</v>
      </c>
      <c r="E255" t="s">
        <v>15</v>
      </c>
      <c r="F255">
        <v>4.5</v>
      </c>
      <c r="G255">
        <v>80000</v>
      </c>
      <c r="H255">
        <v>80000</v>
      </c>
      <c r="I255">
        <f>FlipkartTable[[#This Row],[Original Price]]-FlipkartTable[[#This Row],[Selling Price]]</f>
        <v>0</v>
      </c>
      <c r="J255" s="4">
        <f>(FlipkartTable[[#This Row],[Original Price]]-FlipkartTable[[#This Row],[Selling Price]])/FlipkartTable[[#This Row],[Original Price]]</f>
        <v>0</v>
      </c>
      <c r="K255">
        <f>(FlipkartTable[[#This Row],[Rating]]/FlipkartTable[[#This Row],[Selling Price]])*1000</f>
        <v>5.6250000000000001E-2</v>
      </c>
      <c r="L255" t="str">
        <f>IF(FlipkartTable[[#This Row],[Selling Price]]&lt;15000,"Budget",IF(FlipkartTable[[#This Row],[Selling Price]]&lt;50000,"Mid Range","Premium"))</f>
        <v>Premium</v>
      </c>
      <c r="M255" t="str">
        <f>IF(FlipkartTable[[#This Row],[Rating]]&gt;4.5,"Excellent",IF(FlipkartTable[[#This Row],[Rating]]&gt;4,"Good",IF(FlipkartTable[[#This Row],[Rating]]&gt;3.5,"Average","Poor")))</f>
        <v>Good</v>
      </c>
    </row>
    <row r="256" spans="1:13" x14ac:dyDescent="0.35">
      <c r="A256" t="s">
        <v>195</v>
      </c>
      <c r="B256" s="9" t="s">
        <v>201</v>
      </c>
      <c r="C256" t="s">
        <v>200</v>
      </c>
      <c r="D256" t="s">
        <v>11</v>
      </c>
      <c r="E256" t="s">
        <v>12</v>
      </c>
      <c r="F256">
        <v>4.5999999999999996</v>
      </c>
      <c r="G256">
        <v>83000</v>
      </c>
      <c r="H256">
        <v>83000</v>
      </c>
      <c r="I256">
        <f>FlipkartTable[[#This Row],[Original Price]]-FlipkartTable[[#This Row],[Selling Price]]</f>
        <v>0</v>
      </c>
      <c r="J256" s="4">
        <f>(FlipkartTable[[#This Row],[Original Price]]-FlipkartTable[[#This Row],[Selling Price]])/FlipkartTable[[#This Row],[Original Price]]</f>
        <v>0</v>
      </c>
      <c r="K256">
        <f>(FlipkartTable[[#This Row],[Rating]]/FlipkartTable[[#This Row],[Selling Price]])*1000</f>
        <v>5.5421686746987948E-2</v>
      </c>
      <c r="L256" t="str">
        <f>IF(FlipkartTable[[#This Row],[Selling Price]]&lt;15000,"Budget",IF(FlipkartTable[[#This Row],[Selling Price]]&lt;50000,"Mid Range","Premium"))</f>
        <v>Premium</v>
      </c>
      <c r="M256" t="str">
        <f>IF(FlipkartTable[[#This Row],[Rating]]&gt;4.5,"Excellent",IF(FlipkartTable[[#This Row],[Rating]]&gt;4,"Good",IF(FlipkartTable[[#This Row],[Rating]]&gt;3.5,"Average","Poor")))</f>
        <v>Excellent</v>
      </c>
    </row>
    <row r="257" spans="1:13" x14ac:dyDescent="0.35">
      <c r="A257" t="s">
        <v>195</v>
      </c>
      <c r="B257" s="9" t="s">
        <v>201</v>
      </c>
      <c r="C257" t="s">
        <v>197</v>
      </c>
      <c r="D257" t="s">
        <v>11</v>
      </c>
      <c r="E257" t="s">
        <v>12</v>
      </c>
      <c r="F257">
        <v>4.5999999999999996</v>
      </c>
      <c r="G257">
        <v>83000</v>
      </c>
      <c r="H257">
        <v>83000</v>
      </c>
      <c r="I257">
        <f>FlipkartTable[[#This Row],[Original Price]]-FlipkartTable[[#This Row],[Selling Price]]</f>
        <v>0</v>
      </c>
      <c r="J257" s="4">
        <f>(FlipkartTable[[#This Row],[Original Price]]-FlipkartTable[[#This Row],[Selling Price]])/FlipkartTable[[#This Row],[Original Price]]</f>
        <v>0</v>
      </c>
      <c r="K257">
        <f>(FlipkartTable[[#This Row],[Rating]]/FlipkartTable[[#This Row],[Selling Price]])*1000</f>
        <v>5.5421686746987948E-2</v>
      </c>
      <c r="L257" t="str">
        <f>IF(FlipkartTable[[#This Row],[Selling Price]]&lt;15000,"Budget",IF(FlipkartTable[[#This Row],[Selling Price]]&lt;50000,"Mid Range","Premium"))</f>
        <v>Premium</v>
      </c>
      <c r="M257" t="str">
        <f>IF(FlipkartTable[[#This Row],[Rating]]&gt;4.5,"Excellent",IF(FlipkartTable[[#This Row],[Rating]]&gt;4,"Good",IF(FlipkartTable[[#This Row],[Rating]]&gt;3.5,"Average","Poor")))</f>
        <v>Excellent</v>
      </c>
    </row>
    <row r="258" spans="1:13" x14ac:dyDescent="0.35">
      <c r="A258" t="s">
        <v>195</v>
      </c>
      <c r="B258" s="9" t="s">
        <v>201</v>
      </c>
      <c r="C258" t="s">
        <v>199</v>
      </c>
      <c r="D258" t="s">
        <v>11</v>
      </c>
      <c r="E258" t="s">
        <v>15</v>
      </c>
      <c r="F258">
        <v>4.5999999999999996</v>
      </c>
      <c r="G258">
        <v>92000</v>
      </c>
      <c r="H258">
        <v>92000</v>
      </c>
      <c r="I258">
        <f>FlipkartTable[[#This Row],[Original Price]]-FlipkartTable[[#This Row],[Selling Price]]</f>
        <v>0</v>
      </c>
      <c r="J258" s="4">
        <f>(FlipkartTable[[#This Row],[Original Price]]-FlipkartTable[[#This Row],[Selling Price]])/FlipkartTable[[#This Row],[Original Price]]</f>
        <v>0</v>
      </c>
      <c r="K258">
        <f>(FlipkartTable[[#This Row],[Rating]]/FlipkartTable[[#This Row],[Selling Price]])*1000</f>
        <v>4.9999999999999996E-2</v>
      </c>
      <c r="L258" t="str">
        <f>IF(FlipkartTable[[#This Row],[Selling Price]]&lt;15000,"Budget",IF(FlipkartTable[[#This Row],[Selling Price]]&lt;50000,"Mid Range","Premium"))</f>
        <v>Premium</v>
      </c>
      <c r="M258" t="str">
        <f>IF(FlipkartTable[[#This Row],[Rating]]&gt;4.5,"Excellent",IF(FlipkartTable[[#This Row],[Rating]]&gt;4,"Good",IF(FlipkartTable[[#This Row],[Rating]]&gt;3.5,"Average","Poor")))</f>
        <v>Excellent</v>
      </c>
    </row>
    <row r="259" spans="1:13" x14ac:dyDescent="0.35">
      <c r="A259" t="s">
        <v>195</v>
      </c>
      <c r="B259" s="9">
        <v>3</v>
      </c>
      <c r="C259" t="s">
        <v>197</v>
      </c>
      <c r="D259" t="s">
        <v>11</v>
      </c>
      <c r="E259" t="s">
        <v>15</v>
      </c>
      <c r="F259">
        <v>4.5</v>
      </c>
      <c r="G259">
        <v>80000</v>
      </c>
      <c r="H259">
        <v>80000</v>
      </c>
      <c r="I259">
        <f>FlipkartTable[[#This Row],[Original Price]]-FlipkartTable[[#This Row],[Selling Price]]</f>
        <v>0</v>
      </c>
      <c r="J259" s="4">
        <f>(FlipkartTable[[#This Row],[Original Price]]-FlipkartTable[[#This Row],[Selling Price]])/FlipkartTable[[#This Row],[Original Price]]</f>
        <v>0</v>
      </c>
      <c r="K259">
        <f>(FlipkartTable[[#This Row],[Rating]]/FlipkartTable[[#This Row],[Selling Price]])*1000</f>
        <v>5.6250000000000001E-2</v>
      </c>
      <c r="L259" t="str">
        <f>IF(FlipkartTable[[#This Row],[Selling Price]]&lt;15000,"Budget",IF(FlipkartTable[[#This Row],[Selling Price]]&lt;50000,"Mid Range","Premium"))</f>
        <v>Premium</v>
      </c>
      <c r="M259" t="str">
        <f>IF(FlipkartTable[[#This Row],[Rating]]&gt;4.5,"Excellent",IF(FlipkartTable[[#This Row],[Rating]]&gt;4,"Good",IF(FlipkartTable[[#This Row],[Rating]]&gt;3.5,"Average","Poor")))</f>
        <v>Good</v>
      </c>
    </row>
    <row r="260" spans="1:13" x14ac:dyDescent="0.35">
      <c r="A260" t="s">
        <v>195</v>
      </c>
      <c r="B260" s="9">
        <v>3</v>
      </c>
      <c r="C260" t="s">
        <v>199</v>
      </c>
      <c r="D260" t="s">
        <v>11</v>
      </c>
      <c r="E260" t="s">
        <v>15</v>
      </c>
      <c r="F260">
        <v>4.5</v>
      </c>
      <c r="G260">
        <v>80000</v>
      </c>
      <c r="H260">
        <v>80000</v>
      </c>
      <c r="I260">
        <f>FlipkartTable[[#This Row],[Original Price]]-FlipkartTable[[#This Row],[Selling Price]]</f>
        <v>0</v>
      </c>
      <c r="J260" s="4">
        <f>(FlipkartTable[[#This Row],[Original Price]]-FlipkartTable[[#This Row],[Selling Price]])/FlipkartTable[[#This Row],[Original Price]]</f>
        <v>0</v>
      </c>
      <c r="K260">
        <f>(FlipkartTable[[#This Row],[Rating]]/FlipkartTable[[#This Row],[Selling Price]])*1000</f>
        <v>5.6250000000000001E-2</v>
      </c>
      <c r="L260" t="str">
        <f>IF(FlipkartTable[[#This Row],[Selling Price]]&lt;15000,"Budget",IF(FlipkartTable[[#This Row],[Selling Price]]&lt;50000,"Mid Range","Premium"))</f>
        <v>Premium</v>
      </c>
      <c r="M260" t="str">
        <f>IF(FlipkartTable[[#This Row],[Rating]]&gt;4.5,"Excellent",IF(FlipkartTable[[#This Row],[Rating]]&gt;4,"Good",IF(FlipkartTable[[#This Row],[Rating]]&gt;3.5,"Average","Poor")))</f>
        <v>Good</v>
      </c>
    </row>
    <row r="261" spans="1:13" x14ac:dyDescent="0.35">
      <c r="A261" t="s">
        <v>195</v>
      </c>
      <c r="B261" s="9" t="s">
        <v>201</v>
      </c>
      <c r="C261" t="s">
        <v>197</v>
      </c>
      <c r="D261" t="s">
        <v>11</v>
      </c>
      <c r="E261" t="s">
        <v>15</v>
      </c>
      <c r="F261">
        <v>4.5999999999999996</v>
      </c>
      <c r="G261">
        <v>92000</v>
      </c>
      <c r="H261">
        <v>92000</v>
      </c>
      <c r="I261">
        <f>FlipkartTable[[#This Row],[Original Price]]-FlipkartTable[[#This Row],[Selling Price]]</f>
        <v>0</v>
      </c>
      <c r="J261" s="4">
        <f>(FlipkartTable[[#This Row],[Original Price]]-FlipkartTable[[#This Row],[Selling Price]])/FlipkartTable[[#This Row],[Original Price]]</f>
        <v>0</v>
      </c>
      <c r="K261">
        <f>(FlipkartTable[[#This Row],[Rating]]/FlipkartTable[[#This Row],[Selling Price]])*1000</f>
        <v>4.9999999999999996E-2</v>
      </c>
      <c r="L261" t="str">
        <f>IF(FlipkartTable[[#This Row],[Selling Price]]&lt;15000,"Budget",IF(FlipkartTable[[#This Row],[Selling Price]]&lt;50000,"Mid Range","Premium"))</f>
        <v>Premium</v>
      </c>
      <c r="M261" t="str">
        <f>IF(FlipkartTable[[#This Row],[Rating]]&gt;4.5,"Excellent",IF(FlipkartTable[[#This Row],[Rating]]&gt;4,"Good",IF(FlipkartTable[[#This Row],[Rating]]&gt;3.5,"Average","Poor")))</f>
        <v>Excellent</v>
      </c>
    </row>
    <row r="262" spans="1:13" x14ac:dyDescent="0.35">
      <c r="A262" t="s">
        <v>195</v>
      </c>
      <c r="B262" s="9" t="s">
        <v>201</v>
      </c>
      <c r="C262" t="s">
        <v>199</v>
      </c>
      <c r="D262" t="s">
        <v>11</v>
      </c>
      <c r="E262" t="s">
        <v>12</v>
      </c>
      <c r="F262">
        <v>4.5999999999999996</v>
      </c>
      <c r="G262">
        <v>83000</v>
      </c>
      <c r="H262">
        <v>83000</v>
      </c>
      <c r="I262">
        <f>FlipkartTable[[#This Row],[Original Price]]-FlipkartTable[[#This Row],[Selling Price]]</f>
        <v>0</v>
      </c>
      <c r="J262" s="4">
        <f>(FlipkartTable[[#This Row],[Original Price]]-FlipkartTable[[#This Row],[Selling Price]])/FlipkartTable[[#This Row],[Original Price]]</f>
        <v>0</v>
      </c>
      <c r="K262">
        <f>(FlipkartTable[[#This Row],[Rating]]/FlipkartTable[[#This Row],[Selling Price]])*1000</f>
        <v>5.5421686746987948E-2</v>
      </c>
      <c r="L262" t="str">
        <f>IF(FlipkartTable[[#This Row],[Selling Price]]&lt;15000,"Budget",IF(FlipkartTable[[#This Row],[Selling Price]]&lt;50000,"Mid Range","Premium"))</f>
        <v>Premium</v>
      </c>
      <c r="M262" t="str">
        <f>IF(FlipkartTable[[#This Row],[Rating]]&gt;4.5,"Excellent",IF(FlipkartTable[[#This Row],[Rating]]&gt;4,"Good",IF(FlipkartTable[[#This Row],[Rating]]&gt;3.5,"Average","Poor")))</f>
        <v>Excellent</v>
      </c>
    </row>
    <row r="263" spans="1:13" x14ac:dyDescent="0.35">
      <c r="A263" t="s">
        <v>195</v>
      </c>
      <c r="B263" s="9" t="s">
        <v>202</v>
      </c>
      <c r="C263" t="s">
        <v>199</v>
      </c>
      <c r="D263" t="s">
        <v>11</v>
      </c>
      <c r="E263" t="s">
        <v>12</v>
      </c>
      <c r="F263">
        <v>4.5</v>
      </c>
      <c r="G263">
        <v>39999</v>
      </c>
      <c r="H263">
        <v>39999</v>
      </c>
      <c r="I263">
        <f>FlipkartTable[[#This Row],[Original Price]]-FlipkartTable[[#This Row],[Selling Price]]</f>
        <v>0</v>
      </c>
      <c r="J263" s="4">
        <f>(FlipkartTable[[#This Row],[Original Price]]-FlipkartTable[[#This Row],[Selling Price]])/FlipkartTable[[#This Row],[Original Price]]</f>
        <v>0</v>
      </c>
      <c r="K263">
        <f>(FlipkartTable[[#This Row],[Rating]]/FlipkartTable[[#This Row],[Selling Price]])*1000</f>
        <v>0.11250281257031426</v>
      </c>
      <c r="L263" t="str">
        <f>IF(FlipkartTable[[#This Row],[Selling Price]]&lt;15000,"Budget",IF(FlipkartTable[[#This Row],[Selling Price]]&lt;50000,"Mid Range","Premium"))</f>
        <v>Mid Range</v>
      </c>
      <c r="M263" t="str">
        <f>IF(FlipkartTable[[#This Row],[Rating]]&gt;4.5,"Excellent",IF(FlipkartTable[[#This Row],[Rating]]&gt;4,"Good",IF(FlipkartTable[[#This Row],[Rating]]&gt;3.5,"Average","Poor")))</f>
        <v>Good</v>
      </c>
    </row>
    <row r="264" spans="1:13" x14ac:dyDescent="0.35">
      <c r="A264" t="s">
        <v>195</v>
      </c>
      <c r="B264" s="9" t="s">
        <v>203</v>
      </c>
      <c r="C264" t="s">
        <v>204</v>
      </c>
      <c r="D264" t="s">
        <v>11</v>
      </c>
      <c r="E264" t="s">
        <v>15</v>
      </c>
      <c r="F264">
        <v>4.5</v>
      </c>
      <c r="G264">
        <v>76000</v>
      </c>
      <c r="H264">
        <v>76000</v>
      </c>
      <c r="I264">
        <f>FlipkartTable[[#This Row],[Original Price]]-FlipkartTable[[#This Row],[Selling Price]]</f>
        <v>0</v>
      </c>
      <c r="J264" s="4">
        <f>(FlipkartTable[[#This Row],[Original Price]]-FlipkartTable[[#This Row],[Selling Price]])/FlipkartTable[[#This Row],[Original Price]]</f>
        <v>0</v>
      </c>
      <c r="K264">
        <f>(FlipkartTable[[#This Row],[Rating]]/FlipkartTable[[#This Row],[Selling Price]])*1000</f>
        <v>5.921052631578947E-2</v>
      </c>
      <c r="L264" t="str">
        <f>IF(FlipkartTable[[#This Row],[Selling Price]]&lt;15000,"Budget",IF(FlipkartTable[[#This Row],[Selling Price]]&lt;50000,"Mid Range","Premium"))</f>
        <v>Premium</v>
      </c>
      <c r="M264" t="str">
        <f>IF(FlipkartTable[[#This Row],[Rating]]&gt;4.5,"Excellent",IF(FlipkartTable[[#This Row],[Rating]]&gt;4,"Good",IF(FlipkartTable[[#This Row],[Rating]]&gt;3.5,"Average","Poor")))</f>
        <v>Good</v>
      </c>
    </row>
    <row r="265" spans="1:13" x14ac:dyDescent="0.35">
      <c r="A265" t="s">
        <v>195</v>
      </c>
      <c r="B265" s="9" t="s">
        <v>205</v>
      </c>
      <c r="C265" t="s">
        <v>197</v>
      </c>
      <c r="D265" t="s">
        <v>11</v>
      </c>
      <c r="E265" t="s">
        <v>15</v>
      </c>
      <c r="F265">
        <v>4.5999999999999996</v>
      </c>
      <c r="G265">
        <v>82000</v>
      </c>
      <c r="H265">
        <v>82000</v>
      </c>
      <c r="I265">
        <f>FlipkartTable[[#This Row],[Original Price]]-FlipkartTable[[#This Row],[Selling Price]]</f>
        <v>0</v>
      </c>
      <c r="J265" s="4">
        <f>(FlipkartTable[[#This Row],[Original Price]]-FlipkartTable[[#This Row],[Selling Price]])/FlipkartTable[[#This Row],[Original Price]]</f>
        <v>0</v>
      </c>
      <c r="K265">
        <f>(FlipkartTable[[#This Row],[Rating]]/FlipkartTable[[#This Row],[Selling Price]])*1000</f>
        <v>5.609756097560975E-2</v>
      </c>
      <c r="L265" t="str">
        <f>IF(FlipkartTable[[#This Row],[Selling Price]]&lt;15000,"Budget",IF(FlipkartTable[[#This Row],[Selling Price]]&lt;50000,"Mid Range","Premium"))</f>
        <v>Premium</v>
      </c>
      <c r="M265" t="str">
        <f>IF(FlipkartTable[[#This Row],[Rating]]&gt;4.5,"Excellent",IF(FlipkartTable[[#This Row],[Rating]]&gt;4,"Good",IF(FlipkartTable[[#This Row],[Rating]]&gt;3.5,"Average","Poor")))</f>
        <v>Excellent</v>
      </c>
    </row>
    <row r="266" spans="1:13" x14ac:dyDescent="0.35">
      <c r="A266" t="s">
        <v>195</v>
      </c>
      <c r="B266" s="9">
        <v>2</v>
      </c>
      <c r="C266" t="s">
        <v>197</v>
      </c>
      <c r="D266" t="s">
        <v>11</v>
      </c>
      <c r="E266" t="s">
        <v>12</v>
      </c>
      <c r="F266">
        <v>4.5999999999999996</v>
      </c>
      <c r="G266">
        <v>61000</v>
      </c>
      <c r="H266">
        <v>61000</v>
      </c>
      <c r="I266">
        <f>FlipkartTable[[#This Row],[Original Price]]-FlipkartTable[[#This Row],[Selling Price]]</f>
        <v>0</v>
      </c>
      <c r="J266" s="4">
        <f>(FlipkartTable[[#This Row],[Original Price]]-FlipkartTable[[#This Row],[Selling Price]])/FlipkartTable[[#This Row],[Original Price]]</f>
        <v>0</v>
      </c>
      <c r="K266">
        <f>(FlipkartTable[[#This Row],[Rating]]/FlipkartTable[[#This Row],[Selling Price]])*1000</f>
        <v>7.5409836065573776E-2</v>
      </c>
      <c r="L266" t="str">
        <f>IF(FlipkartTable[[#This Row],[Selling Price]]&lt;15000,"Budget",IF(FlipkartTable[[#This Row],[Selling Price]]&lt;50000,"Mid Range","Premium"))</f>
        <v>Premium</v>
      </c>
      <c r="M266" t="str">
        <f>IF(FlipkartTable[[#This Row],[Rating]]&gt;4.5,"Excellent",IF(FlipkartTable[[#This Row],[Rating]]&gt;4,"Good",IF(FlipkartTable[[#This Row],[Rating]]&gt;3.5,"Average","Poor")))</f>
        <v>Excellent</v>
      </c>
    </row>
    <row r="267" spans="1:13" x14ac:dyDescent="0.35">
      <c r="A267" t="s">
        <v>195</v>
      </c>
      <c r="B267" s="9" t="s">
        <v>201</v>
      </c>
      <c r="C267" t="s">
        <v>200</v>
      </c>
      <c r="D267" t="s">
        <v>11</v>
      </c>
      <c r="E267" t="s">
        <v>15</v>
      </c>
      <c r="F267">
        <v>4.5999999999999996</v>
      </c>
      <c r="G267">
        <v>92000</v>
      </c>
      <c r="H267">
        <v>92000</v>
      </c>
      <c r="I267">
        <f>FlipkartTable[[#This Row],[Original Price]]-FlipkartTable[[#This Row],[Selling Price]]</f>
        <v>0</v>
      </c>
      <c r="J267" s="4">
        <f>(FlipkartTable[[#This Row],[Original Price]]-FlipkartTable[[#This Row],[Selling Price]])/FlipkartTable[[#This Row],[Original Price]]</f>
        <v>0</v>
      </c>
      <c r="K267">
        <f>(FlipkartTable[[#This Row],[Rating]]/FlipkartTable[[#This Row],[Selling Price]])*1000</f>
        <v>4.9999999999999996E-2</v>
      </c>
      <c r="L267" t="str">
        <f>IF(FlipkartTable[[#This Row],[Selling Price]]&lt;15000,"Budget",IF(FlipkartTable[[#This Row],[Selling Price]]&lt;50000,"Mid Range","Premium"))</f>
        <v>Premium</v>
      </c>
      <c r="M267" t="str">
        <f>IF(FlipkartTable[[#This Row],[Rating]]&gt;4.5,"Excellent",IF(FlipkartTable[[#This Row],[Rating]]&gt;4,"Good",IF(FlipkartTable[[#This Row],[Rating]]&gt;3.5,"Average","Poor")))</f>
        <v>Excellent</v>
      </c>
    </row>
    <row r="268" spans="1:13" x14ac:dyDescent="0.35">
      <c r="A268" t="s">
        <v>195</v>
      </c>
      <c r="B268" s="9">
        <v>2</v>
      </c>
      <c r="C268" t="s">
        <v>199</v>
      </c>
      <c r="D268" t="s">
        <v>11</v>
      </c>
      <c r="E268" t="s">
        <v>15</v>
      </c>
      <c r="F268">
        <v>4.5999999999999996</v>
      </c>
      <c r="G268">
        <v>70000</v>
      </c>
      <c r="H268">
        <v>70000</v>
      </c>
      <c r="I268">
        <f>FlipkartTable[[#This Row],[Original Price]]-FlipkartTable[[#This Row],[Selling Price]]</f>
        <v>0</v>
      </c>
      <c r="J268" s="4">
        <f>(FlipkartTable[[#This Row],[Original Price]]-FlipkartTable[[#This Row],[Selling Price]])/FlipkartTable[[#This Row],[Original Price]]</f>
        <v>0</v>
      </c>
      <c r="K268">
        <f>(FlipkartTable[[#This Row],[Rating]]/FlipkartTable[[#This Row],[Selling Price]])*1000</f>
        <v>6.5714285714285711E-2</v>
      </c>
      <c r="L268" t="str">
        <f>IF(FlipkartTable[[#This Row],[Selling Price]]&lt;15000,"Budget",IF(FlipkartTable[[#This Row],[Selling Price]]&lt;50000,"Mid Range","Premium"))</f>
        <v>Premium</v>
      </c>
      <c r="M268" t="str">
        <f>IF(FlipkartTable[[#This Row],[Rating]]&gt;4.5,"Excellent",IF(FlipkartTable[[#This Row],[Rating]]&gt;4,"Good",IF(FlipkartTable[[#This Row],[Rating]]&gt;3.5,"Average","Poor")))</f>
        <v>Excellent</v>
      </c>
    </row>
    <row r="269" spans="1:13" x14ac:dyDescent="0.35">
      <c r="A269" t="s">
        <v>195</v>
      </c>
      <c r="B269" s="9" t="s">
        <v>206</v>
      </c>
      <c r="C269" t="s">
        <v>19</v>
      </c>
      <c r="D269" t="s">
        <v>11</v>
      </c>
      <c r="E269" t="s">
        <v>15</v>
      </c>
      <c r="F269">
        <v>4.4000000000000004</v>
      </c>
      <c r="G269">
        <v>66000</v>
      </c>
      <c r="H269">
        <v>66000</v>
      </c>
      <c r="I269">
        <f>FlipkartTable[[#This Row],[Original Price]]-FlipkartTable[[#This Row],[Selling Price]]</f>
        <v>0</v>
      </c>
      <c r="J269" s="4">
        <f>(FlipkartTable[[#This Row],[Original Price]]-FlipkartTable[[#This Row],[Selling Price]])/FlipkartTable[[#This Row],[Original Price]]</f>
        <v>0</v>
      </c>
      <c r="K269">
        <f>(FlipkartTable[[#This Row],[Rating]]/FlipkartTable[[#This Row],[Selling Price]])*1000</f>
        <v>6.6666666666666666E-2</v>
      </c>
      <c r="L269" t="str">
        <f>IF(FlipkartTable[[#This Row],[Selling Price]]&lt;15000,"Budget",IF(FlipkartTable[[#This Row],[Selling Price]]&lt;50000,"Mid Range","Premium"))</f>
        <v>Premium</v>
      </c>
      <c r="M269" t="str">
        <f>IF(FlipkartTable[[#This Row],[Rating]]&gt;4.5,"Excellent",IF(FlipkartTable[[#This Row],[Rating]]&gt;4,"Good",IF(FlipkartTable[[#This Row],[Rating]]&gt;3.5,"Average","Poor")))</f>
        <v>Good</v>
      </c>
    </row>
    <row r="270" spans="1:13" x14ac:dyDescent="0.35">
      <c r="A270" t="s">
        <v>195</v>
      </c>
      <c r="B270" s="9" t="s">
        <v>204</v>
      </c>
      <c r="C270" t="s">
        <v>170</v>
      </c>
      <c r="D270" t="s">
        <v>11</v>
      </c>
      <c r="E270" t="s">
        <v>21</v>
      </c>
      <c r="F270">
        <v>4.4000000000000004</v>
      </c>
      <c r="G270">
        <v>57000</v>
      </c>
      <c r="H270">
        <v>57000</v>
      </c>
      <c r="I270">
        <f>FlipkartTable[[#This Row],[Original Price]]-FlipkartTable[[#This Row],[Selling Price]]</f>
        <v>0</v>
      </c>
      <c r="J270" s="4">
        <f>(FlipkartTable[[#This Row],[Original Price]]-FlipkartTable[[#This Row],[Selling Price]])/FlipkartTable[[#This Row],[Original Price]]</f>
        <v>0</v>
      </c>
      <c r="K270">
        <f>(FlipkartTable[[#This Row],[Rating]]/FlipkartTable[[#This Row],[Selling Price]])*1000</f>
        <v>7.7192982456140355E-2</v>
      </c>
      <c r="L270" t="str">
        <f>IF(FlipkartTable[[#This Row],[Selling Price]]&lt;15000,"Budget",IF(FlipkartTable[[#This Row],[Selling Price]]&lt;50000,"Mid Range","Premium"))</f>
        <v>Premium</v>
      </c>
      <c r="M270" t="str">
        <f>IF(FlipkartTable[[#This Row],[Rating]]&gt;4.5,"Excellent",IF(FlipkartTable[[#This Row],[Rating]]&gt;4,"Good",IF(FlipkartTable[[#This Row],[Rating]]&gt;3.5,"Average","Poor")))</f>
        <v>Good</v>
      </c>
    </row>
    <row r="271" spans="1:13" x14ac:dyDescent="0.35">
      <c r="A271" t="s">
        <v>195</v>
      </c>
      <c r="B271" s="9">
        <v>2</v>
      </c>
      <c r="C271" t="s">
        <v>197</v>
      </c>
      <c r="D271" t="s">
        <v>11</v>
      </c>
      <c r="E271" t="s">
        <v>15</v>
      </c>
      <c r="F271">
        <v>4.5999999999999996</v>
      </c>
      <c r="G271">
        <v>70000</v>
      </c>
      <c r="H271">
        <v>70000</v>
      </c>
      <c r="I271">
        <f>FlipkartTable[[#This Row],[Original Price]]-FlipkartTable[[#This Row],[Selling Price]]</f>
        <v>0</v>
      </c>
      <c r="J271" s="4">
        <f>(FlipkartTable[[#This Row],[Original Price]]-FlipkartTable[[#This Row],[Selling Price]])/FlipkartTable[[#This Row],[Original Price]]</f>
        <v>0</v>
      </c>
      <c r="K271">
        <f>(FlipkartTable[[#This Row],[Rating]]/FlipkartTable[[#This Row],[Selling Price]])*1000</f>
        <v>6.5714285714285711E-2</v>
      </c>
      <c r="L271" t="str">
        <f>IF(FlipkartTable[[#This Row],[Selling Price]]&lt;15000,"Budget",IF(FlipkartTable[[#This Row],[Selling Price]]&lt;50000,"Mid Range","Premium"))</f>
        <v>Premium</v>
      </c>
      <c r="M271" t="str">
        <f>IF(FlipkartTable[[#This Row],[Rating]]&gt;4.5,"Excellent",IF(FlipkartTable[[#This Row],[Rating]]&gt;4,"Good",IF(FlipkartTable[[#This Row],[Rating]]&gt;3.5,"Average","Poor")))</f>
        <v>Excellent</v>
      </c>
    </row>
    <row r="272" spans="1:13" x14ac:dyDescent="0.35">
      <c r="A272" t="s">
        <v>195</v>
      </c>
      <c r="B272" s="9" t="s">
        <v>202</v>
      </c>
      <c r="C272" t="s">
        <v>197</v>
      </c>
      <c r="D272" t="s">
        <v>11</v>
      </c>
      <c r="E272" t="s">
        <v>12</v>
      </c>
      <c r="F272">
        <v>4.5</v>
      </c>
      <c r="G272">
        <v>39999</v>
      </c>
      <c r="H272">
        <v>39999</v>
      </c>
      <c r="I272">
        <f>FlipkartTable[[#This Row],[Original Price]]-FlipkartTable[[#This Row],[Selling Price]]</f>
        <v>0</v>
      </c>
      <c r="J272" s="4">
        <f>(FlipkartTable[[#This Row],[Original Price]]-FlipkartTable[[#This Row],[Selling Price]])/FlipkartTable[[#This Row],[Original Price]]</f>
        <v>0</v>
      </c>
      <c r="K272">
        <f>(FlipkartTable[[#This Row],[Rating]]/FlipkartTable[[#This Row],[Selling Price]])*1000</f>
        <v>0.11250281257031426</v>
      </c>
      <c r="L272" t="str">
        <f>IF(FlipkartTable[[#This Row],[Selling Price]]&lt;15000,"Budget",IF(FlipkartTable[[#This Row],[Selling Price]]&lt;50000,"Mid Range","Premium"))</f>
        <v>Mid Range</v>
      </c>
      <c r="M272" t="str">
        <f>IF(FlipkartTable[[#This Row],[Rating]]&gt;4.5,"Excellent",IF(FlipkartTable[[#This Row],[Rating]]&gt;4,"Good",IF(FlipkartTable[[#This Row],[Rating]]&gt;3.5,"Average","Poor")))</f>
        <v>Good</v>
      </c>
    </row>
    <row r="273" spans="1:13" x14ac:dyDescent="0.35">
      <c r="A273" t="s">
        <v>207</v>
      </c>
      <c r="B273" s="9" t="s">
        <v>208</v>
      </c>
      <c r="C273" t="s">
        <v>19</v>
      </c>
      <c r="D273" t="s">
        <v>20</v>
      </c>
      <c r="E273" t="s">
        <v>21</v>
      </c>
      <c r="F273">
        <v>4</v>
      </c>
      <c r="G273">
        <v>7690</v>
      </c>
      <c r="H273">
        <v>7799</v>
      </c>
      <c r="I273">
        <f>FlipkartTable[[#This Row],[Original Price]]-FlipkartTable[[#This Row],[Selling Price]]</f>
        <v>109</v>
      </c>
      <c r="J273" s="4">
        <f>(FlipkartTable[[#This Row],[Original Price]]-FlipkartTable[[#This Row],[Selling Price]])/FlipkartTable[[#This Row],[Original Price]]</f>
        <v>1.3976150788562637E-2</v>
      </c>
      <c r="K273">
        <f>(FlipkartTable[[#This Row],[Rating]]/FlipkartTable[[#This Row],[Selling Price]])*1000</f>
        <v>0.52015604681404415</v>
      </c>
      <c r="L273" t="str">
        <f>IF(FlipkartTable[[#This Row],[Selling Price]]&lt;15000,"Budget",IF(FlipkartTable[[#This Row],[Selling Price]]&lt;50000,"Mid Range","Premium"))</f>
        <v>Budget</v>
      </c>
      <c r="M273" t="str">
        <f>IF(FlipkartTable[[#This Row],[Rating]]&gt;4.5,"Excellent",IF(FlipkartTable[[#This Row],[Rating]]&gt;4,"Good",IF(FlipkartTable[[#This Row],[Rating]]&gt;3.5,"Average","Poor")))</f>
        <v>Average</v>
      </c>
    </row>
    <row r="274" spans="1:13" x14ac:dyDescent="0.35">
      <c r="A274" t="s">
        <v>207</v>
      </c>
      <c r="B274" s="9" t="s">
        <v>209</v>
      </c>
      <c r="C274" t="s">
        <v>210</v>
      </c>
      <c r="D274" t="s">
        <v>14</v>
      </c>
      <c r="E274" t="s">
        <v>15</v>
      </c>
      <c r="F274">
        <v>4.4000000000000004</v>
      </c>
      <c r="G274">
        <v>44990</v>
      </c>
      <c r="H274">
        <v>55000</v>
      </c>
      <c r="I274">
        <f>FlipkartTable[[#This Row],[Original Price]]-FlipkartTable[[#This Row],[Selling Price]]</f>
        <v>10010</v>
      </c>
      <c r="J274" s="4">
        <f>(FlipkartTable[[#This Row],[Original Price]]-FlipkartTable[[#This Row],[Selling Price]])/FlipkartTable[[#This Row],[Original Price]]</f>
        <v>0.182</v>
      </c>
      <c r="K274">
        <f>(FlipkartTable[[#This Row],[Rating]]/FlipkartTable[[#This Row],[Selling Price]])*1000</f>
        <v>9.7799511002444994E-2</v>
      </c>
      <c r="L274" t="str">
        <f>IF(FlipkartTable[[#This Row],[Selling Price]]&lt;15000,"Budget",IF(FlipkartTable[[#This Row],[Selling Price]]&lt;50000,"Mid Range","Premium"))</f>
        <v>Mid Range</v>
      </c>
      <c r="M274" t="str">
        <f>IF(FlipkartTable[[#This Row],[Rating]]&gt;4.5,"Excellent",IF(FlipkartTable[[#This Row],[Rating]]&gt;4,"Good",IF(FlipkartTable[[#This Row],[Rating]]&gt;3.5,"Average","Poor")))</f>
        <v>Good</v>
      </c>
    </row>
    <row r="275" spans="1:13" x14ac:dyDescent="0.35">
      <c r="A275" t="s">
        <v>207</v>
      </c>
      <c r="B275" s="9" t="s">
        <v>211</v>
      </c>
      <c r="C275" t="s">
        <v>22</v>
      </c>
      <c r="D275" t="s">
        <v>20</v>
      </c>
      <c r="E275" t="s">
        <v>12</v>
      </c>
      <c r="F275">
        <v>4</v>
      </c>
      <c r="G275">
        <v>9990</v>
      </c>
      <c r="H275">
        <v>9990</v>
      </c>
      <c r="I275">
        <f>FlipkartTable[[#This Row],[Original Price]]-FlipkartTable[[#This Row],[Selling Price]]</f>
        <v>0</v>
      </c>
      <c r="J275" s="4">
        <f>(FlipkartTable[[#This Row],[Original Price]]-FlipkartTable[[#This Row],[Selling Price]])/FlipkartTable[[#This Row],[Original Price]]</f>
        <v>0</v>
      </c>
      <c r="K275">
        <f>(FlipkartTable[[#This Row],[Rating]]/FlipkartTable[[#This Row],[Selling Price]])*1000</f>
        <v>0.40040040040040042</v>
      </c>
      <c r="L275" t="str">
        <f>IF(FlipkartTable[[#This Row],[Selling Price]]&lt;15000,"Budget",IF(FlipkartTable[[#This Row],[Selling Price]]&lt;50000,"Mid Range","Premium"))</f>
        <v>Budget</v>
      </c>
      <c r="M275" t="str">
        <f>IF(FlipkartTable[[#This Row],[Rating]]&gt;4.5,"Excellent",IF(FlipkartTable[[#This Row],[Rating]]&gt;4,"Good",IF(FlipkartTable[[#This Row],[Rating]]&gt;3.5,"Average","Poor")))</f>
        <v>Average</v>
      </c>
    </row>
    <row r="276" spans="1:13" x14ac:dyDescent="0.35">
      <c r="A276" t="s">
        <v>207</v>
      </c>
      <c r="B276" s="9" t="s">
        <v>212</v>
      </c>
      <c r="C276" t="s">
        <v>152</v>
      </c>
      <c r="D276" t="s">
        <v>134</v>
      </c>
      <c r="E276" t="s">
        <v>27</v>
      </c>
      <c r="F276">
        <v>4.2</v>
      </c>
      <c r="G276">
        <v>15532</v>
      </c>
      <c r="H276">
        <v>15532</v>
      </c>
      <c r="I276">
        <f>FlipkartTable[[#This Row],[Original Price]]-FlipkartTable[[#This Row],[Selling Price]]</f>
        <v>0</v>
      </c>
      <c r="J276" s="4">
        <f>(FlipkartTable[[#This Row],[Original Price]]-FlipkartTable[[#This Row],[Selling Price]])/FlipkartTable[[#This Row],[Original Price]]</f>
        <v>0</v>
      </c>
      <c r="K276">
        <f>(FlipkartTable[[#This Row],[Rating]]/FlipkartTable[[#This Row],[Selling Price]])*1000</f>
        <v>0.27040947720834407</v>
      </c>
      <c r="L276" t="str">
        <f>IF(FlipkartTable[[#This Row],[Selling Price]]&lt;15000,"Budget",IF(FlipkartTable[[#This Row],[Selling Price]]&lt;50000,"Mid Range","Premium"))</f>
        <v>Mid Range</v>
      </c>
      <c r="M276" t="str">
        <f>IF(FlipkartTable[[#This Row],[Rating]]&gt;4.5,"Excellent",IF(FlipkartTable[[#This Row],[Rating]]&gt;4,"Good",IF(FlipkartTable[[#This Row],[Rating]]&gt;3.5,"Average","Poor")))</f>
        <v>Good</v>
      </c>
    </row>
    <row r="277" spans="1:13" x14ac:dyDescent="0.35">
      <c r="A277" t="s">
        <v>207</v>
      </c>
      <c r="B277" s="9" t="s">
        <v>213</v>
      </c>
      <c r="C277" t="s">
        <v>79</v>
      </c>
      <c r="D277" t="s">
        <v>11</v>
      </c>
      <c r="E277" t="s">
        <v>12</v>
      </c>
      <c r="F277">
        <v>4</v>
      </c>
      <c r="G277">
        <v>9999</v>
      </c>
      <c r="H277">
        <v>9999</v>
      </c>
      <c r="I277">
        <f>FlipkartTable[[#This Row],[Original Price]]-FlipkartTable[[#This Row],[Selling Price]]</f>
        <v>0</v>
      </c>
      <c r="J277" s="4">
        <f>(FlipkartTable[[#This Row],[Original Price]]-FlipkartTable[[#This Row],[Selling Price]])/FlipkartTable[[#This Row],[Original Price]]</f>
        <v>0</v>
      </c>
      <c r="K277">
        <f>(FlipkartTable[[#This Row],[Rating]]/FlipkartTable[[#This Row],[Selling Price]])*1000</f>
        <v>0.40004000400040007</v>
      </c>
      <c r="L277" t="str">
        <f>IF(FlipkartTable[[#This Row],[Selling Price]]&lt;15000,"Budget",IF(FlipkartTable[[#This Row],[Selling Price]]&lt;50000,"Mid Range","Premium"))</f>
        <v>Budget</v>
      </c>
      <c r="M277" t="str">
        <f>IF(FlipkartTable[[#This Row],[Rating]]&gt;4.5,"Excellent",IF(FlipkartTable[[#This Row],[Rating]]&gt;4,"Good",IF(FlipkartTable[[#This Row],[Rating]]&gt;3.5,"Average","Poor")))</f>
        <v>Average</v>
      </c>
    </row>
    <row r="278" spans="1:13" x14ac:dyDescent="0.35">
      <c r="A278" t="s">
        <v>207</v>
      </c>
      <c r="B278" s="9" t="s">
        <v>214</v>
      </c>
      <c r="C278" t="s">
        <v>79</v>
      </c>
      <c r="D278" t="s">
        <v>11</v>
      </c>
      <c r="E278" t="s">
        <v>15</v>
      </c>
      <c r="F278">
        <v>4.0999999999999996</v>
      </c>
      <c r="G278">
        <v>10999</v>
      </c>
      <c r="H278">
        <v>10999</v>
      </c>
      <c r="I278">
        <f>FlipkartTable[[#This Row],[Original Price]]-FlipkartTable[[#This Row],[Selling Price]]</f>
        <v>0</v>
      </c>
      <c r="J278" s="4">
        <f>(FlipkartTable[[#This Row],[Original Price]]-FlipkartTable[[#This Row],[Selling Price]])/FlipkartTable[[#This Row],[Original Price]]</f>
        <v>0</v>
      </c>
      <c r="K278">
        <f>(FlipkartTable[[#This Row],[Rating]]/FlipkartTable[[#This Row],[Selling Price]])*1000</f>
        <v>0.37276116010546406</v>
      </c>
      <c r="L278" t="str">
        <f>IF(FlipkartTable[[#This Row],[Selling Price]]&lt;15000,"Budget",IF(FlipkartTable[[#This Row],[Selling Price]]&lt;50000,"Mid Range","Premium"))</f>
        <v>Budget</v>
      </c>
      <c r="M278" t="str">
        <f>IF(FlipkartTable[[#This Row],[Rating]]&gt;4.5,"Excellent",IF(FlipkartTable[[#This Row],[Rating]]&gt;4,"Good",IF(FlipkartTable[[#This Row],[Rating]]&gt;3.5,"Average","Poor")))</f>
        <v>Good</v>
      </c>
    </row>
    <row r="279" spans="1:13" x14ac:dyDescent="0.35">
      <c r="A279" t="s">
        <v>207</v>
      </c>
      <c r="B279" s="9" t="s">
        <v>215</v>
      </c>
      <c r="C279" t="s">
        <v>141</v>
      </c>
      <c r="D279" t="s">
        <v>20</v>
      </c>
      <c r="E279" t="s">
        <v>12</v>
      </c>
      <c r="F279">
        <v>3.9</v>
      </c>
      <c r="G279">
        <v>10990</v>
      </c>
      <c r="H279">
        <v>14000</v>
      </c>
      <c r="I279">
        <f>FlipkartTable[[#This Row],[Original Price]]-FlipkartTable[[#This Row],[Selling Price]]</f>
        <v>3010</v>
      </c>
      <c r="J279" s="4">
        <f>(FlipkartTable[[#This Row],[Original Price]]-FlipkartTable[[#This Row],[Selling Price]])/FlipkartTable[[#This Row],[Original Price]]</f>
        <v>0.215</v>
      </c>
      <c r="K279">
        <f>(FlipkartTable[[#This Row],[Rating]]/FlipkartTable[[#This Row],[Selling Price]])*1000</f>
        <v>0.35486806187443132</v>
      </c>
      <c r="L279" t="str">
        <f>IF(FlipkartTable[[#This Row],[Selling Price]]&lt;15000,"Budget",IF(FlipkartTable[[#This Row],[Selling Price]]&lt;50000,"Mid Range","Premium"))</f>
        <v>Budget</v>
      </c>
      <c r="M279" t="str">
        <f>IF(FlipkartTable[[#This Row],[Rating]]&gt;4.5,"Excellent",IF(FlipkartTable[[#This Row],[Rating]]&gt;4,"Good",IF(FlipkartTable[[#This Row],[Rating]]&gt;3.5,"Average","Poor")))</f>
        <v>Average</v>
      </c>
    </row>
    <row r="280" spans="1:13" x14ac:dyDescent="0.35">
      <c r="A280" t="s">
        <v>207</v>
      </c>
      <c r="B280" s="9" t="s">
        <v>209</v>
      </c>
      <c r="C280" t="s">
        <v>19</v>
      </c>
      <c r="D280" t="s">
        <v>14</v>
      </c>
      <c r="E280" t="s">
        <v>15</v>
      </c>
      <c r="F280">
        <v>4.4000000000000004</v>
      </c>
      <c r="G280">
        <v>44990</v>
      </c>
      <c r="H280">
        <v>55000</v>
      </c>
      <c r="I280">
        <f>FlipkartTable[[#This Row],[Original Price]]-FlipkartTable[[#This Row],[Selling Price]]</f>
        <v>10010</v>
      </c>
      <c r="J280" s="4">
        <f>(FlipkartTable[[#This Row],[Original Price]]-FlipkartTable[[#This Row],[Selling Price]])/FlipkartTable[[#This Row],[Original Price]]</f>
        <v>0.182</v>
      </c>
      <c r="K280">
        <f>(FlipkartTable[[#This Row],[Rating]]/FlipkartTable[[#This Row],[Selling Price]])*1000</f>
        <v>9.7799511002444994E-2</v>
      </c>
      <c r="L280" t="str">
        <f>IF(FlipkartTable[[#This Row],[Selling Price]]&lt;15000,"Budget",IF(FlipkartTable[[#This Row],[Selling Price]]&lt;50000,"Mid Range","Premium"))</f>
        <v>Mid Range</v>
      </c>
      <c r="M280" t="str">
        <f>IF(FlipkartTable[[#This Row],[Rating]]&gt;4.5,"Excellent",IF(FlipkartTable[[#This Row],[Rating]]&gt;4,"Good",IF(FlipkartTable[[#This Row],[Rating]]&gt;3.5,"Average","Poor")))</f>
        <v>Good</v>
      </c>
    </row>
    <row r="281" spans="1:13" x14ac:dyDescent="0.35">
      <c r="A281" t="s">
        <v>207</v>
      </c>
      <c r="B281" s="9" t="s">
        <v>213</v>
      </c>
      <c r="C281" t="s">
        <v>216</v>
      </c>
      <c r="D281" t="s">
        <v>11</v>
      </c>
      <c r="E281" t="s">
        <v>12</v>
      </c>
      <c r="F281">
        <v>4</v>
      </c>
      <c r="G281">
        <v>9999</v>
      </c>
      <c r="H281">
        <v>9999</v>
      </c>
      <c r="I281">
        <f>FlipkartTable[[#This Row],[Original Price]]-FlipkartTable[[#This Row],[Selling Price]]</f>
        <v>0</v>
      </c>
      <c r="J281" s="4">
        <f>(FlipkartTable[[#This Row],[Original Price]]-FlipkartTable[[#This Row],[Selling Price]])/FlipkartTable[[#This Row],[Original Price]]</f>
        <v>0</v>
      </c>
      <c r="K281">
        <f>(FlipkartTable[[#This Row],[Rating]]/FlipkartTable[[#This Row],[Selling Price]])*1000</f>
        <v>0.40004000400040007</v>
      </c>
      <c r="L281" t="str">
        <f>IF(FlipkartTable[[#This Row],[Selling Price]]&lt;15000,"Budget",IF(FlipkartTable[[#This Row],[Selling Price]]&lt;50000,"Mid Range","Premium"))</f>
        <v>Budget</v>
      </c>
      <c r="M281" t="str">
        <f>IF(FlipkartTable[[#This Row],[Rating]]&gt;4.5,"Excellent",IF(FlipkartTable[[#This Row],[Rating]]&gt;4,"Good",IF(FlipkartTable[[#This Row],[Rating]]&gt;3.5,"Average","Poor")))</f>
        <v>Average</v>
      </c>
    </row>
    <row r="282" spans="1:13" x14ac:dyDescent="0.35">
      <c r="A282" t="s">
        <v>207</v>
      </c>
      <c r="B282" s="9" t="s">
        <v>217</v>
      </c>
      <c r="C282" t="s">
        <v>218</v>
      </c>
      <c r="D282" t="s">
        <v>11</v>
      </c>
      <c r="E282" t="s">
        <v>12</v>
      </c>
      <c r="F282">
        <v>3.8</v>
      </c>
      <c r="G282">
        <v>14999</v>
      </c>
      <c r="H282">
        <v>14999</v>
      </c>
      <c r="I282">
        <f>FlipkartTable[[#This Row],[Original Price]]-FlipkartTable[[#This Row],[Selling Price]]</f>
        <v>0</v>
      </c>
      <c r="J282" s="4">
        <f>(FlipkartTable[[#This Row],[Original Price]]-FlipkartTable[[#This Row],[Selling Price]])/FlipkartTable[[#This Row],[Original Price]]</f>
        <v>0</v>
      </c>
      <c r="K282">
        <f>(FlipkartTable[[#This Row],[Rating]]/FlipkartTable[[#This Row],[Selling Price]])*1000</f>
        <v>0.25335022334822321</v>
      </c>
      <c r="L282" t="str">
        <f>IF(FlipkartTable[[#This Row],[Selling Price]]&lt;15000,"Budget",IF(FlipkartTable[[#This Row],[Selling Price]]&lt;50000,"Mid Range","Premium"))</f>
        <v>Budget</v>
      </c>
      <c r="M282" t="str">
        <f>IF(FlipkartTable[[#This Row],[Rating]]&gt;4.5,"Excellent",IF(FlipkartTable[[#This Row],[Rating]]&gt;4,"Good",IF(FlipkartTable[[#This Row],[Rating]]&gt;3.5,"Average","Poor")))</f>
        <v>Average</v>
      </c>
    </row>
    <row r="283" spans="1:13" x14ac:dyDescent="0.35">
      <c r="A283" t="s">
        <v>207</v>
      </c>
      <c r="B283" s="9" t="s">
        <v>217</v>
      </c>
      <c r="C283" t="s">
        <v>79</v>
      </c>
      <c r="D283" t="s">
        <v>11</v>
      </c>
      <c r="E283" t="s">
        <v>12</v>
      </c>
      <c r="F283">
        <v>3.8</v>
      </c>
      <c r="G283">
        <v>13775</v>
      </c>
      <c r="H283">
        <v>14500</v>
      </c>
      <c r="I283">
        <f>FlipkartTable[[#This Row],[Original Price]]-FlipkartTable[[#This Row],[Selling Price]]</f>
        <v>725</v>
      </c>
      <c r="J283" s="4">
        <f>(FlipkartTable[[#This Row],[Original Price]]-FlipkartTable[[#This Row],[Selling Price]])/FlipkartTable[[#This Row],[Original Price]]</f>
        <v>0.05</v>
      </c>
      <c r="K283">
        <f>(FlipkartTable[[#This Row],[Rating]]/FlipkartTable[[#This Row],[Selling Price]])*1000</f>
        <v>0.27586206896551724</v>
      </c>
      <c r="L283" t="str">
        <f>IF(FlipkartTable[[#This Row],[Selling Price]]&lt;15000,"Budget",IF(FlipkartTable[[#This Row],[Selling Price]]&lt;50000,"Mid Range","Premium"))</f>
        <v>Budget</v>
      </c>
      <c r="M283" t="str">
        <f>IF(FlipkartTable[[#This Row],[Rating]]&gt;4.5,"Excellent",IF(FlipkartTable[[#This Row],[Rating]]&gt;4,"Good",IF(FlipkartTable[[#This Row],[Rating]]&gt;3.5,"Average","Poor")))</f>
        <v>Average</v>
      </c>
    </row>
    <row r="284" spans="1:13" x14ac:dyDescent="0.35">
      <c r="A284" t="s">
        <v>207</v>
      </c>
      <c r="B284" s="9" t="s">
        <v>219</v>
      </c>
      <c r="C284" t="s">
        <v>220</v>
      </c>
      <c r="D284" t="s">
        <v>35</v>
      </c>
      <c r="E284" t="s">
        <v>124</v>
      </c>
      <c r="F284">
        <v>4.0999999999999996</v>
      </c>
      <c r="G284">
        <v>5899</v>
      </c>
      <c r="H284">
        <v>7833</v>
      </c>
      <c r="I284">
        <f>FlipkartTable[[#This Row],[Original Price]]-FlipkartTable[[#This Row],[Selling Price]]</f>
        <v>1934</v>
      </c>
      <c r="J284" s="4">
        <f>(FlipkartTable[[#This Row],[Original Price]]-FlipkartTable[[#This Row],[Selling Price]])/FlipkartTable[[#This Row],[Original Price]]</f>
        <v>0.2469041235797268</v>
      </c>
      <c r="K284">
        <f>(FlipkartTable[[#This Row],[Rating]]/FlipkartTable[[#This Row],[Selling Price]])*1000</f>
        <v>0.69503305645024571</v>
      </c>
      <c r="L284" t="str">
        <f>IF(FlipkartTable[[#This Row],[Selling Price]]&lt;15000,"Budget",IF(FlipkartTable[[#This Row],[Selling Price]]&lt;50000,"Mid Range","Premium"))</f>
        <v>Budget</v>
      </c>
      <c r="M284" t="str">
        <f>IF(FlipkartTable[[#This Row],[Rating]]&gt;4.5,"Excellent",IF(FlipkartTable[[#This Row],[Rating]]&gt;4,"Good",IF(FlipkartTable[[#This Row],[Rating]]&gt;3.5,"Average","Poor")))</f>
        <v>Good</v>
      </c>
    </row>
    <row r="285" spans="1:13" x14ac:dyDescent="0.35">
      <c r="A285" t="s">
        <v>207</v>
      </c>
      <c r="B285" s="9" t="s">
        <v>221</v>
      </c>
      <c r="C285" t="s">
        <v>19</v>
      </c>
      <c r="D285" t="s">
        <v>35</v>
      </c>
      <c r="E285" t="s">
        <v>124</v>
      </c>
      <c r="F285">
        <v>4</v>
      </c>
      <c r="G285">
        <v>7999</v>
      </c>
      <c r="H285">
        <v>7999</v>
      </c>
      <c r="I285">
        <f>FlipkartTable[[#This Row],[Original Price]]-FlipkartTable[[#This Row],[Selling Price]]</f>
        <v>0</v>
      </c>
      <c r="J285" s="4">
        <f>(FlipkartTable[[#This Row],[Original Price]]-FlipkartTable[[#This Row],[Selling Price]])/FlipkartTable[[#This Row],[Original Price]]</f>
        <v>0</v>
      </c>
      <c r="K285">
        <f>(FlipkartTable[[#This Row],[Rating]]/FlipkartTable[[#This Row],[Selling Price]])*1000</f>
        <v>0.50006250781347672</v>
      </c>
      <c r="L285" t="str">
        <f>IF(FlipkartTable[[#This Row],[Selling Price]]&lt;15000,"Budget",IF(FlipkartTable[[#This Row],[Selling Price]]&lt;50000,"Mid Range","Premium"))</f>
        <v>Budget</v>
      </c>
      <c r="M285" t="str">
        <f>IF(FlipkartTable[[#This Row],[Rating]]&gt;4.5,"Excellent",IF(FlipkartTable[[#This Row],[Rating]]&gt;4,"Good",IF(FlipkartTable[[#This Row],[Rating]]&gt;3.5,"Average","Poor")))</f>
        <v>Average</v>
      </c>
    </row>
    <row r="286" spans="1:13" x14ac:dyDescent="0.35">
      <c r="A286" t="s">
        <v>207</v>
      </c>
      <c r="B286" s="9" t="s">
        <v>222</v>
      </c>
      <c r="C286" t="s">
        <v>223</v>
      </c>
      <c r="D286" t="s">
        <v>20</v>
      </c>
      <c r="E286" t="s">
        <v>21</v>
      </c>
      <c r="F286">
        <v>3.9</v>
      </c>
      <c r="G286">
        <v>6999</v>
      </c>
      <c r="H286">
        <v>9999</v>
      </c>
      <c r="I286">
        <f>FlipkartTable[[#This Row],[Original Price]]-FlipkartTable[[#This Row],[Selling Price]]</f>
        <v>3000</v>
      </c>
      <c r="J286" s="4">
        <f>(FlipkartTable[[#This Row],[Original Price]]-FlipkartTable[[#This Row],[Selling Price]])/FlipkartTable[[#This Row],[Original Price]]</f>
        <v>0.30003000300030003</v>
      </c>
      <c r="K286">
        <f>(FlipkartTable[[#This Row],[Rating]]/FlipkartTable[[#This Row],[Selling Price]])*1000</f>
        <v>0.55722246035147871</v>
      </c>
      <c r="L286" t="str">
        <f>IF(FlipkartTable[[#This Row],[Selling Price]]&lt;15000,"Budget",IF(FlipkartTable[[#This Row],[Selling Price]]&lt;50000,"Mid Range","Premium"))</f>
        <v>Budget</v>
      </c>
      <c r="M286" t="str">
        <f>IF(FlipkartTable[[#This Row],[Rating]]&gt;4.5,"Excellent",IF(FlipkartTable[[#This Row],[Rating]]&gt;4,"Good",IF(FlipkartTable[[#This Row],[Rating]]&gt;3.5,"Average","Poor")))</f>
        <v>Average</v>
      </c>
    </row>
    <row r="287" spans="1:13" x14ac:dyDescent="0.35">
      <c r="A287" t="s">
        <v>207</v>
      </c>
      <c r="B287" s="9" t="s">
        <v>217</v>
      </c>
      <c r="C287" t="s">
        <v>218</v>
      </c>
      <c r="D287" t="s">
        <v>11</v>
      </c>
      <c r="E287" t="s">
        <v>12</v>
      </c>
      <c r="F287">
        <v>3.8</v>
      </c>
      <c r="G287">
        <v>13998</v>
      </c>
      <c r="H287">
        <v>13998</v>
      </c>
      <c r="I287">
        <f>FlipkartTable[[#This Row],[Original Price]]-FlipkartTable[[#This Row],[Selling Price]]</f>
        <v>0</v>
      </c>
      <c r="J287" s="4">
        <f>(FlipkartTable[[#This Row],[Original Price]]-FlipkartTable[[#This Row],[Selling Price]])/FlipkartTable[[#This Row],[Original Price]]</f>
        <v>0</v>
      </c>
      <c r="K287">
        <f>(FlipkartTable[[#This Row],[Rating]]/FlipkartTable[[#This Row],[Selling Price]])*1000</f>
        <v>0.27146735247892556</v>
      </c>
      <c r="L287" t="str">
        <f>IF(FlipkartTable[[#This Row],[Selling Price]]&lt;15000,"Budget",IF(FlipkartTable[[#This Row],[Selling Price]]&lt;50000,"Mid Range","Premium"))</f>
        <v>Budget</v>
      </c>
      <c r="M287" t="str">
        <f>IF(FlipkartTable[[#This Row],[Rating]]&gt;4.5,"Excellent",IF(FlipkartTable[[#This Row],[Rating]]&gt;4,"Good",IF(FlipkartTable[[#This Row],[Rating]]&gt;3.5,"Average","Poor")))</f>
        <v>Average</v>
      </c>
    </row>
    <row r="288" spans="1:13" x14ac:dyDescent="0.35">
      <c r="A288" t="s">
        <v>207</v>
      </c>
      <c r="B288" s="9" t="s">
        <v>224</v>
      </c>
      <c r="C288" t="s">
        <v>225</v>
      </c>
      <c r="D288" t="s">
        <v>35</v>
      </c>
      <c r="E288" t="s">
        <v>124</v>
      </c>
      <c r="F288">
        <v>4</v>
      </c>
      <c r="G288">
        <v>7799</v>
      </c>
      <c r="H288">
        <v>7799</v>
      </c>
      <c r="I288">
        <f>FlipkartTable[[#This Row],[Original Price]]-FlipkartTable[[#This Row],[Selling Price]]</f>
        <v>0</v>
      </c>
      <c r="J288" s="4">
        <f>(FlipkartTable[[#This Row],[Original Price]]-FlipkartTable[[#This Row],[Selling Price]])/FlipkartTable[[#This Row],[Original Price]]</f>
        <v>0</v>
      </c>
      <c r="K288">
        <f>(FlipkartTable[[#This Row],[Rating]]/FlipkartTable[[#This Row],[Selling Price]])*1000</f>
        <v>0.51288626747018851</v>
      </c>
      <c r="L288" t="str">
        <f>IF(FlipkartTable[[#This Row],[Selling Price]]&lt;15000,"Budget",IF(FlipkartTable[[#This Row],[Selling Price]]&lt;50000,"Mid Range","Premium"))</f>
        <v>Budget</v>
      </c>
      <c r="M288" t="str">
        <f>IF(FlipkartTable[[#This Row],[Rating]]&gt;4.5,"Excellent",IF(FlipkartTable[[#This Row],[Rating]]&gt;4,"Good",IF(FlipkartTable[[#This Row],[Rating]]&gt;3.5,"Average","Poor")))</f>
        <v>Average</v>
      </c>
    </row>
    <row r="289" spans="1:13" x14ac:dyDescent="0.35">
      <c r="A289" t="s">
        <v>207</v>
      </c>
      <c r="B289" s="9" t="s">
        <v>226</v>
      </c>
      <c r="C289" t="s">
        <v>227</v>
      </c>
      <c r="D289" t="s">
        <v>11</v>
      </c>
      <c r="E289" t="s">
        <v>12</v>
      </c>
      <c r="F289">
        <v>4</v>
      </c>
      <c r="G289">
        <v>10499</v>
      </c>
      <c r="H289">
        <v>10499</v>
      </c>
      <c r="I289">
        <f>FlipkartTable[[#This Row],[Original Price]]-FlipkartTable[[#This Row],[Selling Price]]</f>
        <v>0</v>
      </c>
      <c r="J289" s="4">
        <f>(FlipkartTable[[#This Row],[Original Price]]-FlipkartTable[[#This Row],[Selling Price]])/FlipkartTable[[#This Row],[Original Price]]</f>
        <v>0</v>
      </c>
      <c r="K289">
        <f>(FlipkartTable[[#This Row],[Rating]]/FlipkartTable[[#This Row],[Selling Price]])*1000</f>
        <v>0.38098866558719874</v>
      </c>
      <c r="L289" t="str">
        <f>IF(FlipkartTable[[#This Row],[Selling Price]]&lt;15000,"Budget",IF(FlipkartTable[[#This Row],[Selling Price]]&lt;50000,"Mid Range","Premium"))</f>
        <v>Budget</v>
      </c>
      <c r="M289" t="str">
        <f>IF(FlipkartTable[[#This Row],[Rating]]&gt;4.5,"Excellent",IF(FlipkartTable[[#This Row],[Rating]]&gt;4,"Good",IF(FlipkartTable[[#This Row],[Rating]]&gt;3.5,"Average","Poor")))</f>
        <v>Average</v>
      </c>
    </row>
    <row r="290" spans="1:13" x14ac:dyDescent="0.35">
      <c r="A290" t="s">
        <v>207</v>
      </c>
      <c r="B290" s="9" t="s">
        <v>228</v>
      </c>
      <c r="C290" t="s">
        <v>19</v>
      </c>
      <c r="D290" t="s">
        <v>11</v>
      </c>
      <c r="E290" t="s">
        <v>12</v>
      </c>
      <c r="F290">
        <v>4</v>
      </c>
      <c r="G290">
        <v>24000</v>
      </c>
      <c r="H290">
        <v>24000</v>
      </c>
      <c r="I290">
        <f>FlipkartTable[[#This Row],[Original Price]]-FlipkartTable[[#This Row],[Selling Price]]</f>
        <v>0</v>
      </c>
      <c r="J290" s="4">
        <f>(FlipkartTable[[#This Row],[Original Price]]-FlipkartTable[[#This Row],[Selling Price]])/FlipkartTable[[#This Row],[Original Price]]</f>
        <v>0</v>
      </c>
      <c r="K290">
        <f>(FlipkartTable[[#This Row],[Rating]]/FlipkartTable[[#This Row],[Selling Price]])*1000</f>
        <v>0.16666666666666666</v>
      </c>
      <c r="L290" t="str">
        <f>IF(FlipkartTable[[#This Row],[Selling Price]]&lt;15000,"Budget",IF(FlipkartTable[[#This Row],[Selling Price]]&lt;50000,"Mid Range","Premium"))</f>
        <v>Mid Range</v>
      </c>
      <c r="M290" t="str">
        <f>IF(FlipkartTable[[#This Row],[Rating]]&gt;4.5,"Excellent",IF(FlipkartTable[[#This Row],[Rating]]&gt;4,"Good",IF(FlipkartTable[[#This Row],[Rating]]&gt;3.5,"Average","Poor")))</f>
        <v>Average</v>
      </c>
    </row>
    <row r="291" spans="1:13" x14ac:dyDescent="0.35">
      <c r="A291" t="s">
        <v>207</v>
      </c>
      <c r="B291" s="9" t="s">
        <v>229</v>
      </c>
      <c r="C291" t="s">
        <v>19</v>
      </c>
      <c r="D291" t="s">
        <v>20</v>
      </c>
      <c r="E291" t="s">
        <v>21</v>
      </c>
      <c r="F291">
        <v>3.7</v>
      </c>
      <c r="G291">
        <v>7299</v>
      </c>
      <c r="H291">
        <v>7299</v>
      </c>
      <c r="I291">
        <f>FlipkartTable[[#This Row],[Original Price]]-FlipkartTable[[#This Row],[Selling Price]]</f>
        <v>0</v>
      </c>
      <c r="J291" s="4">
        <f>(FlipkartTable[[#This Row],[Original Price]]-FlipkartTable[[#This Row],[Selling Price]])/FlipkartTable[[#This Row],[Original Price]]</f>
        <v>0</v>
      </c>
      <c r="K291">
        <f>(FlipkartTable[[#This Row],[Rating]]/FlipkartTable[[#This Row],[Selling Price]])*1000</f>
        <v>0.50691875599397185</v>
      </c>
      <c r="L291" t="str">
        <f>IF(FlipkartTable[[#This Row],[Selling Price]]&lt;15000,"Budget",IF(FlipkartTable[[#This Row],[Selling Price]]&lt;50000,"Mid Range","Premium"))</f>
        <v>Budget</v>
      </c>
      <c r="M291" t="str">
        <f>IF(FlipkartTable[[#This Row],[Rating]]&gt;4.5,"Excellent",IF(FlipkartTable[[#This Row],[Rating]]&gt;4,"Good",IF(FlipkartTable[[#This Row],[Rating]]&gt;3.5,"Average","Poor")))</f>
        <v>Average</v>
      </c>
    </row>
    <row r="292" spans="1:13" x14ac:dyDescent="0.35">
      <c r="A292" t="s">
        <v>207</v>
      </c>
      <c r="B292" s="9" t="s">
        <v>230</v>
      </c>
      <c r="C292" t="s">
        <v>231</v>
      </c>
      <c r="D292" t="s">
        <v>20</v>
      </c>
      <c r="E292" t="s">
        <v>21</v>
      </c>
      <c r="F292">
        <v>3.9</v>
      </c>
      <c r="G292">
        <v>8399</v>
      </c>
      <c r="H292">
        <v>8399</v>
      </c>
      <c r="I292">
        <f>FlipkartTable[[#This Row],[Original Price]]-FlipkartTable[[#This Row],[Selling Price]]</f>
        <v>0</v>
      </c>
      <c r="J292" s="4">
        <f>(FlipkartTable[[#This Row],[Original Price]]-FlipkartTable[[#This Row],[Selling Price]])/FlipkartTable[[#This Row],[Original Price]]</f>
        <v>0</v>
      </c>
      <c r="K292">
        <f>(FlipkartTable[[#This Row],[Rating]]/FlipkartTable[[#This Row],[Selling Price]])*1000</f>
        <v>0.46434099297535419</v>
      </c>
      <c r="L292" t="str">
        <f>IF(FlipkartTable[[#This Row],[Selling Price]]&lt;15000,"Budget",IF(FlipkartTable[[#This Row],[Selling Price]]&lt;50000,"Mid Range","Premium"))</f>
        <v>Budget</v>
      </c>
      <c r="M292" t="str">
        <f>IF(FlipkartTable[[#This Row],[Rating]]&gt;4.5,"Excellent",IF(FlipkartTable[[#This Row],[Rating]]&gt;4,"Good",IF(FlipkartTable[[#This Row],[Rating]]&gt;3.5,"Average","Poor")))</f>
        <v>Average</v>
      </c>
    </row>
    <row r="293" spans="1:13" x14ac:dyDescent="0.35">
      <c r="A293" t="s">
        <v>207</v>
      </c>
      <c r="B293" s="9" t="s">
        <v>232</v>
      </c>
      <c r="C293" t="s">
        <v>233</v>
      </c>
      <c r="D293" t="s">
        <v>11</v>
      </c>
      <c r="E293" t="s">
        <v>12</v>
      </c>
      <c r="F293">
        <v>3.8</v>
      </c>
      <c r="G293">
        <v>12950</v>
      </c>
      <c r="H293">
        <v>12950</v>
      </c>
      <c r="I293">
        <f>FlipkartTable[[#This Row],[Original Price]]-FlipkartTable[[#This Row],[Selling Price]]</f>
        <v>0</v>
      </c>
      <c r="J293" s="4">
        <f>(FlipkartTable[[#This Row],[Original Price]]-FlipkartTable[[#This Row],[Selling Price]])/FlipkartTable[[#This Row],[Original Price]]</f>
        <v>0</v>
      </c>
      <c r="K293">
        <f>(FlipkartTable[[#This Row],[Rating]]/FlipkartTable[[#This Row],[Selling Price]])*1000</f>
        <v>0.29343629343629346</v>
      </c>
      <c r="L293" t="str">
        <f>IF(FlipkartTable[[#This Row],[Selling Price]]&lt;15000,"Budget",IF(FlipkartTable[[#This Row],[Selling Price]]&lt;50000,"Mid Range","Premium"))</f>
        <v>Budget</v>
      </c>
      <c r="M293" t="str">
        <f>IF(FlipkartTable[[#This Row],[Rating]]&gt;4.5,"Excellent",IF(FlipkartTable[[#This Row],[Rating]]&gt;4,"Good",IF(FlipkartTable[[#This Row],[Rating]]&gt;3.5,"Average","Poor")))</f>
        <v>Average</v>
      </c>
    </row>
    <row r="294" spans="1:13" x14ac:dyDescent="0.35">
      <c r="A294" t="s">
        <v>207</v>
      </c>
      <c r="B294" s="9" t="s">
        <v>234</v>
      </c>
      <c r="C294" t="s">
        <v>235</v>
      </c>
      <c r="D294" t="s">
        <v>14</v>
      </c>
      <c r="E294" t="s">
        <v>15</v>
      </c>
      <c r="F294">
        <v>4.4000000000000004</v>
      </c>
      <c r="G294">
        <v>55000</v>
      </c>
      <c r="H294">
        <v>55000</v>
      </c>
      <c r="I294">
        <f>FlipkartTable[[#This Row],[Original Price]]-FlipkartTable[[#This Row],[Selling Price]]</f>
        <v>0</v>
      </c>
      <c r="J294" s="4">
        <f>(FlipkartTable[[#This Row],[Original Price]]-FlipkartTable[[#This Row],[Selling Price]])/FlipkartTable[[#This Row],[Original Price]]</f>
        <v>0</v>
      </c>
      <c r="K294">
        <f>(FlipkartTable[[#This Row],[Rating]]/FlipkartTable[[#This Row],[Selling Price]])*1000</f>
        <v>0.08</v>
      </c>
      <c r="L294" t="str">
        <f>IF(FlipkartTable[[#This Row],[Selling Price]]&lt;15000,"Budget",IF(FlipkartTable[[#This Row],[Selling Price]]&lt;50000,"Mid Range","Premium"))</f>
        <v>Premium</v>
      </c>
      <c r="M294" t="str">
        <f>IF(FlipkartTable[[#This Row],[Rating]]&gt;4.5,"Excellent",IF(FlipkartTable[[#This Row],[Rating]]&gt;4,"Good",IF(FlipkartTable[[#This Row],[Rating]]&gt;3.5,"Average","Poor")))</f>
        <v>Good</v>
      </c>
    </row>
    <row r="295" spans="1:13" x14ac:dyDescent="0.35">
      <c r="A295" t="s">
        <v>207</v>
      </c>
      <c r="B295" s="9" t="s">
        <v>236</v>
      </c>
      <c r="C295" t="s">
        <v>237</v>
      </c>
      <c r="D295" t="s">
        <v>35</v>
      </c>
      <c r="E295" t="s">
        <v>124</v>
      </c>
      <c r="F295">
        <v>4.0999999999999996</v>
      </c>
      <c r="G295">
        <v>12999</v>
      </c>
      <c r="H295">
        <v>12999</v>
      </c>
      <c r="I295">
        <f>FlipkartTable[[#This Row],[Original Price]]-FlipkartTable[[#This Row],[Selling Price]]</f>
        <v>0</v>
      </c>
      <c r="J295" s="4">
        <f>(FlipkartTable[[#This Row],[Original Price]]-FlipkartTable[[#This Row],[Selling Price]])/FlipkartTable[[#This Row],[Original Price]]</f>
        <v>0</v>
      </c>
      <c r="K295">
        <f>(FlipkartTable[[#This Row],[Rating]]/FlipkartTable[[#This Row],[Selling Price]])*1000</f>
        <v>0.31540887760596964</v>
      </c>
      <c r="L295" t="str">
        <f>IF(FlipkartTable[[#This Row],[Selling Price]]&lt;15000,"Budget",IF(FlipkartTable[[#This Row],[Selling Price]]&lt;50000,"Mid Range","Premium"))</f>
        <v>Budget</v>
      </c>
      <c r="M295" t="str">
        <f>IF(FlipkartTable[[#This Row],[Rating]]&gt;4.5,"Excellent",IF(FlipkartTable[[#This Row],[Rating]]&gt;4,"Good",IF(FlipkartTable[[#This Row],[Rating]]&gt;3.5,"Average","Poor")))</f>
        <v>Good</v>
      </c>
    </row>
    <row r="296" spans="1:13" x14ac:dyDescent="0.35">
      <c r="A296" t="s">
        <v>207</v>
      </c>
      <c r="B296" s="9" t="s">
        <v>215</v>
      </c>
      <c r="C296" t="s">
        <v>139</v>
      </c>
      <c r="D296" t="s">
        <v>20</v>
      </c>
      <c r="E296" t="s">
        <v>12</v>
      </c>
      <c r="F296">
        <v>3.9</v>
      </c>
      <c r="G296">
        <v>10990</v>
      </c>
      <c r="H296">
        <v>14000</v>
      </c>
      <c r="I296">
        <f>FlipkartTable[[#This Row],[Original Price]]-FlipkartTable[[#This Row],[Selling Price]]</f>
        <v>3010</v>
      </c>
      <c r="J296" s="4">
        <f>(FlipkartTable[[#This Row],[Original Price]]-FlipkartTable[[#This Row],[Selling Price]])/FlipkartTable[[#This Row],[Original Price]]</f>
        <v>0.215</v>
      </c>
      <c r="K296">
        <f>(FlipkartTable[[#This Row],[Rating]]/FlipkartTable[[#This Row],[Selling Price]])*1000</f>
        <v>0.35486806187443132</v>
      </c>
      <c r="L296" t="str">
        <f>IF(FlipkartTable[[#This Row],[Selling Price]]&lt;15000,"Budget",IF(FlipkartTable[[#This Row],[Selling Price]]&lt;50000,"Mid Range","Premium"))</f>
        <v>Budget</v>
      </c>
      <c r="M296" t="str">
        <f>IF(FlipkartTable[[#This Row],[Rating]]&gt;4.5,"Excellent",IF(FlipkartTable[[#This Row],[Rating]]&gt;4,"Good",IF(FlipkartTable[[#This Row],[Rating]]&gt;3.5,"Average","Poor")))</f>
        <v>Average</v>
      </c>
    </row>
    <row r="297" spans="1:13" x14ac:dyDescent="0.35">
      <c r="A297" t="s">
        <v>207</v>
      </c>
      <c r="B297" s="9" t="s">
        <v>238</v>
      </c>
      <c r="C297" t="s">
        <v>239</v>
      </c>
      <c r="D297" t="s">
        <v>134</v>
      </c>
      <c r="E297" t="s">
        <v>27</v>
      </c>
      <c r="F297">
        <v>3.4</v>
      </c>
      <c r="G297">
        <v>5000</v>
      </c>
      <c r="H297">
        <v>11500</v>
      </c>
      <c r="I297">
        <f>FlipkartTable[[#This Row],[Original Price]]-FlipkartTable[[#This Row],[Selling Price]]</f>
        <v>6500</v>
      </c>
      <c r="J297" s="4">
        <f>(FlipkartTable[[#This Row],[Original Price]]-FlipkartTable[[#This Row],[Selling Price]])/FlipkartTable[[#This Row],[Original Price]]</f>
        <v>0.56521739130434778</v>
      </c>
      <c r="K297">
        <f>(FlipkartTable[[#This Row],[Rating]]/FlipkartTable[[#This Row],[Selling Price]])*1000</f>
        <v>0.67999999999999994</v>
      </c>
      <c r="L297" t="str">
        <f>IF(FlipkartTable[[#This Row],[Selling Price]]&lt;15000,"Budget",IF(FlipkartTable[[#This Row],[Selling Price]]&lt;50000,"Mid Range","Premium"))</f>
        <v>Budget</v>
      </c>
      <c r="M297" t="str">
        <f>IF(FlipkartTable[[#This Row],[Rating]]&gt;4.5,"Excellent",IF(FlipkartTable[[#This Row],[Rating]]&gt;4,"Good",IF(FlipkartTable[[#This Row],[Rating]]&gt;3.5,"Average","Poor")))</f>
        <v>Poor</v>
      </c>
    </row>
    <row r="298" spans="1:13" x14ac:dyDescent="0.35">
      <c r="A298" t="s">
        <v>207</v>
      </c>
      <c r="B298" s="9" t="s">
        <v>232</v>
      </c>
      <c r="C298" t="s">
        <v>163</v>
      </c>
      <c r="D298" t="s">
        <v>11</v>
      </c>
      <c r="E298" t="s">
        <v>12</v>
      </c>
      <c r="F298">
        <v>3.8</v>
      </c>
      <c r="G298">
        <v>12790</v>
      </c>
      <c r="H298">
        <v>12790</v>
      </c>
      <c r="I298">
        <f>FlipkartTable[[#This Row],[Original Price]]-FlipkartTable[[#This Row],[Selling Price]]</f>
        <v>0</v>
      </c>
      <c r="J298" s="4">
        <f>(FlipkartTable[[#This Row],[Original Price]]-FlipkartTable[[#This Row],[Selling Price]])/FlipkartTable[[#This Row],[Original Price]]</f>
        <v>0</v>
      </c>
      <c r="K298">
        <f>(FlipkartTable[[#This Row],[Rating]]/FlipkartTable[[#This Row],[Selling Price]])*1000</f>
        <v>0.2971071149335418</v>
      </c>
      <c r="L298" t="str">
        <f>IF(FlipkartTable[[#This Row],[Selling Price]]&lt;15000,"Budget",IF(FlipkartTable[[#This Row],[Selling Price]]&lt;50000,"Mid Range","Premium"))</f>
        <v>Budget</v>
      </c>
      <c r="M298" t="str">
        <f>IF(FlipkartTable[[#This Row],[Rating]]&gt;4.5,"Excellent",IF(FlipkartTable[[#This Row],[Rating]]&gt;4,"Good",IF(FlipkartTable[[#This Row],[Rating]]&gt;3.5,"Average","Poor")))</f>
        <v>Average</v>
      </c>
    </row>
    <row r="299" spans="1:13" x14ac:dyDescent="0.35">
      <c r="A299" t="s">
        <v>207</v>
      </c>
      <c r="B299" s="9" t="s">
        <v>240</v>
      </c>
      <c r="C299" t="s">
        <v>170</v>
      </c>
      <c r="D299" t="s">
        <v>11</v>
      </c>
      <c r="E299" t="s">
        <v>12</v>
      </c>
      <c r="F299">
        <v>4.2</v>
      </c>
      <c r="G299">
        <v>29199</v>
      </c>
      <c r="H299">
        <v>29199</v>
      </c>
      <c r="I299">
        <f>FlipkartTable[[#This Row],[Original Price]]-FlipkartTable[[#This Row],[Selling Price]]</f>
        <v>0</v>
      </c>
      <c r="J299" s="4">
        <f>(FlipkartTable[[#This Row],[Original Price]]-FlipkartTable[[#This Row],[Selling Price]])/FlipkartTable[[#This Row],[Original Price]]</f>
        <v>0</v>
      </c>
      <c r="K299">
        <f>(FlipkartTable[[#This Row],[Rating]]/FlipkartTable[[#This Row],[Selling Price]])*1000</f>
        <v>0.14384054248433165</v>
      </c>
      <c r="L299" t="str">
        <f>IF(FlipkartTable[[#This Row],[Selling Price]]&lt;15000,"Budget",IF(FlipkartTable[[#This Row],[Selling Price]]&lt;50000,"Mid Range","Premium"))</f>
        <v>Mid Range</v>
      </c>
      <c r="M299" t="str">
        <f>IF(FlipkartTable[[#This Row],[Rating]]&gt;4.5,"Excellent",IF(FlipkartTable[[#This Row],[Rating]]&gt;4,"Good",IF(FlipkartTable[[#This Row],[Rating]]&gt;3.5,"Average","Poor")))</f>
        <v>Good</v>
      </c>
    </row>
    <row r="300" spans="1:13" x14ac:dyDescent="0.35">
      <c r="A300" t="s">
        <v>207</v>
      </c>
      <c r="B300" s="9" t="s">
        <v>241</v>
      </c>
      <c r="C300" t="s">
        <v>19</v>
      </c>
      <c r="D300" t="s">
        <v>14</v>
      </c>
      <c r="E300" t="s">
        <v>15</v>
      </c>
      <c r="F300">
        <v>4.4000000000000004</v>
      </c>
      <c r="G300">
        <v>27990</v>
      </c>
      <c r="H300">
        <v>70000</v>
      </c>
      <c r="I300">
        <f>FlipkartTable[[#This Row],[Original Price]]-FlipkartTable[[#This Row],[Selling Price]]</f>
        <v>42010</v>
      </c>
      <c r="J300" s="4">
        <f>(FlipkartTable[[#This Row],[Original Price]]-FlipkartTable[[#This Row],[Selling Price]])/FlipkartTable[[#This Row],[Original Price]]</f>
        <v>0.60014285714285709</v>
      </c>
      <c r="K300">
        <f>(FlipkartTable[[#This Row],[Rating]]/FlipkartTable[[#This Row],[Selling Price]])*1000</f>
        <v>0.15719899964272957</v>
      </c>
      <c r="L300" t="str">
        <f>IF(FlipkartTable[[#This Row],[Selling Price]]&lt;15000,"Budget",IF(FlipkartTable[[#This Row],[Selling Price]]&lt;50000,"Mid Range","Premium"))</f>
        <v>Mid Range</v>
      </c>
      <c r="M300" t="str">
        <f>IF(FlipkartTable[[#This Row],[Rating]]&gt;4.5,"Excellent",IF(FlipkartTable[[#This Row],[Rating]]&gt;4,"Good",IF(FlipkartTable[[#This Row],[Rating]]&gt;3.5,"Average","Poor")))</f>
        <v>Good</v>
      </c>
    </row>
    <row r="301" spans="1:13" x14ac:dyDescent="0.35">
      <c r="A301" t="s">
        <v>207</v>
      </c>
      <c r="B301" s="9" t="s">
        <v>242</v>
      </c>
      <c r="C301" t="s">
        <v>243</v>
      </c>
      <c r="D301" t="s">
        <v>14</v>
      </c>
      <c r="E301" t="s">
        <v>15</v>
      </c>
      <c r="F301">
        <v>4.4000000000000004</v>
      </c>
      <c r="G301">
        <v>60000</v>
      </c>
      <c r="H301">
        <v>60000</v>
      </c>
      <c r="I301">
        <f>FlipkartTable[[#This Row],[Original Price]]-FlipkartTable[[#This Row],[Selling Price]]</f>
        <v>0</v>
      </c>
      <c r="J301" s="4">
        <f>(FlipkartTable[[#This Row],[Original Price]]-FlipkartTable[[#This Row],[Selling Price]])/FlipkartTable[[#This Row],[Original Price]]</f>
        <v>0</v>
      </c>
      <c r="K301">
        <f>(FlipkartTable[[#This Row],[Rating]]/FlipkartTable[[#This Row],[Selling Price]])*1000</f>
        <v>7.3333333333333348E-2</v>
      </c>
      <c r="L301" t="str">
        <f>IF(FlipkartTable[[#This Row],[Selling Price]]&lt;15000,"Budget",IF(FlipkartTable[[#This Row],[Selling Price]]&lt;50000,"Mid Range","Premium"))</f>
        <v>Premium</v>
      </c>
      <c r="M301" t="str">
        <f>IF(FlipkartTable[[#This Row],[Rating]]&gt;4.5,"Excellent",IF(FlipkartTable[[#This Row],[Rating]]&gt;4,"Good",IF(FlipkartTable[[#This Row],[Rating]]&gt;3.5,"Average","Poor")))</f>
        <v>Good</v>
      </c>
    </row>
    <row r="302" spans="1:13" x14ac:dyDescent="0.35">
      <c r="A302" t="s">
        <v>207</v>
      </c>
      <c r="B302" s="9" t="s">
        <v>244</v>
      </c>
      <c r="C302" t="s">
        <v>245</v>
      </c>
      <c r="D302" t="s">
        <v>35</v>
      </c>
      <c r="E302" t="s">
        <v>124</v>
      </c>
      <c r="F302">
        <v>4</v>
      </c>
      <c r="G302">
        <v>9990</v>
      </c>
      <c r="H302">
        <v>9990</v>
      </c>
      <c r="I302">
        <f>FlipkartTable[[#This Row],[Original Price]]-FlipkartTable[[#This Row],[Selling Price]]</f>
        <v>0</v>
      </c>
      <c r="J302" s="4">
        <f>(FlipkartTable[[#This Row],[Original Price]]-FlipkartTable[[#This Row],[Selling Price]])/FlipkartTable[[#This Row],[Original Price]]</f>
        <v>0</v>
      </c>
      <c r="K302">
        <f>(FlipkartTable[[#This Row],[Rating]]/FlipkartTable[[#This Row],[Selling Price]])*1000</f>
        <v>0.40040040040040042</v>
      </c>
      <c r="L302" t="str">
        <f>IF(FlipkartTable[[#This Row],[Selling Price]]&lt;15000,"Budget",IF(FlipkartTable[[#This Row],[Selling Price]]&lt;50000,"Mid Range","Premium"))</f>
        <v>Budget</v>
      </c>
      <c r="M302" t="str">
        <f>IF(FlipkartTable[[#This Row],[Rating]]&gt;4.5,"Excellent",IF(FlipkartTable[[#This Row],[Rating]]&gt;4,"Good",IF(FlipkartTable[[#This Row],[Rating]]&gt;3.5,"Average","Poor")))</f>
        <v>Average</v>
      </c>
    </row>
    <row r="303" spans="1:13" x14ac:dyDescent="0.35">
      <c r="A303" t="s">
        <v>207</v>
      </c>
      <c r="B303" s="9" t="s">
        <v>246</v>
      </c>
      <c r="C303" t="s">
        <v>152</v>
      </c>
      <c r="D303" t="s">
        <v>35</v>
      </c>
      <c r="E303" t="s">
        <v>124</v>
      </c>
      <c r="F303">
        <v>4.5</v>
      </c>
      <c r="G303">
        <v>26299</v>
      </c>
      <c r="H303">
        <v>26299</v>
      </c>
      <c r="I303">
        <f>FlipkartTable[[#This Row],[Original Price]]-FlipkartTable[[#This Row],[Selling Price]]</f>
        <v>0</v>
      </c>
      <c r="J303" s="4">
        <f>(FlipkartTable[[#This Row],[Original Price]]-FlipkartTable[[#This Row],[Selling Price]])/FlipkartTable[[#This Row],[Original Price]]</f>
        <v>0</v>
      </c>
      <c r="K303">
        <f>(FlipkartTable[[#This Row],[Rating]]/FlipkartTable[[#This Row],[Selling Price]])*1000</f>
        <v>0.17110916764896003</v>
      </c>
      <c r="L303" t="str">
        <f>IF(FlipkartTable[[#This Row],[Selling Price]]&lt;15000,"Budget",IF(FlipkartTable[[#This Row],[Selling Price]]&lt;50000,"Mid Range","Premium"))</f>
        <v>Mid Range</v>
      </c>
      <c r="M303" t="str">
        <f>IF(FlipkartTable[[#This Row],[Rating]]&gt;4.5,"Excellent",IF(FlipkartTable[[#This Row],[Rating]]&gt;4,"Good",IF(FlipkartTable[[#This Row],[Rating]]&gt;3.5,"Average","Poor")))</f>
        <v>Good</v>
      </c>
    </row>
    <row r="304" spans="1:13" x14ac:dyDescent="0.35">
      <c r="A304" t="s">
        <v>207</v>
      </c>
      <c r="B304" s="9" t="s">
        <v>247</v>
      </c>
      <c r="C304" t="s">
        <v>19</v>
      </c>
      <c r="D304" t="s">
        <v>11</v>
      </c>
      <c r="E304" t="s">
        <v>12</v>
      </c>
      <c r="F304">
        <v>4.4000000000000004</v>
      </c>
      <c r="G304">
        <v>50000</v>
      </c>
      <c r="H304">
        <v>50000</v>
      </c>
      <c r="I304">
        <f>FlipkartTable[[#This Row],[Original Price]]-FlipkartTable[[#This Row],[Selling Price]]</f>
        <v>0</v>
      </c>
      <c r="J304" s="4">
        <f>(FlipkartTable[[#This Row],[Original Price]]-FlipkartTable[[#This Row],[Selling Price]])/FlipkartTable[[#This Row],[Original Price]]</f>
        <v>0</v>
      </c>
      <c r="K304">
        <f>(FlipkartTable[[#This Row],[Rating]]/FlipkartTable[[#This Row],[Selling Price]])*1000</f>
        <v>8.8000000000000009E-2</v>
      </c>
      <c r="L304" t="str">
        <f>IF(FlipkartTable[[#This Row],[Selling Price]]&lt;15000,"Budget",IF(FlipkartTable[[#This Row],[Selling Price]]&lt;50000,"Mid Range","Premium"))</f>
        <v>Premium</v>
      </c>
      <c r="M304" t="str">
        <f>IF(FlipkartTable[[#This Row],[Rating]]&gt;4.5,"Excellent",IF(FlipkartTable[[#This Row],[Rating]]&gt;4,"Good",IF(FlipkartTable[[#This Row],[Rating]]&gt;3.5,"Average","Poor")))</f>
        <v>Good</v>
      </c>
    </row>
    <row r="305" spans="1:13" x14ac:dyDescent="0.35">
      <c r="A305" t="s">
        <v>207</v>
      </c>
      <c r="B305" s="9" t="s">
        <v>247</v>
      </c>
      <c r="C305" t="s">
        <v>235</v>
      </c>
      <c r="D305" t="s">
        <v>11</v>
      </c>
      <c r="E305" t="s">
        <v>12</v>
      </c>
      <c r="F305">
        <v>4.4000000000000004</v>
      </c>
      <c r="G305">
        <v>50000</v>
      </c>
      <c r="H305">
        <v>50000</v>
      </c>
      <c r="I305">
        <f>FlipkartTable[[#This Row],[Original Price]]-FlipkartTable[[#This Row],[Selling Price]]</f>
        <v>0</v>
      </c>
      <c r="J305" s="4">
        <f>(FlipkartTable[[#This Row],[Original Price]]-FlipkartTable[[#This Row],[Selling Price]])/FlipkartTable[[#This Row],[Original Price]]</f>
        <v>0</v>
      </c>
      <c r="K305">
        <f>(FlipkartTable[[#This Row],[Rating]]/FlipkartTable[[#This Row],[Selling Price]])*1000</f>
        <v>8.8000000000000009E-2</v>
      </c>
      <c r="L305" t="str">
        <f>IF(FlipkartTable[[#This Row],[Selling Price]]&lt;15000,"Budget",IF(FlipkartTable[[#This Row],[Selling Price]]&lt;50000,"Mid Range","Premium"))</f>
        <v>Premium</v>
      </c>
      <c r="M305" t="str">
        <f>IF(FlipkartTable[[#This Row],[Rating]]&gt;4.5,"Excellent",IF(FlipkartTable[[#This Row],[Rating]]&gt;4,"Good",IF(FlipkartTable[[#This Row],[Rating]]&gt;3.5,"Average","Poor")))</f>
        <v>Good</v>
      </c>
    </row>
    <row r="306" spans="1:13" x14ac:dyDescent="0.35">
      <c r="A306" t="s">
        <v>195</v>
      </c>
      <c r="B306" s="9" t="s">
        <v>248</v>
      </c>
      <c r="C306" t="s">
        <v>249</v>
      </c>
      <c r="D306" t="s">
        <v>35</v>
      </c>
      <c r="E306" t="s">
        <v>124</v>
      </c>
      <c r="F306">
        <v>4.3</v>
      </c>
      <c r="G306">
        <v>25990</v>
      </c>
      <c r="H306">
        <v>25990</v>
      </c>
      <c r="I306">
        <f>FlipkartTable[[#This Row],[Original Price]]-FlipkartTable[[#This Row],[Selling Price]]</f>
        <v>0</v>
      </c>
      <c r="J306" s="4">
        <f>(FlipkartTable[[#This Row],[Original Price]]-FlipkartTable[[#This Row],[Selling Price]])/FlipkartTable[[#This Row],[Original Price]]</f>
        <v>0</v>
      </c>
      <c r="K306">
        <f>(FlipkartTable[[#This Row],[Rating]]/FlipkartTable[[#This Row],[Selling Price]])*1000</f>
        <v>0.16544824932666408</v>
      </c>
      <c r="L306" t="str">
        <f>IF(FlipkartTable[[#This Row],[Selling Price]]&lt;15000,"Budget",IF(FlipkartTable[[#This Row],[Selling Price]]&lt;50000,"Mid Range","Premium"))</f>
        <v>Mid Range</v>
      </c>
      <c r="M306" t="str">
        <f>IF(FlipkartTable[[#This Row],[Rating]]&gt;4.5,"Excellent",IF(FlipkartTable[[#This Row],[Rating]]&gt;4,"Good",IF(FlipkartTable[[#This Row],[Rating]]&gt;3.5,"Average","Poor")))</f>
        <v>Good</v>
      </c>
    </row>
    <row r="307" spans="1:13" x14ac:dyDescent="0.35">
      <c r="A307" t="s">
        <v>207</v>
      </c>
      <c r="B307" s="9" t="s">
        <v>250</v>
      </c>
      <c r="C307" t="s">
        <v>170</v>
      </c>
      <c r="D307" t="s">
        <v>11</v>
      </c>
      <c r="E307" t="s">
        <v>21</v>
      </c>
      <c r="F307">
        <v>4</v>
      </c>
      <c r="G307">
        <v>52990</v>
      </c>
      <c r="H307">
        <v>52990</v>
      </c>
      <c r="I307">
        <f>FlipkartTable[[#This Row],[Original Price]]-FlipkartTable[[#This Row],[Selling Price]]</f>
        <v>0</v>
      </c>
      <c r="J307" s="4">
        <f>(FlipkartTable[[#This Row],[Original Price]]-FlipkartTable[[#This Row],[Selling Price]])/FlipkartTable[[#This Row],[Original Price]]</f>
        <v>0</v>
      </c>
      <c r="K307">
        <f>(FlipkartTable[[#This Row],[Rating]]/FlipkartTable[[#This Row],[Selling Price]])*1000</f>
        <v>7.5485940743536512E-2</v>
      </c>
      <c r="L307" t="str">
        <f>IF(FlipkartTable[[#This Row],[Selling Price]]&lt;15000,"Budget",IF(FlipkartTable[[#This Row],[Selling Price]]&lt;50000,"Mid Range","Premium"))</f>
        <v>Premium</v>
      </c>
      <c r="M307" t="str">
        <f>IF(FlipkartTable[[#This Row],[Rating]]&gt;4.5,"Excellent",IF(FlipkartTable[[#This Row],[Rating]]&gt;4,"Good",IF(FlipkartTable[[#This Row],[Rating]]&gt;3.5,"Average","Poor")))</f>
        <v>Average</v>
      </c>
    </row>
    <row r="308" spans="1:13" x14ac:dyDescent="0.35">
      <c r="A308" t="s">
        <v>207</v>
      </c>
      <c r="B308" s="9" t="s">
        <v>251</v>
      </c>
      <c r="C308" t="s">
        <v>235</v>
      </c>
      <c r="D308" t="s">
        <v>11</v>
      </c>
      <c r="E308" t="s">
        <v>12</v>
      </c>
      <c r="F308">
        <v>3.9</v>
      </c>
      <c r="G308">
        <v>19990</v>
      </c>
      <c r="H308">
        <v>19990</v>
      </c>
      <c r="I308">
        <f>FlipkartTable[[#This Row],[Original Price]]-FlipkartTable[[#This Row],[Selling Price]]</f>
        <v>0</v>
      </c>
      <c r="J308" s="4">
        <f>(FlipkartTable[[#This Row],[Original Price]]-FlipkartTable[[#This Row],[Selling Price]])/FlipkartTable[[#This Row],[Original Price]]</f>
        <v>0</v>
      </c>
      <c r="K308">
        <f>(FlipkartTable[[#This Row],[Rating]]/FlipkartTable[[#This Row],[Selling Price]])*1000</f>
        <v>0.19509754877438718</v>
      </c>
      <c r="L308" t="str">
        <f>IF(FlipkartTable[[#This Row],[Selling Price]]&lt;15000,"Budget",IF(FlipkartTable[[#This Row],[Selling Price]]&lt;50000,"Mid Range","Premium"))</f>
        <v>Mid Range</v>
      </c>
      <c r="M308" t="str">
        <f>IF(FlipkartTable[[#This Row],[Rating]]&gt;4.5,"Excellent",IF(FlipkartTable[[#This Row],[Rating]]&gt;4,"Good",IF(FlipkartTable[[#This Row],[Rating]]&gt;3.5,"Average","Poor")))</f>
        <v>Average</v>
      </c>
    </row>
    <row r="309" spans="1:13" x14ac:dyDescent="0.35">
      <c r="A309" t="s">
        <v>207</v>
      </c>
      <c r="B309" s="9" t="s">
        <v>252</v>
      </c>
      <c r="C309" t="s">
        <v>253</v>
      </c>
      <c r="D309" t="s">
        <v>134</v>
      </c>
      <c r="E309" t="s">
        <v>27</v>
      </c>
      <c r="F309">
        <v>3.7</v>
      </c>
      <c r="G309">
        <v>12500</v>
      </c>
      <c r="H309">
        <v>12500</v>
      </c>
      <c r="I309">
        <f>FlipkartTable[[#This Row],[Original Price]]-FlipkartTable[[#This Row],[Selling Price]]</f>
        <v>0</v>
      </c>
      <c r="J309" s="4">
        <f>(FlipkartTable[[#This Row],[Original Price]]-FlipkartTable[[#This Row],[Selling Price]])/FlipkartTable[[#This Row],[Original Price]]</f>
        <v>0</v>
      </c>
      <c r="K309">
        <f>(FlipkartTable[[#This Row],[Rating]]/FlipkartTable[[#This Row],[Selling Price]])*1000</f>
        <v>0.29600000000000004</v>
      </c>
      <c r="L309" t="str">
        <f>IF(FlipkartTable[[#This Row],[Selling Price]]&lt;15000,"Budget",IF(FlipkartTable[[#This Row],[Selling Price]]&lt;50000,"Mid Range","Premium"))</f>
        <v>Budget</v>
      </c>
      <c r="M309" t="str">
        <f>IF(FlipkartTable[[#This Row],[Rating]]&gt;4.5,"Excellent",IF(FlipkartTable[[#This Row],[Rating]]&gt;4,"Good",IF(FlipkartTable[[#This Row],[Rating]]&gt;3.5,"Average","Poor")))</f>
        <v>Average</v>
      </c>
    </row>
    <row r="310" spans="1:13" x14ac:dyDescent="0.35">
      <c r="A310" t="s">
        <v>207</v>
      </c>
      <c r="B310" s="9" t="s">
        <v>254</v>
      </c>
      <c r="C310" t="s">
        <v>255</v>
      </c>
      <c r="D310" t="s">
        <v>14</v>
      </c>
      <c r="E310" t="s">
        <v>15</v>
      </c>
      <c r="F310">
        <v>4.2</v>
      </c>
      <c r="G310">
        <v>29999</v>
      </c>
      <c r="H310">
        <v>29999</v>
      </c>
      <c r="I310">
        <f>FlipkartTable[[#This Row],[Original Price]]-FlipkartTable[[#This Row],[Selling Price]]</f>
        <v>0</v>
      </c>
      <c r="J310" s="4">
        <f>(FlipkartTable[[#This Row],[Original Price]]-FlipkartTable[[#This Row],[Selling Price]])/FlipkartTable[[#This Row],[Original Price]]</f>
        <v>0</v>
      </c>
      <c r="K310">
        <f>(FlipkartTable[[#This Row],[Rating]]/FlipkartTable[[#This Row],[Selling Price]])*1000</f>
        <v>0.14000466682222742</v>
      </c>
      <c r="L310" t="str">
        <f>IF(FlipkartTable[[#This Row],[Selling Price]]&lt;15000,"Budget",IF(FlipkartTable[[#This Row],[Selling Price]]&lt;50000,"Mid Range","Premium"))</f>
        <v>Mid Range</v>
      </c>
      <c r="M310" t="str">
        <f>IF(FlipkartTable[[#This Row],[Rating]]&gt;4.5,"Excellent",IF(FlipkartTable[[#This Row],[Rating]]&gt;4,"Good",IF(FlipkartTable[[#This Row],[Rating]]&gt;3.5,"Average","Poor")))</f>
        <v>Good</v>
      </c>
    </row>
    <row r="311" spans="1:13" x14ac:dyDescent="0.35">
      <c r="A311" t="s">
        <v>207</v>
      </c>
      <c r="B311" s="9" t="s">
        <v>256</v>
      </c>
      <c r="C311" t="s">
        <v>43</v>
      </c>
      <c r="D311" t="s">
        <v>11</v>
      </c>
      <c r="E311" t="s">
        <v>15</v>
      </c>
      <c r="F311">
        <v>3.8</v>
      </c>
      <c r="G311">
        <v>9499</v>
      </c>
      <c r="H311">
        <v>18000</v>
      </c>
      <c r="I311">
        <f>FlipkartTable[[#This Row],[Original Price]]-FlipkartTable[[#This Row],[Selling Price]]</f>
        <v>8501</v>
      </c>
      <c r="J311" s="4">
        <f>(FlipkartTable[[#This Row],[Original Price]]-FlipkartTable[[#This Row],[Selling Price]])/FlipkartTable[[#This Row],[Original Price]]</f>
        <v>0.4722777777777778</v>
      </c>
      <c r="K311">
        <f>(FlipkartTable[[#This Row],[Rating]]/FlipkartTable[[#This Row],[Selling Price]])*1000</f>
        <v>0.40004210969575743</v>
      </c>
      <c r="L311" t="str">
        <f>IF(FlipkartTable[[#This Row],[Selling Price]]&lt;15000,"Budget",IF(FlipkartTable[[#This Row],[Selling Price]]&lt;50000,"Mid Range","Premium"))</f>
        <v>Budget</v>
      </c>
      <c r="M311" t="str">
        <f>IF(FlipkartTable[[#This Row],[Rating]]&gt;4.5,"Excellent",IF(FlipkartTable[[#This Row],[Rating]]&gt;4,"Good",IF(FlipkartTable[[#This Row],[Rating]]&gt;3.5,"Average","Poor")))</f>
        <v>Average</v>
      </c>
    </row>
    <row r="312" spans="1:13" x14ac:dyDescent="0.35">
      <c r="A312" t="s">
        <v>207</v>
      </c>
      <c r="B312" s="9" t="s">
        <v>226</v>
      </c>
      <c r="C312" t="s">
        <v>43</v>
      </c>
      <c r="D312" t="s">
        <v>11</v>
      </c>
      <c r="E312" t="s">
        <v>12</v>
      </c>
      <c r="F312">
        <v>4</v>
      </c>
      <c r="G312">
        <v>8499</v>
      </c>
      <c r="H312">
        <v>16000</v>
      </c>
      <c r="I312">
        <f>FlipkartTable[[#This Row],[Original Price]]-FlipkartTable[[#This Row],[Selling Price]]</f>
        <v>7501</v>
      </c>
      <c r="J312" s="4">
        <f>(FlipkartTable[[#This Row],[Original Price]]-FlipkartTable[[#This Row],[Selling Price]])/FlipkartTable[[#This Row],[Original Price]]</f>
        <v>0.46881250000000002</v>
      </c>
      <c r="K312">
        <f>(FlipkartTable[[#This Row],[Rating]]/FlipkartTable[[#This Row],[Selling Price]])*1000</f>
        <v>0.4706436051300153</v>
      </c>
      <c r="L312" t="str">
        <f>IF(FlipkartTable[[#This Row],[Selling Price]]&lt;15000,"Budget",IF(FlipkartTable[[#This Row],[Selling Price]]&lt;50000,"Mid Range","Premium"))</f>
        <v>Budget</v>
      </c>
      <c r="M312" t="str">
        <f>IF(FlipkartTable[[#This Row],[Rating]]&gt;4.5,"Excellent",IF(FlipkartTable[[#This Row],[Rating]]&gt;4,"Good",IF(FlipkartTable[[#This Row],[Rating]]&gt;3.5,"Average","Poor")))</f>
        <v>Average</v>
      </c>
    </row>
    <row r="313" spans="1:13" x14ac:dyDescent="0.35">
      <c r="A313" t="s">
        <v>207</v>
      </c>
      <c r="B313" s="9" t="s">
        <v>257</v>
      </c>
      <c r="C313" t="s">
        <v>258</v>
      </c>
      <c r="D313" t="s">
        <v>27</v>
      </c>
      <c r="E313" t="s">
        <v>15</v>
      </c>
      <c r="F313">
        <v>4.2</v>
      </c>
      <c r="G313">
        <v>29999</v>
      </c>
      <c r="H313">
        <v>80000</v>
      </c>
      <c r="I313">
        <f>FlipkartTable[[#This Row],[Original Price]]-FlipkartTable[[#This Row],[Selling Price]]</f>
        <v>50001</v>
      </c>
      <c r="J313" s="4">
        <f>(FlipkartTable[[#This Row],[Original Price]]-FlipkartTable[[#This Row],[Selling Price]])/FlipkartTable[[#This Row],[Original Price]]</f>
        <v>0.62501249999999997</v>
      </c>
      <c r="K313">
        <f>(FlipkartTable[[#This Row],[Rating]]/FlipkartTable[[#This Row],[Selling Price]])*1000</f>
        <v>0.14000466682222742</v>
      </c>
      <c r="L313" t="str">
        <f>IF(FlipkartTable[[#This Row],[Selling Price]]&lt;15000,"Budget",IF(FlipkartTable[[#This Row],[Selling Price]]&lt;50000,"Mid Range","Premium"))</f>
        <v>Mid Range</v>
      </c>
      <c r="M313" t="str">
        <f>IF(FlipkartTable[[#This Row],[Rating]]&gt;4.5,"Excellent",IF(FlipkartTable[[#This Row],[Rating]]&gt;4,"Good",IF(FlipkartTable[[#This Row],[Rating]]&gt;3.5,"Average","Poor")))</f>
        <v>Good</v>
      </c>
    </row>
    <row r="314" spans="1:13" x14ac:dyDescent="0.35">
      <c r="A314" t="s">
        <v>207</v>
      </c>
      <c r="B314" s="9" t="s">
        <v>259</v>
      </c>
      <c r="C314" t="s">
        <v>260</v>
      </c>
      <c r="D314" t="s">
        <v>14</v>
      </c>
      <c r="E314" t="s">
        <v>15</v>
      </c>
      <c r="F314">
        <v>3.7</v>
      </c>
      <c r="G314">
        <v>10499</v>
      </c>
      <c r="H314">
        <v>20000</v>
      </c>
      <c r="I314">
        <f>FlipkartTable[[#This Row],[Original Price]]-FlipkartTable[[#This Row],[Selling Price]]</f>
        <v>9501</v>
      </c>
      <c r="J314" s="4">
        <f>(FlipkartTable[[#This Row],[Original Price]]-FlipkartTable[[#This Row],[Selling Price]])/FlipkartTable[[#This Row],[Original Price]]</f>
        <v>0.47504999999999997</v>
      </c>
      <c r="K314">
        <f>(FlipkartTable[[#This Row],[Rating]]/FlipkartTable[[#This Row],[Selling Price]])*1000</f>
        <v>0.3524145156681589</v>
      </c>
      <c r="L314" t="str">
        <f>IF(FlipkartTable[[#This Row],[Selling Price]]&lt;15000,"Budget",IF(FlipkartTable[[#This Row],[Selling Price]]&lt;50000,"Mid Range","Premium"))</f>
        <v>Budget</v>
      </c>
      <c r="M314" t="str">
        <f>IF(FlipkartTable[[#This Row],[Rating]]&gt;4.5,"Excellent",IF(FlipkartTable[[#This Row],[Rating]]&gt;4,"Good",IF(FlipkartTable[[#This Row],[Rating]]&gt;3.5,"Average","Poor")))</f>
        <v>Average</v>
      </c>
    </row>
    <row r="315" spans="1:13" x14ac:dyDescent="0.35">
      <c r="A315" t="s">
        <v>207</v>
      </c>
      <c r="B315" s="9" t="s">
        <v>234</v>
      </c>
      <c r="C315" t="s">
        <v>19</v>
      </c>
      <c r="D315" t="s">
        <v>14</v>
      </c>
      <c r="E315" t="s">
        <v>15</v>
      </c>
      <c r="F315">
        <v>4.4000000000000004</v>
      </c>
      <c r="G315">
        <v>55000</v>
      </c>
      <c r="H315">
        <v>55000</v>
      </c>
      <c r="I315">
        <f>FlipkartTable[[#This Row],[Original Price]]-FlipkartTable[[#This Row],[Selling Price]]</f>
        <v>0</v>
      </c>
      <c r="J315" s="4">
        <f>(FlipkartTable[[#This Row],[Original Price]]-FlipkartTable[[#This Row],[Selling Price]])/FlipkartTable[[#This Row],[Original Price]]</f>
        <v>0</v>
      </c>
      <c r="K315">
        <f>(FlipkartTable[[#This Row],[Rating]]/FlipkartTable[[#This Row],[Selling Price]])*1000</f>
        <v>0.08</v>
      </c>
      <c r="L315" t="str">
        <f>IF(FlipkartTable[[#This Row],[Selling Price]]&lt;15000,"Budget",IF(FlipkartTable[[#This Row],[Selling Price]]&lt;50000,"Mid Range","Premium"))</f>
        <v>Premium</v>
      </c>
      <c r="M315" t="str">
        <f>IF(FlipkartTable[[#This Row],[Rating]]&gt;4.5,"Excellent",IF(FlipkartTable[[#This Row],[Rating]]&gt;4,"Good",IF(FlipkartTable[[#This Row],[Rating]]&gt;3.5,"Average","Poor")))</f>
        <v>Good</v>
      </c>
    </row>
    <row r="316" spans="1:13" x14ac:dyDescent="0.35">
      <c r="A316" t="s">
        <v>207</v>
      </c>
      <c r="B316" s="9" t="s">
        <v>261</v>
      </c>
      <c r="C316" t="s">
        <v>19</v>
      </c>
      <c r="D316" t="s">
        <v>134</v>
      </c>
      <c r="E316" t="s">
        <v>11</v>
      </c>
      <c r="F316">
        <v>4</v>
      </c>
      <c r="G316">
        <v>12791</v>
      </c>
      <c r="H316">
        <v>12791</v>
      </c>
      <c r="I316">
        <f>FlipkartTable[[#This Row],[Original Price]]-FlipkartTable[[#This Row],[Selling Price]]</f>
        <v>0</v>
      </c>
      <c r="J316" s="4">
        <f>(FlipkartTable[[#This Row],[Original Price]]-FlipkartTable[[#This Row],[Selling Price]])/FlipkartTable[[#This Row],[Original Price]]</f>
        <v>0</v>
      </c>
      <c r="K316">
        <f>(FlipkartTable[[#This Row],[Rating]]/FlipkartTable[[#This Row],[Selling Price]])*1000</f>
        <v>0.31271988116644511</v>
      </c>
      <c r="L316" t="str">
        <f>IF(FlipkartTable[[#This Row],[Selling Price]]&lt;15000,"Budget",IF(FlipkartTable[[#This Row],[Selling Price]]&lt;50000,"Mid Range","Premium"))</f>
        <v>Budget</v>
      </c>
      <c r="M316" t="str">
        <f>IF(FlipkartTable[[#This Row],[Rating]]&gt;4.5,"Excellent",IF(FlipkartTable[[#This Row],[Rating]]&gt;4,"Good",IF(FlipkartTable[[#This Row],[Rating]]&gt;3.5,"Average","Poor")))</f>
        <v>Average</v>
      </c>
    </row>
    <row r="317" spans="1:13" x14ac:dyDescent="0.35">
      <c r="A317" t="s">
        <v>207</v>
      </c>
      <c r="B317" s="9" t="s">
        <v>262</v>
      </c>
      <c r="C317" t="s">
        <v>152</v>
      </c>
      <c r="D317" t="s">
        <v>263</v>
      </c>
      <c r="E317" t="s">
        <v>11</v>
      </c>
      <c r="F317">
        <v>3.7</v>
      </c>
      <c r="G317">
        <v>8800</v>
      </c>
      <c r="H317">
        <v>8800</v>
      </c>
      <c r="I317">
        <f>FlipkartTable[[#This Row],[Original Price]]-FlipkartTable[[#This Row],[Selling Price]]</f>
        <v>0</v>
      </c>
      <c r="J317" s="4">
        <f>(FlipkartTable[[#This Row],[Original Price]]-FlipkartTable[[#This Row],[Selling Price]])/FlipkartTable[[#This Row],[Original Price]]</f>
        <v>0</v>
      </c>
      <c r="K317">
        <f>(FlipkartTable[[#This Row],[Rating]]/FlipkartTable[[#This Row],[Selling Price]])*1000</f>
        <v>0.42045454545454547</v>
      </c>
      <c r="L317" t="str">
        <f>IF(FlipkartTable[[#This Row],[Selling Price]]&lt;15000,"Budget",IF(FlipkartTable[[#This Row],[Selling Price]]&lt;50000,"Mid Range","Premium"))</f>
        <v>Budget</v>
      </c>
      <c r="M317" t="str">
        <f>IF(FlipkartTable[[#This Row],[Rating]]&gt;4.5,"Excellent",IF(FlipkartTable[[#This Row],[Rating]]&gt;4,"Good",IF(FlipkartTable[[#This Row],[Rating]]&gt;3.5,"Average","Poor")))</f>
        <v>Average</v>
      </c>
    </row>
    <row r="318" spans="1:13" x14ac:dyDescent="0.35">
      <c r="A318" t="s">
        <v>207</v>
      </c>
      <c r="B318" s="9" t="s">
        <v>264</v>
      </c>
      <c r="C318" t="s">
        <v>265</v>
      </c>
      <c r="D318" t="s">
        <v>35</v>
      </c>
      <c r="E318" t="s">
        <v>124</v>
      </c>
      <c r="F318">
        <v>3.8</v>
      </c>
      <c r="G318">
        <v>5699</v>
      </c>
      <c r="H318">
        <v>5699</v>
      </c>
      <c r="I318">
        <f>FlipkartTable[[#This Row],[Original Price]]-FlipkartTable[[#This Row],[Selling Price]]</f>
        <v>0</v>
      </c>
      <c r="J318" s="4">
        <f>(FlipkartTable[[#This Row],[Original Price]]-FlipkartTable[[#This Row],[Selling Price]])/FlipkartTable[[#This Row],[Original Price]]</f>
        <v>0</v>
      </c>
      <c r="K318">
        <f>(FlipkartTable[[#This Row],[Rating]]/FlipkartTable[[#This Row],[Selling Price]])*1000</f>
        <v>0.66678364625372866</v>
      </c>
      <c r="L318" t="str">
        <f>IF(FlipkartTable[[#This Row],[Selling Price]]&lt;15000,"Budget",IF(FlipkartTable[[#This Row],[Selling Price]]&lt;50000,"Mid Range","Premium"))</f>
        <v>Budget</v>
      </c>
      <c r="M318" t="str">
        <f>IF(FlipkartTable[[#This Row],[Rating]]&gt;4.5,"Excellent",IF(FlipkartTable[[#This Row],[Rating]]&gt;4,"Good",IF(FlipkartTable[[#This Row],[Rating]]&gt;3.5,"Average","Poor")))</f>
        <v>Average</v>
      </c>
    </row>
    <row r="319" spans="1:13" x14ac:dyDescent="0.35">
      <c r="A319" t="s">
        <v>207</v>
      </c>
      <c r="B319" s="9" t="s">
        <v>266</v>
      </c>
      <c r="C319" t="s">
        <v>237</v>
      </c>
      <c r="D319" t="s">
        <v>20</v>
      </c>
      <c r="E319" t="s">
        <v>124</v>
      </c>
      <c r="F319">
        <v>4.5</v>
      </c>
      <c r="G319">
        <v>42021</v>
      </c>
      <c r="H319">
        <v>42021</v>
      </c>
      <c r="I319">
        <f>FlipkartTable[[#This Row],[Original Price]]-FlipkartTable[[#This Row],[Selling Price]]</f>
        <v>0</v>
      </c>
      <c r="J319" s="4">
        <f>(FlipkartTable[[#This Row],[Original Price]]-FlipkartTable[[#This Row],[Selling Price]])/FlipkartTable[[#This Row],[Original Price]]</f>
        <v>0</v>
      </c>
      <c r="K319">
        <f>(FlipkartTable[[#This Row],[Rating]]/FlipkartTable[[#This Row],[Selling Price]])*1000</f>
        <v>0.10708931248661384</v>
      </c>
      <c r="L319" t="str">
        <f>IF(FlipkartTable[[#This Row],[Selling Price]]&lt;15000,"Budget",IF(FlipkartTable[[#This Row],[Selling Price]]&lt;50000,"Mid Range","Premium"))</f>
        <v>Mid Range</v>
      </c>
      <c r="M319" t="str">
        <f>IF(FlipkartTable[[#This Row],[Rating]]&gt;4.5,"Excellent",IF(FlipkartTable[[#This Row],[Rating]]&gt;4,"Good",IF(FlipkartTable[[#This Row],[Rating]]&gt;3.5,"Average","Poor")))</f>
        <v>Good</v>
      </c>
    </row>
    <row r="320" spans="1:13" x14ac:dyDescent="0.35">
      <c r="A320" t="s">
        <v>207</v>
      </c>
      <c r="B320" s="9" t="s">
        <v>267</v>
      </c>
      <c r="C320" t="s">
        <v>19</v>
      </c>
      <c r="D320" t="s">
        <v>263</v>
      </c>
      <c r="E320" t="s">
        <v>11</v>
      </c>
      <c r="F320">
        <v>4.5</v>
      </c>
      <c r="G320">
        <v>10199</v>
      </c>
      <c r="H320">
        <v>10199</v>
      </c>
      <c r="I320">
        <f>FlipkartTable[[#This Row],[Original Price]]-FlipkartTable[[#This Row],[Selling Price]]</f>
        <v>0</v>
      </c>
      <c r="J320" s="4">
        <f>(FlipkartTable[[#This Row],[Original Price]]-FlipkartTable[[#This Row],[Selling Price]])/FlipkartTable[[#This Row],[Original Price]]</f>
        <v>0</v>
      </c>
      <c r="K320">
        <f>(FlipkartTable[[#This Row],[Rating]]/FlipkartTable[[#This Row],[Selling Price]])*1000</f>
        <v>0.4412197274242573</v>
      </c>
      <c r="L320" t="str">
        <f>IF(FlipkartTable[[#This Row],[Selling Price]]&lt;15000,"Budget",IF(FlipkartTable[[#This Row],[Selling Price]]&lt;50000,"Mid Range","Premium"))</f>
        <v>Budget</v>
      </c>
      <c r="M320" t="str">
        <f>IF(FlipkartTable[[#This Row],[Rating]]&gt;4.5,"Excellent",IF(FlipkartTable[[#This Row],[Rating]]&gt;4,"Good",IF(FlipkartTable[[#This Row],[Rating]]&gt;3.5,"Average","Poor")))</f>
        <v>Good</v>
      </c>
    </row>
    <row r="321" spans="1:13" x14ac:dyDescent="0.35">
      <c r="A321" t="s">
        <v>207</v>
      </c>
      <c r="B321" s="9" t="s">
        <v>230</v>
      </c>
      <c r="C321" t="s">
        <v>163</v>
      </c>
      <c r="D321" t="s">
        <v>20</v>
      </c>
      <c r="E321" t="s">
        <v>21</v>
      </c>
      <c r="F321">
        <v>3.9</v>
      </c>
      <c r="G321">
        <v>9999</v>
      </c>
      <c r="H321">
        <v>9999</v>
      </c>
      <c r="I321">
        <f>FlipkartTable[[#This Row],[Original Price]]-FlipkartTable[[#This Row],[Selling Price]]</f>
        <v>0</v>
      </c>
      <c r="J321" s="4">
        <f>(FlipkartTable[[#This Row],[Original Price]]-FlipkartTable[[#This Row],[Selling Price]])/FlipkartTable[[#This Row],[Original Price]]</f>
        <v>0</v>
      </c>
      <c r="K321">
        <f>(FlipkartTable[[#This Row],[Rating]]/FlipkartTable[[#This Row],[Selling Price]])*1000</f>
        <v>0.39003900390038998</v>
      </c>
      <c r="L321" t="str">
        <f>IF(FlipkartTable[[#This Row],[Selling Price]]&lt;15000,"Budget",IF(FlipkartTable[[#This Row],[Selling Price]]&lt;50000,"Mid Range","Premium"))</f>
        <v>Budget</v>
      </c>
      <c r="M321" t="str">
        <f>IF(FlipkartTable[[#This Row],[Rating]]&gt;4.5,"Excellent",IF(FlipkartTable[[#This Row],[Rating]]&gt;4,"Good",IF(FlipkartTable[[#This Row],[Rating]]&gt;3.5,"Average","Poor")))</f>
        <v>Average</v>
      </c>
    </row>
    <row r="322" spans="1:13" x14ac:dyDescent="0.35">
      <c r="A322" t="s">
        <v>207</v>
      </c>
      <c r="B322" s="9" t="s">
        <v>268</v>
      </c>
      <c r="C322" t="s">
        <v>170</v>
      </c>
      <c r="D322" t="s">
        <v>11</v>
      </c>
      <c r="E322" t="s">
        <v>15</v>
      </c>
      <c r="F322">
        <v>4.3</v>
      </c>
      <c r="G322">
        <v>29999</v>
      </c>
      <c r="H322">
        <v>29999</v>
      </c>
      <c r="I322">
        <f>FlipkartTable[[#This Row],[Original Price]]-FlipkartTable[[#This Row],[Selling Price]]</f>
        <v>0</v>
      </c>
      <c r="J322" s="4">
        <f>(FlipkartTable[[#This Row],[Original Price]]-FlipkartTable[[#This Row],[Selling Price]])/FlipkartTable[[#This Row],[Original Price]]</f>
        <v>0</v>
      </c>
      <c r="K322">
        <f>(FlipkartTable[[#This Row],[Rating]]/FlipkartTable[[#This Row],[Selling Price]])*1000</f>
        <v>0.14333811127037566</v>
      </c>
      <c r="L322" t="str">
        <f>IF(FlipkartTable[[#This Row],[Selling Price]]&lt;15000,"Budget",IF(FlipkartTable[[#This Row],[Selling Price]]&lt;50000,"Mid Range","Premium"))</f>
        <v>Mid Range</v>
      </c>
      <c r="M322" t="str">
        <f>IF(FlipkartTable[[#This Row],[Rating]]&gt;4.5,"Excellent",IF(FlipkartTable[[#This Row],[Rating]]&gt;4,"Good",IF(FlipkartTable[[#This Row],[Rating]]&gt;3.5,"Average","Poor")))</f>
        <v>Good</v>
      </c>
    </row>
    <row r="323" spans="1:13" x14ac:dyDescent="0.35">
      <c r="A323" t="s">
        <v>207</v>
      </c>
      <c r="B323" s="9" t="s">
        <v>268</v>
      </c>
      <c r="C323" t="s">
        <v>19</v>
      </c>
      <c r="D323" t="s">
        <v>11</v>
      </c>
      <c r="E323" t="s">
        <v>15</v>
      </c>
      <c r="F323">
        <v>4.3</v>
      </c>
      <c r="G323">
        <v>29999</v>
      </c>
      <c r="H323">
        <v>29999</v>
      </c>
      <c r="I323">
        <f>FlipkartTable[[#This Row],[Original Price]]-FlipkartTable[[#This Row],[Selling Price]]</f>
        <v>0</v>
      </c>
      <c r="J323" s="4">
        <f>(FlipkartTable[[#This Row],[Original Price]]-FlipkartTable[[#This Row],[Selling Price]])/FlipkartTable[[#This Row],[Original Price]]</f>
        <v>0</v>
      </c>
      <c r="K323">
        <f>(FlipkartTable[[#This Row],[Rating]]/FlipkartTable[[#This Row],[Selling Price]])*1000</f>
        <v>0.14333811127037566</v>
      </c>
      <c r="L323" t="str">
        <f>IF(FlipkartTable[[#This Row],[Selling Price]]&lt;15000,"Budget",IF(FlipkartTable[[#This Row],[Selling Price]]&lt;50000,"Mid Range","Premium"))</f>
        <v>Mid Range</v>
      </c>
      <c r="M323" t="str">
        <f>IF(FlipkartTable[[#This Row],[Rating]]&gt;4.5,"Excellent",IF(FlipkartTable[[#This Row],[Rating]]&gt;4,"Good",IF(FlipkartTable[[#This Row],[Rating]]&gt;3.5,"Average","Poor")))</f>
        <v>Good</v>
      </c>
    </row>
    <row r="324" spans="1:13" x14ac:dyDescent="0.35">
      <c r="A324" t="s">
        <v>207</v>
      </c>
      <c r="B324" s="9" t="s">
        <v>269</v>
      </c>
      <c r="C324" t="s">
        <v>270</v>
      </c>
      <c r="D324" t="s">
        <v>35</v>
      </c>
      <c r="E324" t="s">
        <v>124</v>
      </c>
      <c r="F324">
        <v>4.5</v>
      </c>
      <c r="G324">
        <v>31971</v>
      </c>
      <c r="H324">
        <v>31971</v>
      </c>
      <c r="I324">
        <f>FlipkartTable[[#This Row],[Original Price]]-FlipkartTable[[#This Row],[Selling Price]]</f>
        <v>0</v>
      </c>
      <c r="J324" s="4">
        <f>(FlipkartTable[[#This Row],[Original Price]]-FlipkartTable[[#This Row],[Selling Price]])/FlipkartTable[[#This Row],[Original Price]]</f>
        <v>0</v>
      </c>
      <c r="K324">
        <f>(FlipkartTable[[#This Row],[Rating]]/FlipkartTable[[#This Row],[Selling Price]])*1000</f>
        <v>0.14075255700478559</v>
      </c>
      <c r="L324" t="str">
        <f>IF(FlipkartTable[[#This Row],[Selling Price]]&lt;15000,"Budget",IF(FlipkartTable[[#This Row],[Selling Price]]&lt;50000,"Mid Range","Premium"))</f>
        <v>Mid Range</v>
      </c>
      <c r="M324" t="str">
        <f>IF(FlipkartTable[[#This Row],[Rating]]&gt;4.5,"Excellent",IF(FlipkartTable[[#This Row],[Rating]]&gt;4,"Good",IF(FlipkartTable[[#This Row],[Rating]]&gt;3.5,"Average","Poor")))</f>
        <v>Good</v>
      </c>
    </row>
    <row r="325" spans="1:13" x14ac:dyDescent="0.35">
      <c r="A325" t="s">
        <v>207</v>
      </c>
      <c r="B325" s="9" t="s">
        <v>271</v>
      </c>
      <c r="C325" t="s">
        <v>19</v>
      </c>
      <c r="D325" t="s">
        <v>20</v>
      </c>
      <c r="E325" t="s">
        <v>21</v>
      </c>
      <c r="F325">
        <v>3.8</v>
      </c>
      <c r="G325">
        <v>20000</v>
      </c>
      <c r="H325">
        <v>20000</v>
      </c>
      <c r="I325">
        <f>FlipkartTable[[#This Row],[Original Price]]-FlipkartTable[[#This Row],[Selling Price]]</f>
        <v>0</v>
      </c>
      <c r="J325" s="4">
        <f>(FlipkartTable[[#This Row],[Original Price]]-FlipkartTable[[#This Row],[Selling Price]])/FlipkartTable[[#This Row],[Original Price]]</f>
        <v>0</v>
      </c>
      <c r="K325">
        <f>(FlipkartTable[[#This Row],[Rating]]/FlipkartTable[[#This Row],[Selling Price]])*1000</f>
        <v>0.18999999999999997</v>
      </c>
      <c r="L325" t="str">
        <f>IF(FlipkartTable[[#This Row],[Selling Price]]&lt;15000,"Budget",IF(FlipkartTable[[#This Row],[Selling Price]]&lt;50000,"Mid Range","Premium"))</f>
        <v>Mid Range</v>
      </c>
      <c r="M325" t="str">
        <f>IF(FlipkartTable[[#This Row],[Rating]]&gt;4.5,"Excellent",IF(FlipkartTable[[#This Row],[Rating]]&gt;4,"Good",IF(FlipkartTable[[#This Row],[Rating]]&gt;3.5,"Average","Poor")))</f>
        <v>Average</v>
      </c>
    </row>
    <row r="326" spans="1:13" x14ac:dyDescent="0.35">
      <c r="A326" t="s">
        <v>207</v>
      </c>
      <c r="B326" s="9" t="s">
        <v>272</v>
      </c>
      <c r="C326" t="s">
        <v>235</v>
      </c>
      <c r="D326" t="s">
        <v>20</v>
      </c>
      <c r="E326" t="s">
        <v>21</v>
      </c>
      <c r="F326">
        <v>4</v>
      </c>
      <c r="G326">
        <v>16990</v>
      </c>
      <c r="H326">
        <v>16990</v>
      </c>
      <c r="I326">
        <f>FlipkartTable[[#This Row],[Original Price]]-FlipkartTable[[#This Row],[Selling Price]]</f>
        <v>0</v>
      </c>
      <c r="J326" s="4">
        <f>(FlipkartTable[[#This Row],[Original Price]]-FlipkartTable[[#This Row],[Selling Price]])/FlipkartTable[[#This Row],[Original Price]]</f>
        <v>0</v>
      </c>
      <c r="K326">
        <f>(FlipkartTable[[#This Row],[Rating]]/FlipkartTable[[#This Row],[Selling Price]])*1000</f>
        <v>0.23543260741612712</v>
      </c>
      <c r="L326" t="str">
        <f>IF(FlipkartTable[[#This Row],[Selling Price]]&lt;15000,"Budget",IF(FlipkartTable[[#This Row],[Selling Price]]&lt;50000,"Mid Range","Premium"))</f>
        <v>Mid Range</v>
      </c>
      <c r="M326" t="str">
        <f>IF(FlipkartTable[[#This Row],[Rating]]&gt;4.5,"Excellent",IF(FlipkartTable[[#This Row],[Rating]]&gt;4,"Good",IF(FlipkartTable[[#This Row],[Rating]]&gt;3.5,"Average","Poor")))</f>
        <v>Average</v>
      </c>
    </row>
    <row r="327" spans="1:13" x14ac:dyDescent="0.35">
      <c r="A327" t="s">
        <v>207</v>
      </c>
      <c r="B327" s="9" t="s">
        <v>273</v>
      </c>
      <c r="C327" t="s">
        <v>19</v>
      </c>
      <c r="D327" t="s">
        <v>11</v>
      </c>
      <c r="E327" t="s">
        <v>12</v>
      </c>
      <c r="F327">
        <v>4.2</v>
      </c>
      <c r="G327">
        <v>22990</v>
      </c>
      <c r="H327">
        <v>55000</v>
      </c>
      <c r="I327">
        <f>FlipkartTable[[#This Row],[Original Price]]-FlipkartTable[[#This Row],[Selling Price]]</f>
        <v>32010</v>
      </c>
      <c r="J327" s="4">
        <f>(FlipkartTable[[#This Row],[Original Price]]-FlipkartTable[[#This Row],[Selling Price]])/FlipkartTable[[#This Row],[Original Price]]</f>
        <v>0.58199999999999996</v>
      </c>
      <c r="K327">
        <f>(FlipkartTable[[#This Row],[Rating]]/FlipkartTable[[#This Row],[Selling Price]])*1000</f>
        <v>0.18268812527185735</v>
      </c>
      <c r="L327" t="str">
        <f>IF(FlipkartTable[[#This Row],[Selling Price]]&lt;15000,"Budget",IF(FlipkartTable[[#This Row],[Selling Price]]&lt;50000,"Mid Range","Premium"))</f>
        <v>Mid Range</v>
      </c>
      <c r="M327" t="str">
        <f>IF(FlipkartTable[[#This Row],[Rating]]&gt;4.5,"Excellent",IF(FlipkartTable[[#This Row],[Rating]]&gt;4,"Good",IF(FlipkartTable[[#This Row],[Rating]]&gt;3.5,"Average","Poor")))</f>
        <v>Good</v>
      </c>
    </row>
    <row r="328" spans="1:13" x14ac:dyDescent="0.35">
      <c r="A328" t="s">
        <v>207</v>
      </c>
      <c r="B328" s="9" t="s">
        <v>274</v>
      </c>
      <c r="C328" t="s">
        <v>237</v>
      </c>
      <c r="D328" t="s">
        <v>35</v>
      </c>
      <c r="E328" t="s">
        <v>124</v>
      </c>
      <c r="F328">
        <v>4.0999999999999996</v>
      </c>
      <c r="G328">
        <v>7499</v>
      </c>
      <c r="H328">
        <v>7499</v>
      </c>
      <c r="I328">
        <f>FlipkartTable[[#This Row],[Original Price]]-FlipkartTable[[#This Row],[Selling Price]]</f>
        <v>0</v>
      </c>
      <c r="J328" s="4">
        <f>(FlipkartTable[[#This Row],[Original Price]]-FlipkartTable[[#This Row],[Selling Price]])/FlipkartTable[[#This Row],[Original Price]]</f>
        <v>0</v>
      </c>
      <c r="K328">
        <f>(FlipkartTable[[#This Row],[Rating]]/FlipkartTable[[#This Row],[Selling Price]])*1000</f>
        <v>0.54673956527537004</v>
      </c>
      <c r="L328" t="str">
        <f>IF(FlipkartTable[[#This Row],[Selling Price]]&lt;15000,"Budget",IF(FlipkartTable[[#This Row],[Selling Price]]&lt;50000,"Mid Range","Premium"))</f>
        <v>Budget</v>
      </c>
      <c r="M328" t="str">
        <f>IF(FlipkartTable[[#This Row],[Rating]]&gt;4.5,"Excellent",IF(FlipkartTable[[#This Row],[Rating]]&gt;4,"Good",IF(FlipkartTable[[#This Row],[Rating]]&gt;3.5,"Average","Poor")))</f>
        <v>Good</v>
      </c>
    </row>
    <row r="329" spans="1:13" x14ac:dyDescent="0.35">
      <c r="A329" t="s">
        <v>207</v>
      </c>
      <c r="B329" s="9" t="s">
        <v>274</v>
      </c>
      <c r="C329" t="s">
        <v>275</v>
      </c>
      <c r="D329" t="s">
        <v>35</v>
      </c>
      <c r="E329" t="s">
        <v>124</v>
      </c>
      <c r="F329">
        <v>4.0999999999999996</v>
      </c>
      <c r="G329">
        <v>9990</v>
      </c>
      <c r="H329">
        <v>9990</v>
      </c>
      <c r="I329">
        <f>FlipkartTable[[#This Row],[Original Price]]-FlipkartTable[[#This Row],[Selling Price]]</f>
        <v>0</v>
      </c>
      <c r="J329" s="4">
        <f>(FlipkartTable[[#This Row],[Original Price]]-FlipkartTable[[#This Row],[Selling Price]])/FlipkartTable[[#This Row],[Original Price]]</f>
        <v>0</v>
      </c>
      <c r="K329">
        <f>(FlipkartTable[[#This Row],[Rating]]/FlipkartTable[[#This Row],[Selling Price]])*1000</f>
        <v>0.41041041041041038</v>
      </c>
      <c r="L329" t="str">
        <f>IF(FlipkartTable[[#This Row],[Selling Price]]&lt;15000,"Budget",IF(FlipkartTable[[#This Row],[Selling Price]]&lt;50000,"Mid Range","Premium"))</f>
        <v>Budget</v>
      </c>
      <c r="M329" t="str">
        <f>IF(FlipkartTable[[#This Row],[Rating]]&gt;4.5,"Excellent",IF(FlipkartTable[[#This Row],[Rating]]&gt;4,"Good",IF(FlipkartTable[[#This Row],[Rating]]&gt;3.5,"Average","Poor")))</f>
        <v>Good</v>
      </c>
    </row>
    <row r="330" spans="1:13" x14ac:dyDescent="0.35">
      <c r="A330" t="s">
        <v>207</v>
      </c>
      <c r="B330" s="9" t="s">
        <v>257</v>
      </c>
      <c r="C330" t="s">
        <v>276</v>
      </c>
      <c r="D330" t="s">
        <v>27</v>
      </c>
      <c r="E330" t="s">
        <v>15</v>
      </c>
      <c r="F330">
        <v>4.2</v>
      </c>
      <c r="G330">
        <v>29999</v>
      </c>
      <c r="H330">
        <v>80000</v>
      </c>
      <c r="I330">
        <f>FlipkartTable[[#This Row],[Original Price]]-FlipkartTable[[#This Row],[Selling Price]]</f>
        <v>50001</v>
      </c>
      <c r="J330" s="4">
        <f>(FlipkartTable[[#This Row],[Original Price]]-FlipkartTable[[#This Row],[Selling Price]])/FlipkartTable[[#This Row],[Original Price]]</f>
        <v>0.62501249999999997</v>
      </c>
      <c r="K330">
        <f>(FlipkartTable[[#This Row],[Rating]]/FlipkartTable[[#This Row],[Selling Price]])*1000</f>
        <v>0.14000466682222742</v>
      </c>
      <c r="L330" t="str">
        <f>IF(FlipkartTable[[#This Row],[Selling Price]]&lt;15000,"Budget",IF(FlipkartTable[[#This Row],[Selling Price]]&lt;50000,"Mid Range","Premium"))</f>
        <v>Mid Range</v>
      </c>
      <c r="M330" t="str">
        <f>IF(FlipkartTable[[#This Row],[Rating]]&gt;4.5,"Excellent",IF(FlipkartTable[[#This Row],[Rating]]&gt;4,"Good",IF(FlipkartTable[[#This Row],[Rating]]&gt;3.5,"Average","Poor")))</f>
        <v>Good</v>
      </c>
    </row>
    <row r="331" spans="1:13" x14ac:dyDescent="0.35">
      <c r="A331" t="s">
        <v>207</v>
      </c>
      <c r="B331" s="9" t="s">
        <v>277</v>
      </c>
      <c r="C331" t="s">
        <v>237</v>
      </c>
      <c r="D331" t="s">
        <v>11</v>
      </c>
      <c r="E331" t="s">
        <v>12</v>
      </c>
      <c r="F331">
        <v>4.0999999999999996</v>
      </c>
      <c r="G331">
        <v>30990</v>
      </c>
      <c r="H331">
        <v>30990</v>
      </c>
      <c r="I331">
        <f>FlipkartTable[[#This Row],[Original Price]]-FlipkartTable[[#This Row],[Selling Price]]</f>
        <v>0</v>
      </c>
      <c r="J331" s="4">
        <f>(FlipkartTable[[#This Row],[Original Price]]-FlipkartTable[[#This Row],[Selling Price]])/FlipkartTable[[#This Row],[Original Price]]</f>
        <v>0</v>
      </c>
      <c r="K331">
        <f>(FlipkartTable[[#This Row],[Rating]]/FlipkartTable[[#This Row],[Selling Price]])*1000</f>
        <v>0.13230074217489513</v>
      </c>
      <c r="L331" t="str">
        <f>IF(FlipkartTable[[#This Row],[Selling Price]]&lt;15000,"Budget",IF(FlipkartTable[[#This Row],[Selling Price]]&lt;50000,"Mid Range","Premium"))</f>
        <v>Mid Range</v>
      </c>
      <c r="M331" t="str">
        <f>IF(FlipkartTable[[#This Row],[Rating]]&gt;4.5,"Excellent",IF(FlipkartTable[[#This Row],[Rating]]&gt;4,"Good",IF(FlipkartTable[[#This Row],[Rating]]&gt;3.5,"Average","Poor")))</f>
        <v>Good</v>
      </c>
    </row>
    <row r="332" spans="1:13" x14ac:dyDescent="0.35">
      <c r="A332" t="s">
        <v>207</v>
      </c>
      <c r="B332" s="9" t="s">
        <v>234</v>
      </c>
      <c r="C332" t="s">
        <v>22</v>
      </c>
      <c r="D332" t="s">
        <v>14</v>
      </c>
      <c r="E332" t="s">
        <v>15</v>
      </c>
      <c r="F332">
        <v>4.4000000000000004</v>
      </c>
      <c r="G332">
        <v>55000</v>
      </c>
      <c r="H332">
        <v>55000</v>
      </c>
      <c r="I332">
        <f>FlipkartTable[[#This Row],[Original Price]]-FlipkartTable[[#This Row],[Selling Price]]</f>
        <v>0</v>
      </c>
      <c r="J332" s="4">
        <f>(FlipkartTable[[#This Row],[Original Price]]-FlipkartTable[[#This Row],[Selling Price]])/FlipkartTable[[#This Row],[Original Price]]</f>
        <v>0</v>
      </c>
      <c r="K332">
        <f>(FlipkartTable[[#This Row],[Rating]]/FlipkartTable[[#This Row],[Selling Price]])*1000</f>
        <v>0.08</v>
      </c>
      <c r="L332" t="str">
        <f>IF(FlipkartTable[[#This Row],[Selling Price]]&lt;15000,"Budget",IF(FlipkartTable[[#This Row],[Selling Price]]&lt;50000,"Mid Range","Premium"))</f>
        <v>Premium</v>
      </c>
      <c r="M332" t="str">
        <f>IF(FlipkartTable[[#This Row],[Rating]]&gt;4.5,"Excellent",IF(FlipkartTable[[#This Row],[Rating]]&gt;4,"Good",IF(FlipkartTable[[#This Row],[Rating]]&gt;3.5,"Average","Poor")))</f>
        <v>Good</v>
      </c>
    </row>
    <row r="333" spans="1:13" x14ac:dyDescent="0.35">
      <c r="A333" t="s">
        <v>207</v>
      </c>
      <c r="B333" s="9" t="s">
        <v>278</v>
      </c>
      <c r="C333" t="s">
        <v>270</v>
      </c>
      <c r="D333" t="s">
        <v>35</v>
      </c>
      <c r="E333" t="s">
        <v>124</v>
      </c>
      <c r="F333">
        <v>4</v>
      </c>
      <c r="G333">
        <v>6980</v>
      </c>
      <c r="H333">
        <v>6980</v>
      </c>
      <c r="I333">
        <f>FlipkartTable[[#This Row],[Original Price]]-FlipkartTable[[#This Row],[Selling Price]]</f>
        <v>0</v>
      </c>
      <c r="J333" s="4">
        <f>(FlipkartTable[[#This Row],[Original Price]]-FlipkartTable[[#This Row],[Selling Price]])/FlipkartTable[[#This Row],[Original Price]]</f>
        <v>0</v>
      </c>
      <c r="K333">
        <f>(FlipkartTable[[#This Row],[Rating]]/FlipkartTable[[#This Row],[Selling Price]])*1000</f>
        <v>0.57306590257879653</v>
      </c>
      <c r="L333" t="str">
        <f>IF(FlipkartTable[[#This Row],[Selling Price]]&lt;15000,"Budget",IF(FlipkartTable[[#This Row],[Selling Price]]&lt;50000,"Mid Range","Premium"))</f>
        <v>Budget</v>
      </c>
      <c r="M333" t="str">
        <f>IF(FlipkartTable[[#This Row],[Rating]]&gt;4.5,"Excellent",IF(FlipkartTable[[#This Row],[Rating]]&gt;4,"Good",IF(FlipkartTable[[#This Row],[Rating]]&gt;3.5,"Average","Poor")))</f>
        <v>Average</v>
      </c>
    </row>
    <row r="334" spans="1:13" x14ac:dyDescent="0.35">
      <c r="A334" t="s">
        <v>207</v>
      </c>
      <c r="B334" s="9" t="s">
        <v>272</v>
      </c>
      <c r="C334" t="s">
        <v>19</v>
      </c>
      <c r="D334" t="s">
        <v>20</v>
      </c>
      <c r="E334" t="s">
        <v>21</v>
      </c>
      <c r="F334">
        <v>4</v>
      </c>
      <c r="G334">
        <v>16990</v>
      </c>
      <c r="H334">
        <v>16990</v>
      </c>
      <c r="I334">
        <f>FlipkartTable[[#This Row],[Original Price]]-FlipkartTable[[#This Row],[Selling Price]]</f>
        <v>0</v>
      </c>
      <c r="J334" s="4">
        <f>(FlipkartTable[[#This Row],[Original Price]]-FlipkartTable[[#This Row],[Selling Price]])/FlipkartTable[[#This Row],[Original Price]]</f>
        <v>0</v>
      </c>
      <c r="K334">
        <f>(FlipkartTable[[#This Row],[Rating]]/FlipkartTable[[#This Row],[Selling Price]])*1000</f>
        <v>0.23543260741612712</v>
      </c>
      <c r="L334" t="str">
        <f>IF(FlipkartTable[[#This Row],[Selling Price]]&lt;15000,"Budget",IF(FlipkartTable[[#This Row],[Selling Price]]&lt;50000,"Mid Range","Premium"))</f>
        <v>Mid Range</v>
      </c>
      <c r="M334" t="str">
        <f>IF(FlipkartTable[[#This Row],[Rating]]&gt;4.5,"Excellent",IF(FlipkartTable[[#This Row],[Rating]]&gt;4,"Good",IF(FlipkartTable[[#This Row],[Rating]]&gt;3.5,"Average","Poor")))</f>
        <v>Average</v>
      </c>
    </row>
    <row r="335" spans="1:13" x14ac:dyDescent="0.35">
      <c r="A335" t="s">
        <v>207</v>
      </c>
      <c r="B335" s="9" t="s">
        <v>272</v>
      </c>
      <c r="C335" t="s">
        <v>116</v>
      </c>
      <c r="D335" t="s">
        <v>20</v>
      </c>
      <c r="E335" t="s">
        <v>21</v>
      </c>
      <c r="F335">
        <v>4</v>
      </c>
      <c r="G335">
        <v>16990</v>
      </c>
      <c r="H335">
        <v>16990</v>
      </c>
      <c r="I335">
        <f>FlipkartTable[[#This Row],[Original Price]]-FlipkartTable[[#This Row],[Selling Price]]</f>
        <v>0</v>
      </c>
      <c r="J335" s="4">
        <f>(FlipkartTable[[#This Row],[Original Price]]-FlipkartTable[[#This Row],[Selling Price]])/FlipkartTable[[#This Row],[Original Price]]</f>
        <v>0</v>
      </c>
      <c r="K335">
        <f>(FlipkartTable[[#This Row],[Rating]]/FlipkartTable[[#This Row],[Selling Price]])*1000</f>
        <v>0.23543260741612712</v>
      </c>
      <c r="L335" t="str">
        <f>IF(FlipkartTable[[#This Row],[Selling Price]]&lt;15000,"Budget",IF(FlipkartTable[[#This Row],[Selling Price]]&lt;50000,"Mid Range","Premium"))</f>
        <v>Mid Range</v>
      </c>
      <c r="M335" t="str">
        <f>IF(FlipkartTable[[#This Row],[Rating]]&gt;4.5,"Excellent",IF(FlipkartTable[[#This Row],[Rating]]&gt;4,"Good",IF(FlipkartTable[[#This Row],[Rating]]&gt;3.5,"Average","Poor")))</f>
        <v>Average</v>
      </c>
    </row>
    <row r="336" spans="1:13" x14ac:dyDescent="0.35">
      <c r="A336" t="s">
        <v>207</v>
      </c>
      <c r="B336" s="9" t="s">
        <v>279</v>
      </c>
      <c r="C336" t="s">
        <v>19</v>
      </c>
      <c r="D336" t="s">
        <v>20</v>
      </c>
      <c r="E336" t="s">
        <v>21</v>
      </c>
      <c r="F336">
        <v>3.3</v>
      </c>
      <c r="G336">
        <v>9990</v>
      </c>
      <c r="H336">
        <v>9990</v>
      </c>
      <c r="I336">
        <f>FlipkartTable[[#This Row],[Original Price]]-FlipkartTable[[#This Row],[Selling Price]]</f>
        <v>0</v>
      </c>
      <c r="J336" s="4">
        <f>(FlipkartTable[[#This Row],[Original Price]]-FlipkartTable[[#This Row],[Selling Price]])/FlipkartTable[[#This Row],[Original Price]]</f>
        <v>0</v>
      </c>
      <c r="K336">
        <f>(FlipkartTable[[#This Row],[Rating]]/FlipkartTable[[#This Row],[Selling Price]])*1000</f>
        <v>0.33033033033033032</v>
      </c>
      <c r="L336" t="str">
        <f>IF(FlipkartTable[[#This Row],[Selling Price]]&lt;15000,"Budget",IF(FlipkartTable[[#This Row],[Selling Price]]&lt;50000,"Mid Range","Premium"))</f>
        <v>Budget</v>
      </c>
      <c r="M336" t="str">
        <f>IF(FlipkartTable[[#This Row],[Rating]]&gt;4.5,"Excellent",IF(FlipkartTable[[#This Row],[Rating]]&gt;4,"Good",IF(FlipkartTable[[#This Row],[Rating]]&gt;3.5,"Average","Poor")))</f>
        <v>Poor</v>
      </c>
    </row>
    <row r="337" spans="1:13" x14ac:dyDescent="0.35">
      <c r="A337" t="s">
        <v>207</v>
      </c>
      <c r="B337" s="9" t="s">
        <v>280</v>
      </c>
      <c r="C337" t="s">
        <v>19</v>
      </c>
      <c r="D337" t="s">
        <v>35</v>
      </c>
      <c r="E337" t="s">
        <v>124</v>
      </c>
      <c r="F337">
        <v>4</v>
      </c>
      <c r="G337">
        <v>8499</v>
      </c>
      <c r="H337">
        <v>8499</v>
      </c>
      <c r="I337">
        <f>FlipkartTable[[#This Row],[Original Price]]-FlipkartTable[[#This Row],[Selling Price]]</f>
        <v>0</v>
      </c>
      <c r="J337" s="4">
        <f>(FlipkartTable[[#This Row],[Original Price]]-FlipkartTable[[#This Row],[Selling Price]])/FlipkartTable[[#This Row],[Original Price]]</f>
        <v>0</v>
      </c>
      <c r="K337">
        <f>(FlipkartTable[[#This Row],[Rating]]/FlipkartTable[[#This Row],[Selling Price]])*1000</f>
        <v>0.4706436051300153</v>
      </c>
      <c r="L337" t="str">
        <f>IF(FlipkartTable[[#This Row],[Selling Price]]&lt;15000,"Budget",IF(FlipkartTable[[#This Row],[Selling Price]]&lt;50000,"Mid Range","Premium"))</f>
        <v>Budget</v>
      </c>
      <c r="M337" t="str">
        <f>IF(FlipkartTable[[#This Row],[Rating]]&gt;4.5,"Excellent",IF(FlipkartTable[[#This Row],[Rating]]&gt;4,"Good",IF(FlipkartTable[[#This Row],[Rating]]&gt;3.5,"Average","Poor")))</f>
        <v>Average</v>
      </c>
    </row>
    <row r="338" spans="1:13" x14ac:dyDescent="0.35">
      <c r="A338" t="s">
        <v>207</v>
      </c>
      <c r="B338" s="9" t="s">
        <v>281</v>
      </c>
      <c r="C338" t="s">
        <v>237</v>
      </c>
      <c r="D338" t="s">
        <v>20</v>
      </c>
      <c r="E338" t="s">
        <v>124</v>
      </c>
      <c r="F338">
        <v>4.0999999999999996</v>
      </c>
      <c r="G338">
        <v>14250</v>
      </c>
      <c r="H338">
        <v>14250</v>
      </c>
      <c r="I338">
        <f>FlipkartTable[[#This Row],[Original Price]]-FlipkartTable[[#This Row],[Selling Price]]</f>
        <v>0</v>
      </c>
      <c r="J338" s="4">
        <f>(FlipkartTable[[#This Row],[Original Price]]-FlipkartTable[[#This Row],[Selling Price]])/FlipkartTable[[#This Row],[Original Price]]</f>
        <v>0</v>
      </c>
      <c r="K338">
        <f>(FlipkartTable[[#This Row],[Rating]]/FlipkartTable[[#This Row],[Selling Price]])*1000</f>
        <v>0.28771929824561399</v>
      </c>
      <c r="L338" t="str">
        <f>IF(FlipkartTable[[#This Row],[Selling Price]]&lt;15000,"Budget",IF(FlipkartTable[[#This Row],[Selling Price]]&lt;50000,"Mid Range","Premium"))</f>
        <v>Budget</v>
      </c>
      <c r="M338" t="str">
        <f>IF(FlipkartTable[[#This Row],[Rating]]&gt;4.5,"Excellent",IF(FlipkartTable[[#This Row],[Rating]]&gt;4,"Good",IF(FlipkartTable[[#This Row],[Rating]]&gt;3.5,"Average","Poor")))</f>
        <v>Good</v>
      </c>
    </row>
    <row r="339" spans="1:13" x14ac:dyDescent="0.35">
      <c r="A339" t="s">
        <v>195</v>
      </c>
      <c r="B339" s="9" t="s">
        <v>248</v>
      </c>
      <c r="C339" t="s">
        <v>249</v>
      </c>
      <c r="D339" t="s">
        <v>35</v>
      </c>
      <c r="E339" t="s">
        <v>21</v>
      </c>
      <c r="F339">
        <v>4.3</v>
      </c>
      <c r="G339">
        <v>29990</v>
      </c>
      <c r="H339">
        <v>29990</v>
      </c>
      <c r="I339">
        <f>FlipkartTable[[#This Row],[Original Price]]-FlipkartTable[[#This Row],[Selling Price]]</f>
        <v>0</v>
      </c>
      <c r="J339" s="4">
        <f>(FlipkartTable[[#This Row],[Original Price]]-FlipkartTable[[#This Row],[Selling Price]])/FlipkartTable[[#This Row],[Original Price]]</f>
        <v>0</v>
      </c>
      <c r="K339">
        <f>(FlipkartTable[[#This Row],[Rating]]/FlipkartTable[[#This Row],[Selling Price]])*1000</f>
        <v>0.14338112704234743</v>
      </c>
      <c r="L339" t="str">
        <f>IF(FlipkartTable[[#This Row],[Selling Price]]&lt;15000,"Budget",IF(FlipkartTable[[#This Row],[Selling Price]]&lt;50000,"Mid Range","Premium"))</f>
        <v>Mid Range</v>
      </c>
      <c r="M339" t="str">
        <f>IF(FlipkartTable[[#This Row],[Rating]]&gt;4.5,"Excellent",IF(FlipkartTable[[#This Row],[Rating]]&gt;4,"Good",IF(FlipkartTable[[#This Row],[Rating]]&gt;3.5,"Average","Poor")))</f>
        <v>Good</v>
      </c>
    </row>
    <row r="340" spans="1:13" x14ac:dyDescent="0.35">
      <c r="A340" t="s">
        <v>195</v>
      </c>
      <c r="B340" s="9" t="s">
        <v>248</v>
      </c>
      <c r="C340" t="s">
        <v>282</v>
      </c>
      <c r="D340" t="s">
        <v>35</v>
      </c>
      <c r="E340" t="s">
        <v>124</v>
      </c>
      <c r="F340">
        <v>4.3</v>
      </c>
      <c r="G340">
        <v>25990</v>
      </c>
      <c r="H340">
        <v>25990</v>
      </c>
      <c r="I340">
        <f>FlipkartTable[[#This Row],[Original Price]]-FlipkartTable[[#This Row],[Selling Price]]</f>
        <v>0</v>
      </c>
      <c r="J340" s="4">
        <f>(FlipkartTable[[#This Row],[Original Price]]-FlipkartTable[[#This Row],[Selling Price]])/FlipkartTable[[#This Row],[Original Price]]</f>
        <v>0</v>
      </c>
      <c r="K340">
        <f>(FlipkartTable[[#This Row],[Rating]]/FlipkartTable[[#This Row],[Selling Price]])*1000</f>
        <v>0.16544824932666408</v>
      </c>
      <c r="L340" t="str">
        <f>IF(FlipkartTable[[#This Row],[Selling Price]]&lt;15000,"Budget",IF(FlipkartTable[[#This Row],[Selling Price]]&lt;50000,"Mid Range","Premium"))</f>
        <v>Mid Range</v>
      </c>
      <c r="M340" t="str">
        <f>IF(FlipkartTable[[#This Row],[Rating]]&gt;4.5,"Excellent",IF(FlipkartTable[[#This Row],[Rating]]&gt;4,"Good",IF(FlipkartTable[[#This Row],[Rating]]&gt;3.5,"Average","Poor")))</f>
        <v>Good</v>
      </c>
    </row>
    <row r="341" spans="1:13" x14ac:dyDescent="0.35">
      <c r="A341" t="s">
        <v>207</v>
      </c>
      <c r="B341" s="9" t="s">
        <v>251</v>
      </c>
      <c r="C341" t="s">
        <v>19</v>
      </c>
      <c r="D341" t="s">
        <v>11</v>
      </c>
      <c r="E341" t="s">
        <v>12</v>
      </c>
      <c r="F341">
        <v>3.9</v>
      </c>
      <c r="G341">
        <v>19990</v>
      </c>
      <c r="H341">
        <v>19990</v>
      </c>
      <c r="I341">
        <f>FlipkartTable[[#This Row],[Original Price]]-FlipkartTable[[#This Row],[Selling Price]]</f>
        <v>0</v>
      </c>
      <c r="J341" s="4">
        <f>(FlipkartTable[[#This Row],[Original Price]]-FlipkartTable[[#This Row],[Selling Price]])/FlipkartTable[[#This Row],[Original Price]]</f>
        <v>0</v>
      </c>
      <c r="K341">
        <f>(FlipkartTable[[#This Row],[Rating]]/FlipkartTable[[#This Row],[Selling Price]])*1000</f>
        <v>0.19509754877438718</v>
      </c>
      <c r="L341" t="str">
        <f>IF(FlipkartTable[[#This Row],[Selling Price]]&lt;15000,"Budget",IF(FlipkartTable[[#This Row],[Selling Price]]&lt;50000,"Mid Range","Premium"))</f>
        <v>Mid Range</v>
      </c>
      <c r="M341" t="str">
        <f>IF(FlipkartTable[[#This Row],[Rating]]&gt;4.5,"Excellent",IF(FlipkartTable[[#This Row],[Rating]]&gt;4,"Good",IF(FlipkartTable[[#This Row],[Rating]]&gt;3.5,"Average","Poor")))</f>
        <v>Average</v>
      </c>
    </row>
    <row r="342" spans="1:13" x14ac:dyDescent="0.35">
      <c r="A342" t="s">
        <v>207</v>
      </c>
      <c r="B342" s="9" t="s">
        <v>283</v>
      </c>
      <c r="C342" t="s">
        <v>237</v>
      </c>
      <c r="D342" t="s">
        <v>284</v>
      </c>
      <c r="E342" t="s">
        <v>27</v>
      </c>
      <c r="F342">
        <v>4.0999999999999996</v>
      </c>
      <c r="G342">
        <v>6590</v>
      </c>
      <c r="H342">
        <v>6590</v>
      </c>
      <c r="I342">
        <f>FlipkartTable[[#This Row],[Original Price]]-FlipkartTable[[#This Row],[Selling Price]]</f>
        <v>0</v>
      </c>
      <c r="J342" s="4">
        <f>(FlipkartTable[[#This Row],[Original Price]]-FlipkartTable[[#This Row],[Selling Price]])/FlipkartTable[[#This Row],[Original Price]]</f>
        <v>0</v>
      </c>
      <c r="K342">
        <f>(FlipkartTable[[#This Row],[Rating]]/FlipkartTable[[#This Row],[Selling Price]])*1000</f>
        <v>0.62215477996965096</v>
      </c>
      <c r="L342" t="str">
        <f>IF(FlipkartTable[[#This Row],[Selling Price]]&lt;15000,"Budget",IF(FlipkartTable[[#This Row],[Selling Price]]&lt;50000,"Mid Range","Premium"))</f>
        <v>Budget</v>
      </c>
      <c r="M342" t="str">
        <f>IF(FlipkartTable[[#This Row],[Rating]]&gt;4.5,"Excellent",IF(FlipkartTable[[#This Row],[Rating]]&gt;4,"Good",IF(FlipkartTable[[#This Row],[Rating]]&gt;3.5,"Average","Poor")))</f>
        <v>Good</v>
      </c>
    </row>
    <row r="343" spans="1:13" x14ac:dyDescent="0.35">
      <c r="A343" t="s">
        <v>207</v>
      </c>
      <c r="B343" s="9" t="s">
        <v>285</v>
      </c>
      <c r="C343" t="s">
        <v>152</v>
      </c>
      <c r="D343" t="s">
        <v>134</v>
      </c>
      <c r="E343" t="s">
        <v>27</v>
      </c>
      <c r="F343">
        <v>3.8</v>
      </c>
      <c r="G343">
        <v>15999</v>
      </c>
      <c r="H343">
        <v>15999</v>
      </c>
      <c r="I343">
        <f>FlipkartTable[[#This Row],[Original Price]]-FlipkartTable[[#This Row],[Selling Price]]</f>
        <v>0</v>
      </c>
      <c r="J343" s="4">
        <f>(FlipkartTable[[#This Row],[Original Price]]-FlipkartTable[[#This Row],[Selling Price]])/FlipkartTable[[#This Row],[Original Price]]</f>
        <v>0</v>
      </c>
      <c r="K343">
        <f>(FlipkartTable[[#This Row],[Rating]]/FlipkartTable[[#This Row],[Selling Price]])*1000</f>
        <v>0.23751484467779235</v>
      </c>
      <c r="L343" t="str">
        <f>IF(FlipkartTable[[#This Row],[Selling Price]]&lt;15000,"Budget",IF(FlipkartTable[[#This Row],[Selling Price]]&lt;50000,"Mid Range","Premium"))</f>
        <v>Mid Range</v>
      </c>
      <c r="M343" t="str">
        <f>IF(FlipkartTable[[#This Row],[Rating]]&gt;4.5,"Excellent",IF(FlipkartTable[[#This Row],[Rating]]&gt;4,"Good",IF(FlipkartTable[[#This Row],[Rating]]&gt;3.5,"Average","Poor")))</f>
        <v>Average</v>
      </c>
    </row>
    <row r="344" spans="1:13" x14ac:dyDescent="0.35">
      <c r="A344" t="s">
        <v>207</v>
      </c>
      <c r="B344" s="9" t="s">
        <v>251</v>
      </c>
      <c r="C344" t="s">
        <v>22</v>
      </c>
      <c r="D344" t="s">
        <v>11</v>
      </c>
      <c r="E344" t="s">
        <v>12</v>
      </c>
      <c r="F344">
        <v>3.9</v>
      </c>
      <c r="G344">
        <v>19990</v>
      </c>
      <c r="H344">
        <v>19990</v>
      </c>
      <c r="I344">
        <f>FlipkartTable[[#This Row],[Original Price]]-FlipkartTable[[#This Row],[Selling Price]]</f>
        <v>0</v>
      </c>
      <c r="J344" s="4">
        <f>(FlipkartTable[[#This Row],[Original Price]]-FlipkartTable[[#This Row],[Selling Price]])/FlipkartTable[[#This Row],[Original Price]]</f>
        <v>0</v>
      </c>
      <c r="K344">
        <f>(FlipkartTable[[#This Row],[Rating]]/FlipkartTable[[#This Row],[Selling Price]])*1000</f>
        <v>0.19509754877438718</v>
      </c>
      <c r="L344" t="str">
        <f>IF(FlipkartTable[[#This Row],[Selling Price]]&lt;15000,"Budget",IF(FlipkartTable[[#This Row],[Selling Price]]&lt;50000,"Mid Range","Premium"))</f>
        <v>Mid Range</v>
      </c>
      <c r="M344" t="str">
        <f>IF(FlipkartTable[[#This Row],[Rating]]&gt;4.5,"Excellent",IF(FlipkartTable[[#This Row],[Rating]]&gt;4,"Good",IF(FlipkartTable[[#This Row],[Rating]]&gt;3.5,"Average","Poor")))</f>
        <v>Average</v>
      </c>
    </row>
    <row r="345" spans="1:13" x14ac:dyDescent="0.35">
      <c r="A345" t="s">
        <v>207</v>
      </c>
      <c r="B345" s="9" t="s">
        <v>286</v>
      </c>
      <c r="C345" t="s">
        <v>84</v>
      </c>
      <c r="D345" t="s">
        <v>20</v>
      </c>
      <c r="E345" t="s">
        <v>21</v>
      </c>
      <c r="F345">
        <v>4</v>
      </c>
      <c r="G345">
        <v>35990</v>
      </c>
      <c r="H345">
        <v>35990</v>
      </c>
      <c r="I345">
        <f>FlipkartTable[[#This Row],[Original Price]]-FlipkartTable[[#This Row],[Selling Price]]</f>
        <v>0</v>
      </c>
      <c r="J345" s="4">
        <f>(FlipkartTable[[#This Row],[Original Price]]-FlipkartTable[[#This Row],[Selling Price]])/FlipkartTable[[#This Row],[Original Price]]</f>
        <v>0</v>
      </c>
      <c r="K345">
        <f>(FlipkartTable[[#This Row],[Rating]]/FlipkartTable[[#This Row],[Selling Price]])*1000</f>
        <v>0.11114198388441233</v>
      </c>
      <c r="L345" t="str">
        <f>IF(FlipkartTable[[#This Row],[Selling Price]]&lt;15000,"Budget",IF(FlipkartTable[[#This Row],[Selling Price]]&lt;50000,"Mid Range","Premium"))</f>
        <v>Mid Range</v>
      </c>
      <c r="M345" t="str">
        <f>IF(FlipkartTable[[#This Row],[Rating]]&gt;4.5,"Excellent",IF(FlipkartTable[[#This Row],[Rating]]&gt;4,"Good",IF(FlipkartTable[[#This Row],[Rating]]&gt;3.5,"Average","Poor")))</f>
        <v>Average</v>
      </c>
    </row>
    <row r="346" spans="1:13" x14ac:dyDescent="0.35">
      <c r="A346" t="s">
        <v>207</v>
      </c>
      <c r="B346" s="9" t="s">
        <v>286</v>
      </c>
      <c r="C346" t="s">
        <v>287</v>
      </c>
      <c r="D346" t="s">
        <v>20</v>
      </c>
      <c r="E346" t="s">
        <v>21</v>
      </c>
      <c r="F346">
        <v>4</v>
      </c>
      <c r="G346">
        <v>35990</v>
      </c>
      <c r="H346">
        <v>35990</v>
      </c>
      <c r="I346">
        <f>FlipkartTable[[#This Row],[Original Price]]-FlipkartTable[[#This Row],[Selling Price]]</f>
        <v>0</v>
      </c>
      <c r="J346" s="4">
        <f>(FlipkartTable[[#This Row],[Original Price]]-FlipkartTable[[#This Row],[Selling Price]])/FlipkartTable[[#This Row],[Original Price]]</f>
        <v>0</v>
      </c>
      <c r="K346">
        <f>(FlipkartTable[[#This Row],[Rating]]/FlipkartTable[[#This Row],[Selling Price]])*1000</f>
        <v>0.11114198388441233</v>
      </c>
      <c r="L346" t="str">
        <f>IF(FlipkartTable[[#This Row],[Selling Price]]&lt;15000,"Budget",IF(FlipkartTable[[#This Row],[Selling Price]]&lt;50000,"Mid Range","Premium"))</f>
        <v>Mid Range</v>
      </c>
      <c r="M346" t="str">
        <f>IF(FlipkartTable[[#This Row],[Rating]]&gt;4.5,"Excellent",IF(FlipkartTable[[#This Row],[Rating]]&gt;4,"Good",IF(FlipkartTable[[#This Row],[Rating]]&gt;3.5,"Average","Poor")))</f>
        <v>Average</v>
      </c>
    </row>
    <row r="347" spans="1:13" x14ac:dyDescent="0.35">
      <c r="A347" t="s">
        <v>207</v>
      </c>
      <c r="B347" s="9" t="s">
        <v>236</v>
      </c>
      <c r="C347" t="s">
        <v>245</v>
      </c>
      <c r="D347" t="s">
        <v>35</v>
      </c>
      <c r="E347" t="s">
        <v>124</v>
      </c>
      <c r="F347">
        <v>4.0999999999999996</v>
      </c>
      <c r="G347">
        <v>9999</v>
      </c>
      <c r="H347">
        <v>9999</v>
      </c>
      <c r="I347">
        <f>FlipkartTable[[#This Row],[Original Price]]-FlipkartTable[[#This Row],[Selling Price]]</f>
        <v>0</v>
      </c>
      <c r="J347" s="4">
        <f>(FlipkartTable[[#This Row],[Original Price]]-FlipkartTable[[#This Row],[Selling Price]])/FlipkartTable[[#This Row],[Original Price]]</f>
        <v>0</v>
      </c>
      <c r="K347">
        <f>(FlipkartTable[[#This Row],[Rating]]/FlipkartTable[[#This Row],[Selling Price]])*1000</f>
        <v>0.41004100410041</v>
      </c>
      <c r="L347" t="str">
        <f>IF(FlipkartTable[[#This Row],[Selling Price]]&lt;15000,"Budget",IF(FlipkartTable[[#This Row],[Selling Price]]&lt;50000,"Mid Range","Premium"))</f>
        <v>Budget</v>
      </c>
      <c r="M347" t="str">
        <f>IF(FlipkartTable[[#This Row],[Rating]]&gt;4.5,"Excellent",IF(FlipkartTable[[#This Row],[Rating]]&gt;4,"Good",IF(FlipkartTable[[#This Row],[Rating]]&gt;3.5,"Average","Poor")))</f>
        <v>Good</v>
      </c>
    </row>
    <row r="348" spans="1:13" x14ac:dyDescent="0.35">
      <c r="A348" t="s">
        <v>207</v>
      </c>
      <c r="B348" s="9" t="s">
        <v>288</v>
      </c>
      <c r="C348" t="s">
        <v>237</v>
      </c>
      <c r="D348" t="s">
        <v>20</v>
      </c>
      <c r="E348" t="s">
        <v>124</v>
      </c>
      <c r="F348">
        <v>3.8</v>
      </c>
      <c r="G348">
        <v>9990</v>
      </c>
      <c r="H348">
        <v>9990</v>
      </c>
      <c r="I348">
        <f>FlipkartTable[[#This Row],[Original Price]]-FlipkartTable[[#This Row],[Selling Price]]</f>
        <v>0</v>
      </c>
      <c r="J348" s="4">
        <f>(FlipkartTable[[#This Row],[Original Price]]-FlipkartTable[[#This Row],[Selling Price]])/FlipkartTable[[#This Row],[Original Price]]</f>
        <v>0</v>
      </c>
      <c r="K348">
        <f>(FlipkartTable[[#This Row],[Rating]]/FlipkartTable[[#This Row],[Selling Price]])*1000</f>
        <v>0.38038038038038036</v>
      </c>
      <c r="L348" t="str">
        <f>IF(FlipkartTable[[#This Row],[Selling Price]]&lt;15000,"Budget",IF(FlipkartTable[[#This Row],[Selling Price]]&lt;50000,"Mid Range","Premium"))</f>
        <v>Budget</v>
      </c>
      <c r="M348" t="str">
        <f>IF(FlipkartTable[[#This Row],[Rating]]&gt;4.5,"Excellent",IF(FlipkartTable[[#This Row],[Rating]]&gt;4,"Good",IF(FlipkartTable[[#This Row],[Rating]]&gt;3.5,"Average","Poor")))</f>
        <v>Average</v>
      </c>
    </row>
    <row r="349" spans="1:13" x14ac:dyDescent="0.35">
      <c r="A349" t="s">
        <v>195</v>
      </c>
      <c r="B349" s="9" t="s">
        <v>248</v>
      </c>
      <c r="C349" t="s">
        <v>152</v>
      </c>
      <c r="D349" t="s">
        <v>35</v>
      </c>
      <c r="E349" t="s">
        <v>124</v>
      </c>
      <c r="F349">
        <v>4.5</v>
      </c>
      <c r="G349">
        <v>25400</v>
      </c>
      <c r="H349">
        <v>25400</v>
      </c>
      <c r="I349">
        <f>FlipkartTable[[#This Row],[Original Price]]-FlipkartTable[[#This Row],[Selling Price]]</f>
        <v>0</v>
      </c>
      <c r="J349" s="4">
        <f>(FlipkartTable[[#This Row],[Original Price]]-FlipkartTable[[#This Row],[Selling Price]])/FlipkartTable[[#This Row],[Original Price]]</f>
        <v>0</v>
      </c>
      <c r="K349">
        <f>(FlipkartTable[[#This Row],[Rating]]/FlipkartTable[[#This Row],[Selling Price]])*1000</f>
        <v>0.17716535433070868</v>
      </c>
      <c r="L349" t="str">
        <f>IF(FlipkartTable[[#This Row],[Selling Price]]&lt;15000,"Budget",IF(FlipkartTable[[#This Row],[Selling Price]]&lt;50000,"Mid Range","Premium"))</f>
        <v>Mid Range</v>
      </c>
      <c r="M349" t="str">
        <f>IF(FlipkartTable[[#This Row],[Rating]]&gt;4.5,"Excellent",IF(FlipkartTable[[#This Row],[Rating]]&gt;4,"Good",IF(FlipkartTable[[#This Row],[Rating]]&gt;3.5,"Average","Poor")))</f>
        <v>Good</v>
      </c>
    </row>
    <row r="350" spans="1:13" x14ac:dyDescent="0.35">
      <c r="A350" t="s">
        <v>207</v>
      </c>
      <c r="B350" s="9" t="s">
        <v>236</v>
      </c>
      <c r="C350" t="s">
        <v>245</v>
      </c>
      <c r="D350" t="s">
        <v>35</v>
      </c>
      <c r="E350" t="s">
        <v>124</v>
      </c>
      <c r="F350">
        <v>4.0999999999999996</v>
      </c>
      <c r="G350">
        <v>8350</v>
      </c>
      <c r="H350">
        <v>19000</v>
      </c>
      <c r="I350">
        <f>FlipkartTable[[#This Row],[Original Price]]-FlipkartTable[[#This Row],[Selling Price]]</f>
        <v>10650</v>
      </c>
      <c r="J350" s="4">
        <f>(FlipkartTable[[#This Row],[Original Price]]-FlipkartTable[[#This Row],[Selling Price]])/FlipkartTable[[#This Row],[Original Price]]</f>
        <v>0.56052631578947365</v>
      </c>
      <c r="K350">
        <f>(FlipkartTable[[#This Row],[Rating]]/FlipkartTable[[#This Row],[Selling Price]])*1000</f>
        <v>0.49101796407185627</v>
      </c>
      <c r="L350" t="str">
        <f>IF(FlipkartTable[[#This Row],[Selling Price]]&lt;15000,"Budget",IF(FlipkartTable[[#This Row],[Selling Price]]&lt;50000,"Mid Range","Premium"))</f>
        <v>Budget</v>
      </c>
      <c r="M350" t="str">
        <f>IF(FlipkartTable[[#This Row],[Rating]]&gt;4.5,"Excellent",IF(FlipkartTable[[#This Row],[Rating]]&gt;4,"Good",IF(FlipkartTable[[#This Row],[Rating]]&gt;3.5,"Average","Poor")))</f>
        <v>Good</v>
      </c>
    </row>
    <row r="351" spans="1:13" x14ac:dyDescent="0.35">
      <c r="A351" t="s">
        <v>207</v>
      </c>
      <c r="B351" s="9" t="s">
        <v>289</v>
      </c>
      <c r="C351" t="s">
        <v>253</v>
      </c>
      <c r="D351" t="s">
        <v>134</v>
      </c>
      <c r="E351" t="s">
        <v>27</v>
      </c>
      <c r="F351">
        <v>3.9</v>
      </c>
      <c r="G351">
        <v>7000</v>
      </c>
      <c r="H351">
        <v>17000</v>
      </c>
      <c r="I351">
        <f>FlipkartTable[[#This Row],[Original Price]]-FlipkartTable[[#This Row],[Selling Price]]</f>
        <v>10000</v>
      </c>
      <c r="J351" s="4">
        <f>(FlipkartTable[[#This Row],[Original Price]]-FlipkartTable[[#This Row],[Selling Price]])/FlipkartTable[[#This Row],[Original Price]]</f>
        <v>0.58823529411764708</v>
      </c>
      <c r="K351">
        <f>(FlipkartTable[[#This Row],[Rating]]/FlipkartTable[[#This Row],[Selling Price]])*1000</f>
        <v>0.55714285714285716</v>
      </c>
      <c r="L351" t="str">
        <f>IF(FlipkartTable[[#This Row],[Selling Price]]&lt;15000,"Budget",IF(FlipkartTable[[#This Row],[Selling Price]]&lt;50000,"Mid Range","Premium"))</f>
        <v>Budget</v>
      </c>
      <c r="M351" t="str">
        <f>IF(FlipkartTable[[#This Row],[Rating]]&gt;4.5,"Excellent",IF(FlipkartTable[[#This Row],[Rating]]&gt;4,"Good",IF(FlipkartTable[[#This Row],[Rating]]&gt;3.5,"Average","Poor")))</f>
        <v>Average</v>
      </c>
    </row>
    <row r="352" spans="1:13" x14ac:dyDescent="0.35">
      <c r="A352" t="s">
        <v>207</v>
      </c>
      <c r="B352" s="9" t="s">
        <v>290</v>
      </c>
      <c r="C352" t="s">
        <v>237</v>
      </c>
      <c r="D352" t="s">
        <v>134</v>
      </c>
      <c r="E352" t="s">
        <v>124</v>
      </c>
      <c r="F352">
        <v>3.6</v>
      </c>
      <c r="G352">
        <v>7000</v>
      </c>
      <c r="H352">
        <v>14990</v>
      </c>
      <c r="I352">
        <f>FlipkartTable[[#This Row],[Original Price]]-FlipkartTable[[#This Row],[Selling Price]]</f>
        <v>7990</v>
      </c>
      <c r="J352" s="4">
        <f>(FlipkartTable[[#This Row],[Original Price]]-FlipkartTable[[#This Row],[Selling Price]])/FlipkartTable[[#This Row],[Original Price]]</f>
        <v>0.53302201467645094</v>
      </c>
      <c r="K352">
        <f>(FlipkartTable[[#This Row],[Rating]]/FlipkartTable[[#This Row],[Selling Price]])*1000</f>
        <v>0.51428571428571435</v>
      </c>
      <c r="L352" t="str">
        <f>IF(FlipkartTable[[#This Row],[Selling Price]]&lt;15000,"Budget",IF(FlipkartTable[[#This Row],[Selling Price]]&lt;50000,"Mid Range","Premium"))</f>
        <v>Budget</v>
      </c>
      <c r="M352" t="str">
        <f>IF(FlipkartTable[[#This Row],[Rating]]&gt;4.5,"Excellent",IF(FlipkartTable[[#This Row],[Rating]]&gt;4,"Good",IF(FlipkartTable[[#This Row],[Rating]]&gt;3.5,"Average","Poor")))</f>
        <v>Average</v>
      </c>
    </row>
    <row r="353" spans="1:13" x14ac:dyDescent="0.35">
      <c r="A353" t="s">
        <v>207</v>
      </c>
      <c r="B353" s="9" t="s">
        <v>291</v>
      </c>
      <c r="C353" t="s">
        <v>292</v>
      </c>
      <c r="D353" t="s">
        <v>35</v>
      </c>
      <c r="E353" t="s">
        <v>124</v>
      </c>
      <c r="F353">
        <v>3.5</v>
      </c>
      <c r="G353">
        <v>9999</v>
      </c>
      <c r="H353">
        <v>9999</v>
      </c>
      <c r="I353">
        <f>FlipkartTable[[#This Row],[Original Price]]-FlipkartTable[[#This Row],[Selling Price]]</f>
        <v>0</v>
      </c>
      <c r="J353" s="4">
        <f>(FlipkartTable[[#This Row],[Original Price]]-FlipkartTable[[#This Row],[Selling Price]])/FlipkartTable[[#This Row],[Original Price]]</f>
        <v>0</v>
      </c>
      <c r="K353">
        <f>(FlipkartTable[[#This Row],[Rating]]/FlipkartTable[[#This Row],[Selling Price]])*1000</f>
        <v>0.35003500350035005</v>
      </c>
      <c r="L353" t="str">
        <f>IF(FlipkartTable[[#This Row],[Selling Price]]&lt;15000,"Budget",IF(FlipkartTable[[#This Row],[Selling Price]]&lt;50000,"Mid Range","Premium"))</f>
        <v>Budget</v>
      </c>
      <c r="M353" t="str">
        <f>IF(FlipkartTable[[#This Row],[Rating]]&gt;4.5,"Excellent",IF(FlipkartTable[[#This Row],[Rating]]&gt;4,"Good",IF(FlipkartTable[[#This Row],[Rating]]&gt;3.5,"Average","Poor")))</f>
        <v>Poor</v>
      </c>
    </row>
    <row r="354" spans="1:13" x14ac:dyDescent="0.35">
      <c r="A354" t="s">
        <v>207</v>
      </c>
      <c r="B354" s="9" t="s">
        <v>293</v>
      </c>
      <c r="C354" t="s">
        <v>19</v>
      </c>
      <c r="D354" t="s">
        <v>263</v>
      </c>
      <c r="E354" t="s">
        <v>11</v>
      </c>
      <c r="F354">
        <v>3.9</v>
      </c>
      <c r="G354">
        <v>6299</v>
      </c>
      <c r="H354">
        <v>6299</v>
      </c>
      <c r="I354">
        <f>FlipkartTable[[#This Row],[Original Price]]-FlipkartTable[[#This Row],[Selling Price]]</f>
        <v>0</v>
      </c>
      <c r="J354" s="4">
        <f>(FlipkartTable[[#This Row],[Original Price]]-FlipkartTable[[#This Row],[Selling Price]])/FlipkartTable[[#This Row],[Original Price]]</f>
        <v>0</v>
      </c>
      <c r="K354">
        <f>(FlipkartTable[[#This Row],[Rating]]/FlipkartTable[[#This Row],[Selling Price]])*1000</f>
        <v>0.61914589617399585</v>
      </c>
      <c r="L354" t="str">
        <f>IF(FlipkartTable[[#This Row],[Selling Price]]&lt;15000,"Budget",IF(FlipkartTable[[#This Row],[Selling Price]]&lt;50000,"Mid Range","Premium"))</f>
        <v>Budget</v>
      </c>
      <c r="M354" t="str">
        <f>IF(FlipkartTable[[#This Row],[Rating]]&gt;4.5,"Excellent",IF(FlipkartTable[[#This Row],[Rating]]&gt;4,"Good",IF(FlipkartTable[[#This Row],[Rating]]&gt;3.5,"Average","Poor")))</f>
        <v>Average</v>
      </c>
    </row>
    <row r="355" spans="1:13" x14ac:dyDescent="0.35">
      <c r="A355" t="s">
        <v>207</v>
      </c>
      <c r="B355" s="9" t="s">
        <v>294</v>
      </c>
      <c r="C355" t="s">
        <v>152</v>
      </c>
      <c r="D355" t="s">
        <v>295</v>
      </c>
      <c r="E355" t="s">
        <v>11</v>
      </c>
      <c r="F355">
        <v>4</v>
      </c>
      <c r="G355">
        <v>13299</v>
      </c>
      <c r="H355">
        <v>13299</v>
      </c>
      <c r="I355">
        <f>FlipkartTable[[#This Row],[Original Price]]-FlipkartTable[[#This Row],[Selling Price]]</f>
        <v>0</v>
      </c>
      <c r="J355" s="4">
        <f>(FlipkartTable[[#This Row],[Original Price]]-FlipkartTable[[#This Row],[Selling Price]])/FlipkartTable[[#This Row],[Original Price]]</f>
        <v>0</v>
      </c>
      <c r="K355">
        <f>(FlipkartTable[[#This Row],[Rating]]/FlipkartTable[[#This Row],[Selling Price]])*1000</f>
        <v>0.30077449432288139</v>
      </c>
      <c r="L355" t="str">
        <f>IF(FlipkartTable[[#This Row],[Selling Price]]&lt;15000,"Budget",IF(FlipkartTable[[#This Row],[Selling Price]]&lt;50000,"Mid Range","Premium"))</f>
        <v>Budget</v>
      </c>
      <c r="M355" t="str">
        <f>IF(FlipkartTable[[#This Row],[Rating]]&gt;4.5,"Excellent",IF(FlipkartTable[[#This Row],[Rating]]&gt;4,"Good",IF(FlipkartTable[[#This Row],[Rating]]&gt;3.5,"Average","Poor")))</f>
        <v>Average</v>
      </c>
    </row>
    <row r="356" spans="1:13" x14ac:dyDescent="0.35">
      <c r="A356" t="s">
        <v>207</v>
      </c>
      <c r="B356" s="9" t="s">
        <v>240</v>
      </c>
      <c r="C356" t="s">
        <v>296</v>
      </c>
      <c r="D356" t="s">
        <v>11</v>
      </c>
      <c r="E356" t="s">
        <v>12</v>
      </c>
      <c r="F356">
        <v>4.2</v>
      </c>
      <c r="G356">
        <v>31490</v>
      </c>
      <c r="H356">
        <v>31490</v>
      </c>
      <c r="I356">
        <f>FlipkartTable[[#This Row],[Original Price]]-FlipkartTable[[#This Row],[Selling Price]]</f>
        <v>0</v>
      </c>
      <c r="J356" s="4">
        <f>(FlipkartTable[[#This Row],[Original Price]]-FlipkartTable[[#This Row],[Selling Price]])/FlipkartTable[[#This Row],[Original Price]]</f>
        <v>0</v>
      </c>
      <c r="K356">
        <f>(FlipkartTable[[#This Row],[Rating]]/FlipkartTable[[#This Row],[Selling Price]])*1000</f>
        <v>0.13337567481740234</v>
      </c>
      <c r="L356" t="str">
        <f>IF(FlipkartTable[[#This Row],[Selling Price]]&lt;15000,"Budget",IF(FlipkartTable[[#This Row],[Selling Price]]&lt;50000,"Mid Range","Premium"))</f>
        <v>Mid Range</v>
      </c>
      <c r="M356" t="str">
        <f>IF(FlipkartTable[[#This Row],[Rating]]&gt;4.5,"Excellent",IF(FlipkartTable[[#This Row],[Rating]]&gt;4,"Good",IF(FlipkartTable[[#This Row],[Rating]]&gt;3.5,"Average","Poor")))</f>
        <v>Good</v>
      </c>
    </row>
    <row r="357" spans="1:13" x14ac:dyDescent="0.35">
      <c r="A357" t="s">
        <v>207</v>
      </c>
      <c r="B357" s="9" t="s">
        <v>274</v>
      </c>
      <c r="C357" t="s">
        <v>19</v>
      </c>
      <c r="D357" t="s">
        <v>35</v>
      </c>
      <c r="E357" t="s">
        <v>124</v>
      </c>
      <c r="F357">
        <v>4.0999999999999996</v>
      </c>
      <c r="G357">
        <v>9000</v>
      </c>
      <c r="H357">
        <v>9000</v>
      </c>
      <c r="I357">
        <f>FlipkartTable[[#This Row],[Original Price]]-FlipkartTable[[#This Row],[Selling Price]]</f>
        <v>0</v>
      </c>
      <c r="J357" s="4">
        <f>(FlipkartTable[[#This Row],[Original Price]]-FlipkartTable[[#This Row],[Selling Price]])/FlipkartTable[[#This Row],[Original Price]]</f>
        <v>0</v>
      </c>
      <c r="K357">
        <f>(FlipkartTable[[#This Row],[Rating]]/FlipkartTable[[#This Row],[Selling Price]])*1000</f>
        <v>0.45555555555555549</v>
      </c>
      <c r="L357" t="str">
        <f>IF(FlipkartTable[[#This Row],[Selling Price]]&lt;15000,"Budget",IF(FlipkartTable[[#This Row],[Selling Price]]&lt;50000,"Mid Range","Premium"))</f>
        <v>Budget</v>
      </c>
      <c r="M357" t="str">
        <f>IF(FlipkartTable[[#This Row],[Rating]]&gt;4.5,"Excellent",IF(FlipkartTable[[#This Row],[Rating]]&gt;4,"Good",IF(FlipkartTable[[#This Row],[Rating]]&gt;3.5,"Average","Poor")))</f>
        <v>Good</v>
      </c>
    </row>
    <row r="358" spans="1:13" x14ac:dyDescent="0.35">
      <c r="A358" t="s">
        <v>207</v>
      </c>
      <c r="B358" s="9" t="s">
        <v>250</v>
      </c>
      <c r="C358" t="s">
        <v>237</v>
      </c>
      <c r="D358" t="s">
        <v>11</v>
      </c>
      <c r="E358" t="s">
        <v>21</v>
      </c>
      <c r="F358">
        <v>4</v>
      </c>
      <c r="G358">
        <v>22999</v>
      </c>
      <c r="H358">
        <v>22999</v>
      </c>
      <c r="I358">
        <f>FlipkartTable[[#This Row],[Original Price]]-FlipkartTable[[#This Row],[Selling Price]]</f>
        <v>0</v>
      </c>
      <c r="J358" s="4">
        <f>(FlipkartTable[[#This Row],[Original Price]]-FlipkartTable[[#This Row],[Selling Price]])/FlipkartTable[[#This Row],[Original Price]]</f>
        <v>0</v>
      </c>
      <c r="K358">
        <f>(FlipkartTable[[#This Row],[Rating]]/FlipkartTable[[#This Row],[Selling Price]])*1000</f>
        <v>0.17392060524370626</v>
      </c>
      <c r="L358" t="str">
        <f>IF(FlipkartTable[[#This Row],[Selling Price]]&lt;15000,"Budget",IF(FlipkartTable[[#This Row],[Selling Price]]&lt;50000,"Mid Range","Premium"))</f>
        <v>Mid Range</v>
      </c>
      <c r="M358" t="str">
        <f>IF(FlipkartTable[[#This Row],[Rating]]&gt;4.5,"Excellent",IF(FlipkartTable[[#This Row],[Rating]]&gt;4,"Good",IF(FlipkartTable[[#This Row],[Rating]]&gt;3.5,"Average","Poor")))</f>
        <v>Average</v>
      </c>
    </row>
    <row r="359" spans="1:13" x14ac:dyDescent="0.35">
      <c r="A359" t="s">
        <v>207</v>
      </c>
      <c r="B359" s="9" t="s">
        <v>230</v>
      </c>
      <c r="C359" t="s">
        <v>243</v>
      </c>
      <c r="D359" t="s">
        <v>20</v>
      </c>
      <c r="E359" t="s">
        <v>21</v>
      </c>
      <c r="F359">
        <v>3.9</v>
      </c>
      <c r="G359">
        <v>8199</v>
      </c>
      <c r="H359">
        <v>10999</v>
      </c>
      <c r="I359">
        <f>FlipkartTable[[#This Row],[Original Price]]-FlipkartTable[[#This Row],[Selling Price]]</f>
        <v>2800</v>
      </c>
      <c r="J359" s="4">
        <f>(FlipkartTable[[#This Row],[Original Price]]-FlipkartTable[[#This Row],[Selling Price]])/FlipkartTable[[#This Row],[Original Price]]</f>
        <v>0.25456859714519503</v>
      </c>
      <c r="K359">
        <f>(FlipkartTable[[#This Row],[Rating]]/FlipkartTable[[#This Row],[Selling Price]])*1000</f>
        <v>0.47566776436150748</v>
      </c>
      <c r="L359" t="str">
        <f>IF(FlipkartTable[[#This Row],[Selling Price]]&lt;15000,"Budget",IF(FlipkartTable[[#This Row],[Selling Price]]&lt;50000,"Mid Range","Premium"))</f>
        <v>Budget</v>
      </c>
      <c r="M359" t="str">
        <f>IF(FlipkartTable[[#This Row],[Rating]]&gt;4.5,"Excellent",IF(FlipkartTable[[#This Row],[Rating]]&gt;4,"Good",IF(FlipkartTable[[#This Row],[Rating]]&gt;3.5,"Average","Poor")))</f>
        <v>Average</v>
      </c>
    </row>
    <row r="360" spans="1:13" x14ac:dyDescent="0.35">
      <c r="A360" t="s">
        <v>195</v>
      </c>
      <c r="B360" s="9" t="s">
        <v>248</v>
      </c>
      <c r="C360" t="s">
        <v>19</v>
      </c>
      <c r="D360" t="s">
        <v>35</v>
      </c>
      <c r="E360" t="s">
        <v>124</v>
      </c>
      <c r="F360">
        <v>4.5</v>
      </c>
      <c r="G360">
        <v>12000</v>
      </c>
      <c r="H360">
        <v>29990</v>
      </c>
      <c r="I360">
        <f>FlipkartTable[[#This Row],[Original Price]]-FlipkartTable[[#This Row],[Selling Price]]</f>
        <v>17990</v>
      </c>
      <c r="J360" s="4">
        <f>(FlipkartTable[[#This Row],[Original Price]]-FlipkartTable[[#This Row],[Selling Price]])/FlipkartTable[[#This Row],[Original Price]]</f>
        <v>0.5998666222074025</v>
      </c>
      <c r="K360">
        <f>(FlipkartTable[[#This Row],[Rating]]/FlipkartTable[[#This Row],[Selling Price]])*1000</f>
        <v>0.375</v>
      </c>
      <c r="L360" t="str">
        <f>IF(FlipkartTable[[#This Row],[Selling Price]]&lt;15000,"Budget",IF(FlipkartTable[[#This Row],[Selling Price]]&lt;50000,"Mid Range","Premium"))</f>
        <v>Budget</v>
      </c>
      <c r="M360" t="str">
        <f>IF(FlipkartTable[[#This Row],[Rating]]&gt;4.5,"Excellent",IF(FlipkartTable[[#This Row],[Rating]]&gt;4,"Good",IF(FlipkartTable[[#This Row],[Rating]]&gt;3.5,"Average","Poor")))</f>
        <v>Good</v>
      </c>
    </row>
    <row r="361" spans="1:13" x14ac:dyDescent="0.35">
      <c r="A361" t="s">
        <v>207</v>
      </c>
      <c r="B361" s="9" t="s">
        <v>286</v>
      </c>
      <c r="C361" t="s">
        <v>297</v>
      </c>
      <c r="D361" t="s">
        <v>20</v>
      </c>
      <c r="E361" t="s">
        <v>21</v>
      </c>
      <c r="F361">
        <v>4</v>
      </c>
      <c r="G361">
        <v>25999</v>
      </c>
      <c r="H361">
        <v>25999</v>
      </c>
      <c r="I361">
        <f>FlipkartTable[[#This Row],[Original Price]]-FlipkartTable[[#This Row],[Selling Price]]</f>
        <v>0</v>
      </c>
      <c r="J361" s="4">
        <f>(FlipkartTable[[#This Row],[Original Price]]-FlipkartTable[[#This Row],[Selling Price]])/FlipkartTable[[#This Row],[Original Price]]</f>
        <v>0</v>
      </c>
      <c r="K361">
        <f>(FlipkartTable[[#This Row],[Rating]]/FlipkartTable[[#This Row],[Selling Price]])*1000</f>
        <v>0.15385207123350897</v>
      </c>
      <c r="L361" t="str">
        <f>IF(FlipkartTable[[#This Row],[Selling Price]]&lt;15000,"Budget",IF(FlipkartTable[[#This Row],[Selling Price]]&lt;50000,"Mid Range","Premium"))</f>
        <v>Mid Range</v>
      </c>
      <c r="M361" t="str">
        <f>IF(FlipkartTable[[#This Row],[Rating]]&gt;4.5,"Excellent",IF(FlipkartTable[[#This Row],[Rating]]&gt;4,"Good",IF(FlipkartTable[[#This Row],[Rating]]&gt;3.5,"Average","Poor")))</f>
        <v>Average</v>
      </c>
    </row>
    <row r="362" spans="1:13" x14ac:dyDescent="0.35">
      <c r="A362" t="s">
        <v>207</v>
      </c>
      <c r="B362" s="9" t="s">
        <v>273</v>
      </c>
      <c r="C362" t="s">
        <v>152</v>
      </c>
      <c r="D362" t="s">
        <v>11</v>
      </c>
      <c r="E362" t="s">
        <v>12</v>
      </c>
      <c r="F362">
        <v>4.2</v>
      </c>
      <c r="G362">
        <v>24998</v>
      </c>
      <c r="H362">
        <v>49999</v>
      </c>
      <c r="I362">
        <f>FlipkartTable[[#This Row],[Original Price]]-FlipkartTable[[#This Row],[Selling Price]]</f>
        <v>25001</v>
      </c>
      <c r="J362" s="4">
        <f>(FlipkartTable[[#This Row],[Original Price]]-FlipkartTable[[#This Row],[Selling Price]])/FlipkartTable[[#This Row],[Original Price]]</f>
        <v>0.50003000060001201</v>
      </c>
      <c r="K362">
        <f>(FlipkartTable[[#This Row],[Rating]]/FlipkartTable[[#This Row],[Selling Price]])*1000</f>
        <v>0.16801344107528604</v>
      </c>
      <c r="L362" t="str">
        <f>IF(FlipkartTable[[#This Row],[Selling Price]]&lt;15000,"Budget",IF(FlipkartTable[[#This Row],[Selling Price]]&lt;50000,"Mid Range","Premium"))</f>
        <v>Mid Range</v>
      </c>
      <c r="M362" t="str">
        <f>IF(FlipkartTable[[#This Row],[Rating]]&gt;4.5,"Excellent",IF(FlipkartTable[[#This Row],[Rating]]&gt;4,"Good",IF(FlipkartTable[[#This Row],[Rating]]&gt;3.5,"Average","Poor")))</f>
        <v>Good</v>
      </c>
    </row>
    <row r="363" spans="1:13" x14ac:dyDescent="0.35">
      <c r="A363" t="s">
        <v>207</v>
      </c>
      <c r="B363" s="9" t="s">
        <v>273</v>
      </c>
      <c r="C363" t="s">
        <v>22</v>
      </c>
      <c r="D363" t="s">
        <v>11</v>
      </c>
      <c r="E363" t="s">
        <v>12</v>
      </c>
      <c r="F363">
        <v>4.2</v>
      </c>
      <c r="G363">
        <v>29790</v>
      </c>
      <c r="H363">
        <v>29790</v>
      </c>
      <c r="I363">
        <f>FlipkartTable[[#This Row],[Original Price]]-FlipkartTable[[#This Row],[Selling Price]]</f>
        <v>0</v>
      </c>
      <c r="J363" s="4">
        <f>(FlipkartTable[[#This Row],[Original Price]]-FlipkartTable[[#This Row],[Selling Price]])/FlipkartTable[[#This Row],[Original Price]]</f>
        <v>0</v>
      </c>
      <c r="K363">
        <f>(FlipkartTable[[#This Row],[Rating]]/FlipkartTable[[#This Row],[Selling Price]])*1000</f>
        <v>0.14098690835850958</v>
      </c>
      <c r="L363" t="str">
        <f>IF(FlipkartTable[[#This Row],[Selling Price]]&lt;15000,"Budget",IF(FlipkartTable[[#This Row],[Selling Price]]&lt;50000,"Mid Range","Premium"))</f>
        <v>Mid Range</v>
      </c>
      <c r="M363" t="str">
        <f>IF(FlipkartTable[[#This Row],[Rating]]&gt;4.5,"Excellent",IF(FlipkartTable[[#This Row],[Rating]]&gt;4,"Good",IF(FlipkartTable[[#This Row],[Rating]]&gt;3.5,"Average","Poor")))</f>
        <v>Good</v>
      </c>
    </row>
    <row r="364" spans="1:13" x14ac:dyDescent="0.35">
      <c r="A364" t="s">
        <v>207</v>
      </c>
      <c r="B364" s="9" t="s">
        <v>250</v>
      </c>
      <c r="C364" t="s">
        <v>116</v>
      </c>
      <c r="D364" t="s">
        <v>11</v>
      </c>
      <c r="E364" t="s">
        <v>21</v>
      </c>
      <c r="F364">
        <v>4</v>
      </c>
      <c r="G364">
        <v>25999</v>
      </c>
      <c r="H364">
        <v>25999</v>
      </c>
      <c r="I364">
        <f>FlipkartTable[[#This Row],[Original Price]]-FlipkartTable[[#This Row],[Selling Price]]</f>
        <v>0</v>
      </c>
      <c r="J364" s="4">
        <f>(FlipkartTable[[#This Row],[Original Price]]-FlipkartTable[[#This Row],[Selling Price]])/FlipkartTable[[#This Row],[Original Price]]</f>
        <v>0</v>
      </c>
      <c r="K364">
        <f>(FlipkartTable[[#This Row],[Rating]]/FlipkartTable[[#This Row],[Selling Price]])*1000</f>
        <v>0.15385207123350897</v>
      </c>
      <c r="L364" t="str">
        <f>IF(FlipkartTable[[#This Row],[Selling Price]]&lt;15000,"Budget",IF(FlipkartTable[[#This Row],[Selling Price]]&lt;50000,"Mid Range","Premium"))</f>
        <v>Mid Range</v>
      </c>
      <c r="M364" t="str">
        <f>IF(FlipkartTable[[#This Row],[Rating]]&gt;4.5,"Excellent",IF(FlipkartTable[[#This Row],[Rating]]&gt;4,"Good",IF(FlipkartTable[[#This Row],[Rating]]&gt;3.5,"Average","Poor")))</f>
        <v>Average</v>
      </c>
    </row>
    <row r="365" spans="1:13" x14ac:dyDescent="0.35">
      <c r="A365" t="s">
        <v>207</v>
      </c>
      <c r="B365" s="9" t="s">
        <v>298</v>
      </c>
      <c r="C365" t="s">
        <v>152</v>
      </c>
      <c r="D365" t="s">
        <v>134</v>
      </c>
      <c r="E365" t="s">
        <v>11</v>
      </c>
      <c r="F365">
        <v>3.7</v>
      </c>
      <c r="G365">
        <v>14162</v>
      </c>
      <c r="H365">
        <v>14162</v>
      </c>
      <c r="I365">
        <f>FlipkartTable[[#This Row],[Original Price]]-FlipkartTable[[#This Row],[Selling Price]]</f>
        <v>0</v>
      </c>
      <c r="J365" s="4">
        <f>(FlipkartTable[[#This Row],[Original Price]]-FlipkartTable[[#This Row],[Selling Price]])/FlipkartTable[[#This Row],[Original Price]]</f>
        <v>0</v>
      </c>
      <c r="K365">
        <f>(FlipkartTable[[#This Row],[Rating]]/FlipkartTable[[#This Row],[Selling Price]])*1000</f>
        <v>0.26126253354046042</v>
      </c>
      <c r="L365" t="str">
        <f>IF(FlipkartTable[[#This Row],[Selling Price]]&lt;15000,"Budget",IF(FlipkartTable[[#This Row],[Selling Price]]&lt;50000,"Mid Range","Premium"))</f>
        <v>Budget</v>
      </c>
      <c r="M365" t="str">
        <f>IF(FlipkartTable[[#This Row],[Rating]]&gt;4.5,"Excellent",IF(FlipkartTable[[#This Row],[Rating]]&gt;4,"Good",IF(FlipkartTable[[#This Row],[Rating]]&gt;3.5,"Average","Poor")))</f>
        <v>Average</v>
      </c>
    </row>
    <row r="366" spans="1:13" x14ac:dyDescent="0.35">
      <c r="A366" t="s">
        <v>207</v>
      </c>
      <c r="B366" s="9" t="s">
        <v>299</v>
      </c>
      <c r="C366" t="s">
        <v>253</v>
      </c>
      <c r="D366" t="s">
        <v>134</v>
      </c>
      <c r="E366" t="s">
        <v>27</v>
      </c>
      <c r="F366">
        <v>4.0999999999999996</v>
      </c>
      <c r="G366">
        <v>13990</v>
      </c>
      <c r="H366">
        <v>13990</v>
      </c>
      <c r="I366">
        <f>FlipkartTable[[#This Row],[Original Price]]-FlipkartTable[[#This Row],[Selling Price]]</f>
        <v>0</v>
      </c>
      <c r="J366" s="4">
        <f>(FlipkartTable[[#This Row],[Original Price]]-FlipkartTable[[#This Row],[Selling Price]])/FlipkartTable[[#This Row],[Original Price]]</f>
        <v>0</v>
      </c>
      <c r="K366">
        <f>(FlipkartTable[[#This Row],[Rating]]/FlipkartTable[[#This Row],[Selling Price]])*1000</f>
        <v>0.29306647605432451</v>
      </c>
      <c r="L366" t="str">
        <f>IF(FlipkartTable[[#This Row],[Selling Price]]&lt;15000,"Budget",IF(FlipkartTable[[#This Row],[Selling Price]]&lt;50000,"Mid Range","Premium"))</f>
        <v>Budget</v>
      </c>
      <c r="M366" t="str">
        <f>IF(FlipkartTable[[#This Row],[Rating]]&gt;4.5,"Excellent",IF(FlipkartTable[[#This Row],[Rating]]&gt;4,"Good",IF(FlipkartTable[[#This Row],[Rating]]&gt;3.5,"Average","Poor")))</f>
        <v>Good</v>
      </c>
    </row>
    <row r="367" spans="1:13" x14ac:dyDescent="0.35">
      <c r="A367" t="s">
        <v>207</v>
      </c>
      <c r="B367" s="9" t="s">
        <v>279</v>
      </c>
      <c r="C367" t="s">
        <v>220</v>
      </c>
      <c r="D367" t="s">
        <v>20</v>
      </c>
      <c r="E367" t="s">
        <v>21</v>
      </c>
      <c r="F367">
        <v>3.3</v>
      </c>
      <c r="G367">
        <v>16790</v>
      </c>
      <c r="H367">
        <v>16790</v>
      </c>
      <c r="I367">
        <f>FlipkartTable[[#This Row],[Original Price]]-FlipkartTable[[#This Row],[Selling Price]]</f>
        <v>0</v>
      </c>
      <c r="J367" s="4">
        <f>(FlipkartTable[[#This Row],[Original Price]]-FlipkartTable[[#This Row],[Selling Price]])/FlipkartTable[[#This Row],[Original Price]]</f>
        <v>0</v>
      </c>
      <c r="K367">
        <f>(FlipkartTable[[#This Row],[Rating]]/FlipkartTable[[#This Row],[Selling Price]])*1000</f>
        <v>0.19654556283502084</v>
      </c>
      <c r="L367" t="str">
        <f>IF(FlipkartTable[[#This Row],[Selling Price]]&lt;15000,"Budget",IF(FlipkartTable[[#This Row],[Selling Price]]&lt;50000,"Mid Range","Premium"))</f>
        <v>Mid Range</v>
      </c>
      <c r="M367" t="str">
        <f>IF(FlipkartTable[[#This Row],[Rating]]&gt;4.5,"Excellent",IF(FlipkartTable[[#This Row],[Rating]]&gt;4,"Good",IF(FlipkartTable[[#This Row],[Rating]]&gt;3.5,"Average","Poor")))</f>
        <v>Poor</v>
      </c>
    </row>
    <row r="368" spans="1:13" x14ac:dyDescent="0.35">
      <c r="A368" t="s">
        <v>207</v>
      </c>
      <c r="B368" s="9" t="s">
        <v>279</v>
      </c>
      <c r="C368" t="s">
        <v>300</v>
      </c>
      <c r="D368" t="s">
        <v>20</v>
      </c>
      <c r="E368" t="s">
        <v>21</v>
      </c>
      <c r="F368">
        <v>3.3</v>
      </c>
      <c r="G368">
        <v>16996</v>
      </c>
      <c r="H368">
        <v>16996</v>
      </c>
      <c r="I368">
        <f>FlipkartTable[[#This Row],[Original Price]]-FlipkartTable[[#This Row],[Selling Price]]</f>
        <v>0</v>
      </c>
      <c r="J368" s="4">
        <f>(FlipkartTable[[#This Row],[Original Price]]-FlipkartTable[[#This Row],[Selling Price]])/FlipkartTable[[#This Row],[Original Price]]</f>
        <v>0</v>
      </c>
      <c r="K368">
        <f>(FlipkartTable[[#This Row],[Rating]]/FlipkartTable[[#This Row],[Selling Price]])*1000</f>
        <v>0.194163332548835</v>
      </c>
      <c r="L368" t="str">
        <f>IF(FlipkartTable[[#This Row],[Selling Price]]&lt;15000,"Budget",IF(FlipkartTable[[#This Row],[Selling Price]]&lt;50000,"Mid Range","Premium"))</f>
        <v>Mid Range</v>
      </c>
      <c r="M368" t="str">
        <f>IF(FlipkartTable[[#This Row],[Rating]]&gt;4.5,"Excellent",IF(FlipkartTable[[#This Row],[Rating]]&gt;4,"Good",IF(FlipkartTable[[#This Row],[Rating]]&gt;3.5,"Average","Poor")))</f>
        <v>Poor</v>
      </c>
    </row>
    <row r="369" spans="1:13" x14ac:dyDescent="0.35">
      <c r="A369" t="s">
        <v>207</v>
      </c>
      <c r="B369" s="9" t="s">
        <v>301</v>
      </c>
      <c r="C369" t="s">
        <v>220</v>
      </c>
      <c r="D369" t="s">
        <v>11</v>
      </c>
      <c r="E369" t="s">
        <v>12</v>
      </c>
      <c r="F369">
        <v>3.2</v>
      </c>
      <c r="G369">
        <v>20998</v>
      </c>
      <c r="H369">
        <v>20998</v>
      </c>
      <c r="I369">
        <f>FlipkartTable[[#This Row],[Original Price]]-FlipkartTable[[#This Row],[Selling Price]]</f>
        <v>0</v>
      </c>
      <c r="J369" s="4">
        <f>(FlipkartTable[[#This Row],[Original Price]]-FlipkartTable[[#This Row],[Selling Price]])/FlipkartTable[[#This Row],[Original Price]]</f>
        <v>0</v>
      </c>
      <c r="K369">
        <f>(FlipkartTable[[#This Row],[Rating]]/FlipkartTable[[#This Row],[Selling Price]])*1000</f>
        <v>0.15239546623487954</v>
      </c>
      <c r="L369" t="str">
        <f>IF(FlipkartTable[[#This Row],[Selling Price]]&lt;15000,"Budget",IF(FlipkartTable[[#This Row],[Selling Price]]&lt;50000,"Mid Range","Premium"))</f>
        <v>Mid Range</v>
      </c>
      <c r="M369" t="str">
        <f>IF(FlipkartTable[[#This Row],[Rating]]&gt;4.5,"Excellent",IF(FlipkartTable[[#This Row],[Rating]]&gt;4,"Good",IF(FlipkartTable[[#This Row],[Rating]]&gt;3.5,"Average","Poor")))</f>
        <v>Poor</v>
      </c>
    </row>
    <row r="370" spans="1:13" x14ac:dyDescent="0.35">
      <c r="A370" t="s">
        <v>207</v>
      </c>
      <c r="B370" s="9" t="s">
        <v>301</v>
      </c>
      <c r="C370" t="s">
        <v>300</v>
      </c>
      <c r="D370" t="s">
        <v>11</v>
      </c>
      <c r="E370" t="s">
        <v>12</v>
      </c>
      <c r="F370">
        <v>3.2</v>
      </c>
      <c r="G370">
        <v>21001</v>
      </c>
      <c r="H370">
        <v>21001</v>
      </c>
      <c r="I370">
        <f>FlipkartTable[[#This Row],[Original Price]]-FlipkartTable[[#This Row],[Selling Price]]</f>
        <v>0</v>
      </c>
      <c r="J370" s="4">
        <f>(FlipkartTable[[#This Row],[Original Price]]-FlipkartTable[[#This Row],[Selling Price]])/FlipkartTable[[#This Row],[Original Price]]</f>
        <v>0</v>
      </c>
      <c r="K370">
        <f>(FlipkartTable[[#This Row],[Rating]]/FlipkartTable[[#This Row],[Selling Price]])*1000</f>
        <v>0.15237369649064331</v>
      </c>
      <c r="L370" t="str">
        <f>IF(FlipkartTable[[#This Row],[Selling Price]]&lt;15000,"Budget",IF(FlipkartTable[[#This Row],[Selling Price]]&lt;50000,"Mid Range","Premium"))</f>
        <v>Mid Range</v>
      </c>
      <c r="M370" t="str">
        <f>IF(FlipkartTable[[#This Row],[Rating]]&gt;4.5,"Excellent",IF(FlipkartTable[[#This Row],[Rating]]&gt;4,"Good",IF(FlipkartTable[[#This Row],[Rating]]&gt;3.5,"Average","Poor")))</f>
        <v>Poor</v>
      </c>
    </row>
    <row r="371" spans="1:13" x14ac:dyDescent="0.35">
      <c r="A371" t="s">
        <v>207</v>
      </c>
      <c r="B371" s="9" t="s">
        <v>302</v>
      </c>
      <c r="C371" t="s">
        <v>19</v>
      </c>
      <c r="D371" t="s">
        <v>35</v>
      </c>
      <c r="E371" t="s">
        <v>124</v>
      </c>
      <c r="F371">
        <v>4</v>
      </c>
      <c r="G371">
        <v>7990</v>
      </c>
      <c r="H371">
        <v>7990</v>
      </c>
      <c r="I371">
        <f>FlipkartTable[[#This Row],[Original Price]]-FlipkartTable[[#This Row],[Selling Price]]</f>
        <v>0</v>
      </c>
      <c r="J371" s="4">
        <f>(FlipkartTable[[#This Row],[Original Price]]-FlipkartTable[[#This Row],[Selling Price]])/FlipkartTable[[#This Row],[Original Price]]</f>
        <v>0</v>
      </c>
      <c r="K371">
        <f>(FlipkartTable[[#This Row],[Rating]]/FlipkartTable[[#This Row],[Selling Price]])*1000</f>
        <v>0.50062578222778475</v>
      </c>
      <c r="L371" t="str">
        <f>IF(FlipkartTable[[#This Row],[Selling Price]]&lt;15000,"Budget",IF(FlipkartTable[[#This Row],[Selling Price]]&lt;50000,"Mid Range","Premium"))</f>
        <v>Budget</v>
      </c>
      <c r="M371" t="str">
        <f>IF(FlipkartTable[[#This Row],[Rating]]&gt;4.5,"Excellent",IF(FlipkartTable[[#This Row],[Rating]]&gt;4,"Good",IF(FlipkartTable[[#This Row],[Rating]]&gt;3.5,"Average","Poor")))</f>
        <v>Average</v>
      </c>
    </row>
    <row r="372" spans="1:13" x14ac:dyDescent="0.35">
      <c r="A372" t="s">
        <v>207</v>
      </c>
      <c r="B372" s="9" t="s">
        <v>301</v>
      </c>
      <c r="C372" t="s">
        <v>19</v>
      </c>
      <c r="D372" t="s">
        <v>11</v>
      </c>
      <c r="E372" t="s">
        <v>12</v>
      </c>
      <c r="F372">
        <v>3.2</v>
      </c>
      <c r="G372">
        <v>11849</v>
      </c>
      <c r="H372">
        <v>18990</v>
      </c>
      <c r="I372">
        <f>FlipkartTable[[#This Row],[Original Price]]-FlipkartTable[[#This Row],[Selling Price]]</f>
        <v>7141</v>
      </c>
      <c r="J372" s="4">
        <f>(FlipkartTable[[#This Row],[Original Price]]-FlipkartTable[[#This Row],[Selling Price]])/FlipkartTable[[#This Row],[Original Price]]</f>
        <v>0.37604002106371776</v>
      </c>
      <c r="K372">
        <f>(FlipkartTable[[#This Row],[Rating]]/FlipkartTable[[#This Row],[Selling Price]])*1000</f>
        <v>0.2700649843868681</v>
      </c>
      <c r="L372" t="str">
        <f>IF(FlipkartTable[[#This Row],[Selling Price]]&lt;15000,"Budget",IF(FlipkartTable[[#This Row],[Selling Price]]&lt;50000,"Mid Range","Premium"))</f>
        <v>Budget</v>
      </c>
      <c r="M372" t="str">
        <f>IF(FlipkartTable[[#This Row],[Rating]]&gt;4.5,"Excellent",IF(FlipkartTable[[#This Row],[Rating]]&gt;4,"Good",IF(FlipkartTable[[#This Row],[Rating]]&gt;3.5,"Average","Poor")))</f>
        <v>Poor</v>
      </c>
    </row>
    <row r="373" spans="1:13" x14ac:dyDescent="0.35">
      <c r="A373" t="s">
        <v>207</v>
      </c>
      <c r="B373" s="9" t="s">
        <v>303</v>
      </c>
      <c r="C373" t="s">
        <v>253</v>
      </c>
      <c r="D373" t="s">
        <v>134</v>
      </c>
      <c r="E373" t="s">
        <v>27</v>
      </c>
      <c r="F373">
        <v>3.8</v>
      </c>
      <c r="G373">
        <v>8000</v>
      </c>
      <c r="H373">
        <v>8000</v>
      </c>
      <c r="I373">
        <f>FlipkartTable[[#This Row],[Original Price]]-FlipkartTable[[#This Row],[Selling Price]]</f>
        <v>0</v>
      </c>
      <c r="J373" s="4">
        <f>(FlipkartTable[[#This Row],[Original Price]]-FlipkartTable[[#This Row],[Selling Price]])/FlipkartTable[[#This Row],[Original Price]]</f>
        <v>0</v>
      </c>
      <c r="K373">
        <f>(FlipkartTable[[#This Row],[Rating]]/FlipkartTable[[#This Row],[Selling Price]])*1000</f>
        <v>0.47499999999999998</v>
      </c>
      <c r="L373" t="str">
        <f>IF(FlipkartTable[[#This Row],[Selling Price]]&lt;15000,"Budget",IF(FlipkartTable[[#This Row],[Selling Price]]&lt;50000,"Mid Range","Premium"))</f>
        <v>Budget</v>
      </c>
      <c r="M373" t="str">
        <f>IF(FlipkartTable[[#This Row],[Rating]]&gt;4.5,"Excellent",IF(FlipkartTable[[#This Row],[Rating]]&gt;4,"Good",IF(FlipkartTable[[#This Row],[Rating]]&gt;3.5,"Average","Poor")))</f>
        <v>Average</v>
      </c>
    </row>
    <row r="374" spans="1:13" x14ac:dyDescent="0.35">
      <c r="A374" t="s">
        <v>207</v>
      </c>
      <c r="B374" s="9" t="s">
        <v>303</v>
      </c>
      <c r="C374" t="s">
        <v>270</v>
      </c>
      <c r="D374" t="s">
        <v>134</v>
      </c>
      <c r="E374" t="s">
        <v>27</v>
      </c>
      <c r="F374">
        <v>3.8</v>
      </c>
      <c r="G374">
        <v>8000</v>
      </c>
      <c r="H374">
        <v>8000</v>
      </c>
      <c r="I374">
        <f>FlipkartTable[[#This Row],[Original Price]]-FlipkartTable[[#This Row],[Selling Price]]</f>
        <v>0</v>
      </c>
      <c r="J374" s="4">
        <f>(FlipkartTable[[#This Row],[Original Price]]-FlipkartTable[[#This Row],[Selling Price]])/FlipkartTable[[#This Row],[Original Price]]</f>
        <v>0</v>
      </c>
      <c r="K374">
        <f>(FlipkartTable[[#This Row],[Rating]]/FlipkartTable[[#This Row],[Selling Price]])*1000</f>
        <v>0.47499999999999998</v>
      </c>
      <c r="L374" t="str">
        <f>IF(FlipkartTable[[#This Row],[Selling Price]]&lt;15000,"Budget",IF(FlipkartTable[[#This Row],[Selling Price]]&lt;50000,"Mid Range","Premium"))</f>
        <v>Budget</v>
      </c>
      <c r="M374" t="str">
        <f>IF(FlipkartTable[[#This Row],[Rating]]&gt;4.5,"Excellent",IF(FlipkartTable[[#This Row],[Rating]]&gt;4,"Good",IF(FlipkartTable[[#This Row],[Rating]]&gt;3.5,"Average","Poor")))</f>
        <v>Average</v>
      </c>
    </row>
    <row r="375" spans="1:13" x14ac:dyDescent="0.35">
      <c r="A375" t="s">
        <v>207</v>
      </c>
      <c r="B375" s="9" t="s">
        <v>286</v>
      </c>
      <c r="C375" t="s">
        <v>304</v>
      </c>
      <c r="D375" t="s">
        <v>20</v>
      </c>
      <c r="E375" t="s">
        <v>21</v>
      </c>
      <c r="F375">
        <v>4</v>
      </c>
      <c r="G375">
        <v>30600</v>
      </c>
      <c r="H375">
        <v>30600</v>
      </c>
      <c r="I375">
        <f>FlipkartTable[[#This Row],[Original Price]]-FlipkartTable[[#This Row],[Selling Price]]</f>
        <v>0</v>
      </c>
      <c r="J375" s="4">
        <f>(FlipkartTable[[#This Row],[Original Price]]-FlipkartTable[[#This Row],[Selling Price]])/FlipkartTable[[#This Row],[Original Price]]</f>
        <v>0</v>
      </c>
      <c r="K375">
        <f>(FlipkartTable[[#This Row],[Rating]]/FlipkartTable[[#This Row],[Selling Price]])*1000</f>
        <v>0.13071895424836602</v>
      </c>
      <c r="L375" t="str">
        <f>IF(FlipkartTable[[#This Row],[Selling Price]]&lt;15000,"Budget",IF(FlipkartTable[[#This Row],[Selling Price]]&lt;50000,"Mid Range","Premium"))</f>
        <v>Mid Range</v>
      </c>
      <c r="M375" t="str">
        <f>IF(FlipkartTable[[#This Row],[Rating]]&gt;4.5,"Excellent",IF(FlipkartTable[[#This Row],[Rating]]&gt;4,"Good",IF(FlipkartTable[[#This Row],[Rating]]&gt;3.5,"Average","Poor")))</f>
        <v>Average</v>
      </c>
    </row>
    <row r="376" spans="1:13" x14ac:dyDescent="0.35">
      <c r="A376" t="s">
        <v>305</v>
      </c>
      <c r="B376" s="9" t="s">
        <v>306</v>
      </c>
      <c r="C376" t="s">
        <v>19</v>
      </c>
      <c r="D376" t="s">
        <v>27</v>
      </c>
      <c r="E376" t="s">
        <v>15</v>
      </c>
      <c r="F376">
        <v>4.3</v>
      </c>
      <c r="G376">
        <v>49999</v>
      </c>
      <c r="H376">
        <v>55999</v>
      </c>
      <c r="I376">
        <f>FlipkartTable[[#This Row],[Original Price]]-FlipkartTable[[#This Row],[Selling Price]]</f>
        <v>6000</v>
      </c>
      <c r="J376" s="4">
        <f>(FlipkartTable[[#This Row],[Original Price]]-FlipkartTable[[#This Row],[Selling Price]])/FlipkartTable[[#This Row],[Original Price]]</f>
        <v>0.10714477044232933</v>
      </c>
      <c r="K376">
        <f>(FlipkartTable[[#This Row],[Rating]]/FlipkartTable[[#This Row],[Selling Price]])*1000</f>
        <v>8.600172003440068E-2</v>
      </c>
      <c r="L376" t="str">
        <f>IF(FlipkartTable[[#This Row],[Selling Price]]&lt;15000,"Budget",IF(FlipkartTable[[#This Row],[Selling Price]]&lt;50000,"Mid Range","Premium"))</f>
        <v>Mid Range</v>
      </c>
      <c r="M376" t="str">
        <f>IF(FlipkartTable[[#This Row],[Rating]]&gt;4.5,"Excellent",IF(FlipkartTable[[#This Row],[Rating]]&gt;4,"Good",IF(FlipkartTable[[#This Row],[Rating]]&gt;3.5,"Average","Poor")))</f>
        <v>Good</v>
      </c>
    </row>
    <row r="377" spans="1:13" x14ac:dyDescent="0.35">
      <c r="A377" t="s">
        <v>305</v>
      </c>
      <c r="B377" s="9" t="s">
        <v>307</v>
      </c>
      <c r="C377" t="s">
        <v>19</v>
      </c>
      <c r="D377" t="s">
        <v>63</v>
      </c>
      <c r="E377" t="s">
        <v>15</v>
      </c>
      <c r="F377">
        <v>4.4000000000000004</v>
      </c>
      <c r="G377">
        <v>49999</v>
      </c>
      <c r="H377">
        <v>57999</v>
      </c>
      <c r="I377">
        <f>FlipkartTable[[#This Row],[Original Price]]-FlipkartTable[[#This Row],[Selling Price]]</f>
        <v>8000</v>
      </c>
      <c r="J377" s="4">
        <f>(FlipkartTable[[#This Row],[Original Price]]-FlipkartTable[[#This Row],[Selling Price]])/FlipkartTable[[#This Row],[Original Price]]</f>
        <v>0.13793341264504561</v>
      </c>
      <c r="K377">
        <f>(FlipkartTable[[#This Row],[Rating]]/FlipkartTable[[#This Row],[Selling Price]])*1000</f>
        <v>8.8001760035200716E-2</v>
      </c>
      <c r="L377" t="str">
        <f>IF(FlipkartTable[[#This Row],[Selling Price]]&lt;15000,"Budget",IF(FlipkartTable[[#This Row],[Selling Price]]&lt;50000,"Mid Range","Premium"))</f>
        <v>Mid Range</v>
      </c>
      <c r="M377" t="str">
        <f>IF(FlipkartTable[[#This Row],[Rating]]&gt;4.5,"Excellent",IF(FlipkartTable[[#This Row],[Rating]]&gt;4,"Good",IF(FlipkartTable[[#This Row],[Rating]]&gt;3.5,"Average","Poor")))</f>
        <v>Good</v>
      </c>
    </row>
    <row r="378" spans="1:13" x14ac:dyDescent="0.35">
      <c r="A378" t="s">
        <v>305</v>
      </c>
      <c r="B378" s="9" t="s">
        <v>308</v>
      </c>
      <c r="C378" t="s">
        <v>141</v>
      </c>
      <c r="D378" t="s">
        <v>11</v>
      </c>
      <c r="E378" t="s">
        <v>12</v>
      </c>
      <c r="F378">
        <v>4.3</v>
      </c>
      <c r="G378">
        <v>15599</v>
      </c>
      <c r="H378">
        <v>15599</v>
      </c>
      <c r="I378">
        <f>FlipkartTable[[#This Row],[Original Price]]-FlipkartTable[[#This Row],[Selling Price]]</f>
        <v>0</v>
      </c>
      <c r="J378" s="4">
        <f>(FlipkartTable[[#This Row],[Original Price]]-FlipkartTable[[#This Row],[Selling Price]])/FlipkartTable[[#This Row],[Original Price]]</f>
        <v>0</v>
      </c>
      <c r="K378">
        <f>(FlipkartTable[[#This Row],[Rating]]/FlipkartTable[[#This Row],[Selling Price]])*1000</f>
        <v>0.27565869607026089</v>
      </c>
      <c r="L378" t="str">
        <f>IF(FlipkartTable[[#This Row],[Selling Price]]&lt;15000,"Budget",IF(FlipkartTable[[#This Row],[Selling Price]]&lt;50000,"Mid Range","Premium"))</f>
        <v>Mid Range</v>
      </c>
      <c r="M378" t="str">
        <f>IF(FlipkartTable[[#This Row],[Rating]]&gt;4.5,"Excellent",IF(FlipkartTable[[#This Row],[Rating]]&gt;4,"Good",IF(FlipkartTable[[#This Row],[Rating]]&gt;3.5,"Average","Poor")))</f>
        <v>Good</v>
      </c>
    </row>
    <row r="379" spans="1:13" x14ac:dyDescent="0.35">
      <c r="A379" t="s">
        <v>305</v>
      </c>
      <c r="B379" s="9" t="s">
        <v>309</v>
      </c>
      <c r="C379" t="s">
        <v>19</v>
      </c>
      <c r="D379" t="s">
        <v>35</v>
      </c>
      <c r="E379" t="s">
        <v>124</v>
      </c>
      <c r="F379">
        <v>4.0999999999999996</v>
      </c>
      <c r="G379">
        <v>7999</v>
      </c>
      <c r="H379">
        <v>7999</v>
      </c>
      <c r="I379">
        <f>FlipkartTable[[#This Row],[Original Price]]-FlipkartTable[[#This Row],[Selling Price]]</f>
        <v>0</v>
      </c>
      <c r="J379" s="4">
        <f>(FlipkartTable[[#This Row],[Original Price]]-FlipkartTable[[#This Row],[Selling Price]])/FlipkartTable[[#This Row],[Original Price]]</f>
        <v>0</v>
      </c>
      <c r="K379">
        <f>(FlipkartTable[[#This Row],[Rating]]/FlipkartTable[[#This Row],[Selling Price]])*1000</f>
        <v>0.51256407050881359</v>
      </c>
      <c r="L379" t="str">
        <f>IF(FlipkartTable[[#This Row],[Selling Price]]&lt;15000,"Budget",IF(FlipkartTable[[#This Row],[Selling Price]]&lt;50000,"Mid Range","Premium"))</f>
        <v>Budget</v>
      </c>
      <c r="M379" t="str">
        <f>IF(FlipkartTable[[#This Row],[Rating]]&gt;4.5,"Excellent",IF(FlipkartTable[[#This Row],[Rating]]&gt;4,"Good",IF(FlipkartTable[[#This Row],[Rating]]&gt;3.5,"Average","Poor")))</f>
        <v>Good</v>
      </c>
    </row>
    <row r="380" spans="1:13" x14ac:dyDescent="0.35">
      <c r="A380" t="s">
        <v>305</v>
      </c>
      <c r="B380" s="9" t="s">
        <v>307</v>
      </c>
      <c r="C380" t="s">
        <v>19</v>
      </c>
      <c r="D380" t="s">
        <v>27</v>
      </c>
      <c r="E380" t="s">
        <v>15</v>
      </c>
      <c r="F380">
        <v>4.4000000000000004</v>
      </c>
      <c r="G380">
        <v>46999</v>
      </c>
      <c r="H380">
        <v>55999</v>
      </c>
      <c r="I380">
        <f>FlipkartTable[[#This Row],[Original Price]]-FlipkartTable[[#This Row],[Selling Price]]</f>
        <v>9000</v>
      </c>
      <c r="J380" s="4">
        <f>(FlipkartTable[[#This Row],[Original Price]]-FlipkartTable[[#This Row],[Selling Price]])/FlipkartTable[[#This Row],[Original Price]]</f>
        <v>0.16071715566349398</v>
      </c>
      <c r="K380">
        <f>(FlipkartTable[[#This Row],[Rating]]/FlipkartTable[[#This Row],[Selling Price]])*1000</f>
        <v>9.3619013170492996E-2</v>
      </c>
      <c r="L380" t="str">
        <f>IF(FlipkartTable[[#This Row],[Selling Price]]&lt;15000,"Budget",IF(FlipkartTable[[#This Row],[Selling Price]]&lt;50000,"Mid Range","Premium"))</f>
        <v>Mid Range</v>
      </c>
      <c r="M380" t="str">
        <f>IF(FlipkartTable[[#This Row],[Rating]]&gt;4.5,"Excellent",IF(FlipkartTable[[#This Row],[Rating]]&gt;4,"Good",IF(FlipkartTable[[#This Row],[Rating]]&gt;3.5,"Average","Poor")))</f>
        <v>Good</v>
      </c>
    </row>
    <row r="381" spans="1:13" x14ac:dyDescent="0.35">
      <c r="A381" t="s">
        <v>305</v>
      </c>
      <c r="B381" s="9" t="s">
        <v>310</v>
      </c>
      <c r="C381" t="s">
        <v>22</v>
      </c>
      <c r="D381" t="s">
        <v>20</v>
      </c>
      <c r="E381" t="s">
        <v>21</v>
      </c>
      <c r="F381">
        <v>4.3</v>
      </c>
      <c r="G381">
        <v>12999</v>
      </c>
      <c r="H381">
        <v>12999</v>
      </c>
      <c r="I381">
        <f>FlipkartTable[[#This Row],[Original Price]]-FlipkartTable[[#This Row],[Selling Price]]</f>
        <v>0</v>
      </c>
      <c r="J381" s="4">
        <f>(FlipkartTable[[#This Row],[Original Price]]-FlipkartTable[[#This Row],[Selling Price]])/FlipkartTable[[#This Row],[Original Price]]</f>
        <v>0</v>
      </c>
      <c r="K381">
        <f>(FlipkartTable[[#This Row],[Rating]]/FlipkartTable[[#This Row],[Selling Price]])*1000</f>
        <v>0.33079467651357791</v>
      </c>
      <c r="L381" t="str">
        <f>IF(FlipkartTable[[#This Row],[Selling Price]]&lt;15000,"Budget",IF(FlipkartTable[[#This Row],[Selling Price]]&lt;50000,"Mid Range","Premium"))</f>
        <v>Budget</v>
      </c>
      <c r="M381" t="str">
        <f>IF(FlipkartTable[[#This Row],[Rating]]&gt;4.5,"Excellent",IF(FlipkartTable[[#This Row],[Rating]]&gt;4,"Good",IF(FlipkartTable[[#This Row],[Rating]]&gt;3.5,"Average","Poor")))</f>
        <v>Good</v>
      </c>
    </row>
    <row r="382" spans="1:13" x14ac:dyDescent="0.35">
      <c r="A382" t="s">
        <v>305</v>
      </c>
      <c r="B382" s="9" t="s">
        <v>311</v>
      </c>
      <c r="C382" t="s">
        <v>79</v>
      </c>
      <c r="D382" t="s">
        <v>14</v>
      </c>
      <c r="E382" t="s">
        <v>15</v>
      </c>
      <c r="F382">
        <v>4.5</v>
      </c>
      <c r="G382">
        <v>36299</v>
      </c>
      <c r="H382">
        <v>36299</v>
      </c>
      <c r="I382">
        <f>FlipkartTable[[#This Row],[Original Price]]-FlipkartTable[[#This Row],[Selling Price]]</f>
        <v>0</v>
      </c>
      <c r="J382" s="4">
        <f>(FlipkartTable[[#This Row],[Original Price]]-FlipkartTable[[#This Row],[Selling Price]])/FlipkartTable[[#This Row],[Original Price]]</f>
        <v>0</v>
      </c>
      <c r="K382">
        <f>(FlipkartTable[[#This Row],[Rating]]/FlipkartTable[[#This Row],[Selling Price]])*1000</f>
        <v>0.12397035731011874</v>
      </c>
      <c r="L382" t="str">
        <f>IF(FlipkartTable[[#This Row],[Selling Price]]&lt;15000,"Budget",IF(FlipkartTable[[#This Row],[Selling Price]]&lt;50000,"Mid Range","Premium"))</f>
        <v>Mid Range</v>
      </c>
      <c r="M382" t="str">
        <f>IF(FlipkartTable[[#This Row],[Rating]]&gt;4.5,"Excellent",IF(FlipkartTable[[#This Row],[Rating]]&gt;4,"Good",IF(FlipkartTable[[#This Row],[Rating]]&gt;3.5,"Average","Poor")))</f>
        <v>Good</v>
      </c>
    </row>
    <row r="383" spans="1:13" x14ac:dyDescent="0.35">
      <c r="A383" t="s">
        <v>305</v>
      </c>
      <c r="B383" s="9" t="s">
        <v>308</v>
      </c>
      <c r="C383" t="s">
        <v>22</v>
      </c>
      <c r="D383" t="s">
        <v>11</v>
      </c>
      <c r="E383" t="s">
        <v>12</v>
      </c>
      <c r="F383">
        <v>4.3</v>
      </c>
      <c r="G383">
        <v>15599</v>
      </c>
      <c r="H383">
        <v>15599</v>
      </c>
      <c r="I383">
        <f>FlipkartTable[[#This Row],[Original Price]]-FlipkartTable[[#This Row],[Selling Price]]</f>
        <v>0</v>
      </c>
      <c r="J383" s="4">
        <f>(FlipkartTable[[#This Row],[Original Price]]-FlipkartTable[[#This Row],[Selling Price]])/FlipkartTable[[#This Row],[Original Price]]</f>
        <v>0</v>
      </c>
      <c r="K383">
        <f>(FlipkartTable[[#This Row],[Rating]]/FlipkartTable[[#This Row],[Selling Price]])*1000</f>
        <v>0.27565869607026089</v>
      </c>
      <c r="L383" t="str">
        <f>IF(FlipkartTable[[#This Row],[Selling Price]]&lt;15000,"Budget",IF(FlipkartTable[[#This Row],[Selling Price]]&lt;50000,"Mid Range","Premium"))</f>
        <v>Mid Range</v>
      </c>
      <c r="M383" t="str">
        <f>IF(FlipkartTable[[#This Row],[Rating]]&gt;4.5,"Excellent",IF(FlipkartTable[[#This Row],[Rating]]&gt;4,"Good",IF(FlipkartTable[[#This Row],[Rating]]&gt;3.5,"Average","Poor")))</f>
        <v>Good</v>
      </c>
    </row>
    <row r="384" spans="1:13" x14ac:dyDescent="0.35">
      <c r="A384" t="s">
        <v>305</v>
      </c>
      <c r="B384" s="9" t="s">
        <v>312</v>
      </c>
      <c r="C384" t="s">
        <v>19</v>
      </c>
      <c r="D384" t="s">
        <v>14</v>
      </c>
      <c r="E384" t="s">
        <v>12</v>
      </c>
      <c r="F384">
        <v>4.3</v>
      </c>
      <c r="G384">
        <v>35999</v>
      </c>
      <c r="H384">
        <v>35999</v>
      </c>
      <c r="I384">
        <f>FlipkartTable[[#This Row],[Original Price]]-FlipkartTable[[#This Row],[Selling Price]]</f>
        <v>0</v>
      </c>
      <c r="J384" s="4">
        <f>(FlipkartTable[[#This Row],[Original Price]]-FlipkartTable[[#This Row],[Selling Price]])/FlipkartTable[[#This Row],[Original Price]]</f>
        <v>0</v>
      </c>
      <c r="K384">
        <f>(FlipkartTable[[#This Row],[Rating]]/FlipkartTable[[#This Row],[Selling Price]])*1000</f>
        <v>0.11944776243784549</v>
      </c>
      <c r="L384" t="str">
        <f>IF(FlipkartTable[[#This Row],[Selling Price]]&lt;15000,"Budget",IF(FlipkartTable[[#This Row],[Selling Price]]&lt;50000,"Mid Range","Premium"))</f>
        <v>Mid Range</v>
      </c>
      <c r="M384" t="str">
        <f>IF(FlipkartTable[[#This Row],[Rating]]&gt;4.5,"Excellent",IF(FlipkartTable[[#This Row],[Rating]]&gt;4,"Good",IF(FlipkartTable[[#This Row],[Rating]]&gt;3.5,"Average","Poor")))</f>
        <v>Good</v>
      </c>
    </row>
    <row r="385" spans="1:13" x14ac:dyDescent="0.35">
      <c r="A385" t="s">
        <v>305</v>
      </c>
      <c r="B385" s="9" t="s">
        <v>308</v>
      </c>
      <c r="C385" t="s">
        <v>19</v>
      </c>
      <c r="D385" t="s">
        <v>11</v>
      </c>
      <c r="E385" t="s">
        <v>12</v>
      </c>
      <c r="F385">
        <v>4.3</v>
      </c>
      <c r="G385">
        <v>15599</v>
      </c>
      <c r="H385">
        <v>15599</v>
      </c>
      <c r="I385">
        <f>FlipkartTable[[#This Row],[Original Price]]-FlipkartTable[[#This Row],[Selling Price]]</f>
        <v>0</v>
      </c>
      <c r="J385" s="4">
        <f>(FlipkartTable[[#This Row],[Original Price]]-FlipkartTable[[#This Row],[Selling Price]])/FlipkartTable[[#This Row],[Original Price]]</f>
        <v>0</v>
      </c>
      <c r="K385">
        <f>(FlipkartTable[[#This Row],[Rating]]/FlipkartTable[[#This Row],[Selling Price]])*1000</f>
        <v>0.27565869607026089</v>
      </c>
      <c r="L385" t="str">
        <f>IF(FlipkartTable[[#This Row],[Selling Price]]&lt;15000,"Budget",IF(FlipkartTable[[#This Row],[Selling Price]]&lt;50000,"Mid Range","Premium"))</f>
        <v>Mid Range</v>
      </c>
      <c r="M385" t="str">
        <f>IF(FlipkartTable[[#This Row],[Rating]]&gt;4.5,"Excellent",IF(FlipkartTable[[#This Row],[Rating]]&gt;4,"Good",IF(FlipkartTable[[#This Row],[Rating]]&gt;3.5,"Average","Poor")))</f>
        <v>Good</v>
      </c>
    </row>
    <row r="386" spans="1:13" x14ac:dyDescent="0.35">
      <c r="A386" t="s">
        <v>305</v>
      </c>
      <c r="B386" s="9" t="s">
        <v>313</v>
      </c>
      <c r="C386" t="s">
        <v>19</v>
      </c>
      <c r="D386" t="s">
        <v>134</v>
      </c>
      <c r="E386" t="s">
        <v>27</v>
      </c>
      <c r="F386">
        <v>3.9</v>
      </c>
      <c r="G386">
        <v>5299</v>
      </c>
      <c r="H386">
        <v>5299</v>
      </c>
      <c r="I386">
        <f>FlipkartTable[[#This Row],[Original Price]]-FlipkartTable[[#This Row],[Selling Price]]</f>
        <v>0</v>
      </c>
      <c r="J386" s="4">
        <f>(FlipkartTable[[#This Row],[Original Price]]-FlipkartTable[[#This Row],[Selling Price]])/FlipkartTable[[#This Row],[Original Price]]</f>
        <v>0</v>
      </c>
      <c r="K386">
        <f>(FlipkartTable[[#This Row],[Rating]]/FlipkartTable[[#This Row],[Selling Price]])*1000</f>
        <v>0.73598792224948095</v>
      </c>
      <c r="L386" t="str">
        <f>IF(FlipkartTable[[#This Row],[Selling Price]]&lt;15000,"Budget",IF(FlipkartTable[[#This Row],[Selling Price]]&lt;50000,"Mid Range","Premium"))</f>
        <v>Budget</v>
      </c>
      <c r="M386" t="str">
        <f>IF(FlipkartTable[[#This Row],[Rating]]&gt;4.5,"Excellent",IF(FlipkartTable[[#This Row],[Rating]]&gt;4,"Good",IF(FlipkartTable[[#This Row],[Rating]]&gt;3.5,"Average","Poor")))</f>
        <v>Average</v>
      </c>
    </row>
    <row r="387" spans="1:13" x14ac:dyDescent="0.35">
      <c r="A387" t="s">
        <v>305</v>
      </c>
      <c r="B387" s="9" t="s">
        <v>310</v>
      </c>
      <c r="C387" t="s">
        <v>19</v>
      </c>
      <c r="D387" t="s">
        <v>11</v>
      </c>
      <c r="E387" t="s">
        <v>12</v>
      </c>
      <c r="F387">
        <v>4.3</v>
      </c>
      <c r="G387">
        <v>14999</v>
      </c>
      <c r="H387">
        <v>14999</v>
      </c>
      <c r="I387">
        <f>FlipkartTable[[#This Row],[Original Price]]-FlipkartTable[[#This Row],[Selling Price]]</f>
        <v>0</v>
      </c>
      <c r="J387" s="4">
        <f>(FlipkartTable[[#This Row],[Original Price]]-FlipkartTable[[#This Row],[Selling Price]])/FlipkartTable[[#This Row],[Original Price]]</f>
        <v>0</v>
      </c>
      <c r="K387">
        <f>(FlipkartTable[[#This Row],[Rating]]/FlipkartTable[[#This Row],[Selling Price]])*1000</f>
        <v>0.28668577905193682</v>
      </c>
      <c r="L387" t="str">
        <f>IF(FlipkartTable[[#This Row],[Selling Price]]&lt;15000,"Budget",IF(FlipkartTable[[#This Row],[Selling Price]]&lt;50000,"Mid Range","Premium"))</f>
        <v>Budget</v>
      </c>
      <c r="M387" t="str">
        <f>IF(FlipkartTable[[#This Row],[Rating]]&gt;4.5,"Excellent",IF(FlipkartTable[[#This Row],[Rating]]&gt;4,"Good",IF(FlipkartTable[[#This Row],[Rating]]&gt;3.5,"Average","Poor")))</f>
        <v>Good</v>
      </c>
    </row>
    <row r="388" spans="1:13" x14ac:dyDescent="0.35">
      <c r="A388" t="s">
        <v>305</v>
      </c>
      <c r="B388" s="9" t="s">
        <v>311</v>
      </c>
      <c r="C388" t="s">
        <v>314</v>
      </c>
      <c r="D388" t="s">
        <v>14</v>
      </c>
      <c r="E388" t="s">
        <v>15</v>
      </c>
      <c r="F388">
        <v>4.5</v>
      </c>
      <c r="G388">
        <v>36299</v>
      </c>
      <c r="H388">
        <v>36299</v>
      </c>
      <c r="I388">
        <f>FlipkartTable[[#This Row],[Original Price]]-FlipkartTable[[#This Row],[Selling Price]]</f>
        <v>0</v>
      </c>
      <c r="J388" s="4">
        <f>(FlipkartTable[[#This Row],[Original Price]]-FlipkartTable[[#This Row],[Selling Price]])/FlipkartTable[[#This Row],[Original Price]]</f>
        <v>0</v>
      </c>
      <c r="K388">
        <f>(FlipkartTable[[#This Row],[Rating]]/FlipkartTable[[#This Row],[Selling Price]])*1000</f>
        <v>0.12397035731011874</v>
      </c>
      <c r="L388" t="str">
        <f>IF(FlipkartTable[[#This Row],[Selling Price]]&lt;15000,"Budget",IF(FlipkartTable[[#This Row],[Selling Price]]&lt;50000,"Mid Range","Premium"))</f>
        <v>Mid Range</v>
      </c>
      <c r="M388" t="str">
        <f>IF(FlipkartTable[[#This Row],[Rating]]&gt;4.5,"Excellent",IF(FlipkartTable[[#This Row],[Rating]]&gt;4,"Good",IF(FlipkartTable[[#This Row],[Rating]]&gt;3.5,"Average","Poor")))</f>
        <v>Good</v>
      </c>
    </row>
    <row r="389" spans="1:13" x14ac:dyDescent="0.35">
      <c r="A389" t="s">
        <v>305</v>
      </c>
      <c r="B389" s="9" t="s">
        <v>315</v>
      </c>
      <c r="C389" t="s">
        <v>116</v>
      </c>
      <c r="D389" t="s">
        <v>35</v>
      </c>
      <c r="E389" t="s">
        <v>21</v>
      </c>
      <c r="F389">
        <v>3.7</v>
      </c>
      <c r="G389">
        <v>6999</v>
      </c>
      <c r="H389">
        <v>6999</v>
      </c>
      <c r="I389">
        <f>FlipkartTable[[#This Row],[Original Price]]-FlipkartTable[[#This Row],[Selling Price]]</f>
        <v>0</v>
      </c>
      <c r="J389" s="4">
        <f>(FlipkartTable[[#This Row],[Original Price]]-FlipkartTable[[#This Row],[Selling Price]])/FlipkartTable[[#This Row],[Original Price]]</f>
        <v>0</v>
      </c>
      <c r="K389">
        <f>(FlipkartTable[[#This Row],[Rating]]/FlipkartTable[[#This Row],[Selling Price]])*1000</f>
        <v>0.52864694956422353</v>
      </c>
      <c r="L389" t="str">
        <f>IF(FlipkartTable[[#This Row],[Selling Price]]&lt;15000,"Budget",IF(FlipkartTable[[#This Row],[Selling Price]]&lt;50000,"Mid Range","Premium"))</f>
        <v>Budget</v>
      </c>
      <c r="M389" t="str">
        <f>IF(FlipkartTable[[#This Row],[Rating]]&gt;4.5,"Excellent",IF(FlipkartTable[[#This Row],[Rating]]&gt;4,"Good",IF(FlipkartTable[[#This Row],[Rating]]&gt;3.5,"Average","Poor")))</f>
        <v>Average</v>
      </c>
    </row>
    <row r="390" spans="1:13" x14ac:dyDescent="0.35">
      <c r="A390" t="s">
        <v>305</v>
      </c>
      <c r="B390" s="9" t="s">
        <v>316</v>
      </c>
      <c r="C390" t="s">
        <v>116</v>
      </c>
      <c r="D390" t="s">
        <v>35</v>
      </c>
      <c r="E390" t="s">
        <v>124</v>
      </c>
      <c r="F390">
        <v>3.8</v>
      </c>
      <c r="G390">
        <v>8999</v>
      </c>
      <c r="H390">
        <v>8999</v>
      </c>
      <c r="I390">
        <f>FlipkartTable[[#This Row],[Original Price]]-FlipkartTable[[#This Row],[Selling Price]]</f>
        <v>0</v>
      </c>
      <c r="J390" s="4">
        <f>(FlipkartTable[[#This Row],[Original Price]]-FlipkartTable[[#This Row],[Selling Price]])/FlipkartTable[[#This Row],[Original Price]]</f>
        <v>0</v>
      </c>
      <c r="K390">
        <f>(FlipkartTable[[#This Row],[Rating]]/FlipkartTable[[#This Row],[Selling Price]])*1000</f>
        <v>0.42226914101566843</v>
      </c>
      <c r="L390" t="str">
        <f>IF(FlipkartTable[[#This Row],[Selling Price]]&lt;15000,"Budget",IF(FlipkartTable[[#This Row],[Selling Price]]&lt;50000,"Mid Range","Premium"))</f>
        <v>Budget</v>
      </c>
      <c r="M390" t="str">
        <f>IF(FlipkartTable[[#This Row],[Rating]]&gt;4.5,"Excellent",IF(FlipkartTable[[#This Row],[Rating]]&gt;4,"Good",IF(FlipkartTable[[#This Row],[Rating]]&gt;3.5,"Average","Poor")))</f>
        <v>Average</v>
      </c>
    </row>
    <row r="391" spans="1:13" x14ac:dyDescent="0.35">
      <c r="A391" t="s">
        <v>305</v>
      </c>
      <c r="B391" s="9" t="s">
        <v>317</v>
      </c>
      <c r="C391" t="s">
        <v>84</v>
      </c>
      <c r="D391" t="s">
        <v>134</v>
      </c>
      <c r="E391" t="s">
        <v>27</v>
      </c>
      <c r="F391">
        <v>3.7</v>
      </c>
      <c r="G391">
        <v>5299</v>
      </c>
      <c r="H391">
        <v>5299</v>
      </c>
      <c r="I391">
        <f>FlipkartTable[[#This Row],[Original Price]]-FlipkartTable[[#This Row],[Selling Price]]</f>
        <v>0</v>
      </c>
      <c r="J391" s="4">
        <f>(FlipkartTable[[#This Row],[Original Price]]-FlipkartTable[[#This Row],[Selling Price]])/FlipkartTable[[#This Row],[Original Price]]</f>
        <v>0</v>
      </c>
      <c r="K391">
        <f>(FlipkartTable[[#This Row],[Rating]]/FlipkartTable[[#This Row],[Selling Price]])*1000</f>
        <v>0.69824495187771285</v>
      </c>
      <c r="L391" t="str">
        <f>IF(FlipkartTable[[#This Row],[Selling Price]]&lt;15000,"Budget",IF(FlipkartTable[[#This Row],[Selling Price]]&lt;50000,"Mid Range","Premium"))</f>
        <v>Budget</v>
      </c>
      <c r="M391" t="str">
        <f>IF(FlipkartTable[[#This Row],[Rating]]&gt;4.5,"Excellent",IF(FlipkartTable[[#This Row],[Rating]]&gt;4,"Good",IF(FlipkartTable[[#This Row],[Rating]]&gt;3.5,"Average","Poor")))</f>
        <v>Average</v>
      </c>
    </row>
    <row r="392" spans="1:13" x14ac:dyDescent="0.35">
      <c r="A392" t="s">
        <v>305</v>
      </c>
      <c r="B392" s="9" t="s">
        <v>318</v>
      </c>
      <c r="C392" t="s">
        <v>170</v>
      </c>
      <c r="D392" t="s">
        <v>134</v>
      </c>
      <c r="E392" t="s">
        <v>27</v>
      </c>
      <c r="F392">
        <v>3.8</v>
      </c>
      <c r="G392">
        <v>5299</v>
      </c>
      <c r="H392">
        <v>5299</v>
      </c>
      <c r="I392">
        <f>FlipkartTable[[#This Row],[Original Price]]-FlipkartTable[[#This Row],[Selling Price]]</f>
        <v>0</v>
      </c>
      <c r="J392" s="4">
        <f>(FlipkartTable[[#This Row],[Original Price]]-FlipkartTable[[#This Row],[Selling Price]])/FlipkartTable[[#This Row],[Original Price]]</f>
        <v>0</v>
      </c>
      <c r="K392">
        <f>(FlipkartTable[[#This Row],[Rating]]/FlipkartTable[[#This Row],[Selling Price]])*1000</f>
        <v>0.71711643706359685</v>
      </c>
      <c r="L392" t="str">
        <f>IF(FlipkartTable[[#This Row],[Selling Price]]&lt;15000,"Budget",IF(FlipkartTable[[#This Row],[Selling Price]]&lt;50000,"Mid Range","Premium"))</f>
        <v>Budget</v>
      </c>
      <c r="M392" t="str">
        <f>IF(FlipkartTable[[#This Row],[Rating]]&gt;4.5,"Excellent",IF(FlipkartTable[[#This Row],[Rating]]&gt;4,"Good",IF(FlipkartTable[[#This Row],[Rating]]&gt;3.5,"Average","Poor")))</f>
        <v>Average</v>
      </c>
    </row>
    <row r="393" spans="1:13" x14ac:dyDescent="0.35">
      <c r="A393" t="s">
        <v>305</v>
      </c>
      <c r="B393" s="9" t="s">
        <v>310</v>
      </c>
      <c r="C393" t="s">
        <v>170</v>
      </c>
      <c r="D393" t="s">
        <v>11</v>
      </c>
      <c r="E393" t="s">
        <v>12</v>
      </c>
      <c r="F393">
        <v>4.3</v>
      </c>
      <c r="G393">
        <v>14999</v>
      </c>
      <c r="H393">
        <v>14999</v>
      </c>
      <c r="I393">
        <f>FlipkartTable[[#This Row],[Original Price]]-FlipkartTable[[#This Row],[Selling Price]]</f>
        <v>0</v>
      </c>
      <c r="J393" s="4">
        <f>(FlipkartTable[[#This Row],[Original Price]]-FlipkartTable[[#This Row],[Selling Price]])/FlipkartTable[[#This Row],[Original Price]]</f>
        <v>0</v>
      </c>
      <c r="K393">
        <f>(FlipkartTable[[#This Row],[Rating]]/FlipkartTable[[#This Row],[Selling Price]])*1000</f>
        <v>0.28668577905193682</v>
      </c>
      <c r="L393" t="str">
        <f>IF(FlipkartTable[[#This Row],[Selling Price]]&lt;15000,"Budget",IF(FlipkartTable[[#This Row],[Selling Price]]&lt;50000,"Mid Range","Premium"))</f>
        <v>Budget</v>
      </c>
      <c r="M393" t="str">
        <f>IF(FlipkartTable[[#This Row],[Rating]]&gt;4.5,"Excellent",IF(FlipkartTable[[#This Row],[Rating]]&gt;4,"Good",IF(FlipkartTable[[#This Row],[Rating]]&gt;3.5,"Average","Poor")))</f>
        <v>Good</v>
      </c>
    </row>
    <row r="394" spans="1:13" x14ac:dyDescent="0.35">
      <c r="A394" t="s">
        <v>305</v>
      </c>
      <c r="B394" s="9" t="s">
        <v>319</v>
      </c>
      <c r="C394" t="s">
        <v>19</v>
      </c>
      <c r="D394" t="s">
        <v>35</v>
      </c>
      <c r="E394" t="s">
        <v>124</v>
      </c>
      <c r="F394">
        <v>4.2</v>
      </c>
      <c r="G394">
        <v>7199</v>
      </c>
      <c r="H394">
        <v>7199</v>
      </c>
      <c r="I394">
        <f>FlipkartTable[[#This Row],[Original Price]]-FlipkartTable[[#This Row],[Selling Price]]</f>
        <v>0</v>
      </c>
      <c r="J394" s="4">
        <f>(FlipkartTable[[#This Row],[Original Price]]-FlipkartTable[[#This Row],[Selling Price]])/FlipkartTable[[#This Row],[Original Price]]</f>
        <v>0</v>
      </c>
      <c r="K394">
        <f>(FlipkartTable[[#This Row],[Rating]]/FlipkartTable[[#This Row],[Selling Price]])*1000</f>
        <v>0.58341436310598704</v>
      </c>
      <c r="L394" t="str">
        <f>IF(FlipkartTable[[#This Row],[Selling Price]]&lt;15000,"Budget",IF(FlipkartTable[[#This Row],[Selling Price]]&lt;50000,"Mid Range","Premium"))</f>
        <v>Budget</v>
      </c>
      <c r="M394" t="str">
        <f>IF(FlipkartTable[[#This Row],[Rating]]&gt;4.5,"Excellent",IF(FlipkartTable[[#This Row],[Rating]]&gt;4,"Good",IF(FlipkartTable[[#This Row],[Rating]]&gt;3.5,"Average","Poor")))</f>
        <v>Good</v>
      </c>
    </row>
    <row r="395" spans="1:13" x14ac:dyDescent="0.35">
      <c r="A395" t="s">
        <v>305</v>
      </c>
      <c r="B395" s="9" t="s">
        <v>310</v>
      </c>
      <c r="C395" t="s">
        <v>19</v>
      </c>
      <c r="D395" t="s">
        <v>20</v>
      </c>
      <c r="E395" t="s">
        <v>21</v>
      </c>
      <c r="F395">
        <v>4.3</v>
      </c>
      <c r="G395">
        <v>12999</v>
      </c>
      <c r="H395">
        <v>12999</v>
      </c>
      <c r="I395">
        <f>FlipkartTable[[#This Row],[Original Price]]-FlipkartTable[[#This Row],[Selling Price]]</f>
        <v>0</v>
      </c>
      <c r="J395" s="4">
        <f>(FlipkartTable[[#This Row],[Original Price]]-FlipkartTable[[#This Row],[Selling Price]])/FlipkartTable[[#This Row],[Original Price]]</f>
        <v>0</v>
      </c>
      <c r="K395">
        <f>(FlipkartTable[[#This Row],[Rating]]/FlipkartTable[[#This Row],[Selling Price]])*1000</f>
        <v>0.33079467651357791</v>
      </c>
      <c r="L395" t="str">
        <f>IF(FlipkartTable[[#This Row],[Selling Price]]&lt;15000,"Budget",IF(FlipkartTable[[#This Row],[Selling Price]]&lt;50000,"Mid Range","Premium"))</f>
        <v>Budget</v>
      </c>
      <c r="M395" t="str">
        <f>IF(FlipkartTable[[#This Row],[Rating]]&gt;4.5,"Excellent",IF(FlipkartTable[[#This Row],[Rating]]&gt;4,"Good",IF(FlipkartTable[[#This Row],[Rating]]&gt;3.5,"Average","Poor")))</f>
        <v>Good</v>
      </c>
    </row>
    <row r="396" spans="1:13" x14ac:dyDescent="0.35">
      <c r="A396" t="s">
        <v>305</v>
      </c>
      <c r="B396" s="9" t="s">
        <v>320</v>
      </c>
      <c r="C396" t="s">
        <v>19</v>
      </c>
      <c r="D396" t="s">
        <v>20</v>
      </c>
      <c r="E396" t="s">
        <v>21</v>
      </c>
      <c r="F396">
        <v>4.0999999999999996</v>
      </c>
      <c r="G396">
        <v>10999</v>
      </c>
      <c r="H396">
        <v>10999</v>
      </c>
      <c r="I396">
        <f>FlipkartTable[[#This Row],[Original Price]]-FlipkartTable[[#This Row],[Selling Price]]</f>
        <v>0</v>
      </c>
      <c r="J396" s="4">
        <f>(FlipkartTable[[#This Row],[Original Price]]-FlipkartTable[[#This Row],[Selling Price]])/FlipkartTable[[#This Row],[Original Price]]</f>
        <v>0</v>
      </c>
      <c r="K396">
        <f>(FlipkartTable[[#This Row],[Rating]]/FlipkartTable[[#This Row],[Selling Price]])*1000</f>
        <v>0.37276116010546406</v>
      </c>
      <c r="L396" t="str">
        <f>IF(FlipkartTable[[#This Row],[Selling Price]]&lt;15000,"Budget",IF(FlipkartTable[[#This Row],[Selling Price]]&lt;50000,"Mid Range","Premium"))</f>
        <v>Budget</v>
      </c>
      <c r="M396" t="str">
        <f>IF(FlipkartTable[[#This Row],[Rating]]&gt;4.5,"Excellent",IF(FlipkartTable[[#This Row],[Rating]]&gt;4,"Good",IF(FlipkartTable[[#This Row],[Rating]]&gt;3.5,"Average","Poor")))</f>
        <v>Good</v>
      </c>
    </row>
    <row r="397" spans="1:13" x14ac:dyDescent="0.35">
      <c r="A397" t="s">
        <v>305</v>
      </c>
      <c r="B397" s="9" t="s">
        <v>308</v>
      </c>
      <c r="C397" t="s">
        <v>141</v>
      </c>
      <c r="D397" t="s">
        <v>14</v>
      </c>
      <c r="E397" t="s">
        <v>12</v>
      </c>
      <c r="F397">
        <v>4.3</v>
      </c>
      <c r="G397">
        <v>17999</v>
      </c>
      <c r="H397">
        <v>17999</v>
      </c>
      <c r="I397">
        <f>FlipkartTable[[#This Row],[Original Price]]-FlipkartTable[[#This Row],[Selling Price]]</f>
        <v>0</v>
      </c>
      <c r="J397" s="4">
        <f>(FlipkartTable[[#This Row],[Original Price]]-FlipkartTable[[#This Row],[Selling Price]])/FlipkartTable[[#This Row],[Original Price]]</f>
        <v>0</v>
      </c>
      <c r="K397">
        <f>(FlipkartTable[[#This Row],[Rating]]/FlipkartTable[[#This Row],[Selling Price]])*1000</f>
        <v>0.23890216123117949</v>
      </c>
      <c r="L397" t="str">
        <f>IF(FlipkartTable[[#This Row],[Selling Price]]&lt;15000,"Budget",IF(FlipkartTable[[#This Row],[Selling Price]]&lt;50000,"Mid Range","Premium"))</f>
        <v>Mid Range</v>
      </c>
      <c r="M397" t="str">
        <f>IF(FlipkartTable[[#This Row],[Rating]]&gt;4.5,"Excellent",IF(FlipkartTable[[#This Row],[Rating]]&gt;4,"Good",IF(FlipkartTable[[#This Row],[Rating]]&gt;3.5,"Average","Poor")))</f>
        <v>Good</v>
      </c>
    </row>
    <row r="398" spans="1:13" x14ac:dyDescent="0.35">
      <c r="A398" t="s">
        <v>305</v>
      </c>
      <c r="B398" s="9" t="s">
        <v>312</v>
      </c>
      <c r="C398" t="s">
        <v>170</v>
      </c>
      <c r="D398" t="s">
        <v>14</v>
      </c>
      <c r="E398" t="s">
        <v>15</v>
      </c>
      <c r="F398">
        <v>4.3</v>
      </c>
      <c r="G398">
        <v>38999</v>
      </c>
      <c r="H398">
        <v>38999</v>
      </c>
      <c r="I398">
        <f>FlipkartTable[[#This Row],[Original Price]]-FlipkartTable[[#This Row],[Selling Price]]</f>
        <v>0</v>
      </c>
      <c r="J398" s="4">
        <f>(FlipkartTable[[#This Row],[Original Price]]-FlipkartTable[[#This Row],[Selling Price]])/FlipkartTable[[#This Row],[Original Price]]</f>
        <v>0</v>
      </c>
      <c r="K398">
        <f>(FlipkartTable[[#This Row],[Rating]]/FlipkartTable[[#This Row],[Selling Price]])*1000</f>
        <v>0.11025923741634401</v>
      </c>
      <c r="L398" t="str">
        <f>IF(FlipkartTable[[#This Row],[Selling Price]]&lt;15000,"Budget",IF(FlipkartTable[[#This Row],[Selling Price]]&lt;50000,"Mid Range","Premium"))</f>
        <v>Mid Range</v>
      </c>
      <c r="M398" t="str">
        <f>IF(FlipkartTable[[#This Row],[Rating]]&gt;4.5,"Excellent",IF(FlipkartTable[[#This Row],[Rating]]&gt;4,"Good",IF(FlipkartTable[[#This Row],[Rating]]&gt;3.5,"Average","Poor")))</f>
        <v>Good</v>
      </c>
    </row>
    <row r="399" spans="1:13" x14ac:dyDescent="0.35">
      <c r="A399" t="s">
        <v>305</v>
      </c>
      <c r="B399" s="9" t="s">
        <v>318</v>
      </c>
      <c r="C399" t="s">
        <v>170</v>
      </c>
      <c r="D399" t="s">
        <v>134</v>
      </c>
      <c r="E399" t="s">
        <v>27</v>
      </c>
      <c r="F399">
        <v>3.8</v>
      </c>
      <c r="G399">
        <v>5699</v>
      </c>
      <c r="H399">
        <v>5699</v>
      </c>
      <c r="I399">
        <f>FlipkartTable[[#This Row],[Original Price]]-FlipkartTable[[#This Row],[Selling Price]]</f>
        <v>0</v>
      </c>
      <c r="J399" s="4">
        <f>(FlipkartTable[[#This Row],[Original Price]]-FlipkartTable[[#This Row],[Selling Price]])/FlipkartTable[[#This Row],[Original Price]]</f>
        <v>0</v>
      </c>
      <c r="K399">
        <f>(FlipkartTable[[#This Row],[Rating]]/FlipkartTable[[#This Row],[Selling Price]])*1000</f>
        <v>0.66678364625372866</v>
      </c>
      <c r="L399" t="str">
        <f>IF(FlipkartTable[[#This Row],[Selling Price]]&lt;15000,"Budget",IF(FlipkartTable[[#This Row],[Selling Price]]&lt;50000,"Mid Range","Premium"))</f>
        <v>Budget</v>
      </c>
      <c r="M399" t="str">
        <f>IF(FlipkartTable[[#This Row],[Rating]]&gt;4.5,"Excellent",IF(FlipkartTable[[#This Row],[Rating]]&gt;4,"Good",IF(FlipkartTable[[#This Row],[Rating]]&gt;3.5,"Average","Poor")))</f>
        <v>Average</v>
      </c>
    </row>
    <row r="400" spans="1:13" x14ac:dyDescent="0.35">
      <c r="A400" t="s">
        <v>305</v>
      </c>
      <c r="B400" s="9" t="s">
        <v>321</v>
      </c>
      <c r="C400" t="s">
        <v>19</v>
      </c>
      <c r="D400" t="s">
        <v>27</v>
      </c>
      <c r="E400" t="s">
        <v>15</v>
      </c>
      <c r="F400">
        <v>4.5999999999999996</v>
      </c>
      <c r="G400">
        <v>40999</v>
      </c>
      <c r="H400">
        <v>40999</v>
      </c>
      <c r="I400">
        <f>FlipkartTable[[#This Row],[Original Price]]-FlipkartTable[[#This Row],[Selling Price]]</f>
        <v>0</v>
      </c>
      <c r="J400" s="4">
        <f>(FlipkartTable[[#This Row],[Original Price]]-FlipkartTable[[#This Row],[Selling Price]])/FlipkartTable[[#This Row],[Original Price]]</f>
        <v>0</v>
      </c>
      <c r="K400">
        <f>(FlipkartTable[[#This Row],[Rating]]/FlipkartTable[[#This Row],[Selling Price]])*1000</f>
        <v>0.11219785848435326</v>
      </c>
      <c r="L400" t="str">
        <f>IF(FlipkartTable[[#This Row],[Selling Price]]&lt;15000,"Budget",IF(FlipkartTable[[#This Row],[Selling Price]]&lt;50000,"Mid Range","Premium"))</f>
        <v>Mid Range</v>
      </c>
      <c r="M400" t="str">
        <f>IF(FlipkartTable[[#This Row],[Rating]]&gt;4.5,"Excellent",IF(FlipkartTable[[#This Row],[Rating]]&gt;4,"Good",IF(FlipkartTable[[#This Row],[Rating]]&gt;3.5,"Average","Poor")))</f>
        <v>Excellent</v>
      </c>
    </row>
    <row r="401" spans="1:13" x14ac:dyDescent="0.35">
      <c r="A401" t="s">
        <v>305</v>
      </c>
      <c r="B401" s="9" t="s">
        <v>322</v>
      </c>
      <c r="C401" t="s">
        <v>19</v>
      </c>
      <c r="D401" t="s">
        <v>35</v>
      </c>
      <c r="E401" t="s">
        <v>124</v>
      </c>
      <c r="F401">
        <v>3.8</v>
      </c>
      <c r="G401">
        <v>8499</v>
      </c>
      <c r="H401">
        <v>8499</v>
      </c>
      <c r="I401">
        <f>FlipkartTable[[#This Row],[Original Price]]-FlipkartTable[[#This Row],[Selling Price]]</f>
        <v>0</v>
      </c>
      <c r="J401" s="4">
        <f>(FlipkartTable[[#This Row],[Original Price]]-FlipkartTable[[#This Row],[Selling Price]])/FlipkartTable[[#This Row],[Original Price]]</f>
        <v>0</v>
      </c>
      <c r="K401">
        <f>(FlipkartTable[[#This Row],[Rating]]/FlipkartTable[[#This Row],[Selling Price]])*1000</f>
        <v>0.44711142487351452</v>
      </c>
      <c r="L401" t="str">
        <f>IF(FlipkartTable[[#This Row],[Selling Price]]&lt;15000,"Budget",IF(FlipkartTable[[#This Row],[Selling Price]]&lt;50000,"Mid Range","Premium"))</f>
        <v>Budget</v>
      </c>
      <c r="M401" t="str">
        <f>IF(FlipkartTable[[#This Row],[Rating]]&gt;4.5,"Excellent",IF(FlipkartTable[[#This Row],[Rating]]&gt;4,"Good",IF(FlipkartTable[[#This Row],[Rating]]&gt;3.5,"Average","Poor")))</f>
        <v>Average</v>
      </c>
    </row>
    <row r="402" spans="1:13" x14ac:dyDescent="0.35">
      <c r="A402" t="s">
        <v>305</v>
      </c>
      <c r="B402" s="9" t="s">
        <v>323</v>
      </c>
      <c r="C402" t="s">
        <v>152</v>
      </c>
      <c r="D402" t="s">
        <v>35</v>
      </c>
      <c r="E402" t="s">
        <v>124</v>
      </c>
      <c r="F402">
        <v>4</v>
      </c>
      <c r="G402">
        <v>6999</v>
      </c>
      <c r="H402">
        <v>6999</v>
      </c>
      <c r="I402">
        <f>FlipkartTable[[#This Row],[Original Price]]-FlipkartTable[[#This Row],[Selling Price]]</f>
        <v>0</v>
      </c>
      <c r="J402" s="4">
        <f>(FlipkartTable[[#This Row],[Original Price]]-FlipkartTable[[#This Row],[Selling Price]])/FlipkartTable[[#This Row],[Original Price]]</f>
        <v>0</v>
      </c>
      <c r="K402">
        <f>(FlipkartTable[[#This Row],[Rating]]/FlipkartTable[[#This Row],[Selling Price]])*1000</f>
        <v>0.57151021574510652</v>
      </c>
      <c r="L402" t="str">
        <f>IF(FlipkartTable[[#This Row],[Selling Price]]&lt;15000,"Budget",IF(FlipkartTable[[#This Row],[Selling Price]]&lt;50000,"Mid Range","Premium"))</f>
        <v>Budget</v>
      </c>
      <c r="M402" t="str">
        <f>IF(FlipkartTable[[#This Row],[Rating]]&gt;4.5,"Excellent",IF(FlipkartTable[[#This Row],[Rating]]&gt;4,"Good",IF(FlipkartTable[[#This Row],[Rating]]&gt;3.5,"Average","Poor")))</f>
        <v>Average</v>
      </c>
    </row>
    <row r="403" spans="1:13" x14ac:dyDescent="0.35">
      <c r="A403" t="s">
        <v>305</v>
      </c>
      <c r="B403" s="9" t="s">
        <v>306</v>
      </c>
      <c r="C403" t="s">
        <v>19</v>
      </c>
      <c r="D403" t="s">
        <v>63</v>
      </c>
      <c r="E403" t="s">
        <v>64</v>
      </c>
      <c r="F403">
        <v>4.5</v>
      </c>
      <c r="G403">
        <v>57999</v>
      </c>
      <c r="H403">
        <v>63999</v>
      </c>
      <c r="I403">
        <f>FlipkartTable[[#This Row],[Original Price]]-FlipkartTable[[#This Row],[Selling Price]]</f>
        <v>6000</v>
      </c>
      <c r="J403" s="4">
        <f>(FlipkartTable[[#This Row],[Original Price]]-FlipkartTable[[#This Row],[Selling Price]])/FlipkartTable[[#This Row],[Original Price]]</f>
        <v>9.3751464866638545E-2</v>
      </c>
      <c r="K403">
        <f>(FlipkartTable[[#This Row],[Rating]]/FlipkartTable[[#This Row],[Selling Price]])*1000</f>
        <v>7.7587544612838164E-2</v>
      </c>
      <c r="L403" t="str">
        <f>IF(FlipkartTable[[#This Row],[Selling Price]]&lt;15000,"Budget",IF(FlipkartTable[[#This Row],[Selling Price]]&lt;50000,"Mid Range","Premium"))</f>
        <v>Premium</v>
      </c>
      <c r="M403" t="str">
        <f>IF(FlipkartTable[[#This Row],[Rating]]&gt;4.5,"Excellent",IF(FlipkartTable[[#This Row],[Rating]]&gt;4,"Good",IF(FlipkartTable[[#This Row],[Rating]]&gt;3.5,"Average","Poor")))</f>
        <v>Good</v>
      </c>
    </row>
    <row r="404" spans="1:13" x14ac:dyDescent="0.35">
      <c r="A404" t="s">
        <v>305</v>
      </c>
      <c r="B404" s="9" t="s">
        <v>319</v>
      </c>
      <c r="C404" t="s">
        <v>116</v>
      </c>
      <c r="D404" t="s">
        <v>35</v>
      </c>
      <c r="E404" t="s">
        <v>124</v>
      </c>
      <c r="F404">
        <v>4.2</v>
      </c>
      <c r="G404">
        <v>7199</v>
      </c>
      <c r="H404">
        <v>7199</v>
      </c>
      <c r="I404">
        <f>FlipkartTable[[#This Row],[Original Price]]-FlipkartTable[[#This Row],[Selling Price]]</f>
        <v>0</v>
      </c>
      <c r="J404" s="4">
        <f>(FlipkartTable[[#This Row],[Original Price]]-FlipkartTable[[#This Row],[Selling Price]])/FlipkartTable[[#This Row],[Original Price]]</f>
        <v>0</v>
      </c>
      <c r="K404">
        <f>(FlipkartTable[[#This Row],[Rating]]/FlipkartTable[[#This Row],[Selling Price]])*1000</f>
        <v>0.58341436310598704</v>
      </c>
      <c r="L404" t="str">
        <f>IF(FlipkartTable[[#This Row],[Selling Price]]&lt;15000,"Budget",IF(FlipkartTable[[#This Row],[Selling Price]]&lt;50000,"Mid Range","Premium"))</f>
        <v>Budget</v>
      </c>
      <c r="M404" t="str">
        <f>IF(FlipkartTable[[#This Row],[Rating]]&gt;4.5,"Excellent",IF(FlipkartTable[[#This Row],[Rating]]&gt;4,"Good",IF(FlipkartTable[[#This Row],[Rating]]&gt;3.5,"Average","Poor")))</f>
        <v>Good</v>
      </c>
    </row>
    <row r="405" spans="1:13" x14ac:dyDescent="0.35">
      <c r="A405" t="s">
        <v>305</v>
      </c>
      <c r="B405" s="9" t="s">
        <v>324</v>
      </c>
      <c r="C405" t="s">
        <v>22</v>
      </c>
      <c r="D405" t="s">
        <v>20</v>
      </c>
      <c r="E405" t="s">
        <v>21</v>
      </c>
      <c r="F405">
        <v>4.3</v>
      </c>
      <c r="G405">
        <v>15999</v>
      </c>
      <c r="H405">
        <v>15999</v>
      </c>
      <c r="I405">
        <f>FlipkartTable[[#This Row],[Original Price]]-FlipkartTable[[#This Row],[Selling Price]]</f>
        <v>0</v>
      </c>
      <c r="J405" s="4">
        <f>(FlipkartTable[[#This Row],[Original Price]]-FlipkartTable[[#This Row],[Selling Price]])/FlipkartTable[[#This Row],[Original Price]]</f>
        <v>0</v>
      </c>
      <c r="K405">
        <f>(FlipkartTable[[#This Row],[Rating]]/FlipkartTable[[#This Row],[Selling Price]])*1000</f>
        <v>0.26876679792487029</v>
      </c>
      <c r="L405" t="str">
        <f>IF(FlipkartTable[[#This Row],[Selling Price]]&lt;15000,"Budget",IF(FlipkartTable[[#This Row],[Selling Price]]&lt;50000,"Mid Range","Premium"))</f>
        <v>Mid Range</v>
      </c>
      <c r="M405" t="str">
        <f>IF(FlipkartTable[[#This Row],[Rating]]&gt;4.5,"Excellent",IF(FlipkartTable[[#This Row],[Rating]]&gt;4,"Good",IF(FlipkartTable[[#This Row],[Rating]]&gt;3.5,"Average","Poor")))</f>
        <v>Good</v>
      </c>
    </row>
    <row r="406" spans="1:13" x14ac:dyDescent="0.35">
      <c r="A406" t="s">
        <v>305</v>
      </c>
      <c r="B406" s="9" t="s">
        <v>313</v>
      </c>
      <c r="C406" t="s">
        <v>296</v>
      </c>
      <c r="D406" t="s">
        <v>134</v>
      </c>
      <c r="E406" t="s">
        <v>27</v>
      </c>
      <c r="F406">
        <v>3.9</v>
      </c>
      <c r="G406">
        <v>5299</v>
      </c>
      <c r="H406">
        <v>5299</v>
      </c>
      <c r="I406">
        <f>FlipkartTable[[#This Row],[Original Price]]-FlipkartTable[[#This Row],[Selling Price]]</f>
        <v>0</v>
      </c>
      <c r="J406" s="4">
        <f>(FlipkartTable[[#This Row],[Original Price]]-FlipkartTable[[#This Row],[Selling Price]])/FlipkartTable[[#This Row],[Original Price]]</f>
        <v>0</v>
      </c>
      <c r="K406">
        <f>(FlipkartTable[[#This Row],[Rating]]/FlipkartTable[[#This Row],[Selling Price]])*1000</f>
        <v>0.73598792224948095</v>
      </c>
      <c r="L406" t="str">
        <f>IF(FlipkartTable[[#This Row],[Selling Price]]&lt;15000,"Budget",IF(FlipkartTable[[#This Row],[Selling Price]]&lt;50000,"Mid Range","Premium"))</f>
        <v>Budget</v>
      </c>
      <c r="M406" t="str">
        <f>IF(FlipkartTable[[#This Row],[Rating]]&gt;4.5,"Excellent",IF(FlipkartTable[[#This Row],[Rating]]&gt;4,"Good",IF(FlipkartTable[[#This Row],[Rating]]&gt;3.5,"Average","Poor")))</f>
        <v>Average</v>
      </c>
    </row>
    <row r="407" spans="1:13" x14ac:dyDescent="0.35">
      <c r="A407" t="s">
        <v>305</v>
      </c>
      <c r="B407" s="9" t="s">
        <v>317</v>
      </c>
      <c r="C407" t="s">
        <v>152</v>
      </c>
      <c r="D407" t="s">
        <v>134</v>
      </c>
      <c r="E407" t="s">
        <v>27</v>
      </c>
      <c r="F407">
        <v>3.7</v>
      </c>
      <c r="G407">
        <v>5299</v>
      </c>
      <c r="H407">
        <v>5299</v>
      </c>
      <c r="I407">
        <f>FlipkartTable[[#This Row],[Original Price]]-FlipkartTable[[#This Row],[Selling Price]]</f>
        <v>0</v>
      </c>
      <c r="J407" s="4">
        <f>(FlipkartTable[[#This Row],[Original Price]]-FlipkartTable[[#This Row],[Selling Price]])/FlipkartTable[[#This Row],[Original Price]]</f>
        <v>0</v>
      </c>
      <c r="K407">
        <f>(FlipkartTable[[#This Row],[Rating]]/FlipkartTable[[#This Row],[Selling Price]])*1000</f>
        <v>0.69824495187771285</v>
      </c>
      <c r="L407" t="str">
        <f>IF(FlipkartTable[[#This Row],[Selling Price]]&lt;15000,"Budget",IF(FlipkartTable[[#This Row],[Selling Price]]&lt;50000,"Mid Range","Premium"))</f>
        <v>Budget</v>
      </c>
      <c r="M407" t="str">
        <f>IF(FlipkartTable[[#This Row],[Rating]]&gt;4.5,"Excellent",IF(FlipkartTable[[#This Row],[Rating]]&gt;4,"Good",IF(FlipkartTable[[#This Row],[Rating]]&gt;3.5,"Average","Poor")))</f>
        <v>Average</v>
      </c>
    </row>
    <row r="408" spans="1:13" x14ac:dyDescent="0.35">
      <c r="A408" t="s">
        <v>305</v>
      </c>
      <c r="B408" s="9" t="s">
        <v>325</v>
      </c>
      <c r="C408" t="s">
        <v>116</v>
      </c>
      <c r="D408" t="s">
        <v>35</v>
      </c>
      <c r="E408" t="s">
        <v>124</v>
      </c>
      <c r="F408">
        <v>3.6</v>
      </c>
      <c r="G408">
        <v>5840</v>
      </c>
      <c r="H408">
        <v>5840</v>
      </c>
      <c r="I408">
        <f>FlipkartTable[[#This Row],[Original Price]]-FlipkartTable[[#This Row],[Selling Price]]</f>
        <v>0</v>
      </c>
      <c r="J408" s="4">
        <f>(FlipkartTable[[#This Row],[Original Price]]-FlipkartTable[[#This Row],[Selling Price]])/FlipkartTable[[#This Row],[Original Price]]</f>
        <v>0</v>
      </c>
      <c r="K408">
        <f>(FlipkartTable[[#This Row],[Rating]]/FlipkartTable[[#This Row],[Selling Price]])*1000</f>
        <v>0.61643835616438358</v>
      </c>
      <c r="L408" t="str">
        <f>IF(FlipkartTable[[#This Row],[Selling Price]]&lt;15000,"Budget",IF(FlipkartTable[[#This Row],[Selling Price]]&lt;50000,"Mid Range","Premium"))</f>
        <v>Budget</v>
      </c>
      <c r="M408" t="str">
        <f>IF(FlipkartTable[[#This Row],[Rating]]&gt;4.5,"Excellent",IF(FlipkartTable[[#This Row],[Rating]]&gt;4,"Good",IF(FlipkartTable[[#This Row],[Rating]]&gt;3.5,"Average","Poor")))</f>
        <v>Average</v>
      </c>
    </row>
    <row r="409" spans="1:13" x14ac:dyDescent="0.35">
      <c r="A409" t="s">
        <v>305</v>
      </c>
      <c r="B409" s="9" t="s">
        <v>307</v>
      </c>
      <c r="C409" t="s">
        <v>19</v>
      </c>
      <c r="D409" t="s">
        <v>63</v>
      </c>
      <c r="E409" t="s">
        <v>64</v>
      </c>
      <c r="F409">
        <v>4.4000000000000004</v>
      </c>
      <c r="G409">
        <v>57999</v>
      </c>
      <c r="H409">
        <v>65999</v>
      </c>
      <c r="I409">
        <f>FlipkartTable[[#This Row],[Original Price]]-FlipkartTable[[#This Row],[Selling Price]]</f>
        <v>8000</v>
      </c>
      <c r="J409" s="4">
        <f>(FlipkartTable[[#This Row],[Original Price]]-FlipkartTable[[#This Row],[Selling Price]])/FlipkartTable[[#This Row],[Original Price]]</f>
        <v>0.1212139577872392</v>
      </c>
      <c r="K409">
        <f>(FlipkartTable[[#This Row],[Rating]]/FlipkartTable[[#This Row],[Selling Price]])*1000</f>
        <v>7.5863376954775089E-2</v>
      </c>
      <c r="L409" t="str">
        <f>IF(FlipkartTable[[#This Row],[Selling Price]]&lt;15000,"Budget",IF(FlipkartTable[[#This Row],[Selling Price]]&lt;50000,"Mid Range","Premium"))</f>
        <v>Premium</v>
      </c>
      <c r="M409" t="str">
        <f>IF(FlipkartTable[[#This Row],[Rating]]&gt;4.5,"Excellent",IF(FlipkartTable[[#This Row],[Rating]]&gt;4,"Good",IF(FlipkartTable[[#This Row],[Rating]]&gt;3.5,"Average","Poor")))</f>
        <v>Good</v>
      </c>
    </row>
    <row r="410" spans="1:13" x14ac:dyDescent="0.35">
      <c r="A410" t="s">
        <v>305</v>
      </c>
      <c r="B410" s="9" t="s">
        <v>318</v>
      </c>
      <c r="C410" t="s">
        <v>116</v>
      </c>
      <c r="D410" t="s">
        <v>134</v>
      </c>
      <c r="E410" t="s">
        <v>27</v>
      </c>
      <c r="F410">
        <v>3.8</v>
      </c>
      <c r="G410">
        <v>5699</v>
      </c>
      <c r="H410">
        <v>5699</v>
      </c>
      <c r="I410">
        <f>FlipkartTable[[#This Row],[Original Price]]-FlipkartTable[[#This Row],[Selling Price]]</f>
        <v>0</v>
      </c>
      <c r="J410" s="4">
        <f>(FlipkartTable[[#This Row],[Original Price]]-FlipkartTable[[#This Row],[Selling Price]])/FlipkartTable[[#This Row],[Original Price]]</f>
        <v>0</v>
      </c>
      <c r="K410">
        <f>(FlipkartTable[[#This Row],[Rating]]/FlipkartTable[[#This Row],[Selling Price]])*1000</f>
        <v>0.66678364625372866</v>
      </c>
      <c r="L410" t="str">
        <f>IF(FlipkartTable[[#This Row],[Selling Price]]&lt;15000,"Budget",IF(FlipkartTable[[#This Row],[Selling Price]]&lt;50000,"Mid Range","Premium"))</f>
        <v>Budget</v>
      </c>
      <c r="M410" t="str">
        <f>IF(FlipkartTable[[#This Row],[Rating]]&gt;4.5,"Excellent",IF(FlipkartTable[[#This Row],[Rating]]&gt;4,"Good",IF(FlipkartTable[[#This Row],[Rating]]&gt;3.5,"Average","Poor")))</f>
        <v>Average</v>
      </c>
    </row>
    <row r="411" spans="1:13" x14ac:dyDescent="0.35">
      <c r="A411" t="s">
        <v>305</v>
      </c>
      <c r="B411" s="9" t="s">
        <v>326</v>
      </c>
      <c r="C411" t="s">
        <v>84</v>
      </c>
      <c r="D411" t="s">
        <v>134</v>
      </c>
      <c r="E411" t="s">
        <v>27</v>
      </c>
      <c r="F411">
        <v>3.8</v>
      </c>
      <c r="G411">
        <v>6299</v>
      </c>
      <c r="H411">
        <v>6299</v>
      </c>
      <c r="I411">
        <f>FlipkartTable[[#This Row],[Original Price]]-FlipkartTable[[#This Row],[Selling Price]]</f>
        <v>0</v>
      </c>
      <c r="J411" s="4">
        <f>(FlipkartTable[[#This Row],[Original Price]]-FlipkartTable[[#This Row],[Selling Price]])/FlipkartTable[[#This Row],[Original Price]]</f>
        <v>0</v>
      </c>
      <c r="K411">
        <f>(FlipkartTable[[#This Row],[Rating]]/FlipkartTable[[#This Row],[Selling Price]])*1000</f>
        <v>0.60327036037466264</v>
      </c>
      <c r="L411" t="str">
        <f>IF(FlipkartTable[[#This Row],[Selling Price]]&lt;15000,"Budget",IF(FlipkartTable[[#This Row],[Selling Price]]&lt;50000,"Mid Range","Premium"))</f>
        <v>Budget</v>
      </c>
      <c r="M411" t="str">
        <f>IF(FlipkartTable[[#This Row],[Rating]]&gt;4.5,"Excellent",IF(FlipkartTable[[#This Row],[Rating]]&gt;4,"Good",IF(FlipkartTable[[#This Row],[Rating]]&gt;3.5,"Average","Poor")))</f>
        <v>Average</v>
      </c>
    </row>
    <row r="412" spans="1:13" x14ac:dyDescent="0.35">
      <c r="A412" t="s">
        <v>305</v>
      </c>
      <c r="B412" s="9" t="s">
        <v>318</v>
      </c>
      <c r="C412" t="s">
        <v>327</v>
      </c>
      <c r="D412" t="s">
        <v>134</v>
      </c>
      <c r="E412" t="s">
        <v>27</v>
      </c>
      <c r="F412">
        <v>3.8</v>
      </c>
      <c r="G412">
        <v>5699</v>
      </c>
      <c r="H412">
        <v>5699</v>
      </c>
      <c r="I412">
        <f>FlipkartTable[[#This Row],[Original Price]]-FlipkartTable[[#This Row],[Selling Price]]</f>
        <v>0</v>
      </c>
      <c r="J412" s="4">
        <f>(FlipkartTable[[#This Row],[Original Price]]-FlipkartTable[[#This Row],[Selling Price]])/FlipkartTable[[#This Row],[Original Price]]</f>
        <v>0</v>
      </c>
      <c r="K412">
        <f>(FlipkartTable[[#This Row],[Rating]]/FlipkartTable[[#This Row],[Selling Price]])*1000</f>
        <v>0.66678364625372866</v>
      </c>
      <c r="L412" t="str">
        <f>IF(FlipkartTable[[#This Row],[Selling Price]]&lt;15000,"Budget",IF(FlipkartTable[[#This Row],[Selling Price]]&lt;50000,"Mid Range","Premium"))</f>
        <v>Budget</v>
      </c>
      <c r="M412" t="str">
        <f>IF(FlipkartTable[[#This Row],[Rating]]&gt;4.5,"Excellent",IF(FlipkartTable[[#This Row],[Rating]]&gt;4,"Good",IF(FlipkartTable[[#This Row],[Rating]]&gt;3.5,"Average","Poor")))</f>
        <v>Average</v>
      </c>
    </row>
    <row r="413" spans="1:13" x14ac:dyDescent="0.35">
      <c r="A413" t="s">
        <v>305</v>
      </c>
      <c r="B413" s="9" t="s">
        <v>328</v>
      </c>
      <c r="C413" t="s">
        <v>152</v>
      </c>
      <c r="D413" t="s">
        <v>35</v>
      </c>
      <c r="E413" t="s">
        <v>124</v>
      </c>
      <c r="F413">
        <v>3.7</v>
      </c>
      <c r="G413">
        <v>4990</v>
      </c>
      <c r="H413">
        <v>4990</v>
      </c>
      <c r="I413">
        <f>FlipkartTable[[#This Row],[Original Price]]-FlipkartTable[[#This Row],[Selling Price]]</f>
        <v>0</v>
      </c>
      <c r="J413" s="4">
        <f>(FlipkartTable[[#This Row],[Original Price]]-FlipkartTable[[#This Row],[Selling Price]])/FlipkartTable[[#This Row],[Original Price]]</f>
        <v>0</v>
      </c>
      <c r="K413">
        <f>(FlipkartTable[[#This Row],[Rating]]/FlipkartTable[[#This Row],[Selling Price]])*1000</f>
        <v>0.7414829659318638</v>
      </c>
      <c r="L413" t="str">
        <f>IF(FlipkartTable[[#This Row],[Selling Price]]&lt;15000,"Budget",IF(FlipkartTable[[#This Row],[Selling Price]]&lt;50000,"Mid Range","Premium"))</f>
        <v>Budget</v>
      </c>
      <c r="M413" t="str">
        <f>IF(FlipkartTable[[#This Row],[Rating]]&gt;4.5,"Excellent",IF(FlipkartTable[[#This Row],[Rating]]&gt;4,"Good",IF(FlipkartTable[[#This Row],[Rating]]&gt;3.5,"Average","Poor")))</f>
        <v>Average</v>
      </c>
    </row>
    <row r="414" spans="1:13" x14ac:dyDescent="0.35">
      <c r="A414" t="s">
        <v>305</v>
      </c>
      <c r="B414" s="9" t="s">
        <v>323</v>
      </c>
      <c r="C414" t="s">
        <v>19</v>
      </c>
      <c r="D414" t="s">
        <v>35</v>
      </c>
      <c r="E414" t="s">
        <v>27</v>
      </c>
      <c r="F414">
        <v>4</v>
      </c>
      <c r="G414">
        <v>4990</v>
      </c>
      <c r="H414">
        <v>4990</v>
      </c>
      <c r="I414">
        <f>FlipkartTable[[#This Row],[Original Price]]-FlipkartTable[[#This Row],[Selling Price]]</f>
        <v>0</v>
      </c>
      <c r="J414" s="4">
        <f>(FlipkartTable[[#This Row],[Original Price]]-FlipkartTable[[#This Row],[Selling Price]])/FlipkartTable[[#This Row],[Original Price]]</f>
        <v>0</v>
      </c>
      <c r="K414">
        <f>(FlipkartTable[[#This Row],[Rating]]/FlipkartTable[[#This Row],[Selling Price]])*1000</f>
        <v>0.80160320641282568</v>
      </c>
      <c r="L414" t="str">
        <f>IF(FlipkartTable[[#This Row],[Selling Price]]&lt;15000,"Budget",IF(FlipkartTable[[#This Row],[Selling Price]]&lt;50000,"Mid Range","Premium"))</f>
        <v>Budget</v>
      </c>
      <c r="M414" t="str">
        <f>IF(FlipkartTable[[#This Row],[Rating]]&gt;4.5,"Excellent",IF(FlipkartTable[[#This Row],[Rating]]&gt;4,"Good",IF(FlipkartTable[[#This Row],[Rating]]&gt;3.5,"Average","Poor")))</f>
        <v>Average</v>
      </c>
    </row>
    <row r="415" spans="1:13" x14ac:dyDescent="0.35">
      <c r="A415" t="s">
        <v>305</v>
      </c>
      <c r="B415" s="9" t="s">
        <v>317</v>
      </c>
      <c r="C415" t="s">
        <v>329</v>
      </c>
      <c r="D415" t="s">
        <v>134</v>
      </c>
      <c r="E415" t="s">
        <v>27</v>
      </c>
      <c r="F415">
        <v>3.7</v>
      </c>
      <c r="G415">
        <v>5299</v>
      </c>
      <c r="H415">
        <v>5299</v>
      </c>
      <c r="I415">
        <f>FlipkartTable[[#This Row],[Original Price]]-FlipkartTable[[#This Row],[Selling Price]]</f>
        <v>0</v>
      </c>
      <c r="J415" s="4">
        <f>(FlipkartTable[[#This Row],[Original Price]]-FlipkartTable[[#This Row],[Selling Price]])/FlipkartTable[[#This Row],[Original Price]]</f>
        <v>0</v>
      </c>
      <c r="K415">
        <f>(FlipkartTable[[#This Row],[Rating]]/FlipkartTable[[#This Row],[Selling Price]])*1000</f>
        <v>0.69824495187771285</v>
      </c>
      <c r="L415" t="str">
        <f>IF(FlipkartTable[[#This Row],[Selling Price]]&lt;15000,"Budget",IF(FlipkartTable[[#This Row],[Selling Price]]&lt;50000,"Mid Range","Premium"))</f>
        <v>Budget</v>
      </c>
      <c r="M415" t="str">
        <f>IF(FlipkartTable[[#This Row],[Rating]]&gt;4.5,"Excellent",IF(FlipkartTable[[#This Row],[Rating]]&gt;4,"Good",IF(FlipkartTable[[#This Row],[Rating]]&gt;3.5,"Average","Poor")))</f>
        <v>Average</v>
      </c>
    </row>
    <row r="416" spans="1:13" x14ac:dyDescent="0.35">
      <c r="A416" t="s">
        <v>305</v>
      </c>
      <c r="B416" s="9" t="s">
        <v>326</v>
      </c>
      <c r="C416" t="s">
        <v>19</v>
      </c>
      <c r="D416" t="s">
        <v>134</v>
      </c>
      <c r="E416" t="s">
        <v>27</v>
      </c>
      <c r="F416">
        <v>3.8</v>
      </c>
      <c r="G416">
        <v>6299</v>
      </c>
      <c r="H416">
        <v>6299</v>
      </c>
      <c r="I416">
        <f>FlipkartTable[[#This Row],[Original Price]]-FlipkartTable[[#This Row],[Selling Price]]</f>
        <v>0</v>
      </c>
      <c r="J416" s="4">
        <f>(FlipkartTable[[#This Row],[Original Price]]-FlipkartTable[[#This Row],[Selling Price]])/FlipkartTable[[#This Row],[Original Price]]</f>
        <v>0</v>
      </c>
      <c r="K416">
        <f>(FlipkartTable[[#This Row],[Rating]]/FlipkartTable[[#This Row],[Selling Price]])*1000</f>
        <v>0.60327036037466264</v>
      </c>
      <c r="L416" t="str">
        <f>IF(FlipkartTable[[#This Row],[Selling Price]]&lt;15000,"Budget",IF(FlipkartTable[[#This Row],[Selling Price]]&lt;50000,"Mid Range","Premium"))</f>
        <v>Budget</v>
      </c>
      <c r="M416" t="str">
        <f>IF(FlipkartTable[[#This Row],[Rating]]&gt;4.5,"Excellent",IF(FlipkartTable[[#This Row],[Rating]]&gt;4,"Good",IF(FlipkartTable[[#This Row],[Rating]]&gt;3.5,"Average","Poor")))</f>
        <v>Average</v>
      </c>
    </row>
    <row r="417" spans="1:13" x14ac:dyDescent="0.35">
      <c r="A417" t="s">
        <v>305</v>
      </c>
      <c r="B417" s="9" t="s">
        <v>326</v>
      </c>
      <c r="C417" t="s">
        <v>152</v>
      </c>
      <c r="D417" t="s">
        <v>134</v>
      </c>
      <c r="E417" t="s">
        <v>27</v>
      </c>
      <c r="F417">
        <v>3.8</v>
      </c>
      <c r="G417">
        <v>6299</v>
      </c>
      <c r="H417">
        <v>6299</v>
      </c>
      <c r="I417">
        <f>FlipkartTable[[#This Row],[Original Price]]-FlipkartTable[[#This Row],[Selling Price]]</f>
        <v>0</v>
      </c>
      <c r="J417" s="4">
        <f>(FlipkartTable[[#This Row],[Original Price]]-FlipkartTable[[#This Row],[Selling Price]])/FlipkartTable[[#This Row],[Original Price]]</f>
        <v>0</v>
      </c>
      <c r="K417">
        <f>(FlipkartTable[[#This Row],[Rating]]/FlipkartTable[[#This Row],[Selling Price]])*1000</f>
        <v>0.60327036037466264</v>
      </c>
      <c r="L417" t="str">
        <f>IF(FlipkartTable[[#This Row],[Selling Price]]&lt;15000,"Budget",IF(FlipkartTable[[#This Row],[Selling Price]]&lt;50000,"Mid Range","Premium"))</f>
        <v>Budget</v>
      </c>
      <c r="M417" t="str">
        <f>IF(FlipkartTable[[#This Row],[Rating]]&gt;4.5,"Excellent",IF(FlipkartTable[[#This Row],[Rating]]&gt;4,"Good",IF(FlipkartTable[[#This Row],[Rating]]&gt;3.5,"Average","Poor")))</f>
        <v>Average</v>
      </c>
    </row>
    <row r="418" spans="1:13" x14ac:dyDescent="0.35">
      <c r="A418" t="s">
        <v>305</v>
      </c>
      <c r="B418" s="9" t="s">
        <v>318</v>
      </c>
      <c r="C418" t="s">
        <v>116</v>
      </c>
      <c r="D418" t="s">
        <v>134</v>
      </c>
      <c r="E418" t="s">
        <v>27</v>
      </c>
      <c r="F418">
        <v>3.8</v>
      </c>
      <c r="G418">
        <v>4649</v>
      </c>
      <c r="H418">
        <v>4649</v>
      </c>
      <c r="I418">
        <f>FlipkartTable[[#This Row],[Original Price]]-FlipkartTable[[#This Row],[Selling Price]]</f>
        <v>0</v>
      </c>
      <c r="J418" s="4">
        <f>(FlipkartTable[[#This Row],[Original Price]]-FlipkartTable[[#This Row],[Selling Price]])/FlipkartTable[[#This Row],[Original Price]]</f>
        <v>0</v>
      </c>
      <c r="K418">
        <f>(FlipkartTable[[#This Row],[Rating]]/FlipkartTable[[#This Row],[Selling Price]])*1000</f>
        <v>0.81738008173800814</v>
      </c>
      <c r="L418" t="str">
        <f>IF(FlipkartTable[[#This Row],[Selling Price]]&lt;15000,"Budget",IF(FlipkartTable[[#This Row],[Selling Price]]&lt;50000,"Mid Range","Premium"))</f>
        <v>Budget</v>
      </c>
      <c r="M418" t="str">
        <f>IF(FlipkartTable[[#This Row],[Rating]]&gt;4.5,"Excellent",IF(FlipkartTable[[#This Row],[Rating]]&gt;4,"Good",IF(FlipkartTable[[#This Row],[Rating]]&gt;3.5,"Average","Poor")))</f>
        <v>Average</v>
      </c>
    </row>
    <row r="419" spans="1:13" x14ac:dyDescent="0.35">
      <c r="A419" t="s">
        <v>305</v>
      </c>
      <c r="B419" s="9" t="s">
        <v>306</v>
      </c>
      <c r="C419" t="s">
        <v>152</v>
      </c>
      <c r="D419" t="s">
        <v>63</v>
      </c>
      <c r="E419" t="s">
        <v>64</v>
      </c>
      <c r="F419">
        <v>4.5</v>
      </c>
      <c r="G419">
        <v>57999</v>
      </c>
      <c r="H419">
        <v>63999</v>
      </c>
      <c r="I419">
        <f>FlipkartTable[[#This Row],[Original Price]]-FlipkartTable[[#This Row],[Selling Price]]</f>
        <v>6000</v>
      </c>
      <c r="J419" s="4">
        <f>(FlipkartTable[[#This Row],[Original Price]]-FlipkartTable[[#This Row],[Selling Price]])/FlipkartTable[[#This Row],[Original Price]]</f>
        <v>9.3751464866638545E-2</v>
      </c>
      <c r="K419">
        <f>(FlipkartTable[[#This Row],[Rating]]/FlipkartTable[[#This Row],[Selling Price]])*1000</f>
        <v>7.7587544612838164E-2</v>
      </c>
      <c r="L419" t="str">
        <f>IF(FlipkartTable[[#This Row],[Selling Price]]&lt;15000,"Budget",IF(FlipkartTable[[#This Row],[Selling Price]]&lt;50000,"Mid Range","Premium"))</f>
        <v>Premium</v>
      </c>
      <c r="M419" t="str">
        <f>IF(FlipkartTable[[#This Row],[Rating]]&gt;4.5,"Excellent",IF(FlipkartTable[[#This Row],[Rating]]&gt;4,"Good",IF(FlipkartTable[[#This Row],[Rating]]&gt;3.5,"Average","Poor")))</f>
        <v>Good</v>
      </c>
    </row>
    <row r="420" spans="1:13" x14ac:dyDescent="0.35">
      <c r="A420" t="s">
        <v>305</v>
      </c>
      <c r="B420" s="9" t="s">
        <v>312</v>
      </c>
      <c r="C420" t="s">
        <v>170</v>
      </c>
      <c r="D420" t="s">
        <v>27</v>
      </c>
      <c r="E420" t="s">
        <v>64</v>
      </c>
      <c r="F420">
        <v>4.3</v>
      </c>
      <c r="G420">
        <v>43999</v>
      </c>
      <c r="H420">
        <v>43999</v>
      </c>
      <c r="I420">
        <f>FlipkartTable[[#This Row],[Original Price]]-FlipkartTable[[#This Row],[Selling Price]]</f>
        <v>0</v>
      </c>
      <c r="J420" s="4">
        <f>(FlipkartTable[[#This Row],[Original Price]]-FlipkartTable[[#This Row],[Selling Price]])/FlipkartTable[[#This Row],[Original Price]]</f>
        <v>0</v>
      </c>
      <c r="K420">
        <f>(FlipkartTable[[#This Row],[Rating]]/FlipkartTable[[#This Row],[Selling Price]])*1000</f>
        <v>9.7729493852133004E-2</v>
      </c>
      <c r="L420" t="str">
        <f>IF(FlipkartTable[[#This Row],[Selling Price]]&lt;15000,"Budget",IF(FlipkartTable[[#This Row],[Selling Price]]&lt;50000,"Mid Range","Premium"))</f>
        <v>Mid Range</v>
      </c>
      <c r="M420" t="str">
        <f>IF(FlipkartTable[[#This Row],[Rating]]&gt;4.5,"Excellent",IF(FlipkartTable[[#This Row],[Rating]]&gt;4,"Good",IF(FlipkartTable[[#This Row],[Rating]]&gt;3.5,"Average","Poor")))</f>
        <v>Good</v>
      </c>
    </row>
    <row r="421" spans="1:13" x14ac:dyDescent="0.35">
      <c r="A421" t="s">
        <v>305</v>
      </c>
      <c r="B421" s="9" t="s">
        <v>311</v>
      </c>
      <c r="C421" t="s">
        <v>314</v>
      </c>
      <c r="D421" t="s">
        <v>27</v>
      </c>
      <c r="E421" t="s">
        <v>64</v>
      </c>
      <c r="F421">
        <v>4.5</v>
      </c>
      <c r="G421">
        <v>43999</v>
      </c>
      <c r="H421">
        <v>43999</v>
      </c>
      <c r="I421">
        <f>FlipkartTable[[#This Row],[Original Price]]-FlipkartTable[[#This Row],[Selling Price]]</f>
        <v>0</v>
      </c>
      <c r="J421" s="4">
        <f>(FlipkartTable[[#This Row],[Original Price]]-FlipkartTable[[#This Row],[Selling Price]])/FlipkartTable[[#This Row],[Original Price]]</f>
        <v>0</v>
      </c>
      <c r="K421">
        <f>(FlipkartTable[[#This Row],[Rating]]/FlipkartTable[[#This Row],[Selling Price]])*1000</f>
        <v>0.10227505170572058</v>
      </c>
      <c r="L421" t="str">
        <f>IF(FlipkartTable[[#This Row],[Selling Price]]&lt;15000,"Budget",IF(FlipkartTable[[#This Row],[Selling Price]]&lt;50000,"Mid Range","Premium"))</f>
        <v>Mid Range</v>
      </c>
      <c r="M421" t="str">
        <f>IF(FlipkartTable[[#This Row],[Rating]]&gt;4.5,"Excellent",IF(FlipkartTable[[#This Row],[Rating]]&gt;4,"Good",IF(FlipkartTable[[#This Row],[Rating]]&gt;3.5,"Average","Poor")))</f>
        <v>Good</v>
      </c>
    </row>
    <row r="422" spans="1:13" x14ac:dyDescent="0.35">
      <c r="A422" t="s">
        <v>305</v>
      </c>
      <c r="B422" s="9" t="s">
        <v>312</v>
      </c>
      <c r="C422" t="s">
        <v>170</v>
      </c>
      <c r="D422" t="s">
        <v>14</v>
      </c>
      <c r="E422" t="s">
        <v>12</v>
      </c>
      <c r="F422">
        <v>4.3</v>
      </c>
      <c r="G422">
        <v>35999</v>
      </c>
      <c r="H422">
        <v>35999</v>
      </c>
      <c r="I422">
        <f>FlipkartTable[[#This Row],[Original Price]]-FlipkartTable[[#This Row],[Selling Price]]</f>
        <v>0</v>
      </c>
      <c r="J422" s="4">
        <f>(FlipkartTable[[#This Row],[Original Price]]-FlipkartTable[[#This Row],[Selling Price]])/FlipkartTable[[#This Row],[Original Price]]</f>
        <v>0</v>
      </c>
      <c r="K422">
        <f>(FlipkartTable[[#This Row],[Rating]]/FlipkartTable[[#This Row],[Selling Price]])*1000</f>
        <v>0.11944776243784549</v>
      </c>
      <c r="L422" t="str">
        <f>IF(FlipkartTable[[#This Row],[Selling Price]]&lt;15000,"Budget",IF(FlipkartTable[[#This Row],[Selling Price]]&lt;50000,"Mid Range","Premium"))</f>
        <v>Mid Range</v>
      </c>
      <c r="M422" t="str">
        <f>IF(FlipkartTable[[#This Row],[Rating]]&gt;4.5,"Excellent",IF(FlipkartTable[[#This Row],[Rating]]&gt;4,"Good",IF(FlipkartTable[[#This Row],[Rating]]&gt;3.5,"Average","Poor")))</f>
        <v>Good</v>
      </c>
    </row>
    <row r="423" spans="1:13" x14ac:dyDescent="0.35">
      <c r="A423" t="s">
        <v>305</v>
      </c>
      <c r="B423" s="9" t="s">
        <v>330</v>
      </c>
      <c r="C423" t="s">
        <v>22</v>
      </c>
      <c r="D423" t="s">
        <v>20</v>
      </c>
      <c r="E423" t="s">
        <v>21</v>
      </c>
      <c r="F423">
        <v>4.0999999999999996</v>
      </c>
      <c r="G423">
        <v>14499</v>
      </c>
      <c r="H423">
        <v>14499</v>
      </c>
      <c r="I423">
        <f>FlipkartTable[[#This Row],[Original Price]]-FlipkartTable[[#This Row],[Selling Price]]</f>
        <v>0</v>
      </c>
      <c r="J423" s="4">
        <f>(FlipkartTable[[#This Row],[Original Price]]-FlipkartTable[[#This Row],[Selling Price]])/FlipkartTable[[#This Row],[Original Price]]</f>
        <v>0</v>
      </c>
      <c r="K423">
        <f>(FlipkartTable[[#This Row],[Rating]]/FlipkartTable[[#This Row],[Selling Price]])*1000</f>
        <v>0.28277812262914681</v>
      </c>
      <c r="L423" t="str">
        <f>IF(FlipkartTable[[#This Row],[Selling Price]]&lt;15000,"Budget",IF(FlipkartTable[[#This Row],[Selling Price]]&lt;50000,"Mid Range","Premium"))</f>
        <v>Budget</v>
      </c>
      <c r="M423" t="str">
        <f>IF(FlipkartTable[[#This Row],[Rating]]&gt;4.5,"Excellent",IF(FlipkartTable[[#This Row],[Rating]]&gt;4,"Good",IF(FlipkartTable[[#This Row],[Rating]]&gt;3.5,"Average","Poor")))</f>
        <v>Good</v>
      </c>
    </row>
    <row r="424" spans="1:13" x14ac:dyDescent="0.35">
      <c r="A424" t="s">
        <v>305</v>
      </c>
      <c r="B424" s="9" t="s">
        <v>331</v>
      </c>
      <c r="C424" t="s">
        <v>19</v>
      </c>
      <c r="D424" t="s">
        <v>35</v>
      </c>
      <c r="E424" t="s">
        <v>124</v>
      </c>
      <c r="F424">
        <v>4.0999999999999996</v>
      </c>
      <c r="G424">
        <v>6990</v>
      </c>
      <c r="H424">
        <v>6990</v>
      </c>
      <c r="I424">
        <f>FlipkartTable[[#This Row],[Original Price]]-FlipkartTable[[#This Row],[Selling Price]]</f>
        <v>0</v>
      </c>
      <c r="J424" s="4">
        <f>(FlipkartTable[[#This Row],[Original Price]]-FlipkartTable[[#This Row],[Selling Price]])/FlipkartTable[[#This Row],[Original Price]]</f>
        <v>0</v>
      </c>
      <c r="K424">
        <f>(FlipkartTable[[#This Row],[Rating]]/FlipkartTable[[#This Row],[Selling Price]])*1000</f>
        <v>0.58655221745350494</v>
      </c>
      <c r="L424" t="str">
        <f>IF(FlipkartTable[[#This Row],[Selling Price]]&lt;15000,"Budget",IF(FlipkartTable[[#This Row],[Selling Price]]&lt;50000,"Mid Range","Premium"))</f>
        <v>Budget</v>
      </c>
      <c r="M424" t="str">
        <f>IF(FlipkartTable[[#This Row],[Rating]]&gt;4.5,"Excellent",IF(FlipkartTable[[#This Row],[Rating]]&gt;4,"Good",IF(FlipkartTable[[#This Row],[Rating]]&gt;3.5,"Average","Poor")))</f>
        <v>Good</v>
      </c>
    </row>
    <row r="425" spans="1:13" x14ac:dyDescent="0.35">
      <c r="A425" t="s">
        <v>305</v>
      </c>
      <c r="B425" s="9" t="s">
        <v>325</v>
      </c>
      <c r="C425" t="s">
        <v>19</v>
      </c>
      <c r="D425" t="s">
        <v>35</v>
      </c>
      <c r="E425" t="s">
        <v>124</v>
      </c>
      <c r="F425">
        <v>3.6</v>
      </c>
      <c r="G425">
        <v>4999</v>
      </c>
      <c r="H425">
        <v>4999</v>
      </c>
      <c r="I425">
        <f>FlipkartTable[[#This Row],[Original Price]]-FlipkartTable[[#This Row],[Selling Price]]</f>
        <v>0</v>
      </c>
      <c r="J425" s="4">
        <f>(FlipkartTable[[#This Row],[Original Price]]-FlipkartTable[[#This Row],[Selling Price]])/FlipkartTable[[#This Row],[Original Price]]</f>
        <v>0</v>
      </c>
      <c r="K425">
        <f>(FlipkartTable[[#This Row],[Rating]]/FlipkartTable[[#This Row],[Selling Price]])*1000</f>
        <v>0.72014402880576123</v>
      </c>
      <c r="L425" t="str">
        <f>IF(FlipkartTable[[#This Row],[Selling Price]]&lt;15000,"Budget",IF(FlipkartTable[[#This Row],[Selling Price]]&lt;50000,"Mid Range","Premium"))</f>
        <v>Budget</v>
      </c>
      <c r="M425" t="str">
        <f>IF(FlipkartTable[[#This Row],[Rating]]&gt;4.5,"Excellent",IF(FlipkartTable[[#This Row],[Rating]]&gt;4,"Good",IF(FlipkartTable[[#This Row],[Rating]]&gt;3.5,"Average","Poor")))</f>
        <v>Average</v>
      </c>
    </row>
    <row r="426" spans="1:13" x14ac:dyDescent="0.35">
      <c r="A426" t="s">
        <v>305</v>
      </c>
      <c r="B426" s="9" t="s">
        <v>308</v>
      </c>
      <c r="C426" t="s">
        <v>22</v>
      </c>
      <c r="D426" t="s">
        <v>14</v>
      </c>
      <c r="E426" t="s">
        <v>12</v>
      </c>
      <c r="F426">
        <v>4.3</v>
      </c>
      <c r="G426">
        <v>17999</v>
      </c>
      <c r="H426">
        <v>17999</v>
      </c>
      <c r="I426">
        <f>FlipkartTable[[#This Row],[Original Price]]-FlipkartTable[[#This Row],[Selling Price]]</f>
        <v>0</v>
      </c>
      <c r="J426" s="4">
        <f>(FlipkartTable[[#This Row],[Original Price]]-FlipkartTable[[#This Row],[Selling Price]])/FlipkartTable[[#This Row],[Original Price]]</f>
        <v>0</v>
      </c>
      <c r="K426">
        <f>(FlipkartTable[[#This Row],[Rating]]/FlipkartTable[[#This Row],[Selling Price]])*1000</f>
        <v>0.23890216123117949</v>
      </c>
      <c r="L426" t="str">
        <f>IF(FlipkartTable[[#This Row],[Selling Price]]&lt;15000,"Budget",IF(FlipkartTable[[#This Row],[Selling Price]]&lt;50000,"Mid Range","Premium"))</f>
        <v>Mid Range</v>
      </c>
      <c r="M426" t="str">
        <f>IF(FlipkartTable[[#This Row],[Rating]]&gt;4.5,"Excellent",IF(FlipkartTable[[#This Row],[Rating]]&gt;4,"Good",IF(FlipkartTable[[#This Row],[Rating]]&gt;3.5,"Average","Poor")))</f>
        <v>Good</v>
      </c>
    </row>
    <row r="427" spans="1:13" x14ac:dyDescent="0.35">
      <c r="A427" t="s">
        <v>305</v>
      </c>
      <c r="B427" s="9" t="s">
        <v>308</v>
      </c>
      <c r="C427" t="s">
        <v>22</v>
      </c>
      <c r="D427" t="s">
        <v>20</v>
      </c>
      <c r="E427" t="s">
        <v>21</v>
      </c>
      <c r="F427">
        <v>4.3</v>
      </c>
      <c r="G427">
        <v>13199</v>
      </c>
      <c r="H427">
        <v>13199</v>
      </c>
      <c r="I427">
        <f>FlipkartTable[[#This Row],[Original Price]]-FlipkartTable[[#This Row],[Selling Price]]</f>
        <v>0</v>
      </c>
      <c r="J427" s="4">
        <f>(FlipkartTable[[#This Row],[Original Price]]-FlipkartTable[[#This Row],[Selling Price]])/FlipkartTable[[#This Row],[Original Price]]</f>
        <v>0</v>
      </c>
      <c r="K427">
        <f>(FlipkartTable[[#This Row],[Rating]]/FlipkartTable[[#This Row],[Selling Price]])*1000</f>
        <v>0.32578225623153267</v>
      </c>
      <c r="L427" t="str">
        <f>IF(FlipkartTable[[#This Row],[Selling Price]]&lt;15000,"Budget",IF(FlipkartTable[[#This Row],[Selling Price]]&lt;50000,"Mid Range","Premium"))</f>
        <v>Budget</v>
      </c>
      <c r="M427" t="str">
        <f>IF(FlipkartTable[[#This Row],[Rating]]&gt;4.5,"Excellent",IF(FlipkartTable[[#This Row],[Rating]]&gt;4,"Good",IF(FlipkartTable[[#This Row],[Rating]]&gt;3.5,"Average","Poor")))</f>
        <v>Good</v>
      </c>
    </row>
    <row r="428" spans="1:13" x14ac:dyDescent="0.35">
      <c r="A428" t="s">
        <v>305</v>
      </c>
      <c r="B428" s="9" t="s">
        <v>332</v>
      </c>
      <c r="C428" t="s">
        <v>170</v>
      </c>
      <c r="D428" t="s">
        <v>134</v>
      </c>
      <c r="E428" t="s">
        <v>27</v>
      </c>
      <c r="F428">
        <v>3.6</v>
      </c>
      <c r="G428">
        <v>4890</v>
      </c>
      <c r="H428">
        <v>4890</v>
      </c>
      <c r="I428">
        <f>FlipkartTable[[#This Row],[Original Price]]-FlipkartTable[[#This Row],[Selling Price]]</f>
        <v>0</v>
      </c>
      <c r="J428" s="4">
        <f>(FlipkartTable[[#This Row],[Original Price]]-FlipkartTable[[#This Row],[Selling Price]])/FlipkartTable[[#This Row],[Original Price]]</f>
        <v>0</v>
      </c>
      <c r="K428">
        <f>(FlipkartTable[[#This Row],[Rating]]/FlipkartTable[[#This Row],[Selling Price]])*1000</f>
        <v>0.73619631901840499</v>
      </c>
      <c r="L428" t="str">
        <f>IF(FlipkartTable[[#This Row],[Selling Price]]&lt;15000,"Budget",IF(FlipkartTable[[#This Row],[Selling Price]]&lt;50000,"Mid Range","Premium"))</f>
        <v>Budget</v>
      </c>
      <c r="M428" t="str">
        <f>IF(FlipkartTable[[#This Row],[Rating]]&gt;4.5,"Excellent",IF(FlipkartTable[[#This Row],[Rating]]&gt;4,"Good",IF(FlipkartTable[[#This Row],[Rating]]&gt;3.5,"Average","Poor")))</f>
        <v>Average</v>
      </c>
    </row>
    <row r="429" spans="1:13" x14ac:dyDescent="0.35">
      <c r="A429" t="s">
        <v>305</v>
      </c>
      <c r="B429" s="9" t="s">
        <v>332</v>
      </c>
      <c r="C429" t="s">
        <v>327</v>
      </c>
      <c r="D429" t="s">
        <v>134</v>
      </c>
      <c r="E429" t="s">
        <v>27</v>
      </c>
      <c r="F429">
        <v>3.6</v>
      </c>
      <c r="G429">
        <v>4890</v>
      </c>
      <c r="H429">
        <v>4890</v>
      </c>
      <c r="I429">
        <f>FlipkartTable[[#This Row],[Original Price]]-FlipkartTable[[#This Row],[Selling Price]]</f>
        <v>0</v>
      </c>
      <c r="J429" s="4">
        <f>(FlipkartTable[[#This Row],[Original Price]]-FlipkartTable[[#This Row],[Selling Price]])/FlipkartTable[[#This Row],[Original Price]]</f>
        <v>0</v>
      </c>
      <c r="K429">
        <f>(FlipkartTable[[#This Row],[Rating]]/FlipkartTable[[#This Row],[Selling Price]])*1000</f>
        <v>0.73619631901840499</v>
      </c>
      <c r="L429" t="str">
        <f>IF(FlipkartTable[[#This Row],[Selling Price]]&lt;15000,"Budget",IF(FlipkartTable[[#This Row],[Selling Price]]&lt;50000,"Mid Range","Premium"))</f>
        <v>Budget</v>
      </c>
      <c r="M429" t="str">
        <f>IF(FlipkartTable[[#This Row],[Rating]]&gt;4.5,"Excellent",IF(FlipkartTable[[#This Row],[Rating]]&gt;4,"Good",IF(FlipkartTable[[#This Row],[Rating]]&gt;3.5,"Average","Poor")))</f>
        <v>Average</v>
      </c>
    </row>
    <row r="430" spans="1:13" x14ac:dyDescent="0.35">
      <c r="A430" t="s">
        <v>305</v>
      </c>
      <c r="B430" s="9" t="s">
        <v>323</v>
      </c>
      <c r="C430" t="s">
        <v>19</v>
      </c>
      <c r="D430" t="s">
        <v>35</v>
      </c>
      <c r="E430" t="s">
        <v>124</v>
      </c>
      <c r="F430">
        <v>4</v>
      </c>
      <c r="G430">
        <v>4499</v>
      </c>
      <c r="H430">
        <v>4499</v>
      </c>
      <c r="I430">
        <f>FlipkartTable[[#This Row],[Original Price]]-FlipkartTable[[#This Row],[Selling Price]]</f>
        <v>0</v>
      </c>
      <c r="J430" s="4">
        <f>(FlipkartTable[[#This Row],[Original Price]]-FlipkartTable[[#This Row],[Selling Price]])/FlipkartTable[[#This Row],[Original Price]]</f>
        <v>0</v>
      </c>
      <c r="K430">
        <f>(FlipkartTable[[#This Row],[Rating]]/FlipkartTable[[#This Row],[Selling Price]])*1000</f>
        <v>0.88908646365859079</v>
      </c>
      <c r="L430" t="str">
        <f>IF(FlipkartTable[[#This Row],[Selling Price]]&lt;15000,"Budget",IF(FlipkartTable[[#This Row],[Selling Price]]&lt;50000,"Mid Range","Premium"))</f>
        <v>Budget</v>
      </c>
      <c r="M430" t="str">
        <f>IF(FlipkartTable[[#This Row],[Rating]]&gt;4.5,"Excellent",IF(FlipkartTable[[#This Row],[Rating]]&gt;4,"Good",IF(FlipkartTable[[#This Row],[Rating]]&gt;3.5,"Average","Poor")))</f>
        <v>Average</v>
      </c>
    </row>
    <row r="431" spans="1:13" x14ac:dyDescent="0.35">
      <c r="A431" t="s">
        <v>305</v>
      </c>
      <c r="B431" s="9" t="s">
        <v>318</v>
      </c>
      <c r="C431" t="s">
        <v>327</v>
      </c>
      <c r="D431" t="s">
        <v>35</v>
      </c>
      <c r="E431" t="s">
        <v>21</v>
      </c>
      <c r="F431">
        <v>3.8</v>
      </c>
      <c r="G431">
        <v>7300</v>
      </c>
      <c r="H431">
        <v>7300</v>
      </c>
      <c r="I431">
        <f>FlipkartTable[[#This Row],[Original Price]]-FlipkartTable[[#This Row],[Selling Price]]</f>
        <v>0</v>
      </c>
      <c r="J431" s="4">
        <f>(FlipkartTable[[#This Row],[Original Price]]-FlipkartTable[[#This Row],[Selling Price]])/FlipkartTable[[#This Row],[Original Price]]</f>
        <v>0</v>
      </c>
      <c r="K431">
        <f>(FlipkartTable[[#This Row],[Rating]]/FlipkartTable[[#This Row],[Selling Price]])*1000</f>
        <v>0.52054794520547942</v>
      </c>
      <c r="L431" t="str">
        <f>IF(FlipkartTable[[#This Row],[Selling Price]]&lt;15000,"Budget",IF(FlipkartTable[[#This Row],[Selling Price]]&lt;50000,"Mid Range","Premium"))</f>
        <v>Budget</v>
      </c>
      <c r="M431" t="str">
        <f>IF(FlipkartTable[[#This Row],[Rating]]&gt;4.5,"Excellent",IF(FlipkartTable[[#This Row],[Rating]]&gt;4,"Good",IF(FlipkartTable[[#This Row],[Rating]]&gt;3.5,"Average","Poor")))</f>
        <v>Average</v>
      </c>
    </row>
    <row r="432" spans="1:13" x14ac:dyDescent="0.35">
      <c r="A432" t="s">
        <v>305</v>
      </c>
      <c r="B432" s="9" t="s">
        <v>318</v>
      </c>
      <c r="C432" t="s">
        <v>22</v>
      </c>
      <c r="D432" t="s">
        <v>35</v>
      </c>
      <c r="E432" t="s">
        <v>21</v>
      </c>
      <c r="F432">
        <v>3.8</v>
      </c>
      <c r="G432">
        <v>7499</v>
      </c>
      <c r="H432">
        <v>7499</v>
      </c>
      <c r="I432">
        <f>FlipkartTable[[#This Row],[Original Price]]-FlipkartTable[[#This Row],[Selling Price]]</f>
        <v>0</v>
      </c>
      <c r="J432" s="4">
        <f>(FlipkartTable[[#This Row],[Original Price]]-FlipkartTable[[#This Row],[Selling Price]])/FlipkartTable[[#This Row],[Original Price]]</f>
        <v>0</v>
      </c>
      <c r="K432">
        <f>(FlipkartTable[[#This Row],[Rating]]/FlipkartTable[[#This Row],[Selling Price]])*1000</f>
        <v>0.50673423123083072</v>
      </c>
      <c r="L432" t="str">
        <f>IF(FlipkartTable[[#This Row],[Selling Price]]&lt;15000,"Budget",IF(FlipkartTable[[#This Row],[Selling Price]]&lt;50000,"Mid Range","Premium"))</f>
        <v>Budget</v>
      </c>
      <c r="M432" t="str">
        <f>IF(FlipkartTable[[#This Row],[Rating]]&gt;4.5,"Excellent",IF(FlipkartTable[[#This Row],[Rating]]&gt;4,"Good",IF(FlipkartTable[[#This Row],[Rating]]&gt;3.5,"Average","Poor")))</f>
        <v>Average</v>
      </c>
    </row>
    <row r="433" spans="1:13" x14ac:dyDescent="0.35">
      <c r="A433" t="s">
        <v>305</v>
      </c>
      <c r="B433" s="9" t="s">
        <v>306</v>
      </c>
      <c r="C433" t="s">
        <v>152</v>
      </c>
      <c r="D433" t="s">
        <v>27</v>
      </c>
      <c r="E433" t="s">
        <v>15</v>
      </c>
      <c r="F433">
        <v>4.3</v>
      </c>
      <c r="G433">
        <v>49999</v>
      </c>
      <c r="H433">
        <v>55999</v>
      </c>
      <c r="I433">
        <f>FlipkartTable[[#This Row],[Original Price]]-FlipkartTable[[#This Row],[Selling Price]]</f>
        <v>6000</v>
      </c>
      <c r="J433" s="4">
        <f>(FlipkartTable[[#This Row],[Original Price]]-FlipkartTable[[#This Row],[Selling Price]])/FlipkartTable[[#This Row],[Original Price]]</f>
        <v>0.10714477044232933</v>
      </c>
      <c r="K433">
        <f>(FlipkartTable[[#This Row],[Rating]]/FlipkartTable[[#This Row],[Selling Price]])*1000</f>
        <v>8.600172003440068E-2</v>
      </c>
      <c r="L433" t="str">
        <f>IF(FlipkartTable[[#This Row],[Selling Price]]&lt;15000,"Budget",IF(FlipkartTable[[#This Row],[Selling Price]]&lt;50000,"Mid Range","Premium"))</f>
        <v>Mid Range</v>
      </c>
      <c r="M433" t="str">
        <f>IF(FlipkartTable[[#This Row],[Rating]]&gt;4.5,"Excellent",IF(FlipkartTable[[#This Row],[Rating]]&gt;4,"Good",IF(FlipkartTable[[#This Row],[Rating]]&gt;3.5,"Average","Poor")))</f>
        <v>Good</v>
      </c>
    </row>
    <row r="434" spans="1:13" x14ac:dyDescent="0.35">
      <c r="A434" t="s">
        <v>305</v>
      </c>
      <c r="B434" s="9" t="s">
        <v>333</v>
      </c>
      <c r="C434" t="s">
        <v>19</v>
      </c>
      <c r="D434" t="s">
        <v>11</v>
      </c>
      <c r="E434" t="s">
        <v>12</v>
      </c>
      <c r="F434">
        <v>4</v>
      </c>
      <c r="G434">
        <v>9599</v>
      </c>
      <c r="H434">
        <v>9599</v>
      </c>
      <c r="I434">
        <f>FlipkartTable[[#This Row],[Original Price]]-FlipkartTable[[#This Row],[Selling Price]]</f>
        <v>0</v>
      </c>
      <c r="J434" s="4">
        <f>(FlipkartTable[[#This Row],[Original Price]]-FlipkartTable[[#This Row],[Selling Price]])/FlipkartTable[[#This Row],[Original Price]]</f>
        <v>0</v>
      </c>
      <c r="K434">
        <f>(FlipkartTable[[#This Row],[Rating]]/FlipkartTable[[#This Row],[Selling Price]])*1000</f>
        <v>0.41671007396603815</v>
      </c>
      <c r="L434" t="str">
        <f>IF(FlipkartTable[[#This Row],[Selling Price]]&lt;15000,"Budget",IF(FlipkartTable[[#This Row],[Selling Price]]&lt;50000,"Mid Range","Premium"))</f>
        <v>Budget</v>
      </c>
      <c r="M434" t="str">
        <f>IF(FlipkartTable[[#This Row],[Rating]]&gt;4.5,"Excellent",IF(FlipkartTable[[#This Row],[Rating]]&gt;4,"Good",IF(FlipkartTable[[#This Row],[Rating]]&gt;3.5,"Average","Poor")))</f>
        <v>Average</v>
      </c>
    </row>
    <row r="435" spans="1:13" x14ac:dyDescent="0.35">
      <c r="A435" t="s">
        <v>305</v>
      </c>
      <c r="B435" s="9" t="s">
        <v>332</v>
      </c>
      <c r="C435" t="s">
        <v>84</v>
      </c>
      <c r="D435" t="s">
        <v>134</v>
      </c>
      <c r="E435" t="s">
        <v>27</v>
      </c>
      <c r="F435">
        <v>3.6</v>
      </c>
      <c r="G435">
        <v>4890</v>
      </c>
      <c r="H435">
        <v>4890</v>
      </c>
      <c r="I435">
        <f>FlipkartTable[[#This Row],[Original Price]]-FlipkartTable[[#This Row],[Selling Price]]</f>
        <v>0</v>
      </c>
      <c r="J435" s="4">
        <f>(FlipkartTable[[#This Row],[Original Price]]-FlipkartTable[[#This Row],[Selling Price]])/FlipkartTable[[#This Row],[Original Price]]</f>
        <v>0</v>
      </c>
      <c r="K435">
        <f>(FlipkartTable[[#This Row],[Rating]]/FlipkartTable[[#This Row],[Selling Price]])*1000</f>
        <v>0.73619631901840499</v>
      </c>
      <c r="L435" t="str">
        <f>IF(FlipkartTable[[#This Row],[Selling Price]]&lt;15000,"Budget",IF(FlipkartTable[[#This Row],[Selling Price]]&lt;50000,"Mid Range","Premium"))</f>
        <v>Budget</v>
      </c>
      <c r="M435" t="str">
        <f>IF(FlipkartTable[[#This Row],[Rating]]&gt;4.5,"Excellent",IF(FlipkartTable[[#This Row],[Rating]]&gt;4,"Good",IF(FlipkartTable[[#This Row],[Rating]]&gt;3.5,"Average","Poor")))</f>
        <v>Average</v>
      </c>
    </row>
    <row r="436" spans="1:13" x14ac:dyDescent="0.35">
      <c r="A436" t="s">
        <v>305</v>
      </c>
      <c r="B436" s="9" t="s">
        <v>310</v>
      </c>
      <c r="C436" t="s">
        <v>170</v>
      </c>
      <c r="D436" t="s">
        <v>20</v>
      </c>
      <c r="E436" t="s">
        <v>21</v>
      </c>
      <c r="F436">
        <v>4.3</v>
      </c>
      <c r="G436">
        <v>12999</v>
      </c>
      <c r="H436">
        <v>12999</v>
      </c>
      <c r="I436">
        <f>FlipkartTable[[#This Row],[Original Price]]-FlipkartTable[[#This Row],[Selling Price]]</f>
        <v>0</v>
      </c>
      <c r="J436" s="4">
        <f>(FlipkartTable[[#This Row],[Original Price]]-FlipkartTable[[#This Row],[Selling Price]])/FlipkartTable[[#This Row],[Original Price]]</f>
        <v>0</v>
      </c>
      <c r="K436">
        <f>(FlipkartTable[[#This Row],[Rating]]/FlipkartTable[[#This Row],[Selling Price]])*1000</f>
        <v>0.33079467651357791</v>
      </c>
      <c r="L436" t="str">
        <f>IF(FlipkartTable[[#This Row],[Selling Price]]&lt;15000,"Budget",IF(FlipkartTable[[#This Row],[Selling Price]]&lt;50000,"Mid Range","Premium"))</f>
        <v>Budget</v>
      </c>
      <c r="M436" t="str">
        <f>IF(FlipkartTable[[#This Row],[Rating]]&gt;4.5,"Excellent",IF(FlipkartTable[[#This Row],[Rating]]&gt;4,"Good",IF(FlipkartTable[[#This Row],[Rating]]&gt;3.5,"Average","Poor")))</f>
        <v>Good</v>
      </c>
    </row>
    <row r="437" spans="1:13" x14ac:dyDescent="0.35">
      <c r="A437" t="s">
        <v>305</v>
      </c>
      <c r="B437" s="9" t="s">
        <v>334</v>
      </c>
      <c r="C437" t="s">
        <v>19</v>
      </c>
      <c r="D437" t="s">
        <v>27</v>
      </c>
      <c r="E437" t="s">
        <v>15</v>
      </c>
      <c r="F437">
        <v>4.3</v>
      </c>
      <c r="G437">
        <v>26499</v>
      </c>
      <c r="H437">
        <v>83999</v>
      </c>
      <c r="I437">
        <f>FlipkartTable[[#This Row],[Original Price]]-FlipkartTable[[#This Row],[Selling Price]]</f>
        <v>57500</v>
      </c>
      <c r="J437" s="4">
        <f>(FlipkartTable[[#This Row],[Original Price]]-FlipkartTable[[#This Row],[Selling Price]])/FlipkartTable[[#This Row],[Original Price]]</f>
        <v>0.68453195871379424</v>
      </c>
      <c r="K437">
        <f>(FlipkartTable[[#This Row],[Rating]]/FlipkartTable[[#This Row],[Selling Price]])*1000</f>
        <v>0.16227027434997546</v>
      </c>
      <c r="L437" t="str">
        <f>IF(FlipkartTable[[#This Row],[Selling Price]]&lt;15000,"Budget",IF(FlipkartTable[[#This Row],[Selling Price]]&lt;50000,"Mid Range","Premium"))</f>
        <v>Mid Range</v>
      </c>
      <c r="M437" t="str">
        <f>IF(FlipkartTable[[#This Row],[Rating]]&gt;4.5,"Excellent",IF(FlipkartTable[[#This Row],[Rating]]&gt;4,"Good",IF(FlipkartTable[[#This Row],[Rating]]&gt;3.5,"Average","Poor")))</f>
        <v>Good</v>
      </c>
    </row>
    <row r="438" spans="1:13" x14ac:dyDescent="0.35">
      <c r="A438" t="s">
        <v>305</v>
      </c>
      <c r="B438" s="9" t="s">
        <v>333</v>
      </c>
      <c r="C438" t="s">
        <v>19</v>
      </c>
      <c r="D438" t="s">
        <v>20</v>
      </c>
      <c r="E438" t="s">
        <v>21</v>
      </c>
      <c r="F438">
        <v>4.2</v>
      </c>
      <c r="G438">
        <v>9599</v>
      </c>
      <c r="H438">
        <v>9599</v>
      </c>
      <c r="I438">
        <f>FlipkartTable[[#This Row],[Original Price]]-FlipkartTable[[#This Row],[Selling Price]]</f>
        <v>0</v>
      </c>
      <c r="J438" s="4">
        <f>(FlipkartTable[[#This Row],[Original Price]]-FlipkartTable[[#This Row],[Selling Price]])/FlipkartTable[[#This Row],[Original Price]]</f>
        <v>0</v>
      </c>
      <c r="K438">
        <f>(FlipkartTable[[#This Row],[Rating]]/FlipkartTable[[#This Row],[Selling Price]])*1000</f>
        <v>0.43754557766434005</v>
      </c>
      <c r="L438" t="str">
        <f>IF(FlipkartTable[[#This Row],[Selling Price]]&lt;15000,"Budget",IF(FlipkartTable[[#This Row],[Selling Price]]&lt;50000,"Mid Range","Premium"))</f>
        <v>Budget</v>
      </c>
      <c r="M438" t="str">
        <f>IF(FlipkartTable[[#This Row],[Rating]]&gt;4.5,"Excellent",IF(FlipkartTable[[#This Row],[Rating]]&gt;4,"Good",IF(FlipkartTable[[#This Row],[Rating]]&gt;3.5,"Average","Poor")))</f>
        <v>Good</v>
      </c>
    </row>
    <row r="439" spans="1:13" x14ac:dyDescent="0.35">
      <c r="A439" t="s">
        <v>305</v>
      </c>
      <c r="B439" s="9" t="s">
        <v>335</v>
      </c>
      <c r="C439" t="s">
        <v>141</v>
      </c>
      <c r="D439" t="s">
        <v>20</v>
      </c>
      <c r="E439" t="s">
        <v>21</v>
      </c>
      <c r="F439">
        <v>4</v>
      </c>
      <c r="G439">
        <v>17999</v>
      </c>
      <c r="H439">
        <v>17999</v>
      </c>
      <c r="I439">
        <f>FlipkartTable[[#This Row],[Original Price]]-FlipkartTable[[#This Row],[Selling Price]]</f>
        <v>0</v>
      </c>
      <c r="J439" s="4">
        <f>(FlipkartTable[[#This Row],[Original Price]]-FlipkartTable[[#This Row],[Selling Price]])/FlipkartTable[[#This Row],[Original Price]]</f>
        <v>0</v>
      </c>
      <c r="K439">
        <f>(FlipkartTable[[#This Row],[Rating]]/FlipkartTable[[#This Row],[Selling Price]])*1000</f>
        <v>0.22223456858714374</v>
      </c>
      <c r="L439" t="str">
        <f>IF(FlipkartTable[[#This Row],[Selling Price]]&lt;15000,"Budget",IF(FlipkartTable[[#This Row],[Selling Price]]&lt;50000,"Mid Range","Premium"))</f>
        <v>Mid Range</v>
      </c>
      <c r="M439" t="str">
        <f>IF(FlipkartTable[[#This Row],[Rating]]&gt;4.5,"Excellent",IF(FlipkartTable[[#This Row],[Rating]]&gt;4,"Good",IF(FlipkartTable[[#This Row],[Rating]]&gt;3.5,"Average","Poor")))</f>
        <v>Average</v>
      </c>
    </row>
    <row r="440" spans="1:13" x14ac:dyDescent="0.35">
      <c r="A440" t="s">
        <v>305</v>
      </c>
      <c r="B440" s="9" t="s">
        <v>332</v>
      </c>
      <c r="C440" t="s">
        <v>116</v>
      </c>
      <c r="D440" t="s">
        <v>134</v>
      </c>
      <c r="E440" t="s">
        <v>27</v>
      </c>
      <c r="F440">
        <v>3.6</v>
      </c>
      <c r="G440">
        <v>4880</v>
      </c>
      <c r="H440">
        <v>4880</v>
      </c>
      <c r="I440">
        <f>FlipkartTable[[#This Row],[Original Price]]-FlipkartTable[[#This Row],[Selling Price]]</f>
        <v>0</v>
      </c>
      <c r="J440" s="4">
        <f>(FlipkartTable[[#This Row],[Original Price]]-FlipkartTable[[#This Row],[Selling Price]])/FlipkartTable[[#This Row],[Original Price]]</f>
        <v>0</v>
      </c>
      <c r="K440">
        <f>(FlipkartTable[[#This Row],[Rating]]/FlipkartTable[[#This Row],[Selling Price]])*1000</f>
        <v>0.73770491803278693</v>
      </c>
      <c r="L440" t="str">
        <f>IF(FlipkartTable[[#This Row],[Selling Price]]&lt;15000,"Budget",IF(FlipkartTable[[#This Row],[Selling Price]]&lt;50000,"Mid Range","Premium"))</f>
        <v>Budget</v>
      </c>
      <c r="M440" t="str">
        <f>IF(FlipkartTable[[#This Row],[Rating]]&gt;4.5,"Excellent",IF(FlipkartTable[[#This Row],[Rating]]&gt;4,"Good",IF(FlipkartTable[[#This Row],[Rating]]&gt;3.5,"Average","Poor")))</f>
        <v>Average</v>
      </c>
    </row>
    <row r="441" spans="1:13" x14ac:dyDescent="0.35">
      <c r="A441" t="s">
        <v>305</v>
      </c>
      <c r="B441" s="9" t="s">
        <v>312</v>
      </c>
      <c r="C441" t="s">
        <v>37</v>
      </c>
      <c r="D441" t="s">
        <v>27</v>
      </c>
      <c r="E441" t="s">
        <v>64</v>
      </c>
      <c r="F441">
        <v>4.3</v>
      </c>
      <c r="G441">
        <v>43999</v>
      </c>
      <c r="H441">
        <v>43999</v>
      </c>
      <c r="I441">
        <f>FlipkartTable[[#This Row],[Original Price]]-FlipkartTable[[#This Row],[Selling Price]]</f>
        <v>0</v>
      </c>
      <c r="J441" s="4">
        <f>(FlipkartTable[[#This Row],[Original Price]]-FlipkartTable[[#This Row],[Selling Price]])/FlipkartTable[[#This Row],[Original Price]]</f>
        <v>0</v>
      </c>
      <c r="K441">
        <f>(FlipkartTable[[#This Row],[Rating]]/FlipkartTable[[#This Row],[Selling Price]])*1000</f>
        <v>9.7729493852133004E-2</v>
      </c>
      <c r="L441" t="str">
        <f>IF(FlipkartTable[[#This Row],[Selling Price]]&lt;15000,"Budget",IF(FlipkartTable[[#This Row],[Selling Price]]&lt;50000,"Mid Range","Premium"))</f>
        <v>Mid Range</v>
      </c>
      <c r="M441" t="str">
        <f>IF(FlipkartTable[[#This Row],[Rating]]&gt;4.5,"Excellent",IF(FlipkartTable[[#This Row],[Rating]]&gt;4,"Good",IF(FlipkartTable[[#This Row],[Rating]]&gt;3.5,"Average","Poor")))</f>
        <v>Good</v>
      </c>
    </row>
    <row r="442" spans="1:13" x14ac:dyDescent="0.35">
      <c r="A442" t="s">
        <v>305</v>
      </c>
      <c r="B442" s="9" t="s">
        <v>308</v>
      </c>
      <c r="C442" t="s">
        <v>19</v>
      </c>
      <c r="D442" t="s">
        <v>14</v>
      </c>
      <c r="E442" t="s">
        <v>12</v>
      </c>
      <c r="F442">
        <v>4.3</v>
      </c>
      <c r="G442">
        <v>17999</v>
      </c>
      <c r="H442">
        <v>17999</v>
      </c>
      <c r="I442">
        <f>FlipkartTable[[#This Row],[Original Price]]-FlipkartTable[[#This Row],[Selling Price]]</f>
        <v>0</v>
      </c>
      <c r="J442" s="4">
        <f>(FlipkartTable[[#This Row],[Original Price]]-FlipkartTable[[#This Row],[Selling Price]])/FlipkartTable[[#This Row],[Original Price]]</f>
        <v>0</v>
      </c>
      <c r="K442">
        <f>(FlipkartTable[[#This Row],[Rating]]/FlipkartTable[[#This Row],[Selling Price]])*1000</f>
        <v>0.23890216123117949</v>
      </c>
      <c r="L442" t="str">
        <f>IF(FlipkartTable[[#This Row],[Selling Price]]&lt;15000,"Budget",IF(FlipkartTable[[#This Row],[Selling Price]]&lt;50000,"Mid Range","Premium"))</f>
        <v>Mid Range</v>
      </c>
      <c r="M442" t="str">
        <f>IF(FlipkartTable[[#This Row],[Rating]]&gt;4.5,"Excellent",IF(FlipkartTable[[#This Row],[Rating]]&gt;4,"Good",IF(FlipkartTable[[#This Row],[Rating]]&gt;3.5,"Average","Poor")))</f>
        <v>Good</v>
      </c>
    </row>
    <row r="443" spans="1:13" x14ac:dyDescent="0.35">
      <c r="A443" t="s">
        <v>305</v>
      </c>
      <c r="B443" s="9" t="s">
        <v>308</v>
      </c>
      <c r="C443" t="s">
        <v>22</v>
      </c>
      <c r="D443" t="s">
        <v>11</v>
      </c>
      <c r="E443" t="s">
        <v>12</v>
      </c>
      <c r="F443">
        <v>4.3</v>
      </c>
      <c r="G443">
        <v>15599</v>
      </c>
      <c r="H443">
        <v>15599</v>
      </c>
      <c r="I443">
        <f>FlipkartTable[[#This Row],[Original Price]]-FlipkartTable[[#This Row],[Selling Price]]</f>
        <v>0</v>
      </c>
      <c r="J443" s="4">
        <f>(FlipkartTable[[#This Row],[Original Price]]-FlipkartTable[[#This Row],[Selling Price]])/FlipkartTable[[#This Row],[Original Price]]</f>
        <v>0</v>
      </c>
      <c r="K443">
        <f>(FlipkartTable[[#This Row],[Rating]]/FlipkartTable[[#This Row],[Selling Price]])*1000</f>
        <v>0.27565869607026089</v>
      </c>
      <c r="L443" t="str">
        <f>IF(FlipkartTable[[#This Row],[Selling Price]]&lt;15000,"Budget",IF(FlipkartTable[[#This Row],[Selling Price]]&lt;50000,"Mid Range","Premium"))</f>
        <v>Mid Range</v>
      </c>
      <c r="M443" t="str">
        <f>IF(FlipkartTable[[#This Row],[Rating]]&gt;4.5,"Excellent",IF(FlipkartTable[[#This Row],[Rating]]&gt;4,"Good",IF(FlipkartTable[[#This Row],[Rating]]&gt;3.5,"Average","Poor")))</f>
        <v>Good</v>
      </c>
    </row>
    <row r="444" spans="1:13" x14ac:dyDescent="0.35">
      <c r="A444" t="s">
        <v>305</v>
      </c>
      <c r="B444" s="9" t="s">
        <v>335</v>
      </c>
      <c r="C444" t="s">
        <v>152</v>
      </c>
      <c r="D444" t="s">
        <v>20</v>
      </c>
      <c r="E444" t="s">
        <v>124</v>
      </c>
      <c r="F444">
        <v>4</v>
      </c>
      <c r="G444">
        <v>13999</v>
      </c>
      <c r="H444">
        <v>13999</v>
      </c>
      <c r="I444">
        <f>FlipkartTable[[#This Row],[Original Price]]-FlipkartTable[[#This Row],[Selling Price]]</f>
        <v>0</v>
      </c>
      <c r="J444" s="4">
        <f>(FlipkartTable[[#This Row],[Original Price]]-FlipkartTable[[#This Row],[Selling Price]])/FlipkartTable[[#This Row],[Original Price]]</f>
        <v>0</v>
      </c>
      <c r="K444">
        <f>(FlipkartTable[[#This Row],[Rating]]/FlipkartTable[[#This Row],[Selling Price]])*1000</f>
        <v>0.28573469533538115</v>
      </c>
      <c r="L444" t="str">
        <f>IF(FlipkartTable[[#This Row],[Selling Price]]&lt;15000,"Budget",IF(FlipkartTable[[#This Row],[Selling Price]]&lt;50000,"Mid Range","Premium"))</f>
        <v>Budget</v>
      </c>
      <c r="M444" t="str">
        <f>IF(FlipkartTable[[#This Row],[Rating]]&gt;4.5,"Excellent",IF(FlipkartTable[[#This Row],[Rating]]&gt;4,"Good",IF(FlipkartTable[[#This Row],[Rating]]&gt;3.5,"Average","Poor")))</f>
        <v>Average</v>
      </c>
    </row>
    <row r="445" spans="1:13" x14ac:dyDescent="0.35">
      <c r="A445" t="s">
        <v>305</v>
      </c>
      <c r="B445" s="9" t="s">
        <v>335</v>
      </c>
      <c r="C445" t="s">
        <v>19</v>
      </c>
      <c r="D445" t="s">
        <v>20</v>
      </c>
      <c r="E445" t="s">
        <v>124</v>
      </c>
      <c r="F445">
        <v>4</v>
      </c>
      <c r="G445">
        <v>9999</v>
      </c>
      <c r="H445">
        <v>9999</v>
      </c>
      <c r="I445">
        <f>FlipkartTable[[#This Row],[Original Price]]-FlipkartTable[[#This Row],[Selling Price]]</f>
        <v>0</v>
      </c>
      <c r="J445" s="4">
        <f>(FlipkartTable[[#This Row],[Original Price]]-FlipkartTable[[#This Row],[Selling Price]])/FlipkartTable[[#This Row],[Original Price]]</f>
        <v>0</v>
      </c>
      <c r="K445">
        <f>(FlipkartTable[[#This Row],[Rating]]/FlipkartTable[[#This Row],[Selling Price]])*1000</f>
        <v>0.40004000400040007</v>
      </c>
      <c r="L445" t="str">
        <f>IF(FlipkartTable[[#This Row],[Selling Price]]&lt;15000,"Budget",IF(FlipkartTable[[#This Row],[Selling Price]]&lt;50000,"Mid Range","Premium"))</f>
        <v>Budget</v>
      </c>
      <c r="M445" t="str">
        <f>IF(FlipkartTable[[#This Row],[Rating]]&gt;4.5,"Excellent",IF(FlipkartTable[[#This Row],[Rating]]&gt;4,"Good",IF(FlipkartTable[[#This Row],[Rating]]&gt;3.5,"Average","Poor")))</f>
        <v>Average</v>
      </c>
    </row>
    <row r="446" spans="1:13" x14ac:dyDescent="0.35">
      <c r="A446" t="s">
        <v>305</v>
      </c>
      <c r="B446" s="9" t="s">
        <v>308</v>
      </c>
      <c r="C446" t="s">
        <v>141</v>
      </c>
      <c r="D446" t="s">
        <v>20</v>
      </c>
      <c r="E446" t="s">
        <v>21</v>
      </c>
      <c r="F446">
        <v>4.3</v>
      </c>
      <c r="G446">
        <v>13199</v>
      </c>
      <c r="H446">
        <v>13199</v>
      </c>
      <c r="I446">
        <f>FlipkartTable[[#This Row],[Original Price]]-FlipkartTable[[#This Row],[Selling Price]]</f>
        <v>0</v>
      </c>
      <c r="J446" s="4">
        <f>(FlipkartTable[[#This Row],[Original Price]]-FlipkartTable[[#This Row],[Selling Price]])/FlipkartTable[[#This Row],[Original Price]]</f>
        <v>0</v>
      </c>
      <c r="K446">
        <f>(FlipkartTable[[#This Row],[Rating]]/FlipkartTable[[#This Row],[Selling Price]])*1000</f>
        <v>0.32578225623153267</v>
      </c>
      <c r="L446" t="str">
        <f>IF(FlipkartTable[[#This Row],[Selling Price]]&lt;15000,"Budget",IF(FlipkartTable[[#This Row],[Selling Price]]&lt;50000,"Mid Range","Premium"))</f>
        <v>Budget</v>
      </c>
      <c r="M446" t="str">
        <f>IF(FlipkartTable[[#This Row],[Rating]]&gt;4.5,"Excellent",IF(FlipkartTable[[#This Row],[Rating]]&gt;4,"Good",IF(FlipkartTable[[#This Row],[Rating]]&gt;3.5,"Average","Poor")))</f>
        <v>Good</v>
      </c>
    </row>
    <row r="447" spans="1:13" x14ac:dyDescent="0.35">
      <c r="A447" t="s">
        <v>305</v>
      </c>
      <c r="B447" s="9" t="s">
        <v>335</v>
      </c>
      <c r="C447" t="s">
        <v>116</v>
      </c>
      <c r="D447" t="s">
        <v>20</v>
      </c>
      <c r="E447" t="s">
        <v>124</v>
      </c>
      <c r="F447">
        <v>4</v>
      </c>
      <c r="G447">
        <v>9999</v>
      </c>
      <c r="H447">
        <v>9999</v>
      </c>
      <c r="I447">
        <f>FlipkartTable[[#This Row],[Original Price]]-FlipkartTable[[#This Row],[Selling Price]]</f>
        <v>0</v>
      </c>
      <c r="J447" s="4">
        <f>(FlipkartTable[[#This Row],[Original Price]]-FlipkartTable[[#This Row],[Selling Price]])/FlipkartTable[[#This Row],[Original Price]]</f>
        <v>0</v>
      </c>
      <c r="K447">
        <f>(FlipkartTable[[#This Row],[Rating]]/FlipkartTable[[#This Row],[Selling Price]])*1000</f>
        <v>0.40004000400040007</v>
      </c>
      <c r="L447" t="str">
        <f>IF(FlipkartTable[[#This Row],[Selling Price]]&lt;15000,"Budget",IF(FlipkartTable[[#This Row],[Selling Price]]&lt;50000,"Mid Range","Premium"))</f>
        <v>Budget</v>
      </c>
      <c r="M447" t="str">
        <f>IF(FlipkartTable[[#This Row],[Rating]]&gt;4.5,"Excellent",IF(FlipkartTable[[#This Row],[Rating]]&gt;4,"Good",IF(FlipkartTable[[#This Row],[Rating]]&gt;3.5,"Average","Poor")))</f>
        <v>Average</v>
      </c>
    </row>
    <row r="448" spans="1:13" x14ac:dyDescent="0.35">
      <c r="A448" t="s">
        <v>305</v>
      </c>
      <c r="B448" s="9" t="s">
        <v>333</v>
      </c>
      <c r="C448" t="s">
        <v>116</v>
      </c>
      <c r="D448" t="s">
        <v>20</v>
      </c>
      <c r="E448" t="s">
        <v>21</v>
      </c>
      <c r="F448">
        <v>4.2</v>
      </c>
      <c r="G448">
        <v>9599</v>
      </c>
      <c r="H448">
        <v>9599</v>
      </c>
      <c r="I448">
        <f>FlipkartTable[[#This Row],[Original Price]]-FlipkartTable[[#This Row],[Selling Price]]</f>
        <v>0</v>
      </c>
      <c r="J448" s="4">
        <f>(FlipkartTable[[#This Row],[Original Price]]-FlipkartTable[[#This Row],[Selling Price]])/FlipkartTable[[#This Row],[Original Price]]</f>
        <v>0</v>
      </c>
      <c r="K448">
        <f>(FlipkartTable[[#This Row],[Rating]]/FlipkartTable[[#This Row],[Selling Price]])*1000</f>
        <v>0.43754557766434005</v>
      </c>
      <c r="L448" t="str">
        <f>IF(FlipkartTable[[#This Row],[Selling Price]]&lt;15000,"Budget",IF(FlipkartTable[[#This Row],[Selling Price]]&lt;50000,"Mid Range","Premium"))</f>
        <v>Budget</v>
      </c>
      <c r="M448" t="str">
        <f>IF(FlipkartTable[[#This Row],[Rating]]&gt;4.5,"Excellent",IF(FlipkartTable[[#This Row],[Rating]]&gt;4,"Good",IF(FlipkartTable[[#This Row],[Rating]]&gt;3.5,"Average","Poor")))</f>
        <v>Good</v>
      </c>
    </row>
    <row r="449" spans="1:13" x14ac:dyDescent="0.35">
      <c r="A449" t="s">
        <v>305</v>
      </c>
      <c r="B449" s="9" t="s">
        <v>335</v>
      </c>
      <c r="C449" t="s">
        <v>296</v>
      </c>
      <c r="D449" t="s">
        <v>20</v>
      </c>
      <c r="E449" t="s">
        <v>21</v>
      </c>
      <c r="F449">
        <v>4</v>
      </c>
      <c r="G449">
        <v>17999</v>
      </c>
      <c r="H449">
        <v>17999</v>
      </c>
      <c r="I449">
        <f>FlipkartTable[[#This Row],[Original Price]]-FlipkartTable[[#This Row],[Selling Price]]</f>
        <v>0</v>
      </c>
      <c r="J449" s="4">
        <f>(FlipkartTable[[#This Row],[Original Price]]-FlipkartTable[[#This Row],[Selling Price]])/FlipkartTable[[#This Row],[Original Price]]</f>
        <v>0</v>
      </c>
      <c r="K449">
        <f>(FlipkartTable[[#This Row],[Rating]]/FlipkartTable[[#This Row],[Selling Price]])*1000</f>
        <v>0.22223456858714374</v>
      </c>
      <c r="L449" t="str">
        <f>IF(FlipkartTable[[#This Row],[Selling Price]]&lt;15000,"Budget",IF(FlipkartTable[[#This Row],[Selling Price]]&lt;50000,"Mid Range","Premium"))</f>
        <v>Mid Range</v>
      </c>
      <c r="M449" t="str">
        <f>IF(FlipkartTable[[#This Row],[Rating]]&gt;4.5,"Excellent",IF(FlipkartTable[[#This Row],[Rating]]&gt;4,"Good",IF(FlipkartTable[[#This Row],[Rating]]&gt;3.5,"Average","Poor")))</f>
        <v>Average</v>
      </c>
    </row>
    <row r="450" spans="1:13" x14ac:dyDescent="0.35">
      <c r="A450" t="s">
        <v>305</v>
      </c>
      <c r="B450" s="9" t="s">
        <v>335</v>
      </c>
      <c r="C450" t="s">
        <v>84</v>
      </c>
      <c r="D450" t="s">
        <v>35</v>
      </c>
      <c r="E450" t="s">
        <v>124</v>
      </c>
      <c r="F450">
        <v>3.9</v>
      </c>
      <c r="G450">
        <v>15999</v>
      </c>
      <c r="H450">
        <v>15999</v>
      </c>
      <c r="I450">
        <f>FlipkartTable[[#This Row],[Original Price]]-FlipkartTable[[#This Row],[Selling Price]]</f>
        <v>0</v>
      </c>
      <c r="J450" s="4">
        <f>(FlipkartTable[[#This Row],[Original Price]]-FlipkartTable[[#This Row],[Selling Price]])/FlipkartTable[[#This Row],[Original Price]]</f>
        <v>0</v>
      </c>
      <c r="K450">
        <f>(FlipkartTable[[#This Row],[Rating]]/FlipkartTable[[#This Row],[Selling Price]])*1000</f>
        <v>0.24376523532720795</v>
      </c>
      <c r="L450" t="str">
        <f>IF(FlipkartTable[[#This Row],[Selling Price]]&lt;15000,"Budget",IF(FlipkartTable[[#This Row],[Selling Price]]&lt;50000,"Mid Range","Premium"))</f>
        <v>Mid Range</v>
      </c>
      <c r="M450" t="str">
        <f>IF(FlipkartTable[[#This Row],[Rating]]&gt;4.5,"Excellent",IF(FlipkartTable[[#This Row],[Rating]]&gt;4,"Good",IF(FlipkartTable[[#This Row],[Rating]]&gt;3.5,"Average","Poor")))</f>
        <v>Average</v>
      </c>
    </row>
    <row r="451" spans="1:13" x14ac:dyDescent="0.35">
      <c r="A451" t="s">
        <v>305</v>
      </c>
      <c r="B451" s="9" t="s">
        <v>335</v>
      </c>
      <c r="C451" t="s">
        <v>152</v>
      </c>
      <c r="D451" t="s">
        <v>35</v>
      </c>
      <c r="E451" t="s">
        <v>124</v>
      </c>
      <c r="F451">
        <v>3.9</v>
      </c>
      <c r="G451">
        <v>15999</v>
      </c>
      <c r="H451">
        <v>15999</v>
      </c>
      <c r="I451">
        <f>FlipkartTable[[#This Row],[Original Price]]-FlipkartTable[[#This Row],[Selling Price]]</f>
        <v>0</v>
      </c>
      <c r="J451" s="4">
        <f>(FlipkartTable[[#This Row],[Original Price]]-FlipkartTable[[#This Row],[Selling Price]])/FlipkartTable[[#This Row],[Original Price]]</f>
        <v>0</v>
      </c>
      <c r="K451">
        <f>(FlipkartTable[[#This Row],[Rating]]/FlipkartTable[[#This Row],[Selling Price]])*1000</f>
        <v>0.24376523532720795</v>
      </c>
      <c r="L451" t="str">
        <f>IF(FlipkartTable[[#This Row],[Selling Price]]&lt;15000,"Budget",IF(FlipkartTable[[#This Row],[Selling Price]]&lt;50000,"Mid Range","Premium"))</f>
        <v>Mid Range</v>
      </c>
      <c r="M451" t="str">
        <f>IF(FlipkartTable[[#This Row],[Rating]]&gt;4.5,"Excellent",IF(FlipkartTable[[#This Row],[Rating]]&gt;4,"Good",IF(FlipkartTable[[#This Row],[Rating]]&gt;3.5,"Average","Poor")))</f>
        <v>Average</v>
      </c>
    </row>
    <row r="452" spans="1:13" x14ac:dyDescent="0.35">
      <c r="A452" t="s">
        <v>305</v>
      </c>
      <c r="B452" s="9" t="s">
        <v>320</v>
      </c>
      <c r="C452" t="s">
        <v>336</v>
      </c>
      <c r="D452" t="s">
        <v>20</v>
      </c>
      <c r="E452" t="s">
        <v>21</v>
      </c>
      <c r="F452">
        <v>4.0999999999999996</v>
      </c>
      <c r="G452">
        <v>10999</v>
      </c>
      <c r="H452">
        <v>10999</v>
      </c>
      <c r="I452">
        <f>FlipkartTable[[#This Row],[Original Price]]-FlipkartTable[[#This Row],[Selling Price]]</f>
        <v>0</v>
      </c>
      <c r="J452" s="4">
        <f>(FlipkartTable[[#This Row],[Original Price]]-FlipkartTable[[#This Row],[Selling Price]])/FlipkartTable[[#This Row],[Original Price]]</f>
        <v>0</v>
      </c>
      <c r="K452">
        <f>(FlipkartTable[[#This Row],[Rating]]/FlipkartTable[[#This Row],[Selling Price]])*1000</f>
        <v>0.37276116010546406</v>
      </c>
      <c r="L452" t="str">
        <f>IF(FlipkartTable[[#This Row],[Selling Price]]&lt;15000,"Budget",IF(FlipkartTable[[#This Row],[Selling Price]]&lt;50000,"Mid Range","Premium"))</f>
        <v>Budget</v>
      </c>
      <c r="M452" t="str">
        <f>IF(FlipkartTable[[#This Row],[Rating]]&gt;4.5,"Excellent",IF(FlipkartTable[[#This Row],[Rating]]&gt;4,"Good",IF(FlipkartTable[[#This Row],[Rating]]&gt;3.5,"Average","Poor")))</f>
        <v>Good</v>
      </c>
    </row>
    <row r="453" spans="1:13" x14ac:dyDescent="0.35">
      <c r="A453" t="s">
        <v>305</v>
      </c>
      <c r="B453" s="9" t="s">
        <v>310</v>
      </c>
      <c r="C453" t="s">
        <v>22</v>
      </c>
      <c r="D453" t="s">
        <v>11</v>
      </c>
      <c r="E453" t="s">
        <v>12</v>
      </c>
      <c r="F453">
        <v>4.3</v>
      </c>
      <c r="G453">
        <v>14999</v>
      </c>
      <c r="H453">
        <v>14999</v>
      </c>
      <c r="I453">
        <f>FlipkartTable[[#This Row],[Original Price]]-FlipkartTable[[#This Row],[Selling Price]]</f>
        <v>0</v>
      </c>
      <c r="J453" s="4">
        <f>(FlipkartTable[[#This Row],[Original Price]]-FlipkartTable[[#This Row],[Selling Price]])/FlipkartTable[[#This Row],[Original Price]]</f>
        <v>0</v>
      </c>
      <c r="K453">
        <f>(FlipkartTable[[#This Row],[Rating]]/FlipkartTable[[#This Row],[Selling Price]])*1000</f>
        <v>0.28668577905193682</v>
      </c>
      <c r="L453" t="str">
        <f>IF(FlipkartTable[[#This Row],[Selling Price]]&lt;15000,"Budget",IF(FlipkartTable[[#This Row],[Selling Price]]&lt;50000,"Mid Range","Premium"))</f>
        <v>Budget</v>
      </c>
      <c r="M453" t="str">
        <f>IF(FlipkartTable[[#This Row],[Rating]]&gt;4.5,"Excellent",IF(FlipkartTable[[#This Row],[Rating]]&gt;4,"Good",IF(FlipkartTable[[#This Row],[Rating]]&gt;3.5,"Average","Poor")))</f>
        <v>Good</v>
      </c>
    </row>
    <row r="454" spans="1:13" x14ac:dyDescent="0.35">
      <c r="A454" t="s">
        <v>305</v>
      </c>
      <c r="B454" s="9" t="s">
        <v>320</v>
      </c>
      <c r="C454" t="s">
        <v>116</v>
      </c>
      <c r="D454" t="s">
        <v>20</v>
      </c>
      <c r="E454" t="s">
        <v>21</v>
      </c>
      <c r="F454">
        <v>4.0999999999999996</v>
      </c>
      <c r="G454">
        <v>10999</v>
      </c>
      <c r="H454">
        <v>10999</v>
      </c>
      <c r="I454">
        <f>FlipkartTable[[#This Row],[Original Price]]-FlipkartTable[[#This Row],[Selling Price]]</f>
        <v>0</v>
      </c>
      <c r="J454" s="4">
        <f>(FlipkartTable[[#This Row],[Original Price]]-FlipkartTable[[#This Row],[Selling Price]])/FlipkartTable[[#This Row],[Original Price]]</f>
        <v>0</v>
      </c>
      <c r="K454">
        <f>(FlipkartTable[[#This Row],[Rating]]/FlipkartTable[[#This Row],[Selling Price]])*1000</f>
        <v>0.37276116010546406</v>
      </c>
      <c r="L454" t="str">
        <f>IF(FlipkartTable[[#This Row],[Selling Price]]&lt;15000,"Budget",IF(FlipkartTable[[#This Row],[Selling Price]]&lt;50000,"Mid Range","Premium"))</f>
        <v>Budget</v>
      </c>
      <c r="M454" t="str">
        <f>IF(FlipkartTable[[#This Row],[Rating]]&gt;4.5,"Excellent",IF(FlipkartTable[[#This Row],[Rating]]&gt;4,"Good",IF(FlipkartTable[[#This Row],[Rating]]&gt;3.5,"Average","Poor")))</f>
        <v>Good</v>
      </c>
    </row>
    <row r="455" spans="1:13" x14ac:dyDescent="0.35">
      <c r="A455" t="s">
        <v>305</v>
      </c>
      <c r="B455" s="9" t="s">
        <v>324</v>
      </c>
      <c r="C455" t="s">
        <v>337</v>
      </c>
      <c r="D455" t="s">
        <v>14</v>
      </c>
      <c r="E455" t="s">
        <v>12</v>
      </c>
      <c r="F455">
        <v>4.3</v>
      </c>
      <c r="G455">
        <v>19999</v>
      </c>
      <c r="H455">
        <v>19999</v>
      </c>
      <c r="I455">
        <f>FlipkartTable[[#This Row],[Original Price]]-FlipkartTable[[#This Row],[Selling Price]]</f>
        <v>0</v>
      </c>
      <c r="J455" s="4">
        <f>(FlipkartTable[[#This Row],[Original Price]]-FlipkartTable[[#This Row],[Selling Price]])/FlipkartTable[[#This Row],[Original Price]]</f>
        <v>0</v>
      </c>
      <c r="K455">
        <f>(FlipkartTable[[#This Row],[Rating]]/FlipkartTable[[#This Row],[Selling Price]])*1000</f>
        <v>0.21501075053752686</v>
      </c>
      <c r="L455" t="str">
        <f>IF(FlipkartTable[[#This Row],[Selling Price]]&lt;15000,"Budget",IF(FlipkartTable[[#This Row],[Selling Price]]&lt;50000,"Mid Range","Premium"))</f>
        <v>Mid Range</v>
      </c>
      <c r="M455" t="str">
        <f>IF(FlipkartTable[[#This Row],[Rating]]&gt;4.5,"Excellent",IF(FlipkartTable[[#This Row],[Rating]]&gt;4,"Good",IF(FlipkartTable[[#This Row],[Rating]]&gt;3.5,"Average","Poor")))</f>
        <v>Good</v>
      </c>
    </row>
    <row r="456" spans="1:13" x14ac:dyDescent="0.35">
      <c r="A456" t="s">
        <v>305</v>
      </c>
      <c r="B456" s="9" t="s">
        <v>312</v>
      </c>
      <c r="C456" t="s">
        <v>19</v>
      </c>
      <c r="D456" t="s">
        <v>27</v>
      </c>
      <c r="E456" t="s">
        <v>64</v>
      </c>
      <c r="F456">
        <v>4.3</v>
      </c>
      <c r="G456">
        <v>43999</v>
      </c>
      <c r="H456">
        <v>43999</v>
      </c>
      <c r="I456">
        <f>FlipkartTable[[#This Row],[Original Price]]-FlipkartTable[[#This Row],[Selling Price]]</f>
        <v>0</v>
      </c>
      <c r="J456" s="4">
        <f>(FlipkartTable[[#This Row],[Original Price]]-FlipkartTable[[#This Row],[Selling Price]])/FlipkartTable[[#This Row],[Original Price]]</f>
        <v>0</v>
      </c>
      <c r="K456">
        <f>(FlipkartTable[[#This Row],[Rating]]/FlipkartTable[[#This Row],[Selling Price]])*1000</f>
        <v>9.7729493852133004E-2</v>
      </c>
      <c r="L456" t="str">
        <f>IF(FlipkartTable[[#This Row],[Selling Price]]&lt;15000,"Budget",IF(FlipkartTable[[#This Row],[Selling Price]]&lt;50000,"Mid Range","Premium"))</f>
        <v>Mid Range</v>
      </c>
      <c r="M456" t="str">
        <f>IF(FlipkartTable[[#This Row],[Rating]]&gt;4.5,"Excellent",IF(FlipkartTable[[#This Row],[Rating]]&gt;4,"Good",IF(FlipkartTable[[#This Row],[Rating]]&gt;3.5,"Average","Poor")))</f>
        <v>Good</v>
      </c>
    </row>
    <row r="457" spans="1:13" x14ac:dyDescent="0.35">
      <c r="A457" t="s">
        <v>305</v>
      </c>
      <c r="B457" s="9" t="s">
        <v>331</v>
      </c>
      <c r="C457" t="s">
        <v>152</v>
      </c>
      <c r="D457" t="s">
        <v>35</v>
      </c>
      <c r="E457" t="s">
        <v>124</v>
      </c>
      <c r="F457">
        <v>4.0999999999999996</v>
      </c>
      <c r="G457">
        <v>7499</v>
      </c>
      <c r="H457">
        <v>7499</v>
      </c>
      <c r="I457">
        <f>FlipkartTable[[#This Row],[Original Price]]-FlipkartTable[[#This Row],[Selling Price]]</f>
        <v>0</v>
      </c>
      <c r="J457" s="4">
        <f>(FlipkartTable[[#This Row],[Original Price]]-FlipkartTable[[#This Row],[Selling Price]])/FlipkartTable[[#This Row],[Original Price]]</f>
        <v>0</v>
      </c>
      <c r="K457">
        <f>(FlipkartTable[[#This Row],[Rating]]/FlipkartTable[[#This Row],[Selling Price]])*1000</f>
        <v>0.54673956527537004</v>
      </c>
      <c r="L457" t="str">
        <f>IF(FlipkartTable[[#This Row],[Selling Price]]&lt;15000,"Budget",IF(FlipkartTable[[#This Row],[Selling Price]]&lt;50000,"Mid Range","Premium"))</f>
        <v>Budget</v>
      </c>
      <c r="M457" t="str">
        <f>IF(FlipkartTable[[#This Row],[Rating]]&gt;4.5,"Excellent",IF(FlipkartTable[[#This Row],[Rating]]&gt;4,"Good",IF(FlipkartTable[[#This Row],[Rating]]&gt;3.5,"Average","Poor")))</f>
        <v>Good</v>
      </c>
    </row>
    <row r="458" spans="1:13" x14ac:dyDescent="0.35">
      <c r="A458" t="s">
        <v>305</v>
      </c>
      <c r="B458" s="9" t="s">
        <v>311</v>
      </c>
      <c r="C458" t="s">
        <v>79</v>
      </c>
      <c r="D458" t="s">
        <v>27</v>
      </c>
      <c r="E458" t="s">
        <v>64</v>
      </c>
      <c r="F458">
        <v>4.5</v>
      </c>
      <c r="G458">
        <v>43999</v>
      </c>
      <c r="H458">
        <v>43999</v>
      </c>
      <c r="I458">
        <f>FlipkartTable[[#This Row],[Original Price]]-FlipkartTable[[#This Row],[Selling Price]]</f>
        <v>0</v>
      </c>
      <c r="J458" s="4">
        <f>(FlipkartTable[[#This Row],[Original Price]]-FlipkartTable[[#This Row],[Selling Price]])/FlipkartTable[[#This Row],[Original Price]]</f>
        <v>0</v>
      </c>
      <c r="K458">
        <f>(FlipkartTable[[#This Row],[Rating]]/FlipkartTable[[#This Row],[Selling Price]])*1000</f>
        <v>0.10227505170572058</v>
      </c>
      <c r="L458" t="str">
        <f>IF(FlipkartTable[[#This Row],[Selling Price]]&lt;15000,"Budget",IF(FlipkartTable[[#This Row],[Selling Price]]&lt;50000,"Mid Range","Premium"))</f>
        <v>Mid Range</v>
      </c>
      <c r="M458" t="str">
        <f>IF(FlipkartTable[[#This Row],[Rating]]&gt;4.5,"Excellent",IF(FlipkartTable[[#This Row],[Rating]]&gt;4,"Good",IF(FlipkartTable[[#This Row],[Rating]]&gt;3.5,"Average","Poor")))</f>
        <v>Good</v>
      </c>
    </row>
    <row r="459" spans="1:13" x14ac:dyDescent="0.35">
      <c r="A459" t="s">
        <v>305</v>
      </c>
      <c r="B459" s="9" t="s">
        <v>312</v>
      </c>
      <c r="C459" t="s">
        <v>19</v>
      </c>
      <c r="D459" t="s">
        <v>14</v>
      </c>
      <c r="E459" t="s">
        <v>15</v>
      </c>
      <c r="F459">
        <v>4.3</v>
      </c>
      <c r="G459">
        <v>38999</v>
      </c>
      <c r="H459">
        <v>38999</v>
      </c>
      <c r="I459">
        <f>FlipkartTable[[#This Row],[Original Price]]-FlipkartTable[[#This Row],[Selling Price]]</f>
        <v>0</v>
      </c>
      <c r="J459" s="4">
        <f>(FlipkartTable[[#This Row],[Original Price]]-FlipkartTable[[#This Row],[Selling Price]])/FlipkartTable[[#This Row],[Original Price]]</f>
        <v>0</v>
      </c>
      <c r="K459">
        <f>(FlipkartTable[[#This Row],[Rating]]/FlipkartTable[[#This Row],[Selling Price]])*1000</f>
        <v>0.11025923741634401</v>
      </c>
      <c r="L459" t="str">
        <f>IF(FlipkartTable[[#This Row],[Selling Price]]&lt;15000,"Budget",IF(FlipkartTable[[#This Row],[Selling Price]]&lt;50000,"Mid Range","Premium"))</f>
        <v>Mid Range</v>
      </c>
      <c r="M459" t="str">
        <f>IF(FlipkartTable[[#This Row],[Rating]]&gt;4.5,"Excellent",IF(FlipkartTable[[#This Row],[Rating]]&gt;4,"Good",IF(FlipkartTable[[#This Row],[Rating]]&gt;3.5,"Average","Poor")))</f>
        <v>Good</v>
      </c>
    </row>
    <row r="460" spans="1:13" x14ac:dyDescent="0.35">
      <c r="A460" t="s">
        <v>305</v>
      </c>
      <c r="B460" s="9" t="s">
        <v>331</v>
      </c>
      <c r="C460" t="s">
        <v>19</v>
      </c>
      <c r="D460" t="s">
        <v>35</v>
      </c>
      <c r="E460" t="s">
        <v>21</v>
      </c>
      <c r="F460">
        <v>4.0999999999999996</v>
      </c>
      <c r="G460">
        <v>8499</v>
      </c>
      <c r="H460">
        <v>8499</v>
      </c>
      <c r="I460">
        <f>FlipkartTable[[#This Row],[Original Price]]-FlipkartTable[[#This Row],[Selling Price]]</f>
        <v>0</v>
      </c>
      <c r="J460" s="4">
        <f>(FlipkartTable[[#This Row],[Original Price]]-FlipkartTable[[#This Row],[Selling Price]])/FlipkartTable[[#This Row],[Original Price]]</f>
        <v>0</v>
      </c>
      <c r="K460">
        <f>(FlipkartTable[[#This Row],[Rating]]/FlipkartTable[[#This Row],[Selling Price]])*1000</f>
        <v>0.4824096952582656</v>
      </c>
      <c r="L460" t="str">
        <f>IF(FlipkartTable[[#This Row],[Selling Price]]&lt;15000,"Budget",IF(FlipkartTable[[#This Row],[Selling Price]]&lt;50000,"Mid Range","Premium"))</f>
        <v>Budget</v>
      </c>
      <c r="M460" t="str">
        <f>IF(FlipkartTable[[#This Row],[Rating]]&gt;4.5,"Excellent",IF(FlipkartTable[[#This Row],[Rating]]&gt;4,"Good",IF(FlipkartTable[[#This Row],[Rating]]&gt;3.5,"Average","Poor")))</f>
        <v>Good</v>
      </c>
    </row>
    <row r="461" spans="1:13" x14ac:dyDescent="0.35">
      <c r="A461" t="s">
        <v>305</v>
      </c>
      <c r="B461" s="9" t="s">
        <v>335</v>
      </c>
      <c r="C461" t="s">
        <v>121</v>
      </c>
      <c r="D461" t="s">
        <v>20</v>
      </c>
      <c r="E461" t="s">
        <v>124</v>
      </c>
      <c r="F461">
        <v>4</v>
      </c>
      <c r="G461">
        <v>13999</v>
      </c>
      <c r="H461">
        <v>13999</v>
      </c>
      <c r="I461">
        <f>FlipkartTable[[#This Row],[Original Price]]-FlipkartTable[[#This Row],[Selling Price]]</f>
        <v>0</v>
      </c>
      <c r="J461" s="4">
        <f>(FlipkartTable[[#This Row],[Original Price]]-FlipkartTable[[#This Row],[Selling Price]])/FlipkartTable[[#This Row],[Original Price]]</f>
        <v>0</v>
      </c>
      <c r="K461">
        <f>(FlipkartTable[[#This Row],[Rating]]/FlipkartTable[[#This Row],[Selling Price]])*1000</f>
        <v>0.28573469533538115</v>
      </c>
      <c r="L461" t="str">
        <f>IF(FlipkartTable[[#This Row],[Selling Price]]&lt;15000,"Budget",IF(FlipkartTable[[#This Row],[Selling Price]]&lt;50000,"Mid Range","Premium"))</f>
        <v>Budget</v>
      </c>
      <c r="M461" t="str">
        <f>IF(FlipkartTable[[#This Row],[Rating]]&gt;4.5,"Excellent",IF(FlipkartTable[[#This Row],[Rating]]&gt;4,"Good",IF(FlipkartTable[[#This Row],[Rating]]&gt;3.5,"Average","Poor")))</f>
        <v>Average</v>
      </c>
    </row>
    <row r="462" spans="1:13" x14ac:dyDescent="0.35">
      <c r="A462" t="s">
        <v>305</v>
      </c>
      <c r="B462" s="9" t="s">
        <v>324</v>
      </c>
      <c r="C462" t="s">
        <v>22</v>
      </c>
      <c r="D462" t="s">
        <v>11</v>
      </c>
      <c r="E462" t="s">
        <v>12</v>
      </c>
      <c r="F462">
        <v>4.3</v>
      </c>
      <c r="G462">
        <v>17999</v>
      </c>
      <c r="H462">
        <v>17999</v>
      </c>
      <c r="I462">
        <f>FlipkartTable[[#This Row],[Original Price]]-FlipkartTable[[#This Row],[Selling Price]]</f>
        <v>0</v>
      </c>
      <c r="J462" s="4">
        <f>(FlipkartTable[[#This Row],[Original Price]]-FlipkartTable[[#This Row],[Selling Price]])/FlipkartTable[[#This Row],[Original Price]]</f>
        <v>0</v>
      </c>
      <c r="K462">
        <f>(FlipkartTable[[#This Row],[Rating]]/FlipkartTable[[#This Row],[Selling Price]])*1000</f>
        <v>0.23890216123117949</v>
      </c>
      <c r="L462" t="str">
        <f>IF(FlipkartTable[[#This Row],[Selling Price]]&lt;15000,"Budget",IF(FlipkartTable[[#This Row],[Selling Price]]&lt;50000,"Mid Range","Premium"))</f>
        <v>Mid Range</v>
      </c>
      <c r="M462" t="str">
        <f>IF(FlipkartTable[[#This Row],[Rating]]&gt;4.5,"Excellent",IF(FlipkartTable[[#This Row],[Rating]]&gt;4,"Good",IF(FlipkartTable[[#This Row],[Rating]]&gt;3.5,"Average","Poor")))</f>
        <v>Good</v>
      </c>
    </row>
    <row r="463" spans="1:13" x14ac:dyDescent="0.35">
      <c r="A463" t="s">
        <v>305</v>
      </c>
      <c r="B463" s="9" t="s">
        <v>324</v>
      </c>
      <c r="C463" t="s">
        <v>337</v>
      </c>
      <c r="D463" t="s">
        <v>20</v>
      </c>
      <c r="E463" t="s">
        <v>21</v>
      </c>
      <c r="F463">
        <v>4.3</v>
      </c>
      <c r="G463">
        <v>15999</v>
      </c>
      <c r="H463">
        <v>15999</v>
      </c>
      <c r="I463">
        <f>FlipkartTable[[#This Row],[Original Price]]-FlipkartTable[[#This Row],[Selling Price]]</f>
        <v>0</v>
      </c>
      <c r="J463" s="4">
        <f>(FlipkartTable[[#This Row],[Original Price]]-FlipkartTable[[#This Row],[Selling Price]])/FlipkartTable[[#This Row],[Original Price]]</f>
        <v>0</v>
      </c>
      <c r="K463">
        <f>(FlipkartTable[[#This Row],[Rating]]/FlipkartTable[[#This Row],[Selling Price]])*1000</f>
        <v>0.26876679792487029</v>
      </c>
      <c r="L463" t="str">
        <f>IF(FlipkartTable[[#This Row],[Selling Price]]&lt;15000,"Budget",IF(FlipkartTable[[#This Row],[Selling Price]]&lt;50000,"Mid Range","Premium"))</f>
        <v>Mid Range</v>
      </c>
      <c r="M463" t="str">
        <f>IF(FlipkartTable[[#This Row],[Rating]]&gt;4.5,"Excellent",IF(FlipkartTable[[#This Row],[Rating]]&gt;4,"Good",IF(FlipkartTable[[#This Row],[Rating]]&gt;3.5,"Average","Poor")))</f>
        <v>Good</v>
      </c>
    </row>
    <row r="464" spans="1:13" x14ac:dyDescent="0.35">
      <c r="A464" t="s">
        <v>305</v>
      </c>
      <c r="B464" s="9" t="s">
        <v>321</v>
      </c>
      <c r="C464" t="s">
        <v>19</v>
      </c>
      <c r="D464" t="s">
        <v>63</v>
      </c>
      <c r="E464" t="s">
        <v>338</v>
      </c>
      <c r="F464">
        <v>4.5999999999999996</v>
      </c>
      <c r="G464">
        <v>62999</v>
      </c>
      <c r="H464">
        <v>62999</v>
      </c>
      <c r="I464">
        <f>FlipkartTable[[#This Row],[Original Price]]-FlipkartTable[[#This Row],[Selling Price]]</f>
        <v>0</v>
      </c>
      <c r="J464" s="4">
        <f>(FlipkartTable[[#This Row],[Original Price]]-FlipkartTable[[#This Row],[Selling Price]])/FlipkartTable[[#This Row],[Original Price]]</f>
        <v>0</v>
      </c>
      <c r="K464">
        <f>(FlipkartTable[[#This Row],[Rating]]/FlipkartTable[[#This Row],[Selling Price]])*1000</f>
        <v>7.3017032016381198E-2</v>
      </c>
      <c r="L464" t="str">
        <f>IF(FlipkartTable[[#This Row],[Selling Price]]&lt;15000,"Budget",IF(FlipkartTable[[#This Row],[Selling Price]]&lt;50000,"Mid Range","Premium"))</f>
        <v>Premium</v>
      </c>
      <c r="M464" t="str">
        <f>IF(FlipkartTable[[#This Row],[Rating]]&gt;4.5,"Excellent",IF(FlipkartTable[[#This Row],[Rating]]&gt;4,"Good",IF(FlipkartTable[[#This Row],[Rating]]&gt;3.5,"Average","Poor")))</f>
        <v>Excellent</v>
      </c>
    </row>
    <row r="465" spans="1:13" x14ac:dyDescent="0.35">
      <c r="A465" t="s">
        <v>305</v>
      </c>
      <c r="B465" s="9" t="s">
        <v>330</v>
      </c>
      <c r="C465" t="s">
        <v>19</v>
      </c>
      <c r="D465" t="s">
        <v>20</v>
      </c>
      <c r="E465" t="s">
        <v>21</v>
      </c>
      <c r="F465">
        <v>4.0999999999999996</v>
      </c>
      <c r="G465">
        <v>7990</v>
      </c>
      <c r="H465">
        <v>7990</v>
      </c>
      <c r="I465">
        <f>FlipkartTable[[#This Row],[Original Price]]-FlipkartTable[[#This Row],[Selling Price]]</f>
        <v>0</v>
      </c>
      <c r="J465" s="4">
        <f>(FlipkartTable[[#This Row],[Original Price]]-FlipkartTable[[#This Row],[Selling Price]])/FlipkartTable[[#This Row],[Original Price]]</f>
        <v>0</v>
      </c>
      <c r="K465">
        <f>(FlipkartTable[[#This Row],[Rating]]/FlipkartTable[[#This Row],[Selling Price]])*1000</f>
        <v>0.51314142678347929</v>
      </c>
      <c r="L465" t="str">
        <f>IF(FlipkartTable[[#This Row],[Selling Price]]&lt;15000,"Budget",IF(FlipkartTable[[#This Row],[Selling Price]]&lt;50000,"Mid Range","Premium"))</f>
        <v>Budget</v>
      </c>
      <c r="M465" t="str">
        <f>IF(FlipkartTable[[#This Row],[Rating]]&gt;4.5,"Excellent",IF(FlipkartTable[[#This Row],[Rating]]&gt;4,"Good",IF(FlipkartTable[[#This Row],[Rating]]&gt;3.5,"Average","Poor")))</f>
        <v>Good</v>
      </c>
    </row>
    <row r="466" spans="1:13" x14ac:dyDescent="0.35">
      <c r="A466" t="s">
        <v>305</v>
      </c>
      <c r="B466" s="9" t="s">
        <v>318</v>
      </c>
      <c r="C466" t="s">
        <v>141</v>
      </c>
      <c r="D466" t="s">
        <v>35</v>
      </c>
      <c r="E466" t="s">
        <v>21</v>
      </c>
      <c r="F466">
        <v>3.8</v>
      </c>
      <c r="G466">
        <v>6999</v>
      </c>
      <c r="H466">
        <v>6999</v>
      </c>
      <c r="I466">
        <f>FlipkartTable[[#This Row],[Original Price]]-FlipkartTable[[#This Row],[Selling Price]]</f>
        <v>0</v>
      </c>
      <c r="J466" s="4">
        <f>(FlipkartTable[[#This Row],[Original Price]]-FlipkartTable[[#This Row],[Selling Price]])/FlipkartTable[[#This Row],[Original Price]]</f>
        <v>0</v>
      </c>
      <c r="K466">
        <f>(FlipkartTable[[#This Row],[Rating]]/FlipkartTable[[#This Row],[Selling Price]])*1000</f>
        <v>0.54293470495785112</v>
      </c>
      <c r="L466" t="str">
        <f>IF(FlipkartTable[[#This Row],[Selling Price]]&lt;15000,"Budget",IF(FlipkartTable[[#This Row],[Selling Price]]&lt;50000,"Mid Range","Premium"))</f>
        <v>Budget</v>
      </c>
      <c r="M466" t="str">
        <f>IF(FlipkartTable[[#This Row],[Rating]]&gt;4.5,"Excellent",IF(FlipkartTable[[#This Row],[Rating]]&gt;4,"Good",IF(FlipkartTable[[#This Row],[Rating]]&gt;3.5,"Average","Poor")))</f>
        <v>Average</v>
      </c>
    </row>
    <row r="467" spans="1:13" x14ac:dyDescent="0.35">
      <c r="A467" t="s">
        <v>305</v>
      </c>
      <c r="B467" s="9" t="s">
        <v>311</v>
      </c>
      <c r="C467" t="s">
        <v>79</v>
      </c>
      <c r="D467" t="s">
        <v>14</v>
      </c>
      <c r="E467" t="s">
        <v>12</v>
      </c>
      <c r="F467">
        <v>4.5</v>
      </c>
      <c r="G467">
        <v>32999</v>
      </c>
      <c r="H467">
        <v>32999</v>
      </c>
      <c r="I467">
        <f>FlipkartTable[[#This Row],[Original Price]]-FlipkartTable[[#This Row],[Selling Price]]</f>
        <v>0</v>
      </c>
      <c r="J467" s="4">
        <f>(FlipkartTable[[#This Row],[Original Price]]-FlipkartTable[[#This Row],[Selling Price]])/FlipkartTable[[#This Row],[Original Price]]</f>
        <v>0</v>
      </c>
      <c r="K467">
        <f>(FlipkartTable[[#This Row],[Rating]]/FlipkartTable[[#This Row],[Selling Price]])*1000</f>
        <v>0.13636776872026427</v>
      </c>
      <c r="L467" t="str">
        <f>IF(FlipkartTable[[#This Row],[Selling Price]]&lt;15000,"Budget",IF(FlipkartTable[[#This Row],[Selling Price]]&lt;50000,"Mid Range","Premium"))</f>
        <v>Mid Range</v>
      </c>
      <c r="M467" t="str">
        <f>IF(FlipkartTable[[#This Row],[Rating]]&gt;4.5,"Excellent",IF(FlipkartTable[[#This Row],[Rating]]&gt;4,"Good",IF(FlipkartTable[[#This Row],[Rating]]&gt;3.5,"Average","Poor")))</f>
        <v>Good</v>
      </c>
    </row>
    <row r="468" spans="1:13" x14ac:dyDescent="0.35">
      <c r="A468" t="s">
        <v>305</v>
      </c>
      <c r="B468" s="9" t="s">
        <v>308</v>
      </c>
      <c r="C468" t="s">
        <v>19</v>
      </c>
      <c r="D468" t="s">
        <v>20</v>
      </c>
      <c r="E468" t="s">
        <v>21</v>
      </c>
      <c r="F468">
        <v>4.3</v>
      </c>
      <c r="G468">
        <v>13199</v>
      </c>
      <c r="H468">
        <v>13199</v>
      </c>
      <c r="I468">
        <f>FlipkartTable[[#This Row],[Original Price]]-FlipkartTable[[#This Row],[Selling Price]]</f>
        <v>0</v>
      </c>
      <c r="J468" s="4">
        <f>(FlipkartTable[[#This Row],[Original Price]]-FlipkartTable[[#This Row],[Selling Price]])/FlipkartTable[[#This Row],[Original Price]]</f>
        <v>0</v>
      </c>
      <c r="K468">
        <f>(FlipkartTable[[#This Row],[Rating]]/FlipkartTable[[#This Row],[Selling Price]])*1000</f>
        <v>0.32578225623153267</v>
      </c>
      <c r="L468" t="str">
        <f>IF(FlipkartTable[[#This Row],[Selling Price]]&lt;15000,"Budget",IF(FlipkartTable[[#This Row],[Selling Price]]&lt;50000,"Mid Range","Premium"))</f>
        <v>Budget</v>
      </c>
      <c r="M468" t="str">
        <f>IF(FlipkartTable[[#This Row],[Rating]]&gt;4.5,"Excellent",IF(FlipkartTable[[#This Row],[Rating]]&gt;4,"Good",IF(FlipkartTable[[#This Row],[Rating]]&gt;3.5,"Average","Poor")))</f>
        <v>Good</v>
      </c>
    </row>
    <row r="469" spans="1:13" x14ac:dyDescent="0.35">
      <c r="A469" t="s">
        <v>305</v>
      </c>
      <c r="B469" s="9" t="s">
        <v>324</v>
      </c>
      <c r="C469" t="s">
        <v>22</v>
      </c>
      <c r="D469" t="s">
        <v>14</v>
      </c>
      <c r="E469" t="s">
        <v>12</v>
      </c>
      <c r="F469">
        <v>4.3</v>
      </c>
      <c r="G469">
        <v>19999</v>
      </c>
      <c r="H469">
        <v>19999</v>
      </c>
      <c r="I469">
        <f>FlipkartTable[[#This Row],[Original Price]]-FlipkartTable[[#This Row],[Selling Price]]</f>
        <v>0</v>
      </c>
      <c r="J469" s="4">
        <f>(FlipkartTable[[#This Row],[Original Price]]-FlipkartTable[[#This Row],[Selling Price]])/FlipkartTable[[#This Row],[Original Price]]</f>
        <v>0</v>
      </c>
      <c r="K469">
        <f>(FlipkartTable[[#This Row],[Rating]]/FlipkartTable[[#This Row],[Selling Price]])*1000</f>
        <v>0.21501075053752686</v>
      </c>
      <c r="L469" t="str">
        <f>IF(FlipkartTable[[#This Row],[Selling Price]]&lt;15000,"Budget",IF(FlipkartTable[[#This Row],[Selling Price]]&lt;50000,"Mid Range","Premium"))</f>
        <v>Mid Range</v>
      </c>
      <c r="M469" t="str">
        <f>IF(FlipkartTable[[#This Row],[Rating]]&gt;4.5,"Excellent",IF(FlipkartTable[[#This Row],[Rating]]&gt;4,"Good",IF(FlipkartTable[[#This Row],[Rating]]&gt;3.5,"Average","Poor")))</f>
        <v>Good</v>
      </c>
    </row>
    <row r="470" spans="1:13" x14ac:dyDescent="0.35">
      <c r="A470" t="s">
        <v>305</v>
      </c>
      <c r="B470" s="9" t="s">
        <v>335</v>
      </c>
      <c r="C470" t="s">
        <v>116</v>
      </c>
      <c r="D470" t="s">
        <v>35</v>
      </c>
      <c r="E470" t="s">
        <v>124</v>
      </c>
      <c r="F470">
        <v>3.9</v>
      </c>
      <c r="G470">
        <v>15999</v>
      </c>
      <c r="H470">
        <v>15999</v>
      </c>
      <c r="I470">
        <f>FlipkartTable[[#This Row],[Original Price]]-FlipkartTable[[#This Row],[Selling Price]]</f>
        <v>0</v>
      </c>
      <c r="J470" s="4">
        <f>(FlipkartTable[[#This Row],[Original Price]]-FlipkartTable[[#This Row],[Selling Price]])/FlipkartTable[[#This Row],[Original Price]]</f>
        <v>0</v>
      </c>
      <c r="K470">
        <f>(FlipkartTable[[#This Row],[Rating]]/FlipkartTable[[#This Row],[Selling Price]])*1000</f>
        <v>0.24376523532720795</v>
      </c>
      <c r="L470" t="str">
        <f>IF(FlipkartTable[[#This Row],[Selling Price]]&lt;15000,"Budget",IF(FlipkartTable[[#This Row],[Selling Price]]&lt;50000,"Mid Range","Premium"))</f>
        <v>Mid Range</v>
      </c>
      <c r="M470" t="str">
        <f>IF(FlipkartTable[[#This Row],[Rating]]&gt;4.5,"Excellent",IF(FlipkartTable[[#This Row],[Rating]]&gt;4,"Good",IF(FlipkartTable[[#This Row],[Rating]]&gt;3.5,"Average","Poor")))</f>
        <v>Average</v>
      </c>
    </row>
    <row r="471" spans="1:13" x14ac:dyDescent="0.35">
      <c r="A471" t="s">
        <v>305</v>
      </c>
      <c r="B471" s="9" t="s">
        <v>324</v>
      </c>
      <c r="C471" t="s">
        <v>337</v>
      </c>
      <c r="D471" t="s">
        <v>11</v>
      </c>
      <c r="E471" t="s">
        <v>12</v>
      </c>
      <c r="F471">
        <v>4.3</v>
      </c>
      <c r="G471">
        <v>17999</v>
      </c>
      <c r="H471">
        <v>17999</v>
      </c>
      <c r="I471">
        <f>FlipkartTable[[#This Row],[Original Price]]-FlipkartTable[[#This Row],[Selling Price]]</f>
        <v>0</v>
      </c>
      <c r="J471" s="4">
        <f>(FlipkartTable[[#This Row],[Original Price]]-FlipkartTable[[#This Row],[Selling Price]])/FlipkartTable[[#This Row],[Original Price]]</f>
        <v>0</v>
      </c>
      <c r="K471">
        <f>(FlipkartTable[[#This Row],[Rating]]/FlipkartTable[[#This Row],[Selling Price]])*1000</f>
        <v>0.23890216123117949</v>
      </c>
      <c r="L471" t="str">
        <f>IF(FlipkartTable[[#This Row],[Selling Price]]&lt;15000,"Budget",IF(FlipkartTable[[#This Row],[Selling Price]]&lt;50000,"Mid Range","Premium"))</f>
        <v>Mid Range</v>
      </c>
      <c r="M471" t="str">
        <f>IF(FlipkartTable[[#This Row],[Rating]]&gt;4.5,"Excellent",IF(FlipkartTable[[#This Row],[Rating]]&gt;4,"Good",IF(FlipkartTable[[#This Row],[Rating]]&gt;3.5,"Average","Poor")))</f>
        <v>Good</v>
      </c>
    </row>
    <row r="472" spans="1:13" x14ac:dyDescent="0.35">
      <c r="A472" t="s">
        <v>305</v>
      </c>
      <c r="B472" s="9" t="s">
        <v>339</v>
      </c>
      <c r="C472" t="s">
        <v>296</v>
      </c>
      <c r="D472" t="s">
        <v>35</v>
      </c>
      <c r="E472" t="s">
        <v>124</v>
      </c>
      <c r="F472">
        <v>4</v>
      </c>
      <c r="G472">
        <v>7999</v>
      </c>
      <c r="H472">
        <v>7999</v>
      </c>
      <c r="I472">
        <f>FlipkartTable[[#This Row],[Original Price]]-FlipkartTable[[#This Row],[Selling Price]]</f>
        <v>0</v>
      </c>
      <c r="J472" s="4">
        <f>(FlipkartTable[[#This Row],[Original Price]]-FlipkartTable[[#This Row],[Selling Price]])/FlipkartTable[[#This Row],[Original Price]]</f>
        <v>0</v>
      </c>
      <c r="K472">
        <f>(FlipkartTable[[#This Row],[Rating]]/FlipkartTable[[#This Row],[Selling Price]])*1000</f>
        <v>0.50006250781347672</v>
      </c>
      <c r="L472" t="str">
        <f>IF(FlipkartTable[[#This Row],[Selling Price]]&lt;15000,"Budget",IF(FlipkartTable[[#This Row],[Selling Price]]&lt;50000,"Mid Range","Premium"))</f>
        <v>Budget</v>
      </c>
      <c r="M472" t="str">
        <f>IF(FlipkartTable[[#This Row],[Rating]]&gt;4.5,"Excellent",IF(FlipkartTable[[#This Row],[Rating]]&gt;4,"Good",IF(FlipkartTable[[#This Row],[Rating]]&gt;3.5,"Average","Poor")))</f>
        <v>Average</v>
      </c>
    </row>
    <row r="473" spans="1:13" x14ac:dyDescent="0.35">
      <c r="A473" t="s">
        <v>305</v>
      </c>
      <c r="B473" s="9" t="s">
        <v>335</v>
      </c>
      <c r="C473" t="s">
        <v>340</v>
      </c>
      <c r="D473" t="s">
        <v>20</v>
      </c>
      <c r="E473" t="s">
        <v>21</v>
      </c>
      <c r="F473">
        <v>4</v>
      </c>
      <c r="G473">
        <v>11999</v>
      </c>
      <c r="H473">
        <v>11999</v>
      </c>
      <c r="I473">
        <f>FlipkartTable[[#This Row],[Original Price]]-FlipkartTable[[#This Row],[Selling Price]]</f>
        <v>0</v>
      </c>
      <c r="J473" s="4">
        <f>(FlipkartTable[[#This Row],[Original Price]]-FlipkartTable[[#This Row],[Selling Price]])/FlipkartTable[[#This Row],[Original Price]]</f>
        <v>0</v>
      </c>
      <c r="K473">
        <f>(FlipkartTable[[#This Row],[Rating]]/FlipkartTable[[#This Row],[Selling Price]])*1000</f>
        <v>0.33336111342611879</v>
      </c>
      <c r="L473" t="str">
        <f>IF(FlipkartTable[[#This Row],[Selling Price]]&lt;15000,"Budget",IF(FlipkartTable[[#This Row],[Selling Price]]&lt;50000,"Mid Range","Premium"))</f>
        <v>Budget</v>
      </c>
      <c r="M473" t="str">
        <f>IF(FlipkartTable[[#This Row],[Rating]]&gt;4.5,"Excellent",IF(FlipkartTable[[#This Row],[Rating]]&gt;4,"Good",IF(FlipkartTable[[#This Row],[Rating]]&gt;3.5,"Average","Poor")))</f>
        <v>Average</v>
      </c>
    </row>
    <row r="474" spans="1:13" x14ac:dyDescent="0.35">
      <c r="A474" t="s">
        <v>305</v>
      </c>
      <c r="B474" s="9" t="s">
        <v>341</v>
      </c>
      <c r="C474" t="s">
        <v>152</v>
      </c>
      <c r="D474" t="s">
        <v>11</v>
      </c>
      <c r="E474" t="s">
        <v>12</v>
      </c>
      <c r="F474">
        <v>3.6</v>
      </c>
      <c r="G474">
        <v>37999</v>
      </c>
      <c r="H474">
        <v>37999</v>
      </c>
      <c r="I474">
        <f>FlipkartTable[[#This Row],[Original Price]]-FlipkartTable[[#This Row],[Selling Price]]</f>
        <v>0</v>
      </c>
      <c r="J474" s="4">
        <f>(FlipkartTable[[#This Row],[Original Price]]-FlipkartTable[[#This Row],[Selling Price]])/FlipkartTable[[#This Row],[Original Price]]</f>
        <v>0</v>
      </c>
      <c r="K474">
        <f>(FlipkartTable[[#This Row],[Rating]]/FlipkartTable[[#This Row],[Selling Price]])*1000</f>
        <v>9.4739335245664358E-2</v>
      </c>
      <c r="L474" t="str">
        <f>IF(FlipkartTable[[#This Row],[Selling Price]]&lt;15000,"Budget",IF(FlipkartTable[[#This Row],[Selling Price]]&lt;50000,"Mid Range","Premium"))</f>
        <v>Mid Range</v>
      </c>
      <c r="M474" t="str">
        <f>IF(FlipkartTable[[#This Row],[Rating]]&gt;4.5,"Excellent",IF(FlipkartTable[[#This Row],[Rating]]&gt;4,"Good",IF(FlipkartTable[[#This Row],[Rating]]&gt;3.5,"Average","Poor")))</f>
        <v>Average</v>
      </c>
    </row>
    <row r="475" spans="1:13" x14ac:dyDescent="0.35">
      <c r="A475" t="s">
        <v>305</v>
      </c>
      <c r="B475" s="9" t="s">
        <v>341</v>
      </c>
      <c r="C475" t="s">
        <v>19</v>
      </c>
      <c r="D475" t="s">
        <v>11</v>
      </c>
      <c r="E475" t="s">
        <v>15</v>
      </c>
      <c r="F475">
        <v>3.6</v>
      </c>
      <c r="G475">
        <v>37999</v>
      </c>
      <c r="H475">
        <v>37999</v>
      </c>
      <c r="I475">
        <f>FlipkartTable[[#This Row],[Original Price]]-FlipkartTable[[#This Row],[Selling Price]]</f>
        <v>0</v>
      </c>
      <c r="J475" s="4">
        <f>(FlipkartTable[[#This Row],[Original Price]]-FlipkartTable[[#This Row],[Selling Price]])/FlipkartTable[[#This Row],[Original Price]]</f>
        <v>0</v>
      </c>
      <c r="K475">
        <f>(FlipkartTable[[#This Row],[Rating]]/FlipkartTable[[#This Row],[Selling Price]])*1000</f>
        <v>9.4739335245664358E-2</v>
      </c>
      <c r="L475" t="str">
        <f>IF(FlipkartTable[[#This Row],[Selling Price]]&lt;15000,"Budget",IF(FlipkartTable[[#This Row],[Selling Price]]&lt;50000,"Mid Range","Premium"))</f>
        <v>Mid Range</v>
      </c>
      <c r="M475" t="str">
        <f>IF(FlipkartTable[[#This Row],[Rating]]&gt;4.5,"Excellent",IF(FlipkartTable[[#This Row],[Rating]]&gt;4,"Good",IF(FlipkartTable[[#This Row],[Rating]]&gt;3.5,"Average","Poor")))</f>
        <v>Average</v>
      </c>
    </row>
    <row r="476" spans="1:13" x14ac:dyDescent="0.35">
      <c r="A476" t="s">
        <v>305</v>
      </c>
      <c r="B476" s="9" t="s">
        <v>335</v>
      </c>
      <c r="C476" t="s">
        <v>116</v>
      </c>
      <c r="D476" t="s">
        <v>20</v>
      </c>
      <c r="E476" t="s">
        <v>21</v>
      </c>
      <c r="F476">
        <v>4</v>
      </c>
      <c r="G476">
        <v>7990</v>
      </c>
      <c r="H476">
        <v>7990</v>
      </c>
      <c r="I476">
        <f>FlipkartTable[[#This Row],[Original Price]]-FlipkartTable[[#This Row],[Selling Price]]</f>
        <v>0</v>
      </c>
      <c r="J476" s="4">
        <f>(FlipkartTable[[#This Row],[Original Price]]-FlipkartTable[[#This Row],[Selling Price]])/FlipkartTable[[#This Row],[Original Price]]</f>
        <v>0</v>
      </c>
      <c r="K476">
        <f>(FlipkartTable[[#This Row],[Rating]]/FlipkartTable[[#This Row],[Selling Price]])*1000</f>
        <v>0.50062578222778475</v>
      </c>
      <c r="L476" t="str">
        <f>IF(FlipkartTable[[#This Row],[Selling Price]]&lt;15000,"Budget",IF(FlipkartTable[[#This Row],[Selling Price]]&lt;50000,"Mid Range","Premium"))</f>
        <v>Budget</v>
      </c>
      <c r="M476" t="str">
        <f>IF(FlipkartTable[[#This Row],[Rating]]&gt;4.5,"Excellent",IF(FlipkartTable[[#This Row],[Rating]]&gt;4,"Good",IF(FlipkartTable[[#This Row],[Rating]]&gt;3.5,"Average","Poor")))</f>
        <v>Average</v>
      </c>
    </row>
    <row r="477" spans="1:13" x14ac:dyDescent="0.35">
      <c r="A477" t="s">
        <v>305</v>
      </c>
      <c r="B477" s="9" t="s">
        <v>335</v>
      </c>
      <c r="C477" t="s">
        <v>84</v>
      </c>
      <c r="D477" t="s">
        <v>20</v>
      </c>
      <c r="E477" t="s">
        <v>21</v>
      </c>
      <c r="F477">
        <v>4</v>
      </c>
      <c r="G477">
        <v>11999</v>
      </c>
      <c r="H477">
        <v>11999</v>
      </c>
      <c r="I477">
        <f>FlipkartTable[[#This Row],[Original Price]]-FlipkartTable[[#This Row],[Selling Price]]</f>
        <v>0</v>
      </c>
      <c r="J477" s="4">
        <f>(FlipkartTable[[#This Row],[Original Price]]-FlipkartTable[[#This Row],[Selling Price]])/FlipkartTable[[#This Row],[Original Price]]</f>
        <v>0</v>
      </c>
      <c r="K477">
        <f>(FlipkartTable[[#This Row],[Rating]]/FlipkartTable[[#This Row],[Selling Price]])*1000</f>
        <v>0.33336111342611879</v>
      </c>
      <c r="L477" t="str">
        <f>IF(FlipkartTable[[#This Row],[Selling Price]]&lt;15000,"Budget",IF(FlipkartTable[[#This Row],[Selling Price]]&lt;50000,"Mid Range","Premium"))</f>
        <v>Budget</v>
      </c>
      <c r="M477" t="str">
        <f>IF(FlipkartTable[[#This Row],[Rating]]&gt;4.5,"Excellent",IF(FlipkartTable[[#This Row],[Rating]]&gt;4,"Good",IF(FlipkartTable[[#This Row],[Rating]]&gt;3.5,"Average","Poor")))</f>
        <v>Average</v>
      </c>
    </row>
    <row r="478" spans="1:13" x14ac:dyDescent="0.35">
      <c r="A478" t="s">
        <v>305</v>
      </c>
      <c r="B478" s="9" t="s">
        <v>331</v>
      </c>
      <c r="C478" t="s">
        <v>22</v>
      </c>
      <c r="D478" t="s">
        <v>35</v>
      </c>
      <c r="E478" t="s">
        <v>21</v>
      </c>
      <c r="F478">
        <v>4.0999999999999996</v>
      </c>
      <c r="G478">
        <v>7699</v>
      </c>
      <c r="H478">
        <v>7699</v>
      </c>
      <c r="I478">
        <f>FlipkartTable[[#This Row],[Original Price]]-FlipkartTable[[#This Row],[Selling Price]]</f>
        <v>0</v>
      </c>
      <c r="J478" s="4">
        <f>(FlipkartTable[[#This Row],[Original Price]]-FlipkartTable[[#This Row],[Selling Price]])/FlipkartTable[[#This Row],[Original Price]]</f>
        <v>0</v>
      </c>
      <c r="K478">
        <f>(FlipkartTable[[#This Row],[Rating]]/FlipkartTable[[#This Row],[Selling Price]])*1000</f>
        <v>0.532536693077023</v>
      </c>
      <c r="L478" t="str">
        <f>IF(FlipkartTable[[#This Row],[Selling Price]]&lt;15000,"Budget",IF(FlipkartTable[[#This Row],[Selling Price]]&lt;50000,"Mid Range","Premium"))</f>
        <v>Budget</v>
      </c>
      <c r="M478" t="str">
        <f>IF(FlipkartTable[[#This Row],[Rating]]&gt;4.5,"Excellent",IF(FlipkartTable[[#This Row],[Rating]]&gt;4,"Good",IF(FlipkartTable[[#This Row],[Rating]]&gt;3.5,"Average","Poor")))</f>
        <v>Good</v>
      </c>
    </row>
    <row r="479" spans="1:13" x14ac:dyDescent="0.35">
      <c r="A479" t="s">
        <v>305</v>
      </c>
      <c r="B479" s="9" t="s">
        <v>335</v>
      </c>
      <c r="C479" t="s">
        <v>170</v>
      </c>
      <c r="D479" t="s">
        <v>35</v>
      </c>
      <c r="E479" t="s">
        <v>124</v>
      </c>
      <c r="F479">
        <v>3.9</v>
      </c>
      <c r="G479">
        <v>8499</v>
      </c>
      <c r="H479">
        <v>8499</v>
      </c>
      <c r="I479">
        <f>FlipkartTable[[#This Row],[Original Price]]-FlipkartTable[[#This Row],[Selling Price]]</f>
        <v>0</v>
      </c>
      <c r="J479" s="4">
        <f>(FlipkartTable[[#This Row],[Original Price]]-FlipkartTable[[#This Row],[Selling Price]])/FlipkartTable[[#This Row],[Original Price]]</f>
        <v>0</v>
      </c>
      <c r="K479">
        <f>(FlipkartTable[[#This Row],[Rating]]/FlipkartTable[[#This Row],[Selling Price]])*1000</f>
        <v>0.45887751500176494</v>
      </c>
      <c r="L479" t="str">
        <f>IF(FlipkartTable[[#This Row],[Selling Price]]&lt;15000,"Budget",IF(FlipkartTable[[#This Row],[Selling Price]]&lt;50000,"Mid Range","Premium"))</f>
        <v>Budget</v>
      </c>
      <c r="M479" t="str">
        <f>IF(FlipkartTable[[#This Row],[Rating]]&gt;4.5,"Excellent",IF(FlipkartTable[[#This Row],[Rating]]&gt;4,"Good",IF(FlipkartTable[[#This Row],[Rating]]&gt;3.5,"Average","Poor")))</f>
        <v>Average</v>
      </c>
    </row>
    <row r="480" spans="1:13" x14ac:dyDescent="0.35">
      <c r="A480" t="s">
        <v>305</v>
      </c>
      <c r="B480" s="9" t="s">
        <v>330</v>
      </c>
      <c r="C480" t="s">
        <v>342</v>
      </c>
      <c r="D480" t="s">
        <v>20</v>
      </c>
      <c r="E480" t="s">
        <v>21</v>
      </c>
      <c r="F480">
        <v>4.0999999999999996</v>
      </c>
      <c r="G480">
        <v>8690</v>
      </c>
      <c r="H480">
        <v>8690</v>
      </c>
      <c r="I480">
        <f>FlipkartTable[[#This Row],[Original Price]]-FlipkartTable[[#This Row],[Selling Price]]</f>
        <v>0</v>
      </c>
      <c r="J480" s="4">
        <f>(FlipkartTable[[#This Row],[Original Price]]-FlipkartTable[[#This Row],[Selling Price]])/FlipkartTable[[#This Row],[Original Price]]</f>
        <v>0</v>
      </c>
      <c r="K480">
        <f>(FlipkartTable[[#This Row],[Rating]]/FlipkartTable[[#This Row],[Selling Price]])*1000</f>
        <v>0.47180667433831985</v>
      </c>
      <c r="L480" t="str">
        <f>IF(FlipkartTable[[#This Row],[Selling Price]]&lt;15000,"Budget",IF(FlipkartTable[[#This Row],[Selling Price]]&lt;50000,"Mid Range","Premium"))</f>
        <v>Budget</v>
      </c>
      <c r="M480" t="str">
        <f>IF(FlipkartTable[[#This Row],[Rating]]&gt;4.5,"Excellent",IF(FlipkartTable[[#This Row],[Rating]]&gt;4,"Good",IF(FlipkartTable[[#This Row],[Rating]]&gt;3.5,"Average","Poor")))</f>
        <v>Good</v>
      </c>
    </row>
    <row r="481" spans="1:13" x14ac:dyDescent="0.35">
      <c r="A481" t="s">
        <v>305</v>
      </c>
      <c r="B481" s="9" t="s">
        <v>325</v>
      </c>
      <c r="C481" t="s">
        <v>84</v>
      </c>
      <c r="D481" t="s">
        <v>35</v>
      </c>
      <c r="E481" t="s">
        <v>124</v>
      </c>
      <c r="F481">
        <v>3.6</v>
      </c>
      <c r="G481">
        <v>5990</v>
      </c>
      <c r="H481">
        <v>5990</v>
      </c>
      <c r="I481">
        <f>FlipkartTable[[#This Row],[Original Price]]-FlipkartTable[[#This Row],[Selling Price]]</f>
        <v>0</v>
      </c>
      <c r="J481" s="4">
        <f>(FlipkartTable[[#This Row],[Original Price]]-FlipkartTable[[#This Row],[Selling Price]])/FlipkartTable[[#This Row],[Original Price]]</f>
        <v>0</v>
      </c>
      <c r="K481">
        <f>(FlipkartTable[[#This Row],[Rating]]/FlipkartTable[[#This Row],[Selling Price]])*1000</f>
        <v>0.60100166944908173</v>
      </c>
      <c r="L481" t="str">
        <f>IF(FlipkartTable[[#This Row],[Selling Price]]&lt;15000,"Budget",IF(FlipkartTable[[#This Row],[Selling Price]]&lt;50000,"Mid Range","Premium"))</f>
        <v>Budget</v>
      </c>
      <c r="M481" t="str">
        <f>IF(FlipkartTable[[#This Row],[Rating]]&gt;4.5,"Excellent",IF(FlipkartTable[[#This Row],[Rating]]&gt;4,"Good",IF(FlipkartTable[[#This Row],[Rating]]&gt;3.5,"Average","Poor")))</f>
        <v>Average</v>
      </c>
    </row>
    <row r="482" spans="1:13" x14ac:dyDescent="0.35">
      <c r="A482" t="s">
        <v>305</v>
      </c>
      <c r="B482" s="9" t="s">
        <v>335</v>
      </c>
      <c r="C482" t="s">
        <v>152</v>
      </c>
      <c r="D482" t="s">
        <v>20</v>
      </c>
      <c r="E482" t="s">
        <v>21</v>
      </c>
      <c r="F482">
        <v>4</v>
      </c>
      <c r="G482">
        <v>14500</v>
      </c>
      <c r="H482">
        <v>14500</v>
      </c>
      <c r="I482">
        <f>FlipkartTable[[#This Row],[Original Price]]-FlipkartTable[[#This Row],[Selling Price]]</f>
        <v>0</v>
      </c>
      <c r="J482" s="4">
        <f>(FlipkartTable[[#This Row],[Original Price]]-FlipkartTable[[#This Row],[Selling Price]])/FlipkartTable[[#This Row],[Original Price]]</f>
        <v>0</v>
      </c>
      <c r="K482">
        <f>(FlipkartTable[[#This Row],[Rating]]/FlipkartTable[[#This Row],[Selling Price]])*1000</f>
        <v>0.27586206896551724</v>
      </c>
      <c r="L482" t="str">
        <f>IF(FlipkartTable[[#This Row],[Selling Price]]&lt;15000,"Budget",IF(FlipkartTable[[#This Row],[Selling Price]]&lt;50000,"Mid Range","Premium"))</f>
        <v>Budget</v>
      </c>
      <c r="M482" t="str">
        <f>IF(FlipkartTable[[#This Row],[Rating]]&gt;4.5,"Excellent",IF(FlipkartTable[[#This Row],[Rating]]&gt;4,"Good",IF(FlipkartTable[[#This Row],[Rating]]&gt;3.5,"Average","Poor")))</f>
        <v>Average</v>
      </c>
    </row>
    <row r="483" spans="1:13" x14ac:dyDescent="0.35">
      <c r="A483" t="s">
        <v>305</v>
      </c>
      <c r="B483" s="9" t="s">
        <v>335</v>
      </c>
      <c r="C483" t="s">
        <v>170</v>
      </c>
      <c r="D483" t="s">
        <v>20</v>
      </c>
      <c r="E483" t="s">
        <v>124</v>
      </c>
      <c r="F483">
        <v>4</v>
      </c>
      <c r="G483">
        <v>6749</v>
      </c>
      <c r="H483">
        <v>6749</v>
      </c>
      <c r="I483">
        <f>FlipkartTable[[#This Row],[Original Price]]-FlipkartTable[[#This Row],[Selling Price]]</f>
        <v>0</v>
      </c>
      <c r="J483" s="4">
        <f>(FlipkartTable[[#This Row],[Original Price]]-FlipkartTable[[#This Row],[Selling Price]])/FlipkartTable[[#This Row],[Original Price]]</f>
        <v>0</v>
      </c>
      <c r="K483">
        <f>(FlipkartTable[[#This Row],[Rating]]/FlipkartTable[[#This Row],[Selling Price]])*1000</f>
        <v>0.59268039709586595</v>
      </c>
      <c r="L483" t="str">
        <f>IF(FlipkartTable[[#This Row],[Selling Price]]&lt;15000,"Budget",IF(FlipkartTable[[#This Row],[Selling Price]]&lt;50000,"Mid Range","Premium"))</f>
        <v>Budget</v>
      </c>
      <c r="M483" t="str">
        <f>IF(FlipkartTable[[#This Row],[Rating]]&gt;4.5,"Excellent",IF(FlipkartTable[[#This Row],[Rating]]&gt;4,"Good",IF(FlipkartTable[[#This Row],[Rating]]&gt;3.5,"Average","Poor")))</f>
        <v>Average</v>
      </c>
    </row>
    <row r="484" spans="1:13" x14ac:dyDescent="0.35">
      <c r="A484" t="s">
        <v>305</v>
      </c>
      <c r="B484" s="9" t="s">
        <v>331</v>
      </c>
      <c r="C484" t="s">
        <v>19</v>
      </c>
      <c r="D484" t="s">
        <v>35</v>
      </c>
      <c r="E484" t="s">
        <v>21</v>
      </c>
      <c r="F484">
        <v>4.0999999999999996</v>
      </c>
      <c r="G484">
        <v>6999</v>
      </c>
      <c r="H484">
        <v>6999</v>
      </c>
      <c r="I484">
        <f>FlipkartTable[[#This Row],[Original Price]]-FlipkartTable[[#This Row],[Selling Price]]</f>
        <v>0</v>
      </c>
      <c r="J484" s="4">
        <f>(FlipkartTable[[#This Row],[Original Price]]-FlipkartTable[[#This Row],[Selling Price]])/FlipkartTable[[#This Row],[Original Price]]</f>
        <v>0</v>
      </c>
      <c r="K484">
        <f>(FlipkartTable[[#This Row],[Rating]]/FlipkartTable[[#This Row],[Selling Price]])*1000</f>
        <v>0.58579797113873411</v>
      </c>
      <c r="L484" t="str">
        <f>IF(FlipkartTable[[#This Row],[Selling Price]]&lt;15000,"Budget",IF(FlipkartTable[[#This Row],[Selling Price]]&lt;50000,"Mid Range","Premium"))</f>
        <v>Budget</v>
      </c>
      <c r="M484" t="str">
        <f>IF(FlipkartTable[[#This Row],[Rating]]&gt;4.5,"Excellent",IF(FlipkartTable[[#This Row],[Rating]]&gt;4,"Good",IF(FlipkartTable[[#This Row],[Rating]]&gt;3.5,"Average","Poor")))</f>
        <v>Good</v>
      </c>
    </row>
    <row r="485" spans="1:13" x14ac:dyDescent="0.35">
      <c r="A485" t="s">
        <v>305</v>
      </c>
      <c r="B485" s="9" t="s">
        <v>335</v>
      </c>
      <c r="C485" t="s">
        <v>296</v>
      </c>
      <c r="D485" t="s">
        <v>20</v>
      </c>
      <c r="E485" t="s">
        <v>124</v>
      </c>
      <c r="F485">
        <v>4</v>
      </c>
      <c r="G485">
        <v>12490</v>
      </c>
      <c r="H485">
        <v>12490</v>
      </c>
      <c r="I485">
        <f>FlipkartTable[[#This Row],[Original Price]]-FlipkartTable[[#This Row],[Selling Price]]</f>
        <v>0</v>
      </c>
      <c r="J485" s="4">
        <f>(FlipkartTable[[#This Row],[Original Price]]-FlipkartTable[[#This Row],[Selling Price]])/FlipkartTable[[#This Row],[Original Price]]</f>
        <v>0</v>
      </c>
      <c r="K485">
        <f>(FlipkartTable[[#This Row],[Rating]]/FlipkartTable[[#This Row],[Selling Price]])*1000</f>
        <v>0.32025620496397117</v>
      </c>
      <c r="L485" t="str">
        <f>IF(FlipkartTable[[#This Row],[Selling Price]]&lt;15000,"Budget",IF(FlipkartTable[[#This Row],[Selling Price]]&lt;50000,"Mid Range","Premium"))</f>
        <v>Budget</v>
      </c>
      <c r="M485" t="str">
        <f>IF(FlipkartTable[[#This Row],[Rating]]&gt;4.5,"Excellent",IF(FlipkartTable[[#This Row],[Rating]]&gt;4,"Good",IF(FlipkartTable[[#This Row],[Rating]]&gt;3.5,"Average","Poor")))</f>
        <v>Average</v>
      </c>
    </row>
    <row r="486" spans="1:13" x14ac:dyDescent="0.35">
      <c r="A486" t="s">
        <v>305</v>
      </c>
      <c r="B486" s="9" t="s">
        <v>339</v>
      </c>
      <c r="C486" t="s">
        <v>116</v>
      </c>
      <c r="D486" t="s">
        <v>35</v>
      </c>
      <c r="E486" t="s">
        <v>124</v>
      </c>
      <c r="F486">
        <v>4</v>
      </c>
      <c r="G486">
        <v>7668</v>
      </c>
      <c r="H486">
        <v>7668</v>
      </c>
      <c r="I486">
        <f>FlipkartTable[[#This Row],[Original Price]]-FlipkartTable[[#This Row],[Selling Price]]</f>
        <v>0</v>
      </c>
      <c r="J486" s="4">
        <f>(FlipkartTable[[#This Row],[Original Price]]-FlipkartTable[[#This Row],[Selling Price]])/FlipkartTable[[#This Row],[Original Price]]</f>
        <v>0</v>
      </c>
      <c r="K486">
        <f>(FlipkartTable[[#This Row],[Rating]]/FlipkartTable[[#This Row],[Selling Price]])*1000</f>
        <v>0.52164840897235265</v>
      </c>
      <c r="L486" t="str">
        <f>IF(FlipkartTable[[#This Row],[Selling Price]]&lt;15000,"Budget",IF(FlipkartTable[[#This Row],[Selling Price]]&lt;50000,"Mid Range","Premium"))</f>
        <v>Budget</v>
      </c>
      <c r="M486" t="str">
        <f>IF(FlipkartTable[[#This Row],[Rating]]&gt;4.5,"Excellent",IF(FlipkartTable[[#This Row],[Rating]]&gt;4,"Good",IF(FlipkartTable[[#This Row],[Rating]]&gt;3.5,"Average","Poor")))</f>
        <v>Average</v>
      </c>
    </row>
    <row r="487" spans="1:13" x14ac:dyDescent="0.35">
      <c r="A487" t="s">
        <v>343</v>
      </c>
      <c r="B487" s="9" t="s">
        <v>344</v>
      </c>
      <c r="C487" t="s">
        <v>345</v>
      </c>
      <c r="D487" t="s">
        <v>11</v>
      </c>
      <c r="E487" t="s">
        <v>12</v>
      </c>
      <c r="F487">
        <v>4.2</v>
      </c>
      <c r="G487">
        <v>8799</v>
      </c>
      <c r="H487">
        <v>9999</v>
      </c>
      <c r="I487">
        <f>FlipkartTable[[#This Row],[Original Price]]-FlipkartTable[[#This Row],[Selling Price]]</f>
        <v>1200</v>
      </c>
      <c r="J487" s="4">
        <f>(FlipkartTable[[#This Row],[Original Price]]-FlipkartTable[[#This Row],[Selling Price]])/FlipkartTable[[#This Row],[Original Price]]</f>
        <v>0.12001200120012001</v>
      </c>
      <c r="K487">
        <f>(FlipkartTable[[#This Row],[Rating]]/FlipkartTable[[#This Row],[Selling Price]])*1000</f>
        <v>0.47732696897374705</v>
      </c>
      <c r="L487" t="str">
        <f>IF(FlipkartTable[[#This Row],[Selling Price]]&lt;15000,"Budget",IF(FlipkartTable[[#This Row],[Selling Price]]&lt;50000,"Mid Range","Premium"))</f>
        <v>Budget</v>
      </c>
      <c r="M487" t="str">
        <f>IF(FlipkartTable[[#This Row],[Rating]]&gt;4.5,"Excellent",IF(FlipkartTable[[#This Row],[Rating]]&gt;4,"Good",IF(FlipkartTable[[#This Row],[Rating]]&gt;3.5,"Average","Poor")))</f>
        <v>Good</v>
      </c>
    </row>
    <row r="488" spans="1:13" x14ac:dyDescent="0.35">
      <c r="A488" t="s">
        <v>343</v>
      </c>
      <c r="B488" s="9" t="s">
        <v>344</v>
      </c>
      <c r="C488" t="s">
        <v>345</v>
      </c>
      <c r="D488" t="s">
        <v>35</v>
      </c>
      <c r="E488" t="s">
        <v>21</v>
      </c>
      <c r="F488">
        <v>4.3</v>
      </c>
      <c r="G488">
        <v>7299</v>
      </c>
      <c r="H488">
        <v>7999</v>
      </c>
      <c r="I488">
        <f>FlipkartTable[[#This Row],[Original Price]]-FlipkartTable[[#This Row],[Selling Price]]</f>
        <v>700</v>
      </c>
      <c r="J488" s="4">
        <f>(FlipkartTable[[#This Row],[Original Price]]-FlipkartTable[[#This Row],[Selling Price]])/FlipkartTable[[#This Row],[Original Price]]</f>
        <v>8.7510938867358418E-2</v>
      </c>
      <c r="K488">
        <f>(FlipkartTable[[#This Row],[Rating]]/FlipkartTable[[#This Row],[Selling Price]])*1000</f>
        <v>0.58912179750650773</v>
      </c>
      <c r="L488" t="str">
        <f>IF(FlipkartTable[[#This Row],[Selling Price]]&lt;15000,"Budget",IF(FlipkartTable[[#This Row],[Selling Price]]&lt;50000,"Mid Range","Premium"))</f>
        <v>Budget</v>
      </c>
      <c r="M488" t="str">
        <f>IF(FlipkartTable[[#This Row],[Rating]]&gt;4.5,"Excellent",IF(FlipkartTable[[#This Row],[Rating]]&gt;4,"Good",IF(FlipkartTable[[#This Row],[Rating]]&gt;3.5,"Average","Poor")))</f>
        <v>Good</v>
      </c>
    </row>
    <row r="489" spans="1:13" x14ac:dyDescent="0.35">
      <c r="A489" t="s">
        <v>343</v>
      </c>
      <c r="B489" s="9" t="s">
        <v>344</v>
      </c>
      <c r="C489" t="s">
        <v>346</v>
      </c>
      <c r="D489" t="s">
        <v>35</v>
      </c>
      <c r="E489" t="s">
        <v>21</v>
      </c>
      <c r="F489">
        <v>4.3</v>
      </c>
      <c r="G489">
        <v>7299</v>
      </c>
      <c r="H489">
        <v>7999</v>
      </c>
      <c r="I489">
        <f>FlipkartTable[[#This Row],[Original Price]]-FlipkartTable[[#This Row],[Selling Price]]</f>
        <v>700</v>
      </c>
      <c r="J489" s="4">
        <f>(FlipkartTable[[#This Row],[Original Price]]-FlipkartTable[[#This Row],[Selling Price]])/FlipkartTable[[#This Row],[Original Price]]</f>
        <v>8.7510938867358418E-2</v>
      </c>
      <c r="K489">
        <f>(FlipkartTable[[#This Row],[Rating]]/FlipkartTable[[#This Row],[Selling Price]])*1000</f>
        <v>0.58912179750650773</v>
      </c>
      <c r="L489" t="str">
        <f>IF(FlipkartTable[[#This Row],[Selling Price]]&lt;15000,"Budget",IF(FlipkartTable[[#This Row],[Selling Price]]&lt;50000,"Mid Range","Premium"))</f>
        <v>Budget</v>
      </c>
      <c r="M489" t="str">
        <f>IF(FlipkartTable[[#This Row],[Rating]]&gt;4.5,"Excellent",IF(FlipkartTable[[#This Row],[Rating]]&gt;4,"Good",IF(FlipkartTable[[#This Row],[Rating]]&gt;3.5,"Average","Poor")))</f>
        <v>Good</v>
      </c>
    </row>
    <row r="490" spans="1:13" x14ac:dyDescent="0.35">
      <c r="A490" t="s">
        <v>343</v>
      </c>
      <c r="B490" s="9" t="s">
        <v>347</v>
      </c>
      <c r="C490" t="s">
        <v>348</v>
      </c>
      <c r="D490" t="s">
        <v>11</v>
      </c>
      <c r="E490" t="s">
        <v>12</v>
      </c>
      <c r="F490">
        <v>4.4000000000000004</v>
      </c>
      <c r="G490">
        <v>14999</v>
      </c>
      <c r="H490">
        <v>15999</v>
      </c>
      <c r="I490">
        <f>FlipkartTable[[#This Row],[Original Price]]-FlipkartTable[[#This Row],[Selling Price]]</f>
        <v>1000</v>
      </c>
      <c r="J490" s="4">
        <f>(FlipkartTable[[#This Row],[Original Price]]-FlipkartTable[[#This Row],[Selling Price]])/FlipkartTable[[#This Row],[Original Price]]</f>
        <v>6.2503906494155881E-2</v>
      </c>
      <c r="K490">
        <f>(FlipkartTable[[#This Row],[Rating]]/FlipkartTable[[#This Row],[Selling Price]])*1000</f>
        <v>0.29335289019267952</v>
      </c>
      <c r="L490" t="str">
        <f>IF(FlipkartTable[[#This Row],[Selling Price]]&lt;15000,"Budget",IF(FlipkartTable[[#This Row],[Selling Price]]&lt;50000,"Mid Range","Premium"))</f>
        <v>Budget</v>
      </c>
      <c r="M490" t="str">
        <f>IF(FlipkartTable[[#This Row],[Rating]]&gt;4.5,"Excellent",IF(FlipkartTable[[#This Row],[Rating]]&gt;4,"Good",IF(FlipkartTable[[#This Row],[Rating]]&gt;3.5,"Average","Poor")))</f>
        <v>Good</v>
      </c>
    </row>
    <row r="491" spans="1:13" x14ac:dyDescent="0.35">
      <c r="A491" t="s">
        <v>343</v>
      </c>
      <c r="B491" s="9" t="s">
        <v>347</v>
      </c>
      <c r="C491" t="s">
        <v>349</v>
      </c>
      <c r="D491" t="s">
        <v>11</v>
      </c>
      <c r="E491" t="s">
        <v>12</v>
      </c>
      <c r="F491">
        <v>4.4000000000000004</v>
      </c>
      <c r="G491">
        <v>14999</v>
      </c>
      <c r="H491">
        <v>15999</v>
      </c>
      <c r="I491">
        <f>FlipkartTable[[#This Row],[Original Price]]-FlipkartTable[[#This Row],[Selling Price]]</f>
        <v>1000</v>
      </c>
      <c r="J491" s="4">
        <f>(FlipkartTable[[#This Row],[Original Price]]-FlipkartTable[[#This Row],[Selling Price]])/FlipkartTable[[#This Row],[Original Price]]</f>
        <v>6.2503906494155881E-2</v>
      </c>
      <c r="K491">
        <f>(FlipkartTable[[#This Row],[Rating]]/FlipkartTable[[#This Row],[Selling Price]])*1000</f>
        <v>0.29335289019267952</v>
      </c>
      <c r="L491" t="str">
        <f>IF(FlipkartTable[[#This Row],[Selling Price]]&lt;15000,"Budget",IF(FlipkartTable[[#This Row],[Selling Price]]&lt;50000,"Mid Range","Premium"))</f>
        <v>Budget</v>
      </c>
      <c r="M491" t="str">
        <f>IF(FlipkartTable[[#This Row],[Rating]]&gt;4.5,"Excellent",IF(FlipkartTable[[#This Row],[Rating]]&gt;4,"Good",IF(FlipkartTable[[#This Row],[Rating]]&gt;3.5,"Average","Poor")))</f>
        <v>Good</v>
      </c>
    </row>
    <row r="492" spans="1:13" x14ac:dyDescent="0.35">
      <c r="A492" t="s">
        <v>343</v>
      </c>
      <c r="B492" s="9" t="s">
        <v>350</v>
      </c>
      <c r="C492" t="s">
        <v>345</v>
      </c>
      <c r="D492" t="s">
        <v>35</v>
      </c>
      <c r="E492" t="s">
        <v>21</v>
      </c>
      <c r="F492">
        <v>4.4000000000000004</v>
      </c>
      <c r="G492">
        <v>7499</v>
      </c>
      <c r="H492">
        <v>7999</v>
      </c>
      <c r="I492">
        <f>FlipkartTable[[#This Row],[Original Price]]-FlipkartTable[[#This Row],[Selling Price]]</f>
        <v>500</v>
      </c>
      <c r="J492" s="4">
        <f>(FlipkartTable[[#This Row],[Original Price]]-FlipkartTable[[#This Row],[Selling Price]])/FlipkartTable[[#This Row],[Original Price]]</f>
        <v>6.250781347668459E-2</v>
      </c>
      <c r="K492">
        <f>(FlipkartTable[[#This Row],[Rating]]/FlipkartTable[[#This Row],[Selling Price]])*1000</f>
        <v>0.58674489931990936</v>
      </c>
      <c r="L492" t="str">
        <f>IF(FlipkartTable[[#This Row],[Selling Price]]&lt;15000,"Budget",IF(FlipkartTable[[#This Row],[Selling Price]]&lt;50000,"Mid Range","Premium"))</f>
        <v>Budget</v>
      </c>
      <c r="M492" t="str">
        <f>IF(FlipkartTable[[#This Row],[Rating]]&gt;4.5,"Excellent",IF(FlipkartTable[[#This Row],[Rating]]&gt;4,"Good",IF(FlipkartTable[[#This Row],[Rating]]&gt;3.5,"Average","Poor")))</f>
        <v>Good</v>
      </c>
    </row>
    <row r="493" spans="1:13" x14ac:dyDescent="0.35">
      <c r="A493" t="s">
        <v>343</v>
      </c>
      <c r="B493" s="9" t="s">
        <v>350</v>
      </c>
      <c r="C493" t="s">
        <v>346</v>
      </c>
      <c r="D493" t="s">
        <v>35</v>
      </c>
      <c r="E493" t="s">
        <v>21</v>
      </c>
      <c r="F493">
        <v>4.4000000000000004</v>
      </c>
      <c r="G493">
        <v>7499</v>
      </c>
      <c r="H493">
        <v>7999</v>
      </c>
      <c r="I493">
        <f>FlipkartTable[[#This Row],[Original Price]]-FlipkartTable[[#This Row],[Selling Price]]</f>
        <v>500</v>
      </c>
      <c r="J493" s="4">
        <f>(FlipkartTable[[#This Row],[Original Price]]-FlipkartTable[[#This Row],[Selling Price]])/FlipkartTable[[#This Row],[Original Price]]</f>
        <v>6.250781347668459E-2</v>
      </c>
      <c r="K493">
        <f>(FlipkartTable[[#This Row],[Rating]]/FlipkartTable[[#This Row],[Selling Price]])*1000</f>
        <v>0.58674489931990936</v>
      </c>
      <c r="L493" t="str">
        <f>IF(FlipkartTable[[#This Row],[Selling Price]]&lt;15000,"Budget",IF(FlipkartTable[[#This Row],[Selling Price]]&lt;50000,"Mid Range","Premium"))</f>
        <v>Budget</v>
      </c>
      <c r="M493" t="str">
        <f>IF(FlipkartTable[[#This Row],[Rating]]&gt;4.5,"Excellent",IF(FlipkartTable[[#This Row],[Rating]]&gt;4,"Good",IF(FlipkartTable[[#This Row],[Rating]]&gt;3.5,"Average","Poor")))</f>
        <v>Good</v>
      </c>
    </row>
    <row r="494" spans="1:13" x14ac:dyDescent="0.35">
      <c r="A494" t="s">
        <v>343</v>
      </c>
      <c r="B494" s="9" t="s">
        <v>351</v>
      </c>
      <c r="C494" t="s">
        <v>352</v>
      </c>
      <c r="D494" t="s">
        <v>11</v>
      </c>
      <c r="E494" t="s">
        <v>12</v>
      </c>
      <c r="F494">
        <v>4.4000000000000004</v>
      </c>
      <c r="G494">
        <v>9999</v>
      </c>
      <c r="H494">
        <v>10999</v>
      </c>
      <c r="I494">
        <f>FlipkartTable[[#This Row],[Original Price]]-FlipkartTable[[#This Row],[Selling Price]]</f>
        <v>1000</v>
      </c>
      <c r="J494" s="4">
        <f>(FlipkartTable[[#This Row],[Original Price]]-FlipkartTable[[#This Row],[Selling Price]])/FlipkartTable[[#This Row],[Original Price]]</f>
        <v>9.0917356123283929E-2</v>
      </c>
      <c r="K494">
        <f>(FlipkartTable[[#This Row],[Rating]]/FlipkartTable[[#This Row],[Selling Price]])*1000</f>
        <v>0.44004400440044006</v>
      </c>
      <c r="L494" t="str">
        <f>IF(FlipkartTable[[#This Row],[Selling Price]]&lt;15000,"Budget",IF(FlipkartTable[[#This Row],[Selling Price]]&lt;50000,"Mid Range","Premium"))</f>
        <v>Budget</v>
      </c>
      <c r="M494" t="str">
        <f>IF(FlipkartTable[[#This Row],[Rating]]&gt;4.5,"Excellent",IF(FlipkartTable[[#This Row],[Rating]]&gt;4,"Good",IF(FlipkartTable[[#This Row],[Rating]]&gt;3.5,"Average","Poor")))</f>
        <v>Good</v>
      </c>
    </row>
    <row r="495" spans="1:13" x14ac:dyDescent="0.35">
      <c r="A495" t="s">
        <v>343</v>
      </c>
      <c r="B495" s="9" t="s">
        <v>351</v>
      </c>
      <c r="C495" t="s">
        <v>353</v>
      </c>
      <c r="D495" t="s">
        <v>11</v>
      </c>
      <c r="E495" t="s">
        <v>12</v>
      </c>
      <c r="F495">
        <v>4.4000000000000004</v>
      </c>
      <c r="G495">
        <v>9999</v>
      </c>
      <c r="H495">
        <v>10999</v>
      </c>
      <c r="I495">
        <f>FlipkartTable[[#This Row],[Original Price]]-FlipkartTable[[#This Row],[Selling Price]]</f>
        <v>1000</v>
      </c>
      <c r="J495" s="4">
        <f>(FlipkartTable[[#This Row],[Original Price]]-FlipkartTable[[#This Row],[Selling Price]])/FlipkartTable[[#This Row],[Original Price]]</f>
        <v>9.0917356123283929E-2</v>
      </c>
      <c r="K495">
        <f>(FlipkartTable[[#This Row],[Rating]]/FlipkartTable[[#This Row],[Selling Price]])*1000</f>
        <v>0.44004400440044006</v>
      </c>
      <c r="L495" t="str">
        <f>IF(FlipkartTable[[#This Row],[Selling Price]]&lt;15000,"Budget",IF(FlipkartTable[[#This Row],[Selling Price]]&lt;50000,"Mid Range","Premium"))</f>
        <v>Budget</v>
      </c>
      <c r="M495" t="str">
        <f>IF(FlipkartTable[[#This Row],[Rating]]&gt;4.5,"Excellent",IF(FlipkartTable[[#This Row],[Rating]]&gt;4,"Good",IF(FlipkartTable[[#This Row],[Rating]]&gt;3.5,"Average","Poor")))</f>
        <v>Good</v>
      </c>
    </row>
    <row r="496" spans="1:13" x14ac:dyDescent="0.35">
      <c r="A496" t="s">
        <v>343</v>
      </c>
      <c r="B496" s="9" t="s">
        <v>344</v>
      </c>
      <c r="C496" t="s">
        <v>346</v>
      </c>
      <c r="D496" t="s">
        <v>11</v>
      </c>
      <c r="E496" t="s">
        <v>12</v>
      </c>
      <c r="F496">
        <v>4.2</v>
      </c>
      <c r="G496">
        <v>8799</v>
      </c>
      <c r="H496">
        <v>9999</v>
      </c>
      <c r="I496">
        <f>FlipkartTable[[#This Row],[Original Price]]-FlipkartTable[[#This Row],[Selling Price]]</f>
        <v>1200</v>
      </c>
      <c r="J496" s="4">
        <f>(FlipkartTable[[#This Row],[Original Price]]-FlipkartTable[[#This Row],[Selling Price]])/FlipkartTable[[#This Row],[Original Price]]</f>
        <v>0.12001200120012001</v>
      </c>
      <c r="K496">
        <f>(FlipkartTable[[#This Row],[Rating]]/FlipkartTable[[#This Row],[Selling Price]])*1000</f>
        <v>0.47732696897374705</v>
      </c>
      <c r="L496" t="str">
        <f>IF(FlipkartTable[[#This Row],[Selling Price]]&lt;15000,"Budget",IF(FlipkartTable[[#This Row],[Selling Price]]&lt;50000,"Mid Range","Premium"))</f>
        <v>Budget</v>
      </c>
      <c r="M496" t="str">
        <f>IF(FlipkartTable[[#This Row],[Rating]]&gt;4.5,"Excellent",IF(FlipkartTable[[#This Row],[Rating]]&gt;4,"Good",IF(FlipkartTable[[#This Row],[Rating]]&gt;3.5,"Average","Poor")))</f>
        <v>Good</v>
      </c>
    </row>
    <row r="497" spans="1:13" x14ac:dyDescent="0.35">
      <c r="A497" t="s">
        <v>343</v>
      </c>
      <c r="B497" s="9" t="s">
        <v>355</v>
      </c>
      <c r="C497" t="s">
        <v>356</v>
      </c>
      <c r="D497" t="s">
        <v>11</v>
      </c>
      <c r="E497" t="s">
        <v>15</v>
      </c>
      <c r="F497">
        <v>4.4000000000000004</v>
      </c>
      <c r="G497">
        <v>11999</v>
      </c>
      <c r="H497">
        <v>11999</v>
      </c>
      <c r="I497">
        <f>FlipkartTable[[#This Row],[Original Price]]-FlipkartTable[[#This Row],[Selling Price]]</f>
        <v>0</v>
      </c>
      <c r="J497" s="4">
        <f>(FlipkartTable[[#This Row],[Original Price]]-FlipkartTable[[#This Row],[Selling Price]])/FlipkartTable[[#This Row],[Original Price]]</f>
        <v>0</v>
      </c>
      <c r="K497">
        <f>(FlipkartTable[[#This Row],[Rating]]/FlipkartTable[[#This Row],[Selling Price]])*1000</f>
        <v>0.36669722476873073</v>
      </c>
      <c r="L497" t="str">
        <f>IF(FlipkartTable[[#This Row],[Selling Price]]&lt;15000,"Budget",IF(FlipkartTable[[#This Row],[Selling Price]]&lt;50000,"Mid Range","Premium"))</f>
        <v>Budget</v>
      </c>
      <c r="M497" t="str">
        <f>IF(FlipkartTable[[#This Row],[Rating]]&gt;4.5,"Excellent",IF(FlipkartTable[[#This Row],[Rating]]&gt;4,"Good",IF(FlipkartTable[[#This Row],[Rating]]&gt;3.5,"Average","Poor")))</f>
        <v>Good</v>
      </c>
    </row>
    <row r="498" spans="1:13" x14ac:dyDescent="0.35">
      <c r="A498" t="s">
        <v>343</v>
      </c>
      <c r="B498" s="9" t="s">
        <v>355</v>
      </c>
      <c r="C498" t="s">
        <v>356</v>
      </c>
      <c r="D498" t="s">
        <v>11</v>
      </c>
      <c r="E498" t="s">
        <v>12</v>
      </c>
      <c r="F498">
        <v>4.4000000000000004</v>
      </c>
      <c r="G498">
        <v>10999</v>
      </c>
      <c r="H498">
        <v>10999</v>
      </c>
      <c r="I498">
        <f>FlipkartTable[[#This Row],[Original Price]]-FlipkartTable[[#This Row],[Selling Price]]</f>
        <v>0</v>
      </c>
      <c r="J498" s="4">
        <f>(FlipkartTable[[#This Row],[Original Price]]-FlipkartTable[[#This Row],[Selling Price]])/FlipkartTable[[#This Row],[Original Price]]</f>
        <v>0</v>
      </c>
      <c r="K498">
        <f>(FlipkartTable[[#This Row],[Rating]]/FlipkartTable[[#This Row],[Selling Price]])*1000</f>
        <v>0.40003636694244932</v>
      </c>
      <c r="L498" t="str">
        <f>IF(FlipkartTable[[#This Row],[Selling Price]]&lt;15000,"Budget",IF(FlipkartTable[[#This Row],[Selling Price]]&lt;50000,"Mid Range","Premium"))</f>
        <v>Budget</v>
      </c>
      <c r="M498" t="str">
        <f>IF(FlipkartTable[[#This Row],[Rating]]&gt;4.5,"Excellent",IF(FlipkartTable[[#This Row],[Rating]]&gt;4,"Good",IF(FlipkartTable[[#This Row],[Rating]]&gt;3.5,"Average","Poor")))</f>
        <v>Good</v>
      </c>
    </row>
    <row r="499" spans="1:13" x14ac:dyDescent="0.35">
      <c r="A499" t="s">
        <v>343</v>
      </c>
      <c r="B499" s="9" t="s">
        <v>355</v>
      </c>
      <c r="C499" t="s">
        <v>357</v>
      </c>
      <c r="D499" t="s">
        <v>11</v>
      </c>
      <c r="E499" t="s">
        <v>15</v>
      </c>
      <c r="F499">
        <v>4.4000000000000004</v>
      </c>
      <c r="G499">
        <v>11999</v>
      </c>
      <c r="H499">
        <v>11999</v>
      </c>
      <c r="I499">
        <f>FlipkartTable[[#This Row],[Original Price]]-FlipkartTable[[#This Row],[Selling Price]]</f>
        <v>0</v>
      </c>
      <c r="J499" s="4">
        <f>(FlipkartTable[[#This Row],[Original Price]]-FlipkartTable[[#This Row],[Selling Price]])/FlipkartTable[[#This Row],[Original Price]]</f>
        <v>0</v>
      </c>
      <c r="K499">
        <f>(FlipkartTable[[#This Row],[Rating]]/FlipkartTable[[#This Row],[Selling Price]])*1000</f>
        <v>0.36669722476873073</v>
      </c>
      <c r="L499" t="str">
        <f>IF(FlipkartTable[[#This Row],[Selling Price]]&lt;15000,"Budget",IF(FlipkartTable[[#This Row],[Selling Price]]&lt;50000,"Mid Range","Premium"))</f>
        <v>Budget</v>
      </c>
      <c r="M499" t="str">
        <f>IF(FlipkartTable[[#This Row],[Rating]]&gt;4.5,"Excellent",IF(FlipkartTable[[#This Row],[Rating]]&gt;4,"Good",IF(FlipkartTable[[#This Row],[Rating]]&gt;3.5,"Average","Poor")))</f>
        <v>Good</v>
      </c>
    </row>
    <row r="500" spans="1:13" x14ac:dyDescent="0.35">
      <c r="A500" t="s">
        <v>343</v>
      </c>
      <c r="B500" s="9" t="s">
        <v>355</v>
      </c>
      <c r="C500" t="s">
        <v>357</v>
      </c>
      <c r="D500" t="s">
        <v>11</v>
      </c>
      <c r="E500" t="s">
        <v>12</v>
      </c>
      <c r="F500">
        <v>4.4000000000000004</v>
      </c>
      <c r="G500">
        <v>10999</v>
      </c>
      <c r="H500">
        <v>10999</v>
      </c>
      <c r="I500">
        <f>FlipkartTable[[#This Row],[Original Price]]-FlipkartTable[[#This Row],[Selling Price]]</f>
        <v>0</v>
      </c>
      <c r="J500" s="4">
        <f>(FlipkartTable[[#This Row],[Original Price]]-FlipkartTable[[#This Row],[Selling Price]])/FlipkartTable[[#This Row],[Original Price]]</f>
        <v>0</v>
      </c>
      <c r="K500">
        <f>(FlipkartTable[[#This Row],[Rating]]/FlipkartTable[[#This Row],[Selling Price]])*1000</f>
        <v>0.40003636694244932</v>
      </c>
      <c r="L500" t="str">
        <f>IF(FlipkartTable[[#This Row],[Selling Price]]&lt;15000,"Budget",IF(FlipkartTable[[#This Row],[Selling Price]]&lt;50000,"Mid Range","Premium"))</f>
        <v>Budget</v>
      </c>
      <c r="M500" t="str">
        <f>IF(FlipkartTable[[#This Row],[Rating]]&gt;4.5,"Excellent",IF(FlipkartTable[[#This Row],[Rating]]&gt;4,"Good",IF(FlipkartTable[[#This Row],[Rating]]&gt;3.5,"Average","Poor")))</f>
        <v>Good</v>
      </c>
    </row>
    <row r="501" spans="1:13" x14ac:dyDescent="0.35">
      <c r="A501" t="s">
        <v>343</v>
      </c>
      <c r="B501" s="9" t="s">
        <v>358</v>
      </c>
      <c r="C501" t="s">
        <v>359</v>
      </c>
      <c r="D501" t="s">
        <v>14</v>
      </c>
      <c r="E501" t="s">
        <v>15</v>
      </c>
      <c r="F501">
        <v>4.5</v>
      </c>
      <c r="G501">
        <v>17999</v>
      </c>
      <c r="H501">
        <v>20999</v>
      </c>
      <c r="I501">
        <f>FlipkartTable[[#This Row],[Original Price]]-FlipkartTable[[#This Row],[Selling Price]]</f>
        <v>3000</v>
      </c>
      <c r="J501" s="4">
        <f>(FlipkartTable[[#This Row],[Original Price]]-FlipkartTable[[#This Row],[Selling Price]])/FlipkartTable[[#This Row],[Original Price]]</f>
        <v>0.14286394590218582</v>
      </c>
      <c r="K501">
        <f>(FlipkartTable[[#This Row],[Rating]]/FlipkartTable[[#This Row],[Selling Price]])*1000</f>
        <v>0.25001388966053667</v>
      </c>
      <c r="L501" t="str">
        <f>IF(FlipkartTable[[#This Row],[Selling Price]]&lt;15000,"Budget",IF(FlipkartTable[[#This Row],[Selling Price]]&lt;50000,"Mid Range","Premium"))</f>
        <v>Mid Range</v>
      </c>
      <c r="M501" t="str">
        <f>IF(FlipkartTable[[#This Row],[Rating]]&gt;4.5,"Excellent",IF(FlipkartTable[[#This Row],[Rating]]&gt;4,"Good",IF(FlipkartTable[[#This Row],[Rating]]&gt;3.5,"Average","Poor")))</f>
        <v>Good</v>
      </c>
    </row>
    <row r="502" spans="1:13" x14ac:dyDescent="0.35">
      <c r="A502" t="s">
        <v>343</v>
      </c>
      <c r="B502" s="9" t="s">
        <v>358</v>
      </c>
      <c r="C502" t="s">
        <v>362</v>
      </c>
      <c r="D502" t="s">
        <v>14</v>
      </c>
      <c r="E502" t="s">
        <v>15</v>
      </c>
      <c r="F502">
        <v>4.5</v>
      </c>
      <c r="G502">
        <v>17999</v>
      </c>
      <c r="H502">
        <v>20999</v>
      </c>
      <c r="I502">
        <f>FlipkartTable[[#This Row],[Original Price]]-FlipkartTable[[#This Row],[Selling Price]]</f>
        <v>3000</v>
      </c>
      <c r="J502" s="4">
        <f>(FlipkartTable[[#This Row],[Original Price]]-FlipkartTable[[#This Row],[Selling Price]])/FlipkartTable[[#This Row],[Original Price]]</f>
        <v>0.14286394590218582</v>
      </c>
      <c r="K502">
        <f>(FlipkartTable[[#This Row],[Rating]]/FlipkartTable[[#This Row],[Selling Price]])*1000</f>
        <v>0.25001388966053667</v>
      </c>
      <c r="L502" t="str">
        <f>IF(FlipkartTable[[#This Row],[Selling Price]]&lt;15000,"Budget",IF(FlipkartTable[[#This Row],[Selling Price]]&lt;50000,"Mid Range","Premium"))</f>
        <v>Mid Range</v>
      </c>
      <c r="M502" t="str">
        <f>IF(FlipkartTable[[#This Row],[Rating]]&gt;4.5,"Excellent",IF(FlipkartTable[[#This Row],[Rating]]&gt;4,"Good",IF(FlipkartTable[[#This Row],[Rating]]&gt;3.5,"Average","Poor")))</f>
        <v>Good</v>
      </c>
    </row>
    <row r="503" spans="1:13" x14ac:dyDescent="0.35">
      <c r="A503" t="s">
        <v>343</v>
      </c>
      <c r="B503" s="9" t="s">
        <v>363</v>
      </c>
      <c r="C503" t="s">
        <v>352</v>
      </c>
      <c r="D503" t="s">
        <v>11</v>
      </c>
      <c r="E503" t="s">
        <v>12</v>
      </c>
      <c r="F503">
        <v>4.4000000000000004</v>
      </c>
      <c r="G503">
        <v>9999</v>
      </c>
      <c r="H503">
        <v>10999</v>
      </c>
      <c r="I503">
        <f>FlipkartTable[[#This Row],[Original Price]]-FlipkartTable[[#This Row],[Selling Price]]</f>
        <v>1000</v>
      </c>
      <c r="J503" s="4">
        <f>(FlipkartTable[[#This Row],[Original Price]]-FlipkartTable[[#This Row],[Selling Price]])/FlipkartTable[[#This Row],[Original Price]]</f>
        <v>9.0917356123283929E-2</v>
      </c>
      <c r="K503">
        <f>(FlipkartTable[[#This Row],[Rating]]/FlipkartTable[[#This Row],[Selling Price]])*1000</f>
        <v>0.44004400440044006</v>
      </c>
      <c r="L503" t="str">
        <f>IF(FlipkartTable[[#This Row],[Selling Price]]&lt;15000,"Budget",IF(FlipkartTable[[#This Row],[Selling Price]]&lt;50000,"Mid Range","Premium"))</f>
        <v>Budget</v>
      </c>
      <c r="M503" t="str">
        <f>IF(FlipkartTable[[#This Row],[Rating]]&gt;4.5,"Excellent",IF(FlipkartTable[[#This Row],[Rating]]&gt;4,"Good",IF(FlipkartTable[[#This Row],[Rating]]&gt;3.5,"Average","Poor")))</f>
        <v>Good</v>
      </c>
    </row>
    <row r="504" spans="1:13" x14ac:dyDescent="0.35">
      <c r="A504" t="s">
        <v>343</v>
      </c>
      <c r="B504" s="9" t="s">
        <v>363</v>
      </c>
      <c r="C504" t="s">
        <v>353</v>
      </c>
      <c r="D504" t="s">
        <v>11</v>
      </c>
      <c r="E504" t="s">
        <v>12</v>
      </c>
      <c r="F504">
        <v>4.4000000000000004</v>
      </c>
      <c r="G504">
        <v>9999</v>
      </c>
      <c r="H504">
        <v>10999</v>
      </c>
      <c r="I504">
        <f>FlipkartTable[[#This Row],[Original Price]]-FlipkartTable[[#This Row],[Selling Price]]</f>
        <v>1000</v>
      </c>
      <c r="J504" s="4">
        <f>(FlipkartTable[[#This Row],[Original Price]]-FlipkartTable[[#This Row],[Selling Price]])/FlipkartTable[[#This Row],[Original Price]]</f>
        <v>9.0917356123283929E-2</v>
      </c>
      <c r="K504">
        <f>(FlipkartTable[[#This Row],[Rating]]/FlipkartTable[[#This Row],[Selling Price]])*1000</f>
        <v>0.44004400440044006</v>
      </c>
      <c r="L504" t="str">
        <f>IF(FlipkartTable[[#This Row],[Selling Price]]&lt;15000,"Budget",IF(FlipkartTable[[#This Row],[Selling Price]]&lt;50000,"Mid Range","Premium"))</f>
        <v>Budget</v>
      </c>
      <c r="M504" t="str">
        <f>IF(FlipkartTable[[#This Row],[Rating]]&gt;4.5,"Excellent",IF(FlipkartTable[[#This Row],[Rating]]&gt;4,"Good",IF(FlipkartTable[[#This Row],[Rating]]&gt;3.5,"Average","Poor")))</f>
        <v>Good</v>
      </c>
    </row>
    <row r="505" spans="1:13" x14ac:dyDescent="0.35">
      <c r="A505" t="s">
        <v>343</v>
      </c>
      <c r="B505" s="9" t="s">
        <v>363</v>
      </c>
      <c r="C505" t="s">
        <v>352</v>
      </c>
      <c r="D505" t="s">
        <v>20</v>
      </c>
      <c r="E505" t="s">
        <v>21</v>
      </c>
      <c r="F505">
        <v>4.4000000000000004</v>
      </c>
      <c r="G505">
        <v>8999</v>
      </c>
      <c r="H505">
        <v>9999</v>
      </c>
      <c r="I505">
        <f>FlipkartTable[[#This Row],[Original Price]]-FlipkartTable[[#This Row],[Selling Price]]</f>
        <v>1000</v>
      </c>
      <c r="J505" s="4">
        <f>(FlipkartTable[[#This Row],[Original Price]]-FlipkartTable[[#This Row],[Selling Price]])/FlipkartTable[[#This Row],[Original Price]]</f>
        <v>0.1000100010001</v>
      </c>
      <c r="K505">
        <f>(FlipkartTable[[#This Row],[Rating]]/FlipkartTable[[#This Row],[Selling Price]])*1000</f>
        <v>0.48894321591287931</v>
      </c>
      <c r="L505" t="str">
        <f>IF(FlipkartTable[[#This Row],[Selling Price]]&lt;15000,"Budget",IF(FlipkartTable[[#This Row],[Selling Price]]&lt;50000,"Mid Range","Premium"))</f>
        <v>Budget</v>
      </c>
      <c r="M505" t="str">
        <f>IF(FlipkartTable[[#This Row],[Rating]]&gt;4.5,"Excellent",IF(FlipkartTable[[#This Row],[Rating]]&gt;4,"Good",IF(FlipkartTable[[#This Row],[Rating]]&gt;3.5,"Average","Poor")))</f>
        <v>Good</v>
      </c>
    </row>
    <row r="506" spans="1:13" x14ac:dyDescent="0.35">
      <c r="A506" t="s">
        <v>343</v>
      </c>
      <c r="B506" s="9" t="s">
        <v>363</v>
      </c>
      <c r="C506" t="s">
        <v>353</v>
      </c>
      <c r="D506" t="s">
        <v>20</v>
      </c>
      <c r="E506" t="s">
        <v>21</v>
      </c>
      <c r="F506">
        <v>4.4000000000000004</v>
      </c>
      <c r="G506">
        <v>8999</v>
      </c>
      <c r="H506">
        <v>9999</v>
      </c>
      <c r="I506">
        <f>FlipkartTable[[#This Row],[Original Price]]-FlipkartTable[[#This Row],[Selling Price]]</f>
        <v>1000</v>
      </c>
      <c r="J506" s="4">
        <f>(FlipkartTable[[#This Row],[Original Price]]-FlipkartTable[[#This Row],[Selling Price]])/FlipkartTable[[#This Row],[Original Price]]</f>
        <v>0.1000100010001</v>
      </c>
      <c r="K506">
        <f>(FlipkartTable[[#This Row],[Rating]]/FlipkartTable[[#This Row],[Selling Price]])*1000</f>
        <v>0.48894321591287931</v>
      </c>
      <c r="L506" t="str">
        <f>IF(FlipkartTable[[#This Row],[Selling Price]]&lt;15000,"Budget",IF(FlipkartTable[[#This Row],[Selling Price]]&lt;50000,"Mid Range","Premium"))</f>
        <v>Budget</v>
      </c>
      <c r="M506" t="str">
        <f>IF(FlipkartTable[[#This Row],[Rating]]&gt;4.5,"Excellent",IF(FlipkartTable[[#This Row],[Rating]]&gt;4,"Good",IF(FlipkartTable[[#This Row],[Rating]]&gt;3.5,"Average","Poor")))</f>
        <v>Good</v>
      </c>
    </row>
    <row r="507" spans="1:13" x14ac:dyDescent="0.35">
      <c r="A507" t="s">
        <v>343</v>
      </c>
      <c r="B507" s="9" t="s">
        <v>347</v>
      </c>
      <c r="C507" t="s">
        <v>348</v>
      </c>
      <c r="D507" t="s">
        <v>14</v>
      </c>
      <c r="E507" t="s">
        <v>15</v>
      </c>
      <c r="F507">
        <v>4.3</v>
      </c>
      <c r="G507">
        <v>16999</v>
      </c>
      <c r="H507">
        <v>17999</v>
      </c>
      <c r="I507">
        <f>FlipkartTable[[#This Row],[Original Price]]-FlipkartTable[[#This Row],[Selling Price]]</f>
        <v>1000</v>
      </c>
      <c r="J507" s="4">
        <f>(FlipkartTable[[#This Row],[Original Price]]-FlipkartTable[[#This Row],[Selling Price]])/FlipkartTable[[#This Row],[Original Price]]</f>
        <v>5.5558642146785936E-2</v>
      </c>
      <c r="K507">
        <f>(FlipkartTable[[#This Row],[Rating]]/FlipkartTable[[#This Row],[Selling Price]])*1000</f>
        <v>0.25295605623860223</v>
      </c>
      <c r="L507" t="str">
        <f>IF(FlipkartTable[[#This Row],[Selling Price]]&lt;15000,"Budget",IF(FlipkartTable[[#This Row],[Selling Price]]&lt;50000,"Mid Range","Premium"))</f>
        <v>Mid Range</v>
      </c>
      <c r="M507" t="str">
        <f>IF(FlipkartTable[[#This Row],[Rating]]&gt;4.5,"Excellent",IF(FlipkartTable[[#This Row],[Rating]]&gt;4,"Good",IF(FlipkartTable[[#This Row],[Rating]]&gt;3.5,"Average","Poor")))</f>
        <v>Good</v>
      </c>
    </row>
    <row r="508" spans="1:13" x14ac:dyDescent="0.35">
      <c r="A508" t="s">
        <v>343</v>
      </c>
      <c r="B508" s="9" t="s">
        <v>347</v>
      </c>
      <c r="C508" t="s">
        <v>349</v>
      </c>
      <c r="D508" t="s">
        <v>14</v>
      </c>
      <c r="E508" t="s">
        <v>15</v>
      </c>
      <c r="F508">
        <v>4.3</v>
      </c>
      <c r="G508">
        <v>16999</v>
      </c>
      <c r="H508">
        <v>17999</v>
      </c>
      <c r="I508">
        <f>FlipkartTable[[#This Row],[Original Price]]-FlipkartTable[[#This Row],[Selling Price]]</f>
        <v>1000</v>
      </c>
      <c r="J508" s="4">
        <f>(FlipkartTable[[#This Row],[Original Price]]-FlipkartTable[[#This Row],[Selling Price]])/FlipkartTable[[#This Row],[Original Price]]</f>
        <v>5.5558642146785936E-2</v>
      </c>
      <c r="K508">
        <f>(FlipkartTable[[#This Row],[Rating]]/FlipkartTable[[#This Row],[Selling Price]])*1000</f>
        <v>0.25295605623860223</v>
      </c>
      <c r="L508" t="str">
        <f>IF(FlipkartTable[[#This Row],[Selling Price]]&lt;15000,"Budget",IF(FlipkartTable[[#This Row],[Selling Price]]&lt;50000,"Mid Range","Premium"))</f>
        <v>Mid Range</v>
      </c>
      <c r="M508" t="str">
        <f>IF(FlipkartTable[[#This Row],[Rating]]&gt;4.5,"Excellent",IF(FlipkartTable[[#This Row],[Rating]]&gt;4,"Good",IF(FlipkartTable[[#This Row],[Rating]]&gt;3.5,"Average","Poor")))</f>
        <v>Good</v>
      </c>
    </row>
    <row r="509" spans="1:13" x14ac:dyDescent="0.35">
      <c r="A509" t="s">
        <v>343</v>
      </c>
      <c r="B509" s="9" t="s">
        <v>364</v>
      </c>
      <c r="C509" t="s">
        <v>349</v>
      </c>
      <c r="D509" t="s">
        <v>14</v>
      </c>
      <c r="E509" t="s">
        <v>12</v>
      </c>
      <c r="F509">
        <v>4.3</v>
      </c>
      <c r="G509">
        <v>14499</v>
      </c>
      <c r="H509">
        <v>15999</v>
      </c>
      <c r="I509">
        <f>FlipkartTable[[#This Row],[Original Price]]-FlipkartTable[[#This Row],[Selling Price]]</f>
        <v>1500</v>
      </c>
      <c r="J509" s="4">
        <f>(FlipkartTable[[#This Row],[Original Price]]-FlipkartTable[[#This Row],[Selling Price]])/FlipkartTable[[#This Row],[Original Price]]</f>
        <v>9.3755859741233821E-2</v>
      </c>
      <c r="K509">
        <f>(FlipkartTable[[#This Row],[Rating]]/FlipkartTable[[#This Row],[Selling Price]])*1000</f>
        <v>0.29657217739154423</v>
      </c>
      <c r="L509" t="str">
        <f>IF(FlipkartTable[[#This Row],[Selling Price]]&lt;15000,"Budget",IF(FlipkartTable[[#This Row],[Selling Price]]&lt;50000,"Mid Range","Premium"))</f>
        <v>Budget</v>
      </c>
      <c r="M509" t="str">
        <f>IF(FlipkartTable[[#This Row],[Rating]]&gt;4.5,"Excellent",IF(FlipkartTable[[#This Row],[Rating]]&gt;4,"Good",IF(FlipkartTable[[#This Row],[Rating]]&gt;3.5,"Average","Poor")))</f>
        <v>Good</v>
      </c>
    </row>
    <row r="510" spans="1:13" x14ac:dyDescent="0.35">
      <c r="A510" t="s">
        <v>343</v>
      </c>
      <c r="B510" s="9" t="s">
        <v>364</v>
      </c>
      <c r="C510" t="s">
        <v>348</v>
      </c>
      <c r="D510" t="s">
        <v>14</v>
      </c>
      <c r="E510" t="s">
        <v>12</v>
      </c>
      <c r="F510">
        <v>4.3</v>
      </c>
      <c r="G510">
        <v>14499</v>
      </c>
      <c r="H510">
        <v>15999</v>
      </c>
      <c r="I510">
        <f>FlipkartTable[[#This Row],[Original Price]]-FlipkartTable[[#This Row],[Selling Price]]</f>
        <v>1500</v>
      </c>
      <c r="J510" s="4">
        <f>(FlipkartTable[[#This Row],[Original Price]]-FlipkartTable[[#This Row],[Selling Price]])/FlipkartTable[[#This Row],[Original Price]]</f>
        <v>9.3755859741233821E-2</v>
      </c>
      <c r="K510">
        <f>(FlipkartTable[[#This Row],[Rating]]/FlipkartTable[[#This Row],[Selling Price]])*1000</f>
        <v>0.29657217739154423</v>
      </c>
      <c r="L510" t="str">
        <f>IF(FlipkartTable[[#This Row],[Selling Price]]&lt;15000,"Budget",IF(FlipkartTable[[#This Row],[Selling Price]]&lt;50000,"Mid Range","Premium"))</f>
        <v>Budget</v>
      </c>
      <c r="M510" t="str">
        <f>IF(FlipkartTable[[#This Row],[Rating]]&gt;4.5,"Excellent",IF(FlipkartTable[[#This Row],[Rating]]&gt;4,"Good",IF(FlipkartTable[[#This Row],[Rating]]&gt;3.5,"Average","Poor")))</f>
        <v>Good</v>
      </c>
    </row>
    <row r="511" spans="1:13" x14ac:dyDescent="0.35">
      <c r="A511" t="s">
        <v>343</v>
      </c>
      <c r="B511" s="9" t="s">
        <v>364</v>
      </c>
      <c r="C511" t="s">
        <v>348</v>
      </c>
      <c r="D511" t="s">
        <v>11</v>
      </c>
      <c r="E511" t="s">
        <v>12</v>
      </c>
      <c r="F511">
        <v>4.3</v>
      </c>
      <c r="G511">
        <v>13499</v>
      </c>
      <c r="H511">
        <v>14999</v>
      </c>
      <c r="I511">
        <f>FlipkartTable[[#This Row],[Original Price]]-FlipkartTable[[#This Row],[Selling Price]]</f>
        <v>1500</v>
      </c>
      <c r="J511" s="4">
        <f>(FlipkartTable[[#This Row],[Original Price]]-FlipkartTable[[#This Row],[Selling Price]])/FlipkartTable[[#This Row],[Original Price]]</f>
        <v>0.10000666711114074</v>
      </c>
      <c r="K511">
        <f>(FlipkartTable[[#This Row],[Rating]]/FlipkartTable[[#This Row],[Selling Price]])*1000</f>
        <v>0.31854211423068374</v>
      </c>
      <c r="L511" t="str">
        <f>IF(FlipkartTable[[#This Row],[Selling Price]]&lt;15000,"Budget",IF(FlipkartTable[[#This Row],[Selling Price]]&lt;50000,"Mid Range","Premium"))</f>
        <v>Budget</v>
      </c>
      <c r="M511" t="str">
        <f>IF(FlipkartTable[[#This Row],[Rating]]&gt;4.5,"Excellent",IF(FlipkartTable[[#This Row],[Rating]]&gt;4,"Good",IF(FlipkartTable[[#This Row],[Rating]]&gt;3.5,"Average","Poor")))</f>
        <v>Good</v>
      </c>
    </row>
    <row r="512" spans="1:13" x14ac:dyDescent="0.35">
      <c r="A512" t="s">
        <v>343</v>
      </c>
      <c r="B512" s="9" t="s">
        <v>364</v>
      </c>
      <c r="C512" t="s">
        <v>349</v>
      </c>
      <c r="D512" t="s">
        <v>11</v>
      </c>
      <c r="E512" t="s">
        <v>12</v>
      </c>
      <c r="F512">
        <v>4.3</v>
      </c>
      <c r="G512">
        <v>13499</v>
      </c>
      <c r="H512">
        <v>14999</v>
      </c>
      <c r="I512">
        <f>FlipkartTable[[#This Row],[Original Price]]-FlipkartTable[[#This Row],[Selling Price]]</f>
        <v>1500</v>
      </c>
      <c r="J512" s="4">
        <f>(FlipkartTable[[#This Row],[Original Price]]-FlipkartTable[[#This Row],[Selling Price]])/FlipkartTable[[#This Row],[Original Price]]</f>
        <v>0.10000666711114074</v>
      </c>
      <c r="K512">
        <f>(FlipkartTable[[#This Row],[Rating]]/FlipkartTable[[#This Row],[Selling Price]])*1000</f>
        <v>0.31854211423068374</v>
      </c>
      <c r="L512" t="str">
        <f>IF(FlipkartTable[[#This Row],[Selling Price]]&lt;15000,"Budget",IF(FlipkartTable[[#This Row],[Selling Price]]&lt;50000,"Mid Range","Premium"))</f>
        <v>Budget</v>
      </c>
      <c r="M512" t="str">
        <f>IF(FlipkartTable[[#This Row],[Rating]]&gt;4.5,"Excellent",IF(FlipkartTable[[#This Row],[Rating]]&gt;4,"Good",IF(FlipkartTable[[#This Row],[Rating]]&gt;3.5,"Average","Poor")))</f>
        <v>Good</v>
      </c>
    </row>
    <row r="513" spans="1:13" x14ac:dyDescent="0.35">
      <c r="A513" t="s">
        <v>343</v>
      </c>
      <c r="B513" s="9" t="s">
        <v>365</v>
      </c>
      <c r="C513" t="s">
        <v>366</v>
      </c>
      <c r="D513" t="s">
        <v>20</v>
      </c>
      <c r="E513" t="s">
        <v>21</v>
      </c>
      <c r="F513">
        <v>4.3</v>
      </c>
      <c r="G513">
        <v>8999</v>
      </c>
      <c r="H513">
        <v>9999</v>
      </c>
      <c r="I513">
        <f>FlipkartTable[[#This Row],[Original Price]]-FlipkartTable[[#This Row],[Selling Price]]</f>
        <v>1000</v>
      </c>
      <c r="J513" s="4">
        <f>(FlipkartTable[[#This Row],[Original Price]]-FlipkartTable[[#This Row],[Selling Price]])/FlipkartTable[[#This Row],[Original Price]]</f>
        <v>0.1000100010001</v>
      </c>
      <c r="K513">
        <f>(FlipkartTable[[#This Row],[Rating]]/FlipkartTable[[#This Row],[Selling Price]])*1000</f>
        <v>0.47783087009667735</v>
      </c>
      <c r="L513" t="str">
        <f>IF(FlipkartTable[[#This Row],[Selling Price]]&lt;15000,"Budget",IF(FlipkartTable[[#This Row],[Selling Price]]&lt;50000,"Mid Range","Premium"))</f>
        <v>Budget</v>
      </c>
      <c r="M513" t="str">
        <f>IF(FlipkartTable[[#This Row],[Rating]]&gt;4.5,"Excellent",IF(FlipkartTable[[#This Row],[Rating]]&gt;4,"Good",IF(FlipkartTable[[#This Row],[Rating]]&gt;3.5,"Average","Poor")))</f>
        <v>Good</v>
      </c>
    </row>
    <row r="514" spans="1:13" x14ac:dyDescent="0.35">
      <c r="A514" t="s">
        <v>343</v>
      </c>
      <c r="B514" s="9" t="s">
        <v>364</v>
      </c>
      <c r="C514" t="s">
        <v>348</v>
      </c>
      <c r="D514" t="s">
        <v>14</v>
      </c>
      <c r="E514" t="s">
        <v>15</v>
      </c>
      <c r="F514">
        <v>4.3</v>
      </c>
      <c r="G514">
        <v>15499</v>
      </c>
      <c r="H514">
        <v>16999</v>
      </c>
      <c r="I514">
        <f>FlipkartTable[[#This Row],[Original Price]]-FlipkartTable[[#This Row],[Selling Price]]</f>
        <v>1500</v>
      </c>
      <c r="J514" s="4">
        <f>(FlipkartTable[[#This Row],[Original Price]]-FlipkartTable[[#This Row],[Selling Price]])/FlipkartTable[[#This Row],[Original Price]]</f>
        <v>8.8240484734396135E-2</v>
      </c>
      <c r="K514">
        <f>(FlipkartTable[[#This Row],[Rating]]/FlipkartTable[[#This Row],[Selling Price]])*1000</f>
        <v>0.27743725401638814</v>
      </c>
      <c r="L514" t="str">
        <f>IF(FlipkartTable[[#This Row],[Selling Price]]&lt;15000,"Budget",IF(FlipkartTable[[#This Row],[Selling Price]]&lt;50000,"Mid Range","Premium"))</f>
        <v>Mid Range</v>
      </c>
      <c r="M514" t="str">
        <f>IF(FlipkartTable[[#This Row],[Rating]]&gt;4.5,"Excellent",IF(FlipkartTable[[#This Row],[Rating]]&gt;4,"Good",IF(FlipkartTable[[#This Row],[Rating]]&gt;3.5,"Average","Poor")))</f>
        <v>Good</v>
      </c>
    </row>
    <row r="515" spans="1:13" x14ac:dyDescent="0.35">
      <c r="A515" t="s">
        <v>343</v>
      </c>
      <c r="B515" s="9" t="s">
        <v>364</v>
      </c>
      <c r="C515" t="s">
        <v>349</v>
      </c>
      <c r="D515" t="s">
        <v>14</v>
      </c>
      <c r="E515" t="s">
        <v>15</v>
      </c>
      <c r="F515">
        <v>4.3</v>
      </c>
      <c r="G515">
        <v>15499</v>
      </c>
      <c r="H515">
        <v>16999</v>
      </c>
      <c r="I515">
        <f>FlipkartTable[[#This Row],[Original Price]]-FlipkartTable[[#This Row],[Selling Price]]</f>
        <v>1500</v>
      </c>
      <c r="J515" s="4">
        <f>(FlipkartTable[[#This Row],[Original Price]]-FlipkartTable[[#This Row],[Selling Price]])/FlipkartTable[[#This Row],[Original Price]]</f>
        <v>8.8240484734396135E-2</v>
      </c>
      <c r="K515">
        <f>(FlipkartTable[[#This Row],[Rating]]/FlipkartTable[[#This Row],[Selling Price]])*1000</f>
        <v>0.27743725401638814</v>
      </c>
      <c r="L515" t="str">
        <f>IF(FlipkartTable[[#This Row],[Selling Price]]&lt;15000,"Budget",IF(FlipkartTable[[#This Row],[Selling Price]]&lt;50000,"Mid Range","Premium"))</f>
        <v>Mid Range</v>
      </c>
      <c r="M515" t="str">
        <f>IF(FlipkartTable[[#This Row],[Rating]]&gt;4.5,"Excellent",IF(FlipkartTable[[#This Row],[Rating]]&gt;4,"Good",IF(FlipkartTable[[#This Row],[Rating]]&gt;3.5,"Average","Poor")))</f>
        <v>Good</v>
      </c>
    </row>
    <row r="516" spans="1:13" x14ac:dyDescent="0.35">
      <c r="A516" t="s">
        <v>343</v>
      </c>
      <c r="B516" s="9" t="s">
        <v>367</v>
      </c>
      <c r="C516" t="s">
        <v>368</v>
      </c>
      <c r="D516" t="s">
        <v>11</v>
      </c>
      <c r="E516" t="s">
        <v>15</v>
      </c>
      <c r="F516">
        <v>4.3</v>
      </c>
      <c r="G516">
        <v>16499</v>
      </c>
      <c r="H516">
        <v>16999</v>
      </c>
      <c r="I516">
        <f>FlipkartTable[[#This Row],[Original Price]]-FlipkartTable[[#This Row],[Selling Price]]</f>
        <v>500</v>
      </c>
      <c r="J516" s="4">
        <f>(FlipkartTable[[#This Row],[Original Price]]-FlipkartTable[[#This Row],[Selling Price]])/FlipkartTable[[#This Row],[Original Price]]</f>
        <v>2.9413494911465381E-2</v>
      </c>
      <c r="K516">
        <f>(FlipkartTable[[#This Row],[Rating]]/FlipkartTable[[#This Row],[Selling Price]])*1000</f>
        <v>0.26062185587005271</v>
      </c>
      <c r="L516" t="str">
        <f>IF(FlipkartTable[[#This Row],[Selling Price]]&lt;15000,"Budget",IF(FlipkartTable[[#This Row],[Selling Price]]&lt;50000,"Mid Range","Premium"))</f>
        <v>Mid Range</v>
      </c>
      <c r="M516" t="str">
        <f>IF(FlipkartTable[[#This Row],[Rating]]&gt;4.5,"Excellent",IF(FlipkartTable[[#This Row],[Rating]]&gt;4,"Good",IF(FlipkartTable[[#This Row],[Rating]]&gt;3.5,"Average","Poor")))</f>
        <v>Good</v>
      </c>
    </row>
    <row r="517" spans="1:13" x14ac:dyDescent="0.35">
      <c r="A517" t="s">
        <v>343</v>
      </c>
      <c r="B517" s="9" t="s">
        <v>367</v>
      </c>
      <c r="C517" t="s">
        <v>369</v>
      </c>
      <c r="D517" t="s">
        <v>11</v>
      </c>
      <c r="E517" t="s">
        <v>12</v>
      </c>
      <c r="F517">
        <v>4.3</v>
      </c>
      <c r="G517">
        <v>15499</v>
      </c>
      <c r="H517">
        <v>15999</v>
      </c>
      <c r="I517">
        <f>FlipkartTable[[#This Row],[Original Price]]-FlipkartTable[[#This Row],[Selling Price]]</f>
        <v>500</v>
      </c>
      <c r="J517" s="4">
        <f>(FlipkartTable[[#This Row],[Original Price]]-FlipkartTable[[#This Row],[Selling Price]])/FlipkartTable[[#This Row],[Original Price]]</f>
        <v>3.125195324707794E-2</v>
      </c>
      <c r="K517">
        <f>(FlipkartTable[[#This Row],[Rating]]/FlipkartTable[[#This Row],[Selling Price]])*1000</f>
        <v>0.27743725401638814</v>
      </c>
      <c r="L517" t="str">
        <f>IF(FlipkartTable[[#This Row],[Selling Price]]&lt;15000,"Budget",IF(FlipkartTable[[#This Row],[Selling Price]]&lt;50000,"Mid Range","Premium"))</f>
        <v>Mid Range</v>
      </c>
      <c r="M517" t="str">
        <f>IF(FlipkartTable[[#This Row],[Rating]]&gt;4.5,"Excellent",IF(FlipkartTable[[#This Row],[Rating]]&gt;4,"Good",IF(FlipkartTable[[#This Row],[Rating]]&gt;3.5,"Average","Poor")))</f>
        <v>Good</v>
      </c>
    </row>
    <row r="518" spans="1:13" x14ac:dyDescent="0.35">
      <c r="A518" t="s">
        <v>343</v>
      </c>
      <c r="B518" s="9" t="s">
        <v>367</v>
      </c>
      <c r="C518" t="s">
        <v>368</v>
      </c>
      <c r="D518" t="s">
        <v>11</v>
      </c>
      <c r="E518" t="s">
        <v>12</v>
      </c>
      <c r="F518">
        <v>4.3</v>
      </c>
      <c r="G518">
        <v>15499</v>
      </c>
      <c r="H518">
        <v>15999</v>
      </c>
      <c r="I518">
        <f>FlipkartTable[[#This Row],[Original Price]]-FlipkartTable[[#This Row],[Selling Price]]</f>
        <v>500</v>
      </c>
      <c r="J518" s="4">
        <f>(FlipkartTable[[#This Row],[Original Price]]-FlipkartTable[[#This Row],[Selling Price]])/FlipkartTable[[#This Row],[Original Price]]</f>
        <v>3.125195324707794E-2</v>
      </c>
      <c r="K518">
        <f>(FlipkartTable[[#This Row],[Rating]]/FlipkartTable[[#This Row],[Selling Price]])*1000</f>
        <v>0.27743725401638814</v>
      </c>
      <c r="L518" t="str">
        <f>IF(FlipkartTable[[#This Row],[Selling Price]]&lt;15000,"Budget",IF(FlipkartTable[[#This Row],[Selling Price]]&lt;50000,"Mid Range","Premium"))</f>
        <v>Mid Range</v>
      </c>
      <c r="M518" t="str">
        <f>IF(FlipkartTable[[#This Row],[Rating]]&gt;4.5,"Excellent",IF(FlipkartTable[[#This Row],[Rating]]&gt;4,"Good",IF(FlipkartTable[[#This Row],[Rating]]&gt;3.5,"Average","Poor")))</f>
        <v>Good</v>
      </c>
    </row>
    <row r="519" spans="1:13" x14ac:dyDescent="0.35">
      <c r="A519" t="s">
        <v>343</v>
      </c>
      <c r="B519" s="9" t="s">
        <v>370</v>
      </c>
      <c r="C519" t="s">
        <v>371</v>
      </c>
      <c r="D519" t="s">
        <v>27</v>
      </c>
      <c r="E519" t="s">
        <v>15</v>
      </c>
      <c r="F519">
        <v>4.4000000000000004</v>
      </c>
      <c r="G519">
        <v>19999</v>
      </c>
      <c r="H519">
        <v>21999</v>
      </c>
      <c r="I519">
        <f>FlipkartTable[[#This Row],[Original Price]]-FlipkartTable[[#This Row],[Selling Price]]</f>
        <v>2000</v>
      </c>
      <c r="J519" s="4">
        <f>(FlipkartTable[[#This Row],[Original Price]]-FlipkartTable[[#This Row],[Selling Price]])/FlipkartTable[[#This Row],[Original Price]]</f>
        <v>9.0913223328333112E-2</v>
      </c>
      <c r="K519">
        <f>(FlipkartTable[[#This Row],[Rating]]/FlipkartTable[[#This Row],[Selling Price]])*1000</f>
        <v>0.22001100055002751</v>
      </c>
      <c r="L519" t="str">
        <f>IF(FlipkartTable[[#This Row],[Selling Price]]&lt;15000,"Budget",IF(FlipkartTable[[#This Row],[Selling Price]]&lt;50000,"Mid Range","Premium"))</f>
        <v>Mid Range</v>
      </c>
      <c r="M519" t="str">
        <f>IF(FlipkartTable[[#This Row],[Rating]]&gt;4.5,"Excellent",IF(FlipkartTable[[#This Row],[Rating]]&gt;4,"Good",IF(FlipkartTable[[#This Row],[Rating]]&gt;3.5,"Average","Poor")))</f>
        <v>Good</v>
      </c>
    </row>
    <row r="520" spans="1:13" x14ac:dyDescent="0.35">
      <c r="A520" t="s">
        <v>343</v>
      </c>
      <c r="B520" s="9" t="s">
        <v>367</v>
      </c>
      <c r="C520" t="s">
        <v>369</v>
      </c>
      <c r="D520" t="s">
        <v>27</v>
      </c>
      <c r="E520" t="s">
        <v>15</v>
      </c>
      <c r="F520">
        <v>4.3</v>
      </c>
      <c r="G520">
        <v>18499</v>
      </c>
      <c r="H520">
        <v>18999</v>
      </c>
      <c r="I520">
        <f>FlipkartTable[[#This Row],[Original Price]]-FlipkartTable[[#This Row],[Selling Price]]</f>
        <v>500</v>
      </c>
      <c r="J520" s="4">
        <f>(FlipkartTable[[#This Row],[Original Price]]-FlipkartTable[[#This Row],[Selling Price]])/FlipkartTable[[#This Row],[Original Price]]</f>
        <v>2.6317174588136219E-2</v>
      </c>
      <c r="K520">
        <f>(FlipkartTable[[#This Row],[Rating]]/FlipkartTable[[#This Row],[Selling Price]])*1000</f>
        <v>0.2324449970268663</v>
      </c>
      <c r="L520" t="str">
        <f>IF(FlipkartTable[[#This Row],[Selling Price]]&lt;15000,"Budget",IF(FlipkartTable[[#This Row],[Selling Price]]&lt;50000,"Mid Range","Premium"))</f>
        <v>Mid Range</v>
      </c>
      <c r="M520" t="str">
        <f>IF(FlipkartTable[[#This Row],[Rating]]&gt;4.5,"Excellent",IF(FlipkartTable[[#This Row],[Rating]]&gt;4,"Good",IF(FlipkartTable[[#This Row],[Rating]]&gt;3.5,"Average","Poor")))</f>
        <v>Good</v>
      </c>
    </row>
    <row r="521" spans="1:13" x14ac:dyDescent="0.35">
      <c r="A521" t="s">
        <v>343</v>
      </c>
      <c r="B521" s="9" t="s">
        <v>367</v>
      </c>
      <c r="C521" t="s">
        <v>368</v>
      </c>
      <c r="D521" t="s">
        <v>27</v>
      </c>
      <c r="E521" t="s">
        <v>15</v>
      </c>
      <c r="F521">
        <v>4.3</v>
      </c>
      <c r="G521">
        <v>18499</v>
      </c>
      <c r="H521">
        <v>18999</v>
      </c>
      <c r="I521">
        <f>FlipkartTable[[#This Row],[Original Price]]-FlipkartTable[[#This Row],[Selling Price]]</f>
        <v>500</v>
      </c>
      <c r="J521" s="4">
        <f>(FlipkartTable[[#This Row],[Original Price]]-FlipkartTable[[#This Row],[Selling Price]])/FlipkartTable[[#This Row],[Original Price]]</f>
        <v>2.6317174588136219E-2</v>
      </c>
      <c r="K521">
        <f>(FlipkartTable[[#This Row],[Rating]]/FlipkartTable[[#This Row],[Selling Price]])*1000</f>
        <v>0.2324449970268663</v>
      </c>
      <c r="L521" t="str">
        <f>IF(FlipkartTable[[#This Row],[Selling Price]]&lt;15000,"Budget",IF(FlipkartTable[[#This Row],[Selling Price]]&lt;50000,"Mid Range","Premium"))</f>
        <v>Mid Range</v>
      </c>
      <c r="M521" t="str">
        <f>IF(FlipkartTable[[#This Row],[Rating]]&gt;4.5,"Excellent",IF(FlipkartTable[[#This Row],[Rating]]&gt;4,"Good",IF(FlipkartTable[[#This Row],[Rating]]&gt;3.5,"Average","Poor")))</f>
        <v>Good</v>
      </c>
    </row>
    <row r="522" spans="1:13" x14ac:dyDescent="0.35">
      <c r="A522" t="s">
        <v>343</v>
      </c>
      <c r="B522" s="9" t="s">
        <v>367</v>
      </c>
      <c r="C522" t="s">
        <v>369</v>
      </c>
      <c r="D522" t="s">
        <v>11</v>
      </c>
      <c r="E522" t="s">
        <v>15</v>
      </c>
      <c r="F522">
        <v>4.3</v>
      </c>
      <c r="G522">
        <v>16499</v>
      </c>
      <c r="H522">
        <v>16999</v>
      </c>
      <c r="I522">
        <f>FlipkartTable[[#This Row],[Original Price]]-FlipkartTable[[#This Row],[Selling Price]]</f>
        <v>500</v>
      </c>
      <c r="J522" s="4">
        <f>(FlipkartTable[[#This Row],[Original Price]]-FlipkartTable[[#This Row],[Selling Price]])/FlipkartTable[[#This Row],[Original Price]]</f>
        <v>2.9413494911465381E-2</v>
      </c>
      <c r="K522">
        <f>(FlipkartTable[[#This Row],[Rating]]/FlipkartTable[[#This Row],[Selling Price]])*1000</f>
        <v>0.26062185587005271</v>
      </c>
      <c r="L522" t="str">
        <f>IF(FlipkartTable[[#This Row],[Selling Price]]&lt;15000,"Budget",IF(FlipkartTable[[#This Row],[Selling Price]]&lt;50000,"Mid Range","Premium"))</f>
        <v>Mid Range</v>
      </c>
      <c r="M522" t="str">
        <f>IF(FlipkartTable[[#This Row],[Rating]]&gt;4.5,"Excellent",IF(FlipkartTable[[#This Row],[Rating]]&gt;4,"Good",IF(FlipkartTable[[#This Row],[Rating]]&gt;3.5,"Average","Poor")))</f>
        <v>Good</v>
      </c>
    </row>
    <row r="523" spans="1:13" x14ac:dyDescent="0.35">
      <c r="A523" t="s">
        <v>343</v>
      </c>
      <c r="B523" s="9" t="s">
        <v>372</v>
      </c>
      <c r="C523" t="s">
        <v>373</v>
      </c>
      <c r="D523" t="s">
        <v>20</v>
      </c>
      <c r="E523" t="s">
        <v>21</v>
      </c>
      <c r="F523">
        <v>4.3</v>
      </c>
      <c r="G523">
        <v>9999</v>
      </c>
      <c r="H523">
        <v>11999</v>
      </c>
      <c r="I523">
        <f>FlipkartTable[[#This Row],[Original Price]]-FlipkartTable[[#This Row],[Selling Price]]</f>
        <v>2000</v>
      </c>
      <c r="J523" s="4">
        <f>(FlipkartTable[[#This Row],[Original Price]]-FlipkartTable[[#This Row],[Selling Price]])/FlipkartTable[[#This Row],[Original Price]]</f>
        <v>0.16668055671305942</v>
      </c>
      <c r="K523">
        <f>(FlipkartTable[[#This Row],[Rating]]/FlipkartTable[[#This Row],[Selling Price]])*1000</f>
        <v>0.43004300430043002</v>
      </c>
      <c r="L523" t="str">
        <f>IF(FlipkartTable[[#This Row],[Selling Price]]&lt;15000,"Budget",IF(FlipkartTable[[#This Row],[Selling Price]]&lt;50000,"Mid Range","Premium"))</f>
        <v>Budget</v>
      </c>
      <c r="M523" t="str">
        <f>IF(FlipkartTable[[#This Row],[Rating]]&gt;4.5,"Excellent",IF(FlipkartTable[[#This Row],[Rating]]&gt;4,"Good",IF(FlipkartTable[[#This Row],[Rating]]&gt;3.5,"Average","Poor")))</f>
        <v>Good</v>
      </c>
    </row>
    <row r="524" spans="1:13" x14ac:dyDescent="0.35">
      <c r="A524" t="s">
        <v>343</v>
      </c>
      <c r="B524" s="9" t="s">
        <v>370</v>
      </c>
      <c r="C524" t="s">
        <v>371</v>
      </c>
      <c r="D524" t="s">
        <v>14</v>
      </c>
      <c r="E524" t="s">
        <v>15</v>
      </c>
      <c r="F524">
        <v>4.3</v>
      </c>
      <c r="G524">
        <v>17999</v>
      </c>
      <c r="H524">
        <v>19999</v>
      </c>
      <c r="I524">
        <f>FlipkartTable[[#This Row],[Original Price]]-FlipkartTable[[#This Row],[Selling Price]]</f>
        <v>2000</v>
      </c>
      <c r="J524" s="4">
        <f>(FlipkartTable[[#This Row],[Original Price]]-FlipkartTable[[#This Row],[Selling Price]])/FlipkartTable[[#This Row],[Original Price]]</f>
        <v>0.10000500025001251</v>
      </c>
      <c r="K524">
        <f>(FlipkartTable[[#This Row],[Rating]]/FlipkartTable[[#This Row],[Selling Price]])*1000</f>
        <v>0.23890216123117949</v>
      </c>
      <c r="L524" t="str">
        <f>IF(FlipkartTable[[#This Row],[Selling Price]]&lt;15000,"Budget",IF(FlipkartTable[[#This Row],[Selling Price]]&lt;50000,"Mid Range","Premium"))</f>
        <v>Mid Range</v>
      </c>
      <c r="M524" t="str">
        <f>IF(FlipkartTable[[#This Row],[Rating]]&gt;4.5,"Excellent",IF(FlipkartTable[[#This Row],[Rating]]&gt;4,"Good",IF(FlipkartTable[[#This Row],[Rating]]&gt;3.5,"Average","Poor")))</f>
        <v>Good</v>
      </c>
    </row>
    <row r="525" spans="1:13" x14ac:dyDescent="0.35">
      <c r="A525" t="s">
        <v>343</v>
      </c>
      <c r="B525" s="9" t="s">
        <v>370</v>
      </c>
      <c r="C525" t="s">
        <v>374</v>
      </c>
      <c r="D525" t="s">
        <v>27</v>
      </c>
      <c r="E525" t="s">
        <v>15</v>
      </c>
      <c r="F525">
        <v>4.4000000000000004</v>
      </c>
      <c r="G525">
        <v>19999</v>
      </c>
      <c r="H525">
        <v>21999</v>
      </c>
      <c r="I525">
        <f>FlipkartTable[[#This Row],[Original Price]]-FlipkartTable[[#This Row],[Selling Price]]</f>
        <v>2000</v>
      </c>
      <c r="J525" s="4">
        <f>(FlipkartTable[[#This Row],[Original Price]]-FlipkartTable[[#This Row],[Selling Price]])/FlipkartTable[[#This Row],[Original Price]]</f>
        <v>9.0913223328333112E-2</v>
      </c>
      <c r="K525">
        <f>(FlipkartTable[[#This Row],[Rating]]/FlipkartTable[[#This Row],[Selling Price]])*1000</f>
        <v>0.22001100055002751</v>
      </c>
      <c r="L525" t="str">
        <f>IF(FlipkartTable[[#This Row],[Selling Price]]&lt;15000,"Budget",IF(FlipkartTable[[#This Row],[Selling Price]]&lt;50000,"Mid Range","Premium"))</f>
        <v>Mid Range</v>
      </c>
      <c r="M525" t="str">
        <f>IF(FlipkartTable[[#This Row],[Rating]]&gt;4.5,"Excellent",IF(FlipkartTable[[#This Row],[Rating]]&gt;4,"Good",IF(FlipkartTable[[#This Row],[Rating]]&gt;3.5,"Average","Poor")))</f>
        <v>Good</v>
      </c>
    </row>
    <row r="526" spans="1:13" x14ac:dyDescent="0.35">
      <c r="A526" t="s">
        <v>343</v>
      </c>
      <c r="B526" s="9">
        <v>8</v>
      </c>
      <c r="C526" t="s">
        <v>375</v>
      </c>
      <c r="D526" t="s">
        <v>14</v>
      </c>
      <c r="E526" t="s">
        <v>15</v>
      </c>
      <c r="F526">
        <v>4.3</v>
      </c>
      <c r="G526">
        <v>16999</v>
      </c>
      <c r="H526">
        <v>17999</v>
      </c>
      <c r="I526">
        <f>FlipkartTable[[#This Row],[Original Price]]-FlipkartTable[[#This Row],[Selling Price]]</f>
        <v>1000</v>
      </c>
      <c r="J526" s="4">
        <f>(FlipkartTable[[#This Row],[Original Price]]-FlipkartTable[[#This Row],[Selling Price]])/FlipkartTable[[#This Row],[Original Price]]</f>
        <v>5.5558642146785936E-2</v>
      </c>
      <c r="K526">
        <f>(FlipkartTable[[#This Row],[Rating]]/FlipkartTable[[#This Row],[Selling Price]])*1000</f>
        <v>0.25295605623860223</v>
      </c>
      <c r="L526" t="str">
        <f>IF(FlipkartTable[[#This Row],[Selling Price]]&lt;15000,"Budget",IF(FlipkartTable[[#This Row],[Selling Price]]&lt;50000,"Mid Range","Premium"))</f>
        <v>Mid Range</v>
      </c>
      <c r="M526" t="str">
        <f>IF(FlipkartTable[[#This Row],[Rating]]&gt;4.5,"Excellent",IF(FlipkartTable[[#This Row],[Rating]]&gt;4,"Good",IF(FlipkartTable[[#This Row],[Rating]]&gt;3.5,"Average","Poor")))</f>
        <v>Good</v>
      </c>
    </row>
    <row r="527" spans="1:13" x14ac:dyDescent="0.35">
      <c r="A527" t="s">
        <v>343</v>
      </c>
      <c r="B527" s="9">
        <v>8</v>
      </c>
      <c r="C527" t="s">
        <v>376</v>
      </c>
      <c r="D527" t="s">
        <v>14</v>
      </c>
      <c r="E527" t="s">
        <v>15</v>
      </c>
      <c r="F527">
        <v>4.3</v>
      </c>
      <c r="G527">
        <v>16999</v>
      </c>
      <c r="H527">
        <v>17999</v>
      </c>
      <c r="I527">
        <f>FlipkartTable[[#This Row],[Original Price]]-FlipkartTable[[#This Row],[Selling Price]]</f>
        <v>1000</v>
      </c>
      <c r="J527" s="4">
        <f>(FlipkartTable[[#This Row],[Original Price]]-FlipkartTable[[#This Row],[Selling Price]])/FlipkartTable[[#This Row],[Original Price]]</f>
        <v>5.5558642146785936E-2</v>
      </c>
      <c r="K527">
        <f>(FlipkartTable[[#This Row],[Rating]]/FlipkartTable[[#This Row],[Selling Price]])*1000</f>
        <v>0.25295605623860223</v>
      </c>
      <c r="L527" t="str">
        <f>IF(FlipkartTable[[#This Row],[Selling Price]]&lt;15000,"Budget",IF(FlipkartTable[[#This Row],[Selling Price]]&lt;50000,"Mid Range","Premium"))</f>
        <v>Mid Range</v>
      </c>
      <c r="M527" t="str">
        <f>IF(FlipkartTable[[#This Row],[Rating]]&gt;4.5,"Excellent",IF(FlipkartTable[[#This Row],[Rating]]&gt;4,"Good",IF(FlipkartTable[[#This Row],[Rating]]&gt;3.5,"Average","Poor")))</f>
        <v>Good</v>
      </c>
    </row>
    <row r="528" spans="1:13" x14ac:dyDescent="0.35">
      <c r="A528" t="s">
        <v>343</v>
      </c>
      <c r="B528" s="9">
        <v>8</v>
      </c>
      <c r="C528" t="s">
        <v>376</v>
      </c>
      <c r="D528" t="s">
        <v>27</v>
      </c>
      <c r="E528" t="s">
        <v>15</v>
      </c>
      <c r="F528">
        <v>4.3</v>
      </c>
      <c r="G528">
        <v>17999</v>
      </c>
      <c r="H528">
        <v>18999</v>
      </c>
      <c r="I528">
        <f>FlipkartTable[[#This Row],[Original Price]]-FlipkartTable[[#This Row],[Selling Price]]</f>
        <v>1000</v>
      </c>
      <c r="J528" s="4">
        <f>(FlipkartTable[[#This Row],[Original Price]]-FlipkartTable[[#This Row],[Selling Price]])/FlipkartTable[[#This Row],[Original Price]]</f>
        <v>5.2634349176272438E-2</v>
      </c>
      <c r="K528">
        <f>(FlipkartTable[[#This Row],[Rating]]/FlipkartTable[[#This Row],[Selling Price]])*1000</f>
        <v>0.23890216123117949</v>
      </c>
      <c r="L528" t="str">
        <f>IF(FlipkartTable[[#This Row],[Selling Price]]&lt;15000,"Budget",IF(FlipkartTable[[#This Row],[Selling Price]]&lt;50000,"Mid Range","Premium"))</f>
        <v>Mid Range</v>
      </c>
      <c r="M528" t="str">
        <f>IF(FlipkartTable[[#This Row],[Rating]]&gt;4.5,"Excellent",IF(FlipkartTable[[#This Row],[Rating]]&gt;4,"Good",IF(FlipkartTable[[#This Row],[Rating]]&gt;3.5,"Average","Poor")))</f>
        <v>Good</v>
      </c>
    </row>
    <row r="529" spans="1:13" x14ac:dyDescent="0.35">
      <c r="A529" t="s">
        <v>343</v>
      </c>
      <c r="B529" s="9">
        <v>8</v>
      </c>
      <c r="C529" t="s">
        <v>376</v>
      </c>
      <c r="D529" t="s">
        <v>11</v>
      </c>
      <c r="E529" t="s">
        <v>15</v>
      </c>
      <c r="F529">
        <v>4.3</v>
      </c>
      <c r="G529">
        <v>15999</v>
      </c>
      <c r="H529">
        <v>16999</v>
      </c>
      <c r="I529">
        <f>FlipkartTable[[#This Row],[Original Price]]-FlipkartTable[[#This Row],[Selling Price]]</f>
        <v>1000</v>
      </c>
      <c r="J529" s="4">
        <f>(FlipkartTable[[#This Row],[Original Price]]-FlipkartTable[[#This Row],[Selling Price]])/FlipkartTable[[#This Row],[Original Price]]</f>
        <v>5.8826989822930761E-2</v>
      </c>
      <c r="K529">
        <f>(FlipkartTable[[#This Row],[Rating]]/FlipkartTable[[#This Row],[Selling Price]])*1000</f>
        <v>0.26876679792487029</v>
      </c>
      <c r="L529" t="str">
        <f>IF(FlipkartTable[[#This Row],[Selling Price]]&lt;15000,"Budget",IF(FlipkartTable[[#This Row],[Selling Price]]&lt;50000,"Mid Range","Premium"))</f>
        <v>Mid Range</v>
      </c>
      <c r="M529" t="str">
        <f>IF(FlipkartTable[[#This Row],[Rating]]&gt;4.5,"Excellent",IF(FlipkartTable[[#This Row],[Rating]]&gt;4,"Good",IF(FlipkartTable[[#This Row],[Rating]]&gt;3.5,"Average","Poor")))</f>
        <v>Good</v>
      </c>
    </row>
    <row r="530" spans="1:13" x14ac:dyDescent="0.35">
      <c r="A530" t="s">
        <v>343</v>
      </c>
      <c r="B530" s="9">
        <v>8</v>
      </c>
      <c r="C530" t="s">
        <v>375</v>
      </c>
      <c r="D530" t="s">
        <v>27</v>
      </c>
      <c r="E530" t="s">
        <v>15</v>
      </c>
      <c r="F530">
        <v>4.3</v>
      </c>
      <c r="G530">
        <v>17999</v>
      </c>
      <c r="H530">
        <v>18999</v>
      </c>
      <c r="I530">
        <f>FlipkartTable[[#This Row],[Original Price]]-FlipkartTable[[#This Row],[Selling Price]]</f>
        <v>1000</v>
      </c>
      <c r="J530" s="4">
        <f>(FlipkartTable[[#This Row],[Original Price]]-FlipkartTable[[#This Row],[Selling Price]])/FlipkartTable[[#This Row],[Original Price]]</f>
        <v>5.2634349176272438E-2</v>
      </c>
      <c r="K530">
        <f>(FlipkartTable[[#This Row],[Rating]]/FlipkartTable[[#This Row],[Selling Price]])*1000</f>
        <v>0.23890216123117949</v>
      </c>
      <c r="L530" t="str">
        <f>IF(FlipkartTable[[#This Row],[Selling Price]]&lt;15000,"Budget",IF(FlipkartTable[[#This Row],[Selling Price]]&lt;50000,"Mid Range","Premium"))</f>
        <v>Mid Range</v>
      </c>
      <c r="M530" t="str">
        <f>IF(FlipkartTable[[#This Row],[Rating]]&gt;4.5,"Excellent",IF(FlipkartTable[[#This Row],[Rating]]&gt;4,"Good",IF(FlipkartTable[[#This Row],[Rating]]&gt;3.5,"Average","Poor")))</f>
        <v>Good</v>
      </c>
    </row>
    <row r="531" spans="1:13" x14ac:dyDescent="0.35">
      <c r="A531" t="s">
        <v>343</v>
      </c>
      <c r="B531" s="9" t="s">
        <v>377</v>
      </c>
      <c r="C531" t="s">
        <v>378</v>
      </c>
      <c r="D531" t="s">
        <v>20</v>
      </c>
      <c r="E531" t="s">
        <v>21</v>
      </c>
      <c r="F531">
        <v>4.4000000000000004</v>
      </c>
      <c r="G531">
        <v>8999</v>
      </c>
      <c r="H531">
        <v>10999</v>
      </c>
      <c r="I531">
        <f>FlipkartTable[[#This Row],[Original Price]]-FlipkartTable[[#This Row],[Selling Price]]</f>
        <v>2000</v>
      </c>
      <c r="J531" s="4">
        <f>(FlipkartTable[[#This Row],[Original Price]]-FlipkartTable[[#This Row],[Selling Price]])/FlipkartTable[[#This Row],[Original Price]]</f>
        <v>0.18183471224656786</v>
      </c>
      <c r="K531">
        <f>(FlipkartTable[[#This Row],[Rating]]/FlipkartTable[[#This Row],[Selling Price]])*1000</f>
        <v>0.48894321591287931</v>
      </c>
      <c r="L531" t="str">
        <f>IF(FlipkartTable[[#This Row],[Selling Price]]&lt;15000,"Budget",IF(FlipkartTable[[#This Row],[Selling Price]]&lt;50000,"Mid Range","Premium"))</f>
        <v>Budget</v>
      </c>
      <c r="M531" t="str">
        <f>IF(FlipkartTable[[#This Row],[Rating]]&gt;4.5,"Excellent",IF(FlipkartTable[[#This Row],[Rating]]&gt;4,"Good",IF(FlipkartTable[[#This Row],[Rating]]&gt;3.5,"Average","Poor")))</f>
        <v>Good</v>
      </c>
    </row>
    <row r="532" spans="1:13" x14ac:dyDescent="0.35">
      <c r="A532" t="s">
        <v>343</v>
      </c>
      <c r="B532" s="9" t="s">
        <v>377</v>
      </c>
      <c r="C532" t="s">
        <v>373</v>
      </c>
      <c r="D532" t="s">
        <v>20</v>
      </c>
      <c r="E532" t="s">
        <v>21</v>
      </c>
      <c r="F532">
        <v>4.4000000000000004</v>
      </c>
      <c r="G532">
        <v>8999</v>
      </c>
      <c r="H532">
        <v>10999</v>
      </c>
      <c r="I532">
        <f>FlipkartTable[[#This Row],[Original Price]]-FlipkartTable[[#This Row],[Selling Price]]</f>
        <v>2000</v>
      </c>
      <c r="J532" s="4">
        <f>(FlipkartTable[[#This Row],[Original Price]]-FlipkartTable[[#This Row],[Selling Price]])/FlipkartTable[[#This Row],[Original Price]]</f>
        <v>0.18183471224656786</v>
      </c>
      <c r="K532">
        <f>(FlipkartTable[[#This Row],[Rating]]/FlipkartTable[[#This Row],[Selling Price]])*1000</f>
        <v>0.48894321591287931</v>
      </c>
      <c r="L532" t="str">
        <f>IF(FlipkartTable[[#This Row],[Selling Price]]&lt;15000,"Budget",IF(FlipkartTable[[#This Row],[Selling Price]]&lt;50000,"Mid Range","Premium"))</f>
        <v>Budget</v>
      </c>
      <c r="M532" t="str">
        <f>IF(FlipkartTable[[#This Row],[Rating]]&gt;4.5,"Excellent",IF(FlipkartTable[[#This Row],[Rating]]&gt;4,"Good",IF(FlipkartTable[[#This Row],[Rating]]&gt;3.5,"Average","Poor")))</f>
        <v>Good</v>
      </c>
    </row>
    <row r="533" spans="1:13" x14ac:dyDescent="0.35">
      <c r="A533" t="s">
        <v>343</v>
      </c>
      <c r="B533" s="9" t="s">
        <v>379</v>
      </c>
      <c r="C533" t="s">
        <v>380</v>
      </c>
      <c r="D533" t="s">
        <v>35</v>
      </c>
      <c r="E533" t="s">
        <v>21</v>
      </c>
      <c r="F533">
        <v>4.4000000000000004</v>
      </c>
      <c r="G533">
        <v>7499</v>
      </c>
      <c r="H533">
        <v>8999</v>
      </c>
      <c r="I533">
        <f>FlipkartTable[[#This Row],[Original Price]]-FlipkartTable[[#This Row],[Selling Price]]</f>
        <v>1500</v>
      </c>
      <c r="J533" s="4">
        <f>(FlipkartTable[[#This Row],[Original Price]]-FlipkartTable[[#This Row],[Selling Price]])/FlipkartTable[[#This Row],[Original Price]]</f>
        <v>0.166685187243027</v>
      </c>
      <c r="K533">
        <f>(FlipkartTable[[#This Row],[Rating]]/FlipkartTable[[#This Row],[Selling Price]])*1000</f>
        <v>0.58674489931990936</v>
      </c>
      <c r="L533" t="str">
        <f>IF(FlipkartTable[[#This Row],[Selling Price]]&lt;15000,"Budget",IF(FlipkartTable[[#This Row],[Selling Price]]&lt;50000,"Mid Range","Premium"))</f>
        <v>Budget</v>
      </c>
      <c r="M533" t="str">
        <f>IF(FlipkartTable[[#This Row],[Rating]]&gt;4.5,"Excellent",IF(FlipkartTable[[#This Row],[Rating]]&gt;4,"Good",IF(FlipkartTable[[#This Row],[Rating]]&gt;3.5,"Average","Poor")))</f>
        <v>Good</v>
      </c>
    </row>
    <row r="534" spans="1:13" x14ac:dyDescent="0.35">
      <c r="A534" t="s">
        <v>343</v>
      </c>
      <c r="B534" s="9" t="s">
        <v>379</v>
      </c>
      <c r="C534" t="s">
        <v>381</v>
      </c>
      <c r="D534" t="s">
        <v>35</v>
      </c>
      <c r="E534" t="s">
        <v>21</v>
      </c>
      <c r="F534">
        <v>4.4000000000000004</v>
      </c>
      <c r="G534">
        <v>7499</v>
      </c>
      <c r="H534">
        <v>8999</v>
      </c>
      <c r="I534">
        <f>FlipkartTable[[#This Row],[Original Price]]-FlipkartTable[[#This Row],[Selling Price]]</f>
        <v>1500</v>
      </c>
      <c r="J534" s="4">
        <f>(FlipkartTable[[#This Row],[Original Price]]-FlipkartTable[[#This Row],[Selling Price]])/FlipkartTable[[#This Row],[Original Price]]</f>
        <v>0.166685187243027</v>
      </c>
      <c r="K534">
        <f>(FlipkartTable[[#This Row],[Rating]]/FlipkartTable[[#This Row],[Selling Price]])*1000</f>
        <v>0.58674489931990936</v>
      </c>
      <c r="L534" t="str">
        <f>IF(FlipkartTable[[#This Row],[Selling Price]]&lt;15000,"Budget",IF(FlipkartTable[[#This Row],[Selling Price]]&lt;50000,"Mid Range","Premium"))</f>
        <v>Budget</v>
      </c>
      <c r="M534" t="str">
        <f>IF(FlipkartTable[[#This Row],[Rating]]&gt;4.5,"Excellent",IF(FlipkartTable[[#This Row],[Rating]]&gt;4,"Good",IF(FlipkartTable[[#This Row],[Rating]]&gt;3.5,"Average","Poor")))</f>
        <v>Good</v>
      </c>
    </row>
    <row r="535" spans="1:13" x14ac:dyDescent="0.35">
      <c r="A535" t="s">
        <v>343</v>
      </c>
      <c r="B535" s="9">
        <v>7</v>
      </c>
      <c r="C535" t="s">
        <v>382</v>
      </c>
      <c r="D535" t="s">
        <v>14</v>
      </c>
      <c r="E535" t="s">
        <v>12</v>
      </c>
      <c r="F535">
        <v>4.3</v>
      </c>
      <c r="G535">
        <v>14999</v>
      </c>
      <c r="H535">
        <v>17999</v>
      </c>
      <c r="I535">
        <f>FlipkartTable[[#This Row],[Original Price]]-FlipkartTable[[#This Row],[Selling Price]]</f>
        <v>3000</v>
      </c>
      <c r="J535" s="4">
        <f>(FlipkartTable[[#This Row],[Original Price]]-FlipkartTable[[#This Row],[Selling Price]])/FlipkartTable[[#This Row],[Original Price]]</f>
        <v>0.16667592644035781</v>
      </c>
      <c r="K535">
        <f>(FlipkartTable[[#This Row],[Rating]]/FlipkartTable[[#This Row],[Selling Price]])*1000</f>
        <v>0.28668577905193682</v>
      </c>
      <c r="L535" t="str">
        <f>IF(FlipkartTable[[#This Row],[Selling Price]]&lt;15000,"Budget",IF(FlipkartTable[[#This Row],[Selling Price]]&lt;50000,"Mid Range","Premium"))</f>
        <v>Budget</v>
      </c>
      <c r="M535" t="str">
        <f>IF(FlipkartTable[[#This Row],[Rating]]&gt;4.5,"Excellent",IF(FlipkartTable[[#This Row],[Rating]]&gt;4,"Good",IF(FlipkartTable[[#This Row],[Rating]]&gt;3.5,"Average","Poor")))</f>
        <v>Good</v>
      </c>
    </row>
    <row r="536" spans="1:13" x14ac:dyDescent="0.35">
      <c r="A536" t="s">
        <v>343</v>
      </c>
      <c r="B536" s="9" t="s">
        <v>383</v>
      </c>
      <c r="C536" t="s">
        <v>384</v>
      </c>
      <c r="D536" t="s">
        <v>27</v>
      </c>
      <c r="E536" t="s">
        <v>15</v>
      </c>
      <c r="F536">
        <v>4.3</v>
      </c>
      <c r="G536">
        <v>21999</v>
      </c>
      <c r="H536">
        <v>23999</v>
      </c>
      <c r="I536">
        <f>FlipkartTable[[#This Row],[Original Price]]-FlipkartTable[[#This Row],[Selling Price]]</f>
        <v>2000</v>
      </c>
      <c r="J536" s="4">
        <f>(FlipkartTable[[#This Row],[Original Price]]-FlipkartTable[[#This Row],[Selling Price]])/FlipkartTable[[#This Row],[Original Price]]</f>
        <v>8.3336805700237507E-2</v>
      </c>
      <c r="K536">
        <f>(FlipkartTable[[#This Row],[Rating]]/FlipkartTable[[#This Row],[Selling Price]])*1000</f>
        <v>0.19546343015591616</v>
      </c>
      <c r="L536" t="str">
        <f>IF(FlipkartTable[[#This Row],[Selling Price]]&lt;15000,"Budget",IF(FlipkartTable[[#This Row],[Selling Price]]&lt;50000,"Mid Range","Premium"))</f>
        <v>Mid Range</v>
      </c>
      <c r="M536" t="str">
        <f>IF(FlipkartTable[[#This Row],[Rating]]&gt;4.5,"Excellent",IF(FlipkartTable[[#This Row],[Rating]]&gt;4,"Good",IF(FlipkartTable[[#This Row],[Rating]]&gt;3.5,"Average","Poor")))</f>
        <v>Good</v>
      </c>
    </row>
    <row r="537" spans="1:13" x14ac:dyDescent="0.35">
      <c r="A537" t="s">
        <v>343</v>
      </c>
      <c r="B537" s="9" t="s">
        <v>383</v>
      </c>
      <c r="C537" t="s">
        <v>76</v>
      </c>
      <c r="D537" t="s">
        <v>14</v>
      </c>
      <c r="E537" t="s">
        <v>15</v>
      </c>
      <c r="F537">
        <v>4.3</v>
      </c>
      <c r="G537">
        <v>19999</v>
      </c>
      <c r="H537">
        <v>21999</v>
      </c>
      <c r="I537">
        <f>FlipkartTable[[#This Row],[Original Price]]-FlipkartTable[[#This Row],[Selling Price]]</f>
        <v>2000</v>
      </c>
      <c r="J537" s="4">
        <f>(FlipkartTable[[#This Row],[Original Price]]-FlipkartTable[[#This Row],[Selling Price]])/FlipkartTable[[#This Row],[Original Price]]</f>
        <v>9.0913223328333112E-2</v>
      </c>
      <c r="K537">
        <f>(FlipkartTable[[#This Row],[Rating]]/FlipkartTable[[#This Row],[Selling Price]])*1000</f>
        <v>0.21501075053752686</v>
      </c>
      <c r="L537" t="str">
        <f>IF(FlipkartTable[[#This Row],[Selling Price]]&lt;15000,"Budget",IF(FlipkartTable[[#This Row],[Selling Price]]&lt;50000,"Mid Range","Premium"))</f>
        <v>Mid Range</v>
      </c>
      <c r="M537" t="str">
        <f>IF(FlipkartTable[[#This Row],[Rating]]&gt;4.5,"Excellent",IF(FlipkartTable[[#This Row],[Rating]]&gt;4,"Good",IF(FlipkartTable[[#This Row],[Rating]]&gt;3.5,"Average","Poor")))</f>
        <v>Good</v>
      </c>
    </row>
    <row r="538" spans="1:13" x14ac:dyDescent="0.35">
      <c r="A538" t="s">
        <v>343</v>
      </c>
      <c r="B538" s="9" t="s">
        <v>383</v>
      </c>
      <c r="C538" t="s">
        <v>76</v>
      </c>
      <c r="D538" t="s">
        <v>27</v>
      </c>
      <c r="E538" t="s">
        <v>15</v>
      </c>
      <c r="F538">
        <v>4.3</v>
      </c>
      <c r="G538">
        <v>21999</v>
      </c>
      <c r="H538">
        <v>23999</v>
      </c>
      <c r="I538">
        <f>FlipkartTable[[#This Row],[Original Price]]-FlipkartTable[[#This Row],[Selling Price]]</f>
        <v>2000</v>
      </c>
      <c r="J538" s="4">
        <f>(FlipkartTable[[#This Row],[Original Price]]-FlipkartTable[[#This Row],[Selling Price]])/FlipkartTable[[#This Row],[Original Price]]</f>
        <v>8.3336805700237507E-2</v>
      </c>
      <c r="K538">
        <f>(FlipkartTable[[#This Row],[Rating]]/FlipkartTable[[#This Row],[Selling Price]])*1000</f>
        <v>0.19546343015591616</v>
      </c>
      <c r="L538" t="str">
        <f>IF(FlipkartTable[[#This Row],[Selling Price]]&lt;15000,"Budget",IF(FlipkartTable[[#This Row],[Selling Price]]&lt;50000,"Mid Range","Premium"))</f>
        <v>Mid Range</v>
      </c>
      <c r="M538" t="str">
        <f>IF(FlipkartTable[[#This Row],[Rating]]&gt;4.5,"Excellent",IF(FlipkartTable[[#This Row],[Rating]]&gt;4,"Good",IF(FlipkartTable[[#This Row],[Rating]]&gt;3.5,"Average","Poor")))</f>
        <v>Good</v>
      </c>
    </row>
    <row r="539" spans="1:13" x14ac:dyDescent="0.35">
      <c r="A539" t="s">
        <v>343</v>
      </c>
      <c r="B539" s="9" t="s">
        <v>383</v>
      </c>
      <c r="C539" t="s">
        <v>384</v>
      </c>
      <c r="D539" t="s">
        <v>14</v>
      </c>
      <c r="E539" t="s">
        <v>15</v>
      </c>
      <c r="F539">
        <v>4.3</v>
      </c>
      <c r="G539">
        <v>19999</v>
      </c>
      <c r="H539">
        <v>21999</v>
      </c>
      <c r="I539">
        <f>FlipkartTable[[#This Row],[Original Price]]-FlipkartTable[[#This Row],[Selling Price]]</f>
        <v>2000</v>
      </c>
      <c r="J539" s="4">
        <f>(FlipkartTable[[#This Row],[Original Price]]-FlipkartTable[[#This Row],[Selling Price]])/FlipkartTable[[#This Row],[Original Price]]</f>
        <v>9.0913223328333112E-2</v>
      </c>
      <c r="K539">
        <f>(FlipkartTable[[#This Row],[Rating]]/FlipkartTable[[#This Row],[Selling Price]])*1000</f>
        <v>0.21501075053752686</v>
      </c>
      <c r="L539" t="str">
        <f>IF(FlipkartTable[[#This Row],[Selling Price]]&lt;15000,"Budget",IF(FlipkartTable[[#This Row],[Selling Price]]&lt;50000,"Mid Range","Premium"))</f>
        <v>Mid Range</v>
      </c>
      <c r="M539" t="str">
        <f>IF(FlipkartTable[[#This Row],[Rating]]&gt;4.5,"Excellent",IF(FlipkartTable[[#This Row],[Rating]]&gt;4,"Good",IF(FlipkartTable[[#This Row],[Rating]]&gt;3.5,"Average","Poor")))</f>
        <v>Good</v>
      </c>
    </row>
    <row r="540" spans="1:13" x14ac:dyDescent="0.35">
      <c r="A540" t="s">
        <v>343</v>
      </c>
      <c r="B540" s="9" t="s">
        <v>385</v>
      </c>
      <c r="C540" t="s">
        <v>386</v>
      </c>
      <c r="D540" t="s">
        <v>14</v>
      </c>
      <c r="E540" t="s">
        <v>12</v>
      </c>
      <c r="F540">
        <v>4.3</v>
      </c>
      <c r="G540">
        <v>16999</v>
      </c>
      <c r="H540">
        <v>18999</v>
      </c>
      <c r="I540">
        <f>FlipkartTable[[#This Row],[Original Price]]-FlipkartTable[[#This Row],[Selling Price]]</f>
        <v>2000</v>
      </c>
      <c r="J540" s="4">
        <f>(FlipkartTable[[#This Row],[Original Price]]-FlipkartTable[[#This Row],[Selling Price]])/FlipkartTable[[#This Row],[Original Price]]</f>
        <v>0.10526869835254488</v>
      </c>
      <c r="K540">
        <f>(FlipkartTable[[#This Row],[Rating]]/FlipkartTable[[#This Row],[Selling Price]])*1000</f>
        <v>0.25295605623860223</v>
      </c>
      <c r="L540" t="str">
        <f>IF(FlipkartTable[[#This Row],[Selling Price]]&lt;15000,"Budget",IF(FlipkartTable[[#This Row],[Selling Price]]&lt;50000,"Mid Range","Premium"))</f>
        <v>Mid Range</v>
      </c>
      <c r="M540" t="str">
        <f>IF(FlipkartTable[[#This Row],[Rating]]&gt;4.5,"Excellent",IF(FlipkartTable[[#This Row],[Rating]]&gt;4,"Good",IF(FlipkartTable[[#This Row],[Rating]]&gt;3.5,"Average","Poor")))</f>
        <v>Good</v>
      </c>
    </row>
    <row r="541" spans="1:13" x14ac:dyDescent="0.35">
      <c r="A541" t="s">
        <v>343</v>
      </c>
      <c r="B541" s="9" t="s">
        <v>385</v>
      </c>
      <c r="C541" t="s">
        <v>387</v>
      </c>
      <c r="D541" t="s">
        <v>14</v>
      </c>
      <c r="E541" t="s">
        <v>12</v>
      </c>
      <c r="F541">
        <v>4.3</v>
      </c>
      <c r="G541">
        <v>16999</v>
      </c>
      <c r="H541">
        <v>18999</v>
      </c>
      <c r="I541">
        <f>FlipkartTable[[#This Row],[Original Price]]-FlipkartTable[[#This Row],[Selling Price]]</f>
        <v>2000</v>
      </c>
      <c r="J541" s="4">
        <f>(FlipkartTable[[#This Row],[Original Price]]-FlipkartTable[[#This Row],[Selling Price]])/FlipkartTable[[#This Row],[Original Price]]</f>
        <v>0.10526869835254488</v>
      </c>
      <c r="K541">
        <f>(FlipkartTable[[#This Row],[Rating]]/FlipkartTable[[#This Row],[Selling Price]])*1000</f>
        <v>0.25295605623860223</v>
      </c>
      <c r="L541" t="str">
        <f>IF(FlipkartTable[[#This Row],[Selling Price]]&lt;15000,"Budget",IF(FlipkartTable[[#This Row],[Selling Price]]&lt;50000,"Mid Range","Premium"))</f>
        <v>Mid Range</v>
      </c>
      <c r="M541" t="str">
        <f>IF(FlipkartTable[[#This Row],[Rating]]&gt;4.5,"Excellent",IF(FlipkartTable[[#This Row],[Rating]]&gt;4,"Good",IF(FlipkartTable[[#This Row],[Rating]]&gt;3.5,"Average","Poor")))</f>
        <v>Good</v>
      </c>
    </row>
    <row r="542" spans="1:13" x14ac:dyDescent="0.35">
      <c r="A542" t="s">
        <v>343</v>
      </c>
      <c r="B542" s="9" t="s">
        <v>388</v>
      </c>
      <c r="C542" t="s">
        <v>389</v>
      </c>
      <c r="D542" t="s">
        <v>20</v>
      </c>
      <c r="E542" t="s">
        <v>21</v>
      </c>
      <c r="F542">
        <v>4.4000000000000004</v>
      </c>
      <c r="G542">
        <v>9999</v>
      </c>
      <c r="H542">
        <v>9999</v>
      </c>
      <c r="I542">
        <f>FlipkartTable[[#This Row],[Original Price]]-FlipkartTable[[#This Row],[Selling Price]]</f>
        <v>0</v>
      </c>
      <c r="J542" s="4">
        <f>(FlipkartTable[[#This Row],[Original Price]]-FlipkartTable[[#This Row],[Selling Price]])/FlipkartTable[[#This Row],[Original Price]]</f>
        <v>0</v>
      </c>
      <c r="K542">
        <f>(FlipkartTable[[#This Row],[Rating]]/FlipkartTable[[#This Row],[Selling Price]])*1000</f>
        <v>0.44004400440044006</v>
      </c>
      <c r="L542" t="str">
        <f>IF(FlipkartTable[[#This Row],[Selling Price]]&lt;15000,"Budget",IF(FlipkartTable[[#This Row],[Selling Price]]&lt;50000,"Mid Range","Premium"))</f>
        <v>Budget</v>
      </c>
      <c r="M542" t="str">
        <f>IF(FlipkartTable[[#This Row],[Rating]]&gt;4.5,"Excellent",IF(FlipkartTable[[#This Row],[Rating]]&gt;4,"Good",IF(FlipkartTable[[#This Row],[Rating]]&gt;3.5,"Average","Poor")))</f>
        <v>Good</v>
      </c>
    </row>
    <row r="543" spans="1:13" x14ac:dyDescent="0.35">
      <c r="A543" t="s">
        <v>343</v>
      </c>
      <c r="B543" s="9" t="s">
        <v>390</v>
      </c>
      <c r="C543" t="s">
        <v>378</v>
      </c>
      <c r="D543" t="s">
        <v>20</v>
      </c>
      <c r="E543" t="s">
        <v>21</v>
      </c>
      <c r="F543">
        <v>4.3</v>
      </c>
      <c r="G543">
        <v>11999</v>
      </c>
      <c r="H543">
        <v>11999</v>
      </c>
      <c r="I543">
        <f>FlipkartTable[[#This Row],[Original Price]]-FlipkartTable[[#This Row],[Selling Price]]</f>
        <v>0</v>
      </c>
      <c r="J543" s="4">
        <f>(FlipkartTable[[#This Row],[Original Price]]-FlipkartTable[[#This Row],[Selling Price]])/FlipkartTable[[#This Row],[Original Price]]</f>
        <v>0</v>
      </c>
      <c r="K543">
        <f>(FlipkartTable[[#This Row],[Rating]]/FlipkartTable[[#This Row],[Selling Price]])*1000</f>
        <v>0.35836319693307778</v>
      </c>
      <c r="L543" t="str">
        <f>IF(FlipkartTable[[#This Row],[Selling Price]]&lt;15000,"Budget",IF(FlipkartTable[[#This Row],[Selling Price]]&lt;50000,"Mid Range","Premium"))</f>
        <v>Budget</v>
      </c>
      <c r="M543" t="str">
        <f>IF(FlipkartTable[[#This Row],[Rating]]&gt;4.5,"Excellent",IF(FlipkartTable[[#This Row],[Rating]]&gt;4,"Good",IF(FlipkartTable[[#This Row],[Rating]]&gt;3.5,"Average","Poor")))</f>
        <v>Good</v>
      </c>
    </row>
    <row r="544" spans="1:13" x14ac:dyDescent="0.35">
      <c r="A544" t="s">
        <v>343</v>
      </c>
      <c r="B544" s="9" t="s">
        <v>390</v>
      </c>
      <c r="C544" t="s">
        <v>373</v>
      </c>
      <c r="D544" t="s">
        <v>11</v>
      </c>
      <c r="E544" t="s">
        <v>12</v>
      </c>
      <c r="F544">
        <v>4.4000000000000004</v>
      </c>
      <c r="G544">
        <v>12999</v>
      </c>
      <c r="H544">
        <v>12999</v>
      </c>
      <c r="I544">
        <f>FlipkartTable[[#This Row],[Original Price]]-FlipkartTable[[#This Row],[Selling Price]]</f>
        <v>0</v>
      </c>
      <c r="J544" s="4">
        <f>(FlipkartTable[[#This Row],[Original Price]]-FlipkartTable[[#This Row],[Selling Price]])/FlipkartTable[[#This Row],[Original Price]]</f>
        <v>0</v>
      </c>
      <c r="K544">
        <f>(FlipkartTable[[#This Row],[Rating]]/FlipkartTable[[#This Row],[Selling Price]])*1000</f>
        <v>0.33848757596738216</v>
      </c>
      <c r="L544" t="str">
        <f>IF(FlipkartTable[[#This Row],[Selling Price]]&lt;15000,"Budget",IF(FlipkartTable[[#This Row],[Selling Price]]&lt;50000,"Mid Range","Premium"))</f>
        <v>Budget</v>
      </c>
      <c r="M544" t="str">
        <f>IF(FlipkartTable[[#This Row],[Rating]]&gt;4.5,"Excellent",IF(FlipkartTable[[#This Row],[Rating]]&gt;4,"Good",IF(FlipkartTable[[#This Row],[Rating]]&gt;3.5,"Average","Poor")))</f>
        <v>Good</v>
      </c>
    </row>
    <row r="545" spans="1:13" x14ac:dyDescent="0.35">
      <c r="A545" t="s">
        <v>343</v>
      </c>
      <c r="B545" s="9" t="s">
        <v>390</v>
      </c>
      <c r="C545" t="s">
        <v>378</v>
      </c>
      <c r="D545" t="s">
        <v>11</v>
      </c>
      <c r="E545" t="s">
        <v>12</v>
      </c>
      <c r="F545">
        <v>4.4000000000000004</v>
      </c>
      <c r="G545">
        <v>12999</v>
      </c>
      <c r="H545">
        <v>12999</v>
      </c>
      <c r="I545">
        <f>FlipkartTable[[#This Row],[Original Price]]-FlipkartTable[[#This Row],[Selling Price]]</f>
        <v>0</v>
      </c>
      <c r="J545" s="4">
        <f>(FlipkartTable[[#This Row],[Original Price]]-FlipkartTable[[#This Row],[Selling Price]])/FlipkartTable[[#This Row],[Original Price]]</f>
        <v>0</v>
      </c>
      <c r="K545">
        <f>(FlipkartTable[[#This Row],[Rating]]/FlipkartTable[[#This Row],[Selling Price]])*1000</f>
        <v>0.33848757596738216</v>
      </c>
      <c r="L545" t="str">
        <f>IF(FlipkartTable[[#This Row],[Selling Price]]&lt;15000,"Budget",IF(FlipkartTable[[#This Row],[Selling Price]]&lt;50000,"Mid Range","Premium"))</f>
        <v>Budget</v>
      </c>
      <c r="M545" t="str">
        <f>IF(FlipkartTable[[#This Row],[Rating]]&gt;4.5,"Excellent",IF(FlipkartTable[[#This Row],[Rating]]&gt;4,"Good",IF(FlipkartTable[[#This Row],[Rating]]&gt;3.5,"Average","Poor")))</f>
        <v>Good</v>
      </c>
    </row>
    <row r="546" spans="1:13" x14ac:dyDescent="0.35">
      <c r="A546" t="s">
        <v>343</v>
      </c>
      <c r="B546" s="9" t="s">
        <v>385</v>
      </c>
      <c r="C546" t="s">
        <v>387</v>
      </c>
      <c r="D546" t="s">
        <v>27</v>
      </c>
      <c r="E546" t="s">
        <v>15</v>
      </c>
      <c r="F546">
        <v>4.3</v>
      </c>
      <c r="G546">
        <v>19999</v>
      </c>
      <c r="H546">
        <v>21999</v>
      </c>
      <c r="I546">
        <f>FlipkartTable[[#This Row],[Original Price]]-FlipkartTable[[#This Row],[Selling Price]]</f>
        <v>2000</v>
      </c>
      <c r="J546" s="4">
        <f>(FlipkartTable[[#This Row],[Original Price]]-FlipkartTable[[#This Row],[Selling Price]])/FlipkartTable[[#This Row],[Original Price]]</f>
        <v>9.0913223328333112E-2</v>
      </c>
      <c r="K546">
        <f>(FlipkartTable[[#This Row],[Rating]]/FlipkartTable[[#This Row],[Selling Price]])*1000</f>
        <v>0.21501075053752686</v>
      </c>
      <c r="L546" t="str">
        <f>IF(FlipkartTable[[#This Row],[Selling Price]]&lt;15000,"Budget",IF(FlipkartTable[[#This Row],[Selling Price]]&lt;50000,"Mid Range","Premium"))</f>
        <v>Mid Range</v>
      </c>
      <c r="M546" t="str">
        <f>IF(FlipkartTable[[#This Row],[Rating]]&gt;4.5,"Excellent",IF(FlipkartTable[[#This Row],[Rating]]&gt;4,"Good",IF(FlipkartTable[[#This Row],[Rating]]&gt;3.5,"Average","Poor")))</f>
        <v>Good</v>
      </c>
    </row>
    <row r="547" spans="1:13" x14ac:dyDescent="0.35">
      <c r="A547" t="s">
        <v>343</v>
      </c>
      <c r="B547" s="9" t="s">
        <v>385</v>
      </c>
      <c r="C547" t="s">
        <v>386</v>
      </c>
      <c r="D547" t="s">
        <v>27</v>
      </c>
      <c r="E547" t="s">
        <v>15</v>
      </c>
      <c r="F547">
        <v>4.3</v>
      </c>
      <c r="G547">
        <v>19999</v>
      </c>
      <c r="H547">
        <v>21999</v>
      </c>
      <c r="I547">
        <f>FlipkartTable[[#This Row],[Original Price]]-FlipkartTable[[#This Row],[Selling Price]]</f>
        <v>2000</v>
      </c>
      <c r="J547" s="4">
        <f>(FlipkartTable[[#This Row],[Original Price]]-FlipkartTable[[#This Row],[Selling Price]])/FlipkartTable[[#This Row],[Original Price]]</f>
        <v>9.0913223328333112E-2</v>
      </c>
      <c r="K547">
        <f>(FlipkartTable[[#This Row],[Rating]]/FlipkartTable[[#This Row],[Selling Price]])*1000</f>
        <v>0.21501075053752686</v>
      </c>
      <c r="L547" t="str">
        <f>IF(FlipkartTable[[#This Row],[Selling Price]]&lt;15000,"Budget",IF(FlipkartTable[[#This Row],[Selling Price]]&lt;50000,"Mid Range","Premium"))</f>
        <v>Mid Range</v>
      </c>
      <c r="M547" t="str">
        <f>IF(FlipkartTable[[#This Row],[Rating]]&gt;4.5,"Excellent",IF(FlipkartTable[[#This Row],[Rating]]&gt;4,"Good",IF(FlipkartTable[[#This Row],[Rating]]&gt;3.5,"Average","Poor")))</f>
        <v>Good</v>
      </c>
    </row>
    <row r="548" spans="1:13" x14ac:dyDescent="0.35">
      <c r="A548" t="s">
        <v>343</v>
      </c>
      <c r="B548" s="9" t="s">
        <v>391</v>
      </c>
      <c r="C548" t="s">
        <v>106</v>
      </c>
      <c r="D548" t="s">
        <v>11</v>
      </c>
      <c r="E548" t="s">
        <v>12</v>
      </c>
      <c r="F548">
        <v>4.4000000000000004</v>
      </c>
      <c r="G548">
        <v>10499</v>
      </c>
      <c r="H548">
        <v>10999</v>
      </c>
      <c r="I548">
        <f>FlipkartTable[[#This Row],[Original Price]]-FlipkartTable[[#This Row],[Selling Price]]</f>
        <v>500</v>
      </c>
      <c r="J548" s="4">
        <f>(FlipkartTable[[#This Row],[Original Price]]-FlipkartTable[[#This Row],[Selling Price]])/FlipkartTable[[#This Row],[Original Price]]</f>
        <v>4.5458678061641965E-2</v>
      </c>
      <c r="K548">
        <f>(FlipkartTable[[#This Row],[Rating]]/FlipkartTable[[#This Row],[Selling Price]])*1000</f>
        <v>0.41908753214591871</v>
      </c>
      <c r="L548" t="str">
        <f>IF(FlipkartTable[[#This Row],[Selling Price]]&lt;15000,"Budget",IF(FlipkartTable[[#This Row],[Selling Price]]&lt;50000,"Mid Range","Premium"))</f>
        <v>Budget</v>
      </c>
      <c r="M548" t="str">
        <f>IF(FlipkartTable[[#This Row],[Rating]]&gt;4.5,"Excellent",IF(FlipkartTable[[#This Row],[Rating]]&gt;4,"Good",IF(FlipkartTable[[#This Row],[Rating]]&gt;3.5,"Average","Poor")))</f>
        <v>Good</v>
      </c>
    </row>
    <row r="549" spans="1:13" x14ac:dyDescent="0.35">
      <c r="A549" t="s">
        <v>343</v>
      </c>
      <c r="B549" s="9" t="s">
        <v>392</v>
      </c>
      <c r="C549" t="s">
        <v>393</v>
      </c>
      <c r="D549" t="s">
        <v>27</v>
      </c>
      <c r="E549" t="s">
        <v>15</v>
      </c>
      <c r="F549">
        <v>4.5</v>
      </c>
      <c r="G549">
        <v>16999</v>
      </c>
      <c r="H549">
        <v>16999</v>
      </c>
      <c r="I549">
        <f>FlipkartTable[[#This Row],[Original Price]]-FlipkartTable[[#This Row],[Selling Price]]</f>
        <v>0</v>
      </c>
      <c r="J549" s="4">
        <f>(FlipkartTable[[#This Row],[Original Price]]-FlipkartTable[[#This Row],[Selling Price]])/FlipkartTable[[#This Row],[Original Price]]</f>
        <v>0</v>
      </c>
      <c r="K549">
        <f>(FlipkartTable[[#This Row],[Rating]]/FlipkartTable[[#This Row],[Selling Price]])*1000</f>
        <v>0.26472145420318843</v>
      </c>
      <c r="L549" t="str">
        <f>IF(FlipkartTable[[#This Row],[Selling Price]]&lt;15000,"Budget",IF(FlipkartTable[[#This Row],[Selling Price]]&lt;50000,"Mid Range","Premium"))</f>
        <v>Mid Range</v>
      </c>
      <c r="M549" t="str">
        <f>IF(FlipkartTable[[#This Row],[Rating]]&gt;4.5,"Excellent",IF(FlipkartTable[[#This Row],[Rating]]&gt;4,"Good",IF(FlipkartTable[[#This Row],[Rating]]&gt;3.5,"Average","Poor")))</f>
        <v>Good</v>
      </c>
    </row>
    <row r="550" spans="1:13" x14ac:dyDescent="0.35">
      <c r="A550" t="s">
        <v>343</v>
      </c>
      <c r="B550" s="9" t="s">
        <v>394</v>
      </c>
      <c r="C550" t="s">
        <v>395</v>
      </c>
      <c r="D550" t="s">
        <v>11</v>
      </c>
      <c r="E550" t="s">
        <v>12</v>
      </c>
      <c r="F550">
        <v>4.3</v>
      </c>
      <c r="G550">
        <v>13999</v>
      </c>
      <c r="H550">
        <v>13999</v>
      </c>
      <c r="I550">
        <f>FlipkartTable[[#This Row],[Original Price]]-FlipkartTable[[#This Row],[Selling Price]]</f>
        <v>0</v>
      </c>
      <c r="J550" s="4">
        <f>(FlipkartTable[[#This Row],[Original Price]]-FlipkartTable[[#This Row],[Selling Price]])/FlipkartTable[[#This Row],[Original Price]]</f>
        <v>0</v>
      </c>
      <c r="K550">
        <f>(FlipkartTable[[#This Row],[Rating]]/FlipkartTable[[#This Row],[Selling Price]])*1000</f>
        <v>0.30716479748553466</v>
      </c>
      <c r="L550" t="str">
        <f>IF(FlipkartTable[[#This Row],[Selling Price]]&lt;15000,"Budget",IF(FlipkartTable[[#This Row],[Selling Price]]&lt;50000,"Mid Range","Premium"))</f>
        <v>Budget</v>
      </c>
      <c r="M550" t="str">
        <f>IF(FlipkartTable[[#This Row],[Rating]]&gt;4.5,"Excellent",IF(FlipkartTable[[#This Row],[Rating]]&gt;4,"Good",IF(FlipkartTable[[#This Row],[Rating]]&gt;3.5,"Average","Poor")))</f>
        <v>Good</v>
      </c>
    </row>
    <row r="551" spans="1:13" x14ac:dyDescent="0.35">
      <c r="A551" t="s">
        <v>343</v>
      </c>
      <c r="B551" s="9" t="s">
        <v>409</v>
      </c>
      <c r="C551" t="s">
        <v>410</v>
      </c>
      <c r="D551" t="s">
        <v>35</v>
      </c>
      <c r="E551" t="s">
        <v>21</v>
      </c>
      <c r="F551">
        <v>4.4000000000000004</v>
      </c>
      <c r="G551">
        <v>7499</v>
      </c>
      <c r="H551">
        <v>7999</v>
      </c>
      <c r="I551">
        <f>FlipkartTable[[#This Row],[Original Price]]-FlipkartTable[[#This Row],[Selling Price]]</f>
        <v>500</v>
      </c>
      <c r="J551" s="4">
        <f>(FlipkartTable[[#This Row],[Original Price]]-FlipkartTable[[#This Row],[Selling Price]])/FlipkartTable[[#This Row],[Original Price]]</f>
        <v>6.250781347668459E-2</v>
      </c>
      <c r="K551">
        <f>(FlipkartTable[[#This Row],[Rating]]/FlipkartTable[[#This Row],[Selling Price]])*1000</f>
        <v>0.58674489931990936</v>
      </c>
      <c r="L551" t="str">
        <f>IF(FlipkartTable[[#This Row],[Selling Price]]&lt;15000,"Budget",IF(FlipkartTable[[#This Row],[Selling Price]]&lt;50000,"Mid Range","Premium"))</f>
        <v>Budget</v>
      </c>
      <c r="M551" t="str">
        <f>IF(FlipkartTable[[#This Row],[Rating]]&gt;4.5,"Excellent",IF(FlipkartTable[[#This Row],[Rating]]&gt;4,"Good",IF(FlipkartTable[[#This Row],[Rating]]&gt;3.5,"Average","Poor")))</f>
        <v>Good</v>
      </c>
    </row>
    <row r="552" spans="1:13" x14ac:dyDescent="0.35">
      <c r="A552" t="s">
        <v>343</v>
      </c>
      <c r="B552" s="9" t="s">
        <v>409</v>
      </c>
      <c r="C552" t="s">
        <v>411</v>
      </c>
      <c r="D552" t="s">
        <v>35</v>
      </c>
      <c r="E552" t="s">
        <v>21</v>
      </c>
      <c r="F552">
        <v>4.4000000000000004</v>
      </c>
      <c r="G552">
        <v>7499</v>
      </c>
      <c r="H552">
        <v>7999</v>
      </c>
      <c r="I552">
        <f>FlipkartTable[[#This Row],[Original Price]]-FlipkartTable[[#This Row],[Selling Price]]</f>
        <v>500</v>
      </c>
      <c r="J552" s="4">
        <f>(FlipkartTable[[#This Row],[Original Price]]-FlipkartTable[[#This Row],[Selling Price]])/FlipkartTable[[#This Row],[Original Price]]</f>
        <v>6.250781347668459E-2</v>
      </c>
      <c r="K552">
        <f>(FlipkartTable[[#This Row],[Rating]]/FlipkartTable[[#This Row],[Selling Price]])*1000</f>
        <v>0.58674489931990936</v>
      </c>
      <c r="L552" t="str">
        <f>IF(FlipkartTable[[#This Row],[Selling Price]]&lt;15000,"Budget",IF(FlipkartTable[[#This Row],[Selling Price]]&lt;50000,"Mid Range","Premium"))</f>
        <v>Budget</v>
      </c>
      <c r="M552" t="str">
        <f>IF(FlipkartTable[[#This Row],[Rating]]&gt;4.5,"Excellent",IF(FlipkartTable[[#This Row],[Rating]]&gt;4,"Good",IF(FlipkartTable[[#This Row],[Rating]]&gt;3.5,"Average","Poor")))</f>
        <v>Good</v>
      </c>
    </row>
    <row r="553" spans="1:13" x14ac:dyDescent="0.35">
      <c r="A553" t="s">
        <v>343</v>
      </c>
      <c r="B553" s="9" t="s">
        <v>412</v>
      </c>
      <c r="C553" t="s">
        <v>413</v>
      </c>
      <c r="D553" t="s">
        <v>11</v>
      </c>
      <c r="E553" t="s">
        <v>21</v>
      </c>
      <c r="F553">
        <v>4.4000000000000004</v>
      </c>
      <c r="G553">
        <v>12499</v>
      </c>
      <c r="H553">
        <v>13999</v>
      </c>
      <c r="I553">
        <f>FlipkartTable[[#This Row],[Original Price]]-FlipkartTable[[#This Row],[Selling Price]]</f>
        <v>1500</v>
      </c>
      <c r="J553" s="4">
        <f>(FlipkartTable[[#This Row],[Original Price]]-FlipkartTable[[#This Row],[Selling Price]])/FlipkartTable[[#This Row],[Original Price]]</f>
        <v>0.10715051075076791</v>
      </c>
      <c r="K553">
        <f>(FlipkartTable[[#This Row],[Rating]]/FlipkartTable[[#This Row],[Selling Price]])*1000</f>
        <v>0.35202816225298028</v>
      </c>
      <c r="L553" t="str">
        <f>IF(FlipkartTable[[#This Row],[Selling Price]]&lt;15000,"Budget",IF(FlipkartTable[[#This Row],[Selling Price]]&lt;50000,"Mid Range","Premium"))</f>
        <v>Budget</v>
      </c>
      <c r="M553" t="str">
        <f>IF(FlipkartTable[[#This Row],[Rating]]&gt;4.5,"Excellent",IF(FlipkartTable[[#This Row],[Rating]]&gt;4,"Good",IF(FlipkartTable[[#This Row],[Rating]]&gt;3.5,"Average","Poor")))</f>
        <v>Good</v>
      </c>
    </row>
    <row r="554" spans="1:13" x14ac:dyDescent="0.35">
      <c r="A554" t="s">
        <v>343</v>
      </c>
      <c r="B554" s="9" t="s">
        <v>412</v>
      </c>
      <c r="C554" t="s">
        <v>414</v>
      </c>
      <c r="D554" t="s">
        <v>11</v>
      </c>
      <c r="E554" t="s">
        <v>12</v>
      </c>
      <c r="F554">
        <v>4.4000000000000004</v>
      </c>
      <c r="G554">
        <v>11499</v>
      </c>
      <c r="H554">
        <v>12999</v>
      </c>
      <c r="I554">
        <f>FlipkartTable[[#This Row],[Original Price]]-FlipkartTable[[#This Row],[Selling Price]]</f>
        <v>1500</v>
      </c>
      <c r="J554" s="4">
        <f>(FlipkartTable[[#This Row],[Original Price]]-FlipkartTable[[#This Row],[Selling Price]])/FlipkartTable[[#This Row],[Original Price]]</f>
        <v>0.11539349180706208</v>
      </c>
      <c r="K554">
        <f>(FlipkartTable[[#This Row],[Rating]]/FlipkartTable[[#This Row],[Selling Price]])*1000</f>
        <v>0.38264196886685803</v>
      </c>
      <c r="L554" t="str">
        <f>IF(FlipkartTable[[#This Row],[Selling Price]]&lt;15000,"Budget",IF(FlipkartTable[[#This Row],[Selling Price]]&lt;50000,"Mid Range","Premium"))</f>
        <v>Budget</v>
      </c>
      <c r="M554" t="str">
        <f>IF(FlipkartTable[[#This Row],[Rating]]&gt;4.5,"Excellent",IF(FlipkartTable[[#This Row],[Rating]]&gt;4,"Good",IF(FlipkartTable[[#This Row],[Rating]]&gt;3.5,"Average","Poor")))</f>
        <v>Good</v>
      </c>
    </row>
    <row r="555" spans="1:13" x14ac:dyDescent="0.35">
      <c r="A555" t="s">
        <v>343</v>
      </c>
      <c r="B555" s="9" t="s">
        <v>412</v>
      </c>
      <c r="C555" t="s">
        <v>413</v>
      </c>
      <c r="D555" t="s">
        <v>11</v>
      </c>
      <c r="E555" t="s">
        <v>12</v>
      </c>
      <c r="F555">
        <v>4.4000000000000004</v>
      </c>
      <c r="G555">
        <v>11499</v>
      </c>
      <c r="H555">
        <v>12999</v>
      </c>
      <c r="I555">
        <f>FlipkartTable[[#This Row],[Original Price]]-FlipkartTable[[#This Row],[Selling Price]]</f>
        <v>1500</v>
      </c>
      <c r="J555" s="4">
        <f>(FlipkartTable[[#This Row],[Original Price]]-FlipkartTable[[#This Row],[Selling Price]])/FlipkartTable[[#This Row],[Original Price]]</f>
        <v>0.11539349180706208</v>
      </c>
      <c r="K555">
        <f>(FlipkartTable[[#This Row],[Rating]]/FlipkartTable[[#This Row],[Selling Price]])*1000</f>
        <v>0.38264196886685803</v>
      </c>
      <c r="L555" t="str">
        <f>IF(FlipkartTable[[#This Row],[Selling Price]]&lt;15000,"Budget",IF(FlipkartTable[[#This Row],[Selling Price]]&lt;50000,"Mid Range","Premium"))</f>
        <v>Budget</v>
      </c>
      <c r="M555" t="str">
        <f>IF(FlipkartTable[[#This Row],[Rating]]&gt;4.5,"Excellent",IF(FlipkartTable[[#This Row],[Rating]]&gt;4,"Good",IF(FlipkartTable[[#This Row],[Rating]]&gt;3.5,"Average","Poor")))</f>
        <v>Good</v>
      </c>
    </row>
    <row r="556" spans="1:13" x14ac:dyDescent="0.35">
      <c r="A556" t="s">
        <v>343</v>
      </c>
      <c r="B556" s="9" t="s">
        <v>412</v>
      </c>
      <c r="C556" t="s">
        <v>414</v>
      </c>
      <c r="D556" t="s">
        <v>11</v>
      </c>
      <c r="E556" t="s">
        <v>15</v>
      </c>
      <c r="F556">
        <v>4.4000000000000004</v>
      </c>
      <c r="G556">
        <v>12499</v>
      </c>
      <c r="H556">
        <v>13999</v>
      </c>
      <c r="I556">
        <f>FlipkartTable[[#This Row],[Original Price]]-FlipkartTable[[#This Row],[Selling Price]]</f>
        <v>1500</v>
      </c>
      <c r="J556" s="4">
        <f>(FlipkartTable[[#This Row],[Original Price]]-FlipkartTable[[#This Row],[Selling Price]])/FlipkartTable[[#This Row],[Original Price]]</f>
        <v>0.10715051075076791</v>
      </c>
      <c r="K556">
        <f>(FlipkartTable[[#This Row],[Rating]]/FlipkartTable[[#This Row],[Selling Price]])*1000</f>
        <v>0.35202816225298028</v>
      </c>
      <c r="L556" t="str">
        <f>IF(FlipkartTable[[#This Row],[Selling Price]]&lt;15000,"Budget",IF(FlipkartTable[[#This Row],[Selling Price]]&lt;50000,"Mid Range","Premium"))</f>
        <v>Budget</v>
      </c>
      <c r="M556" t="str">
        <f>IF(FlipkartTable[[#This Row],[Rating]]&gt;4.5,"Excellent",IF(FlipkartTable[[#This Row],[Rating]]&gt;4,"Good",IF(FlipkartTable[[#This Row],[Rating]]&gt;3.5,"Average","Poor")))</f>
        <v>Good</v>
      </c>
    </row>
    <row r="557" spans="1:13" x14ac:dyDescent="0.35">
      <c r="A557" t="s">
        <v>343</v>
      </c>
      <c r="B557" s="9" t="s">
        <v>391</v>
      </c>
      <c r="C557" t="s">
        <v>106</v>
      </c>
      <c r="D557" t="s">
        <v>20</v>
      </c>
      <c r="E557" t="s">
        <v>21</v>
      </c>
      <c r="F557">
        <v>4.4000000000000004</v>
      </c>
      <c r="G557">
        <v>8499</v>
      </c>
      <c r="H557">
        <v>8999</v>
      </c>
      <c r="I557">
        <f>FlipkartTable[[#This Row],[Original Price]]-FlipkartTable[[#This Row],[Selling Price]]</f>
        <v>500</v>
      </c>
      <c r="J557" s="4">
        <f>(FlipkartTable[[#This Row],[Original Price]]-FlipkartTable[[#This Row],[Selling Price]])/FlipkartTable[[#This Row],[Original Price]]</f>
        <v>5.5561729081009002E-2</v>
      </c>
      <c r="K557">
        <f>(FlipkartTable[[#This Row],[Rating]]/FlipkartTable[[#This Row],[Selling Price]])*1000</f>
        <v>0.51770796564301691</v>
      </c>
      <c r="L557" t="str">
        <f>IF(FlipkartTable[[#This Row],[Selling Price]]&lt;15000,"Budget",IF(FlipkartTable[[#This Row],[Selling Price]]&lt;50000,"Mid Range","Premium"))</f>
        <v>Budget</v>
      </c>
      <c r="M557" t="str">
        <f>IF(FlipkartTable[[#This Row],[Rating]]&gt;4.5,"Excellent",IF(FlipkartTable[[#This Row],[Rating]]&gt;4,"Good",IF(FlipkartTable[[#This Row],[Rating]]&gt;3.5,"Average","Poor")))</f>
        <v>Good</v>
      </c>
    </row>
    <row r="558" spans="1:13" x14ac:dyDescent="0.35">
      <c r="A558" t="s">
        <v>343</v>
      </c>
      <c r="B558" s="9" t="s">
        <v>394</v>
      </c>
      <c r="C558" t="s">
        <v>395</v>
      </c>
      <c r="D558" t="s">
        <v>11</v>
      </c>
      <c r="E558" t="s">
        <v>15</v>
      </c>
      <c r="F558">
        <v>4.3</v>
      </c>
      <c r="G558">
        <v>14999</v>
      </c>
      <c r="H558">
        <v>14999</v>
      </c>
      <c r="I558">
        <f>FlipkartTable[[#This Row],[Original Price]]-FlipkartTable[[#This Row],[Selling Price]]</f>
        <v>0</v>
      </c>
      <c r="J558" s="4">
        <f>(FlipkartTable[[#This Row],[Original Price]]-FlipkartTable[[#This Row],[Selling Price]])/FlipkartTable[[#This Row],[Original Price]]</f>
        <v>0</v>
      </c>
      <c r="K558">
        <f>(FlipkartTable[[#This Row],[Rating]]/FlipkartTable[[#This Row],[Selling Price]])*1000</f>
        <v>0.28668577905193682</v>
      </c>
      <c r="L558" t="str">
        <f>IF(FlipkartTable[[#This Row],[Selling Price]]&lt;15000,"Budget",IF(FlipkartTable[[#This Row],[Selling Price]]&lt;50000,"Mid Range","Premium"))</f>
        <v>Budget</v>
      </c>
      <c r="M558" t="str">
        <f>IF(FlipkartTable[[#This Row],[Rating]]&gt;4.5,"Excellent",IF(FlipkartTable[[#This Row],[Rating]]&gt;4,"Good",IF(FlipkartTable[[#This Row],[Rating]]&gt;3.5,"Average","Poor")))</f>
        <v>Good</v>
      </c>
    </row>
    <row r="559" spans="1:13" x14ac:dyDescent="0.35">
      <c r="A559" t="s">
        <v>343</v>
      </c>
      <c r="B559" s="9" t="s">
        <v>392</v>
      </c>
      <c r="C559" t="s">
        <v>417</v>
      </c>
      <c r="D559" t="s">
        <v>14</v>
      </c>
      <c r="E559" t="s">
        <v>12</v>
      </c>
      <c r="F559">
        <v>4.5</v>
      </c>
      <c r="G559">
        <v>14999</v>
      </c>
      <c r="H559">
        <v>15999</v>
      </c>
      <c r="I559">
        <f>FlipkartTable[[#This Row],[Original Price]]-FlipkartTable[[#This Row],[Selling Price]]</f>
        <v>1000</v>
      </c>
      <c r="J559" s="4">
        <f>(FlipkartTable[[#This Row],[Original Price]]-FlipkartTable[[#This Row],[Selling Price]])/FlipkartTable[[#This Row],[Original Price]]</f>
        <v>6.2503906494155881E-2</v>
      </c>
      <c r="K559">
        <f>(FlipkartTable[[#This Row],[Rating]]/FlipkartTable[[#This Row],[Selling Price]])*1000</f>
        <v>0.30002000133342221</v>
      </c>
      <c r="L559" t="str">
        <f>IF(FlipkartTable[[#This Row],[Selling Price]]&lt;15000,"Budget",IF(FlipkartTable[[#This Row],[Selling Price]]&lt;50000,"Mid Range","Premium"))</f>
        <v>Budget</v>
      </c>
      <c r="M559" t="str">
        <f>IF(FlipkartTable[[#This Row],[Rating]]&gt;4.5,"Excellent",IF(FlipkartTable[[#This Row],[Rating]]&gt;4,"Good",IF(FlipkartTable[[#This Row],[Rating]]&gt;3.5,"Average","Poor")))</f>
        <v>Good</v>
      </c>
    </row>
    <row r="560" spans="1:13" x14ac:dyDescent="0.35">
      <c r="A560" t="s">
        <v>343</v>
      </c>
      <c r="B560" s="9" t="s">
        <v>391</v>
      </c>
      <c r="C560" t="s">
        <v>147</v>
      </c>
      <c r="D560" t="s">
        <v>11</v>
      </c>
      <c r="E560" t="s">
        <v>12</v>
      </c>
      <c r="F560">
        <v>4.4000000000000004</v>
      </c>
      <c r="G560">
        <v>10499</v>
      </c>
      <c r="H560">
        <v>10999</v>
      </c>
      <c r="I560">
        <f>FlipkartTable[[#This Row],[Original Price]]-FlipkartTable[[#This Row],[Selling Price]]</f>
        <v>500</v>
      </c>
      <c r="J560" s="4">
        <f>(FlipkartTable[[#This Row],[Original Price]]-FlipkartTable[[#This Row],[Selling Price]])/FlipkartTable[[#This Row],[Original Price]]</f>
        <v>4.5458678061641965E-2</v>
      </c>
      <c r="K560">
        <f>(FlipkartTable[[#This Row],[Rating]]/FlipkartTable[[#This Row],[Selling Price]])*1000</f>
        <v>0.41908753214591871</v>
      </c>
      <c r="L560" t="str">
        <f>IF(FlipkartTable[[#This Row],[Selling Price]]&lt;15000,"Budget",IF(FlipkartTable[[#This Row],[Selling Price]]&lt;50000,"Mid Range","Premium"))</f>
        <v>Budget</v>
      </c>
      <c r="M560" t="str">
        <f>IF(FlipkartTable[[#This Row],[Rating]]&gt;4.5,"Excellent",IF(FlipkartTable[[#This Row],[Rating]]&gt;4,"Good",IF(FlipkartTable[[#This Row],[Rating]]&gt;3.5,"Average","Poor")))</f>
        <v>Good</v>
      </c>
    </row>
    <row r="561" spans="1:13" x14ac:dyDescent="0.35">
      <c r="A561" t="s">
        <v>343</v>
      </c>
      <c r="B561" s="9" t="s">
        <v>398</v>
      </c>
      <c r="C561" t="s">
        <v>171</v>
      </c>
      <c r="D561" t="s">
        <v>27</v>
      </c>
      <c r="E561" t="s">
        <v>15</v>
      </c>
      <c r="F561">
        <v>4.3</v>
      </c>
      <c r="G561">
        <v>27999</v>
      </c>
      <c r="H561">
        <v>29999</v>
      </c>
      <c r="I561">
        <f>FlipkartTable[[#This Row],[Original Price]]-FlipkartTable[[#This Row],[Selling Price]]</f>
        <v>2000</v>
      </c>
      <c r="J561" s="4">
        <f>(FlipkartTable[[#This Row],[Original Price]]-FlipkartTable[[#This Row],[Selling Price]])/FlipkartTable[[#This Row],[Original Price]]</f>
        <v>6.6668888962965439E-2</v>
      </c>
      <c r="K561">
        <f>(FlipkartTable[[#This Row],[Rating]]/FlipkartTable[[#This Row],[Selling Price]])*1000</f>
        <v>0.15357691346119504</v>
      </c>
      <c r="L561" t="str">
        <f>IF(FlipkartTable[[#This Row],[Selling Price]]&lt;15000,"Budget",IF(FlipkartTable[[#This Row],[Selling Price]]&lt;50000,"Mid Range","Premium"))</f>
        <v>Mid Range</v>
      </c>
      <c r="M561" t="str">
        <f>IF(FlipkartTable[[#This Row],[Rating]]&gt;4.5,"Excellent",IF(FlipkartTable[[#This Row],[Rating]]&gt;4,"Good",IF(FlipkartTable[[#This Row],[Rating]]&gt;3.5,"Average","Poor")))</f>
        <v>Good</v>
      </c>
    </row>
    <row r="562" spans="1:13" x14ac:dyDescent="0.35">
      <c r="A562" t="s">
        <v>343</v>
      </c>
      <c r="B562" s="9" t="s">
        <v>418</v>
      </c>
      <c r="C562" t="s">
        <v>419</v>
      </c>
      <c r="D562" t="s">
        <v>63</v>
      </c>
      <c r="E562" t="s">
        <v>64</v>
      </c>
      <c r="F562">
        <v>4.3</v>
      </c>
      <c r="G562">
        <v>47999</v>
      </c>
      <c r="H562">
        <v>47999</v>
      </c>
      <c r="I562">
        <f>FlipkartTable[[#This Row],[Original Price]]-FlipkartTable[[#This Row],[Selling Price]]</f>
        <v>0</v>
      </c>
      <c r="J562" s="4">
        <f>(FlipkartTable[[#This Row],[Original Price]]-FlipkartTable[[#This Row],[Selling Price]])/FlipkartTable[[#This Row],[Original Price]]</f>
        <v>0</v>
      </c>
      <c r="K562">
        <f>(FlipkartTable[[#This Row],[Rating]]/FlipkartTable[[#This Row],[Selling Price]])*1000</f>
        <v>8.9585199691660233E-2</v>
      </c>
      <c r="L562" t="str">
        <f>IF(FlipkartTable[[#This Row],[Selling Price]]&lt;15000,"Budget",IF(FlipkartTable[[#This Row],[Selling Price]]&lt;50000,"Mid Range","Premium"))</f>
        <v>Mid Range</v>
      </c>
      <c r="M562" t="str">
        <f>IF(FlipkartTable[[#This Row],[Rating]]&gt;4.5,"Excellent",IF(FlipkartTable[[#This Row],[Rating]]&gt;4,"Good",IF(FlipkartTable[[#This Row],[Rating]]&gt;3.5,"Average","Poor")))</f>
        <v>Good</v>
      </c>
    </row>
    <row r="563" spans="1:13" x14ac:dyDescent="0.35">
      <c r="A563" t="s">
        <v>343</v>
      </c>
      <c r="B563" s="9" t="s">
        <v>420</v>
      </c>
      <c r="C563" t="s">
        <v>399</v>
      </c>
      <c r="D563" t="s">
        <v>14</v>
      </c>
      <c r="E563" t="s">
        <v>15</v>
      </c>
      <c r="F563">
        <v>4.4000000000000004</v>
      </c>
      <c r="G563">
        <v>24999</v>
      </c>
      <c r="H563">
        <v>26999</v>
      </c>
      <c r="I563">
        <f>FlipkartTable[[#This Row],[Original Price]]-FlipkartTable[[#This Row],[Selling Price]]</f>
        <v>2000</v>
      </c>
      <c r="J563" s="4">
        <f>(FlipkartTable[[#This Row],[Original Price]]-FlipkartTable[[#This Row],[Selling Price]])/FlipkartTable[[#This Row],[Original Price]]</f>
        <v>7.4076817659913335E-2</v>
      </c>
      <c r="K563">
        <f>(FlipkartTable[[#This Row],[Rating]]/FlipkartTable[[#This Row],[Selling Price]])*1000</f>
        <v>0.17600704028161127</v>
      </c>
      <c r="L563" t="str">
        <f>IF(FlipkartTable[[#This Row],[Selling Price]]&lt;15000,"Budget",IF(FlipkartTable[[#This Row],[Selling Price]]&lt;50000,"Mid Range","Premium"))</f>
        <v>Mid Range</v>
      </c>
      <c r="M563" t="str">
        <f>IF(FlipkartTable[[#This Row],[Rating]]&gt;4.5,"Excellent",IF(FlipkartTable[[#This Row],[Rating]]&gt;4,"Good",IF(FlipkartTable[[#This Row],[Rating]]&gt;3.5,"Average","Poor")))</f>
        <v>Good</v>
      </c>
    </row>
    <row r="564" spans="1:13" x14ac:dyDescent="0.35">
      <c r="A564" t="s">
        <v>343</v>
      </c>
      <c r="B564" s="9" t="s">
        <v>421</v>
      </c>
      <c r="C564" t="s">
        <v>422</v>
      </c>
      <c r="D564" t="s">
        <v>27</v>
      </c>
      <c r="E564" t="s">
        <v>15</v>
      </c>
      <c r="F564">
        <v>4.3</v>
      </c>
      <c r="G564">
        <v>37999</v>
      </c>
      <c r="H564">
        <v>40999</v>
      </c>
      <c r="I564">
        <f>FlipkartTable[[#This Row],[Original Price]]-FlipkartTable[[#This Row],[Selling Price]]</f>
        <v>3000</v>
      </c>
      <c r="J564" s="4">
        <f>(FlipkartTable[[#This Row],[Original Price]]-FlipkartTable[[#This Row],[Selling Price]])/FlipkartTable[[#This Row],[Original Price]]</f>
        <v>7.3172516402839088E-2</v>
      </c>
      <c r="K564">
        <f>(FlipkartTable[[#This Row],[Rating]]/FlipkartTable[[#This Row],[Selling Price]])*1000</f>
        <v>0.11316087265454354</v>
      </c>
      <c r="L564" t="str">
        <f>IF(FlipkartTable[[#This Row],[Selling Price]]&lt;15000,"Budget",IF(FlipkartTable[[#This Row],[Selling Price]]&lt;50000,"Mid Range","Premium"))</f>
        <v>Mid Range</v>
      </c>
      <c r="M564" t="str">
        <f>IF(FlipkartTable[[#This Row],[Rating]]&gt;4.5,"Excellent",IF(FlipkartTable[[#This Row],[Rating]]&gt;4,"Good",IF(FlipkartTable[[#This Row],[Rating]]&gt;3.5,"Average","Poor")))</f>
        <v>Good</v>
      </c>
    </row>
    <row r="565" spans="1:13" x14ac:dyDescent="0.35">
      <c r="A565" t="s">
        <v>343</v>
      </c>
      <c r="B565" s="9" t="s">
        <v>423</v>
      </c>
      <c r="C565" t="s">
        <v>419</v>
      </c>
      <c r="D565" t="s">
        <v>27</v>
      </c>
      <c r="E565" t="s">
        <v>15</v>
      </c>
      <c r="F565">
        <v>4.3</v>
      </c>
      <c r="G565">
        <v>41999</v>
      </c>
      <c r="H565">
        <v>41999</v>
      </c>
      <c r="I565">
        <f>FlipkartTable[[#This Row],[Original Price]]-FlipkartTable[[#This Row],[Selling Price]]</f>
        <v>0</v>
      </c>
      <c r="J565" s="4">
        <f>(FlipkartTable[[#This Row],[Original Price]]-FlipkartTable[[#This Row],[Selling Price]])/FlipkartTable[[#This Row],[Original Price]]</f>
        <v>0</v>
      </c>
      <c r="K565">
        <f>(FlipkartTable[[#This Row],[Rating]]/FlipkartTable[[#This Row],[Selling Price]])*1000</f>
        <v>0.1023833900807162</v>
      </c>
      <c r="L565" t="str">
        <f>IF(FlipkartTable[[#This Row],[Selling Price]]&lt;15000,"Budget",IF(FlipkartTable[[#This Row],[Selling Price]]&lt;50000,"Mid Range","Premium"))</f>
        <v>Mid Range</v>
      </c>
      <c r="M565" t="str">
        <f>IF(FlipkartTable[[#This Row],[Rating]]&gt;4.5,"Excellent",IF(FlipkartTable[[#This Row],[Rating]]&gt;4,"Good",IF(FlipkartTable[[#This Row],[Rating]]&gt;3.5,"Average","Poor")))</f>
        <v>Good</v>
      </c>
    </row>
    <row r="566" spans="1:13" x14ac:dyDescent="0.35">
      <c r="A566" t="s">
        <v>343</v>
      </c>
      <c r="B566" s="9" t="s">
        <v>423</v>
      </c>
      <c r="C566" t="s">
        <v>424</v>
      </c>
      <c r="D566" t="s">
        <v>63</v>
      </c>
      <c r="E566" t="s">
        <v>64</v>
      </c>
      <c r="F566">
        <v>4.3</v>
      </c>
      <c r="G566">
        <v>47999</v>
      </c>
      <c r="H566">
        <v>47999</v>
      </c>
      <c r="I566">
        <f>FlipkartTable[[#This Row],[Original Price]]-FlipkartTable[[#This Row],[Selling Price]]</f>
        <v>0</v>
      </c>
      <c r="J566" s="4">
        <f>(FlipkartTable[[#This Row],[Original Price]]-FlipkartTable[[#This Row],[Selling Price]])/FlipkartTable[[#This Row],[Original Price]]</f>
        <v>0</v>
      </c>
      <c r="K566">
        <f>(FlipkartTable[[#This Row],[Rating]]/FlipkartTable[[#This Row],[Selling Price]])*1000</f>
        <v>8.9585199691660233E-2</v>
      </c>
      <c r="L566" t="str">
        <f>IF(FlipkartTable[[#This Row],[Selling Price]]&lt;15000,"Budget",IF(FlipkartTable[[#This Row],[Selling Price]]&lt;50000,"Mid Range","Premium"))</f>
        <v>Mid Range</v>
      </c>
      <c r="M566" t="str">
        <f>IF(FlipkartTable[[#This Row],[Rating]]&gt;4.5,"Excellent",IF(FlipkartTable[[#This Row],[Rating]]&gt;4,"Good",IF(FlipkartTable[[#This Row],[Rating]]&gt;3.5,"Average","Poor")))</f>
        <v>Good</v>
      </c>
    </row>
    <row r="567" spans="1:13" x14ac:dyDescent="0.35">
      <c r="A567" t="s">
        <v>343</v>
      </c>
      <c r="B567" s="9" t="s">
        <v>423</v>
      </c>
      <c r="C567" t="s">
        <v>424</v>
      </c>
      <c r="D567" t="s">
        <v>27</v>
      </c>
      <c r="E567" t="s">
        <v>15</v>
      </c>
      <c r="F567">
        <v>4.3</v>
      </c>
      <c r="G567">
        <v>41999</v>
      </c>
      <c r="H567">
        <v>41999</v>
      </c>
      <c r="I567">
        <f>FlipkartTable[[#This Row],[Original Price]]-FlipkartTable[[#This Row],[Selling Price]]</f>
        <v>0</v>
      </c>
      <c r="J567" s="4">
        <f>(FlipkartTable[[#This Row],[Original Price]]-FlipkartTable[[#This Row],[Selling Price]])/FlipkartTable[[#This Row],[Original Price]]</f>
        <v>0</v>
      </c>
      <c r="K567">
        <f>(FlipkartTable[[#This Row],[Rating]]/FlipkartTable[[#This Row],[Selling Price]])*1000</f>
        <v>0.1023833900807162</v>
      </c>
      <c r="L567" t="str">
        <f>IF(FlipkartTable[[#This Row],[Selling Price]]&lt;15000,"Budget",IF(FlipkartTable[[#This Row],[Selling Price]]&lt;50000,"Mid Range","Premium"))</f>
        <v>Mid Range</v>
      </c>
      <c r="M567" t="str">
        <f>IF(FlipkartTable[[#This Row],[Rating]]&gt;4.5,"Excellent",IF(FlipkartTable[[#This Row],[Rating]]&gt;4,"Good",IF(FlipkartTable[[#This Row],[Rating]]&gt;3.5,"Average","Poor")))</f>
        <v>Good</v>
      </c>
    </row>
    <row r="568" spans="1:13" x14ac:dyDescent="0.35">
      <c r="A568" t="s">
        <v>343</v>
      </c>
      <c r="B568" s="9" t="s">
        <v>392</v>
      </c>
      <c r="C568" t="s">
        <v>417</v>
      </c>
      <c r="D568" t="s">
        <v>27</v>
      </c>
      <c r="E568" t="s">
        <v>15</v>
      </c>
      <c r="F568">
        <v>4.5</v>
      </c>
      <c r="G568">
        <v>16999</v>
      </c>
      <c r="H568">
        <v>17999</v>
      </c>
      <c r="I568">
        <f>FlipkartTable[[#This Row],[Original Price]]-FlipkartTable[[#This Row],[Selling Price]]</f>
        <v>1000</v>
      </c>
      <c r="J568" s="4">
        <f>(FlipkartTable[[#This Row],[Original Price]]-FlipkartTable[[#This Row],[Selling Price]])/FlipkartTable[[#This Row],[Original Price]]</f>
        <v>5.5558642146785936E-2</v>
      </c>
      <c r="K568">
        <f>(FlipkartTable[[#This Row],[Rating]]/FlipkartTable[[#This Row],[Selling Price]])*1000</f>
        <v>0.26472145420318843</v>
      </c>
      <c r="L568" t="str">
        <f>IF(FlipkartTable[[#This Row],[Selling Price]]&lt;15000,"Budget",IF(FlipkartTable[[#This Row],[Selling Price]]&lt;50000,"Mid Range","Premium"))</f>
        <v>Mid Range</v>
      </c>
      <c r="M568" t="str">
        <f>IF(FlipkartTable[[#This Row],[Rating]]&gt;4.5,"Excellent",IF(FlipkartTable[[#This Row],[Rating]]&gt;4,"Good",IF(FlipkartTable[[#This Row],[Rating]]&gt;3.5,"Average","Poor")))</f>
        <v>Good</v>
      </c>
    </row>
    <row r="569" spans="1:13" x14ac:dyDescent="0.35">
      <c r="A569" t="s">
        <v>343</v>
      </c>
      <c r="B569" s="9" t="s">
        <v>392</v>
      </c>
      <c r="C569" t="s">
        <v>425</v>
      </c>
      <c r="D569" t="s">
        <v>11</v>
      </c>
      <c r="E569" t="s">
        <v>12</v>
      </c>
      <c r="F569">
        <v>4.5</v>
      </c>
      <c r="G569">
        <v>13999</v>
      </c>
      <c r="H569">
        <v>14999</v>
      </c>
      <c r="I569">
        <f>FlipkartTable[[#This Row],[Original Price]]-FlipkartTable[[#This Row],[Selling Price]]</f>
        <v>1000</v>
      </c>
      <c r="J569" s="4">
        <f>(FlipkartTable[[#This Row],[Original Price]]-FlipkartTable[[#This Row],[Selling Price]])/FlipkartTable[[#This Row],[Original Price]]</f>
        <v>6.6671111407427167E-2</v>
      </c>
      <c r="K569">
        <f>(FlipkartTable[[#This Row],[Rating]]/FlipkartTable[[#This Row],[Selling Price]])*1000</f>
        <v>0.32145153225230377</v>
      </c>
      <c r="L569" t="str">
        <f>IF(FlipkartTable[[#This Row],[Selling Price]]&lt;15000,"Budget",IF(FlipkartTable[[#This Row],[Selling Price]]&lt;50000,"Mid Range","Premium"))</f>
        <v>Budget</v>
      </c>
      <c r="M569" t="str">
        <f>IF(FlipkartTable[[#This Row],[Rating]]&gt;4.5,"Excellent",IF(FlipkartTable[[#This Row],[Rating]]&gt;4,"Good",IF(FlipkartTable[[#This Row],[Rating]]&gt;3.5,"Average","Poor")))</f>
        <v>Good</v>
      </c>
    </row>
    <row r="570" spans="1:13" x14ac:dyDescent="0.35">
      <c r="A570" t="s">
        <v>343</v>
      </c>
      <c r="B570" s="9" t="s">
        <v>398</v>
      </c>
      <c r="C570" t="s">
        <v>171</v>
      </c>
      <c r="D570" t="s">
        <v>27</v>
      </c>
      <c r="E570" t="s">
        <v>64</v>
      </c>
      <c r="F570">
        <v>4.3</v>
      </c>
      <c r="G570">
        <v>29999</v>
      </c>
      <c r="H570">
        <v>31999</v>
      </c>
      <c r="I570">
        <f>FlipkartTable[[#This Row],[Original Price]]-FlipkartTable[[#This Row],[Selling Price]]</f>
        <v>2000</v>
      </c>
      <c r="J570" s="4">
        <f>(FlipkartTable[[#This Row],[Original Price]]-FlipkartTable[[#This Row],[Selling Price]])/FlipkartTable[[#This Row],[Original Price]]</f>
        <v>6.250195318603706E-2</v>
      </c>
      <c r="K570">
        <f>(FlipkartTable[[#This Row],[Rating]]/FlipkartTable[[#This Row],[Selling Price]])*1000</f>
        <v>0.14333811127037566</v>
      </c>
      <c r="L570" t="str">
        <f>IF(FlipkartTable[[#This Row],[Selling Price]]&lt;15000,"Budget",IF(FlipkartTable[[#This Row],[Selling Price]]&lt;50000,"Mid Range","Premium"))</f>
        <v>Mid Range</v>
      </c>
      <c r="M570" t="str">
        <f>IF(FlipkartTable[[#This Row],[Rating]]&gt;4.5,"Excellent",IF(FlipkartTable[[#This Row],[Rating]]&gt;4,"Good",IF(FlipkartTable[[#This Row],[Rating]]&gt;3.5,"Average","Poor")))</f>
        <v>Good</v>
      </c>
    </row>
    <row r="571" spans="1:13" x14ac:dyDescent="0.35">
      <c r="A571" t="s">
        <v>343</v>
      </c>
      <c r="B571" s="9" t="s">
        <v>396</v>
      </c>
      <c r="C571" t="s">
        <v>106</v>
      </c>
      <c r="D571" t="s">
        <v>35</v>
      </c>
      <c r="E571" t="s">
        <v>124</v>
      </c>
      <c r="F571">
        <v>4.4000000000000004</v>
      </c>
      <c r="G571">
        <v>6499</v>
      </c>
      <c r="H571">
        <v>6999</v>
      </c>
      <c r="I571">
        <f>FlipkartTable[[#This Row],[Original Price]]-FlipkartTable[[#This Row],[Selling Price]]</f>
        <v>500</v>
      </c>
      <c r="J571" s="4">
        <f>(FlipkartTable[[#This Row],[Original Price]]-FlipkartTable[[#This Row],[Selling Price]])/FlipkartTable[[#This Row],[Original Price]]</f>
        <v>7.1438776968138301E-2</v>
      </c>
      <c r="K571">
        <f>(FlipkartTable[[#This Row],[Rating]]/FlipkartTable[[#This Row],[Selling Price]])*1000</f>
        <v>0.67702723495922457</v>
      </c>
      <c r="L571" t="str">
        <f>IF(FlipkartTable[[#This Row],[Selling Price]]&lt;15000,"Budget",IF(FlipkartTable[[#This Row],[Selling Price]]&lt;50000,"Mid Range","Premium"))</f>
        <v>Budget</v>
      </c>
      <c r="M571" t="str">
        <f>IF(FlipkartTable[[#This Row],[Rating]]&gt;4.5,"Excellent",IF(FlipkartTable[[#This Row],[Rating]]&gt;4,"Good",IF(FlipkartTable[[#This Row],[Rating]]&gt;3.5,"Average","Poor")))</f>
        <v>Good</v>
      </c>
    </row>
    <row r="572" spans="1:13" x14ac:dyDescent="0.35">
      <c r="A572" t="s">
        <v>343</v>
      </c>
      <c r="B572" s="9" t="s">
        <v>421</v>
      </c>
      <c r="C572" t="s">
        <v>426</v>
      </c>
      <c r="D572" t="s">
        <v>63</v>
      </c>
      <c r="E572" t="s">
        <v>64</v>
      </c>
      <c r="F572">
        <v>4.3</v>
      </c>
      <c r="G572">
        <v>41999</v>
      </c>
      <c r="H572">
        <v>43999</v>
      </c>
      <c r="I572">
        <f>FlipkartTable[[#This Row],[Original Price]]-FlipkartTable[[#This Row],[Selling Price]]</f>
        <v>2000</v>
      </c>
      <c r="J572" s="4">
        <f>(FlipkartTable[[#This Row],[Original Price]]-FlipkartTable[[#This Row],[Selling Price]])/FlipkartTable[[#This Row],[Original Price]]</f>
        <v>4.5455578535875812E-2</v>
      </c>
      <c r="K572">
        <f>(FlipkartTable[[#This Row],[Rating]]/FlipkartTable[[#This Row],[Selling Price]])*1000</f>
        <v>0.1023833900807162</v>
      </c>
      <c r="L572" t="str">
        <f>IF(FlipkartTable[[#This Row],[Selling Price]]&lt;15000,"Budget",IF(FlipkartTable[[#This Row],[Selling Price]]&lt;50000,"Mid Range","Premium"))</f>
        <v>Mid Range</v>
      </c>
      <c r="M572" t="str">
        <f>IF(FlipkartTable[[#This Row],[Rating]]&gt;4.5,"Excellent",IF(FlipkartTable[[#This Row],[Rating]]&gt;4,"Good",IF(FlipkartTable[[#This Row],[Rating]]&gt;3.5,"Average","Poor")))</f>
        <v>Good</v>
      </c>
    </row>
    <row r="573" spans="1:13" x14ac:dyDescent="0.35">
      <c r="A573" t="s">
        <v>343</v>
      </c>
      <c r="B573" s="9">
        <v>6</v>
      </c>
      <c r="C573" t="s">
        <v>427</v>
      </c>
      <c r="D573" t="s">
        <v>14</v>
      </c>
      <c r="E573" t="s">
        <v>12</v>
      </c>
      <c r="F573">
        <v>4.4000000000000004</v>
      </c>
      <c r="G573">
        <v>14999</v>
      </c>
      <c r="H573">
        <v>17999</v>
      </c>
      <c r="I573">
        <f>FlipkartTable[[#This Row],[Original Price]]-FlipkartTable[[#This Row],[Selling Price]]</f>
        <v>3000</v>
      </c>
      <c r="J573" s="4">
        <f>(FlipkartTable[[#This Row],[Original Price]]-FlipkartTable[[#This Row],[Selling Price]])/FlipkartTable[[#This Row],[Original Price]]</f>
        <v>0.16667592644035781</v>
      </c>
      <c r="K573">
        <f>(FlipkartTable[[#This Row],[Rating]]/FlipkartTable[[#This Row],[Selling Price]])*1000</f>
        <v>0.29335289019267952</v>
      </c>
      <c r="L573" t="str">
        <f>IF(FlipkartTable[[#This Row],[Selling Price]]&lt;15000,"Budget",IF(FlipkartTable[[#This Row],[Selling Price]]&lt;50000,"Mid Range","Premium"))</f>
        <v>Budget</v>
      </c>
      <c r="M573" t="str">
        <f>IF(FlipkartTable[[#This Row],[Rating]]&gt;4.5,"Excellent",IF(FlipkartTable[[#This Row],[Rating]]&gt;4,"Good",IF(FlipkartTable[[#This Row],[Rating]]&gt;3.5,"Average","Poor")))</f>
        <v>Good</v>
      </c>
    </row>
    <row r="574" spans="1:13" x14ac:dyDescent="0.35">
      <c r="A574" t="s">
        <v>343</v>
      </c>
      <c r="B574" s="9" t="s">
        <v>420</v>
      </c>
      <c r="C574" t="s">
        <v>399</v>
      </c>
      <c r="D574" t="s">
        <v>27</v>
      </c>
      <c r="E574" t="s">
        <v>15</v>
      </c>
      <c r="F574">
        <v>4.4000000000000004</v>
      </c>
      <c r="G574">
        <v>25999</v>
      </c>
      <c r="H574">
        <v>27999</v>
      </c>
      <c r="I574">
        <f>FlipkartTable[[#This Row],[Original Price]]-FlipkartTable[[#This Row],[Selling Price]]</f>
        <v>2000</v>
      </c>
      <c r="J574" s="4">
        <f>(FlipkartTable[[#This Row],[Original Price]]-FlipkartTable[[#This Row],[Selling Price]])/FlipkartTable[[#This Row],[Original Price]]</f>
        <v>7.1431122540090722E-2</v>
      </c>
      <c r="K574">
        <f>(FlipkartTable[[#This Row],[Rating]]/FlipkartTable[[#This Row],[Selling Price]])*1000</f>
        <v>0.16923727835685989</v>
      </c>
      <c r="L574" t="str">
        <f>IF(FlipkartTable[[#This Row],[Selling Price]]&lt;15000,"Budget",IF(FlipkartTable[[#This Row],[Selling Price]]&lt;50000,"Mid Range","Premium"))</f>
        <v>Mid Range</v>
      </c>
      <c r="M574" t="str">
        <f>IF(FlipkartTable[[#This Row],[Rating]]&gt;4.5,"Excellent",IF(FlipkartTable[[#This Row],[Rating]]&gt;4,"Good",IF(FlipkartTable[[#This Row],[Rating]]&gt;3.5,"Average","Poor")))</f>
        <v>Good</v>
      </c>
    </row>
    <row r="575" spans="1:13" x14ac:dyDescent="0.35">
      <c r="A575" t="s">
        <v>343</v>
      </c>
      <c r="B575" s="9" t="s">
        <v>390</v>
      </c>
      <c r="C575" t="s">
        <v>373</v>
      </c>
      <c r="D575" t="s">
        <v>20</v>
      </c>
      <c r="E575" t="s">
        <v>21</v>
      </c>
      <c r="F575">
        <v>4.3</v>
      </c>
      <c r="G575">
        <v>11999</v>
      </c>
      <c r="H575">
        <v>11999</v>
      </c>
      <c r="I575">
        <f>FlipkartTable[[#This Row],[Original Price]]-FlipkartTable[[#This Row],[Selling Price]]</f>
        <v>0</v>
      </c>
      <c r="J575" s="4">
        <f>(FlipkartTable[[#This Row],[Original Price]]-FlipkartTable[[#This Row],[Selling Price]])/FlipkartTable[[#This Row],[Original Price]]</f>
        <v>0</v>
      </c>
      <c r="K575">
        <f>(FlipkartTable[[#This Row],[Rating]]/FlipkartTable[[#This Row],[Selling Price]])*1000</f>
        <v>0.35836319693307778</v>
      </c>
      <c r="L575" t="str">
        <f>IF(FlipkartTable[[#This Row],[Selling Price]]&lt;15000,"Budget",IF(FlipkartTable[[#This Row],[Selling Price]]&lt;50000,"Mid Range","Premium"))</f>
        <v>Budget</v>
      </c>
      <c r="M575" t="str">
        <f>IF(FlipkartTable[[#This Row],[Rating]]&gt;4.5,"Excellent",IF(FlipkartTable[[#This Row],[Rating]]&gt;4,"Good",IF(FlipkartTable[[#This Row],[Rating]]&gt;3.5,"Average","Poor")))</f>
        <v>Good</v>
      </c>
    </row>
    <row r="576" spans="1:13" x14ac:dyDescent="0.35">
      <c r="A576" t="s">
        <v>343</v>
      </c>
      <c r="B576" s="9">
        <v>6</v>
      </c>
      <c r="C576" t="s">
        <v>427</v>
      </c>
      <c r="D576" t="s">
        <v>27</v>
      </c>
      <c r="E576" t="s">
        <v>15</v>
      </c>
      <c r="F576">
        <v>4.4000000000000004</v>
      </c>
      <c r="G576">
        <v>16999</v>
      </c>
      <c r="H576">
        <v>17999</v>
      </c>
      <c r="I576">
        <f>FlipkartTable[[#This Row],[Original Price]]-FlipkartTable[[#This Row],[Selling Price]]</f>
        <v>1000</v>
      </c>
      <c r="J576" s="4">
        <f>(FlipkartTable[[#This Row],[Original Price]]-FlipkartTable[[#This Row],[Selling Price]])/FlipkartTable[[#This Row],[Original Price]]</f>
        <v>5.5558642146785936E-2</v>
      </c>
      <c r="K576">
        <f>(FlipkartTable[[#This Row],[Rating]]/FlipkartTable[[#This Row],[Selling Price]])*1000</f>
        <v>0.25883875522089539</v>
      </c>
      <c r="L576" t="str">
        <f>IF(FlipkartTable[[#This Row],[Selling Price]]&lt;15000,"Budget",IF(FlipkartTable[[#This Row],[Selling Price]]&lt;50000,"Mid Range","Premium"))</f>
        <v>Mid Range</v>
      </c>
      <c r="M576" t="str">
        <f>IF(FlipkartTable[[#This Row],[Rating]]&gt;4.5,"Excellent",IF(FlipkartTable[[#This Row],[Rating]]&gt;4,"Good",IF(FlipkartTable[[#This Row],[Rating]]&gt;3.5,"Average","Poor")))</f>
        <v>Good</v>
      </c>
    </row>
    <row r="577" spans="1:13" x14ac:dyDescent="0.35">
      <c r="A577" t="s">
        <v>343</v>
      </c>
      <c r="B577" s="9" t="s">
        <v>398</v>
      </c>
      <c r="C577" t="s">
        <v>399</v>
      </c>
      <c r="D577" t="s">
        <v>27</v>
      </c>
      <c r="E577" t="s">
        <v>64</v>
      </c>
      <c r="F577">
        <v>4.3</v>
      </c>
      <c r="G577">
        <v>29999</v>
      </c>
      <c r="H577">
        <v>31999</v>
      </c>
      <c r="I577">
        <f>FlipkartTable[[#This Row],[Original Price]]-FlipkartTable[[#This Row],[Selling Price]]</f>
        <v>2000</v>
      </c>
      <c r="J577" s="4">
        <f>(FlipkartTable[[#This Row],[Original Price]]-FlipkartTable[[#This Row],[Selling Price]])/FlipkartTable[[#This Row],[Original Price]]</f>
        <v>6.250195318603706E-2</v>
      </c>
      <c r="K577">
        <f>(FlipkartTable[[#This Row],[Rating]]/FlipkartTable[[#This Row],[Selling Price]])*1000</f>
        <v>0.14333811127037566</v>
      </c>
      <c r="L577" t="str">
        <f>IF(FlipkartTable[[#This Row],[Selling Price]]&lt;15000,"Budget",IF(FlipkartTable[[#This Row],[Selling Price]]&lt;50000,"Mid Range","Premium"))</f>
        <v>Mid Range</v>
      </c>
      <c r="M577" t="str">
        <f>IF(FlipkartTable[[#This Row],[Rating]]&gt;4.5,"Excellent",IF(FlipkartTable[[#This Row],[Rating]]&gt;4,"Good",IF(FlipkartTable[[#This Row],[Rating]]&gt;3.5,"Average","Poor")))</f>
        <v>Good</v>
      </c>
    </row>
    <row r="578" spans="1:13" x14ac:dyDescent="0.35">
      <c r="A578" t="s">
        <v>343</v>
      </c>
      <c r="B578" s="9" t="s">
        <v>398</v>
      </c>
      <c r="C578" t="s">
        <v>399</v>
      </c>
      <c r="D578" t="s">
        <v>63</v>
      </c>
      <c r="E578" t="s">
        <v>64</v>
      </c>
      <c r="F578">
        <v>4.2</v>
      </c>
      <c r="G578">
        <v>32999</v>
      </c>
      <c r="H578">
        <v>34999</v>
      </c>
      <c r="I578">
        <f>FlipkartTable[[#This Row],[Original Price]]-FlipkartTable[[#This Row],[Selling Price]]</f>
        <v>2000</v>
      </c>
      <c r="J578" s="4">
        <f>(FlipkartTable[[#This Row],[Original Price]]-FlipkartTable[[#This Row],[Selling Price]])/FlipkartTable[[#This Row],[Original Price]]</f>
        <v>5.7144489842566933E-2</v>
      </c>
      <c r="K578">
        <f>(FlipkartTable[[#This Row],[Rating]]/FlipkartTable[[#This Row],[Selling Price]])*1000</f>
        <v>0.1272765841389133</v>
      </c>
      <c r="L578" t="str">
        <f>IF(FlipkartTable[[#This Row],[Selling Price]]&lt;15000,"Budget",IF(FlipkartTable[[#This Row],[Selling Price]]&lt;50000,"Mid Range","Premium"))</f>
        <v>Mid Range</v>
      </c>
      <c r="M578" t="str">
        <f>IF(FlipkartTable[[#This Row],[Rating]]&gt;4.5,"Excellent",IF(FlipkartTable[[#This Row],[Rating]]&gt;4,"Good",IF(FlipkartTable[[#This Row],[Rating]]&gt;3.5,"Average","Poor")))</f>
        <v>Good</v>
      </c>
    </row>
    <row r="579" spans="1:13" x14ac:dyDescent="0.35">
      <c r="A579" t="s">
        <v>343</v>
      </c>
      <c r="B579" s="9" t="s">
        <v>398</v>
      </c>
      <c r="C579" t="s">
        <v>171</v>
      </c>
      <c r="D579" t="s">
        <v>63</v>
      </c>
      <c r="E579" t="s">
        <v>64</v>
      </c>
      <c r="F579">
        <v>4.2</v>
      </c>
      <c r="G579">
        <v>32999</v>
      </c>
      <c r="H579">
        <v>34999</v>
      </c>
      <c r="I579">
        <f>FlipkartTable[[#This Row],[Original Price]]-FlipkartTable[[#This Row],[Selling Price]]</f>
        <v>2000</v>
      </c>
      <c r="J579" s="4">
        <f>(FlipkartTable[[#This Row],[Original Price]]-FlipkartTable[[#This Row],[Selling Price]])/FlipkartTable[[#This Row],[Original Price]]</f>
        <v>5.7144489842566933E-2</v>
      </c>
      <c r="K579">
        <f>(FlipkartTable[[#This Row],[Rating]]/FlipkartTable[[#This Row],[Selling Price]])*1000</f>
        <v>0.1272765841389133</v>
      </c>
      <c r="L579" t="str">
        <f>IF(FlipkartTable[[#This Row],[Selling Price]]&lt;15000,"Budget",IF(FlipkartTable[[#This Row],[Selling Price]]&lt;50000,"Mid Range","Premium"))</f>
        <v>Mid Range</v>
      </c>
      <c r="M579" t="str">
        <f>IF(FlipkartTable[[#This Row],[Rating]]&gt;4.5,"Excellent",IF(FlipkartTable[[#This Row],[Rating]]&gt;4,"Good",IF(FlipkartTable[[#This Row],[Rating]]&gt;3.5,"Average","Poor")))</f>
        <v>Good</v>
      </c>
    </row>
    <row r="580" spans="1:13" x14ac:dyDescent="0.35">
      <c r="A580" t="s">
        <v>343</v>
      </c>
      <c r="B580" s="9" t="s">
        <v>428</v>
      </c>
      <c r="C580" t="s">
        <v>429</v>
      </c>
      <c r="D580" t="s">
        <v>27</v>
      </c>
      <c r="E580" t="s">
        <v>15</v>
      </c>
      <c r="F580">
        <v>4.3</v>
      </c>
      <c r="G580">
        <v>29999</v>
      </c>
      <c r="H580">
        <v>32999</v>
      </c>
      <c r="I580">
        <f>FlipkartTable[[#This Row],[Original Price]]-FlipkartTable[[#This Row],[Selling Price]]</f>
        <v>3000</v>
      </c>
      <c r="J580" s="4">
        <f>(FlipkartTable[[#This Row],[Original Price]]-FlipkartTable[[#This Row],[Selling Price]])/FlipkartTable[[#This Row],[Original Price]]</f>
        <v>9.0911845813509501E-2</v>
      </c>
      <c r="K580">
        <f>(FlipkartTable[[#This Row],[Rating]]/FlipkartTable[[#This Row],[Selling Price]])*1000</f>
        <v>0.14333811127037566</v>
      </c>
      <c r="L580" t="str">
        <f>IF(FlipkartTable[[#This Row],[Selling Price]]&lt;15000,"Budget",IF(FlipkartTable[[#This Row],[Selling Price]]&lt;50000,"Mid Range","Premium"))</f>
        <v>Mid Range</v>
      </c>
      <c r="M580" t="str">
        <f>IF(FlipkartTable[[#This Row],[Rating]]&gt;4.5,"Excellent",IF(FlipkartTable[[#This Row],[Rating]]&gt;4,"Good",IF(FlipkartTable[[#This Row],[Rating]]&gt;3.5,"Average","Poor")))</f>
        <v>Good</v>
      </c>
    </row>
    <row r="581" spans="1:13" x14ac:dyDescent="0.35">
      <c r="A581" t="s">
        <v>343</v>
      </c>
      <c r="B581" s="9" t="s">
        <v>396</v>
      </c>
      <c r="C581" t="s">
        <v>397</v>
      </c>
      <c r="D581" t="s">
        <v>35</v>
      </c>
      <c r="E581" t="s">
        <v>21</v>
      </c>
      <c r="F581">
        <v>4.4000000000000004</v>
      </c>
      <c r="G581">
        <v>6999</v>
      </c>
      <c r="H581">
        <v>7999</v>
      </c>
      <c r="I581">
        <f>FlipkartTable[[#This Row],[Original Price]]-FlipkartTable[[#This Row],[Selling Price]]</f>
        <v>1000</v>
      </c>
      <c r="J581" s="4">
        <f>(FlipkartTable[[#This Row],[Original Price]]-FlipkartTable[[#This Row],[Selling Price]])/FlipkartTable[[#This Row],[Original Price]]</f>
        <v>0.12501562695336918</v>
      </c>
      <c r="K581">
        <f>(FlipkartTable[[#This Row],[Rating]]/FlipkartTable[[#This Row],[Selling Price]])*1000</f>
        <v>0.62866123731961721</v>
      </c>
      <c r="L581" t="str">
        <f>IF(FlipkartTable[[#This Row],[Selling Price]]&lt;15000,"Budget",IF(FlipkartTable[[#This Row],[Selling Price]]&lt;50000,"Mid Range","Premium"))</f>
        <v>Budget</v>
      </c>
      <c r="M581" t="str">
        <f>IF(FlipkartTable[[#This Row],[Rating]]&gt;4.5,"Excellent",IF(FlipkartTable[[#This Row],[Rating]]&gt;4,"Good",IF(FlipkartTable[[#This Row],[Rating]]&gt;3.5,"Average","Poor")))</f>
        <v>Good</v>
      </c>
    </row>
    <row r="582" spans="1:13" x14ac:dyDescent="0.35">
      <c r="A582" t="s">
        <v>343</v>
      </c>
      <c r="B582" s="9" t="s">
        <v>398</v>
      </c>
      <c r="C582" t="s">
        <v>399</v>
      </c>
      <c r="D582" t="s">
        <v>27</v>
      </c>
      <c r="E582" t="s">
        <v>64</v>
      </c>
      <c r="F582">
        <v>4.3</v>
      </c>
      <c r="G582">
        <v>29999</v>
      </c>
      <c r="H582">
        <v>31999</v>
      </c>
      <c r="I582">
        <f>FlipkartTable[[#This Row],[Original Price]]-FlipkartTable[[#This Row],[Selling Price]]</f>
        <v>2000</v>
      </c>
      <c r="J582" s="4">
        <f>(FlipkartTable[[#This Row],[Original Price]]-FlipkartTable[[#This Row],[Selling Price]])/FlipkartTable[[#This Row],[Original Price]]</f>
        <v>6.250195318603706E-2</v>
      </c>
      <c r="K582">
        <f>(FlipkartTable[[#This Row],[Rating]]/FlipkartTable[[#This Row],[Selling Price]])*1000</f>
        <v>0.14333811127037566</v>
      </c>
      <c r="L582" t="str">
        <f>IF(FlipkartTable[[#This Row],[Selling Price]]&lt;15000,"Budget",IF(FlipkartTable[[#This Row],[Selling Price]]&lt;50000,"Mid Range","Premium"))</f>
        <v>Mid Range</v>
      </c>
      <c r="M582" t="str">
        <f>IF(FlipkartTable[[#This Row],[Rating]]&gt;4.5,"Excellent",IF(FlipkartTable[[#This Row],[Rating]]&gt;4,"Good",IF(FlipkartTable[[#This Row],[Rating]]&gt;3.5,"Average","Poor")))</f>
        <v>Good</v>
      </c>
    </row>
    <row r="583" spans="1:13" x14ac:dyDescent="0.35">
      <c r="A583" t="s">
        <v>343</v>
      </c>
      <c r="B583" s="9" t="s">
        <v>398</v>
      </c>
      <c r="C583" t="s">
        <v>399</v>
      </c>
      <c r="D583" t="s">
        <v>63</v>
      </c>
      <c r="E583" t="s">
        <v>64</v>
      </c>
      <c r="F583">
        <v>4.2</v>
      </c>
      <c r="G583">
        <v>32999</v>
      </c>
      <c r="H583">
        <v>34999</v>
      </c>
      <c r="I583">
        <f>FlipkartTable[[#This Row],[Original Price]]-FlipkartTable[[#This Row],[Selling Price]]</f>
        <v>2000</v>
      </c>
      <c r="J583" s="4">
        <f>(FlipkartTable[[#This Row],[Original Price]]-FlipkartTable[[#This Row],[Selling Price]])/FlipkartTable[[#This Row],[Original Price]]</f>
        <v>5.7144489842566933E-2</v>
      </c>
      <c r="K583">
        <f>(FlipkartTable[[#This Row],[Rating]]/FlipkartTable[[#This Row],[Selling Price]])*1000</f>
        <v>0.1272765841389133</v>
      </c>
      <c r="L583" t="str">
        <f>IF(FlipkartTable[[#This Row],[Selling Price]]&lt;15000,"Budget",IF(FlipkartTable[[#This Row],[Selling Price]]&lt;50000,"Mid Range","Premium"))</f>
        <v>Mid Range</v>
      </c>
      <c r="M583" t="str">
        <f>IF(FlipkartTable[[#This Row],[Rating]]&gt;4.5,"Excellent",IF(FlipkartTable[[#This Row],[Rating]]&gt;4,"Good",IF(FlipkartTable[[#This Row],[Rating]]&gt;3.5,"Average","Poor")))</f>
        <v>Good</v>
      </c>
    </row>
    <row r="584" spans="1:13" x14ac:dyDescent="0.35">
      <c r="A584" t="s">
        <v>343</v>
      </c>
      <c r="B584" s="9" t="s">
        <v>398</v>
      </c>
      <c r="C584" t="s">
        <v>171</v>
      </c>
      <c r="D584" t="s">
        <v>63</v>
      </c>
      <c r="E584" t="s">
        <v>64</v>
      </c>
      <c r="F584">
        <v>4.2</v>
      </c>
      <c r="G584">
        <v>32999</v>
      </c>
      <c r="H584">
        <v>34999</v>
      </c>
      <c r="I584">
        <f>FlipkartTable[[#This Row],[Original Price]]-FlipkartTable[[#This Row],[Selling Price]]</f>
        <v>2000</v>
      </c>
      <c r="J584" s="4">
        <f>(FlipkartTable[[#This Row],[Original Price]]-FlipkartTable[[#This Row],[Selling Price]])/FlipkartTable[[#This Row],[Original Price]]</f>
        <v>5.7144489842566933E-2</v>
      </c>
      <c r="K584">
        <f>(FlipkartTable[[#This Row],[Rating]]/FlipkartTable[[#This Row],[Selling Price]])*1000</f>
        <v>0.1272765841389133</v>
      </c>
      <c r="L584" t="str">
        <f>IF(FlipkartTable[[#This Row],[Selling Price]]&lt;15000,"Budget",IF(FlipkartTable[[#This Row],[Selling Price]]&lt;50000,"Mid Range","Premium"))</f>
        <v>Mid Range</v>
      </c>
      <c r="M584" t="str">
        <f>IF(FlipkartTable[[#This Row],[Rating]]&gt;4.5,"Excellent",IF(FlipkartTable[[#This Row],[Rating]]&gt;4,"Good",IF(FlipkartTable[[#This Row],[Rating]]&gt;3.5,"Average","Poor")))</f>
        <v>Good</v>
      </c>
    </row>
    <row r="585" spans="1:13" x14ac:dyDescent="0.35">
      <c r="A585" t="s">
        <v>343</v>
      </c>
      <c r="B585" s="9" t="s">
        <v>430</v>
      </c>
      <c r="C585" t="s">
        <v>431</v>
      </c>
      <c r="D585" t="s">
        <v>14</v>
      </c>
      <c r="E585" t="s">
        <v>15</v>
      </c>
      <c r="F585">
        <v>4.0999999999999996</v>
      </c>
      <c r="G585">
        <v>25999</v>
      </c>
      <c r="H585">
        <v>26999</v>
      </c>
      <c r="I585">
        <f>FlipkartTable[[#This Row],[Original Price]]-FlipkartTable[[#This Row],[Selling Price]]</f>
        <v>1000</v>
      </c>
      <c r="J585" s="4">
        <f>(FlipkartTable[[#This Row],[Original Price]]-FlipkartTable[[#This Row],[Selling Price]])/FlipkartTable[[#This Row],[Original Price]]</f>
        <v>3.7038408829956668E-2</v>
      </c>
      <c r="K585">
        <f>(FlipkartTable[[#This Row],[Rating]]/FlipkartTable[[#This Row],[Selling Price]])*1000</f>
        <v>0.15769837301434669</v>
      </c>
      <c r="L585" t="str">
        <f>IF(FlipkartTable[[#This Row],[Selling Price]]&lt;15000,"Budget",IF(FlipkartTable[[#This Row],[Selling Price]]&lt;50000,"Mid Range","Premium"))</f>
        <v>Mid Range</v>
      </c>
      <c r="M585" t="str">
        <f>IF(FlipkartTable[[#This Row],[Rating]]&gt;4.5,"Excellent",IF(FlipkartTable[[#This Row],[Rating]]&gt;4,"Good",IF(FlipkartTable[[#This Row],[Rating]]&gt;3.5,"Average","Poor")))</f>
        <v>Good</v>
      </c>
    </row>
    <row r="586" spans="1:13" x14ac:dyDescent="0.35">
      <c r="A586" t="s">
        <v>343</v>
      </c>
      <c r="B586" s="9" t="s">
        <v>400</v>
      </c>
      <c r="C586" t="s">
        <v>401</v>
      </c>
      <c r="D586" t="s">
        <v>14</v>
      </c>
      <c r="E586" t="s">
        <v>12</v>
      </c>
      <c r="F586">
        <v>4.4000000000000004</v>
      </c>
      <c r="G586">
        <v>13999</v>
      </c>
      <c r="H586">
        <v>15999</v>
      </c>
      <c r="I586">
        <f>FlipkartTable[[#This Row],[Original Price]]-FlipkartTable[[#This Row],[Selling Price]]</f>
        <v>2000</v>
      </c>
      <c r="J586" s="4">
        <f>(FlipkartTable[[#This Row],[Original Price]]-FlipkartTable[[#This Row],[Selling Price]])/FlipkartTable[[#This Row],[Original Price]]</f>
        <v>0.12500781298831176</v>
      </c>
      <c r="K586">
        <f>(FlipkartTable[[#This Row],[Rating]]/FlipkartTable[[#This Row],[Selling Price]])*1000</f>
        <v>0.31430816486891927</v>
      </c>
      <c r="L586" t="str">
        <f>IF(FlipkartTable[[#This Row],[Selling Price]]&lt;15000,"Budget",IF(FlipkartTable[[#This Row],[Selling Price]]&lt;50000,"Mid Range","Premium"))</f>
        <v>Budget</v>
      </c>
      <c r="M586" t="str">
        <f>IF(FlipkartTable[[#This Row],[Rating]]&gt;4.5,"Excellent",IF(FlipkartTable[[#This Row],[Rating]]&gt;4,"Good",IF(FlipkartTable[[#This Row],[Rating]]&gt;3.5,"Average","Poor")))</f>
        <v>Good</v>
      </c>
    </row>
    <row r="587" spans="1:13" x14ac:dyDescent="0.35">
      <c r="A587" t="s">
        <v>343</v>
      </c>
      <c r="B587" s="9">
        <v>6</v>
      </c>
      <c r="C587" t="s">
        <v>402</v>
      </c>
      <c r="D587" t="s">
        <v>14</v>
      </c>
      <c r="E587" t="s">
        <v>12</v>
      </c>
      <c r="F587">
        <v>4.4000000000000004</v>
      </c>
      <c r="G587">
        <v>14999</v>
      </c>
      <c r="H587">
        <v>17999</v>
      </c>
      <c r="I587">
        <f>FlipkartTable[[#This Row],[Original Price]]-FlipkartTable[[#This Row],[Selling Price]]</f>
        <v>3000</v>
      </c>
      <c r="J587" s="4">
        <f>(FlipkartTable[[#This Row],[Original Price]]-FlipkartTable[[#This Row],[Selling Price]])/FlipkartTable[[#This Row],[Original Price]]</f>
        <v>0.16667592644035781</v>
      </c>
      <c r="K587">
        <f>(FlipkartTable[[#This Row],[Rating]]/FlipkartTable[[#This Row],[Selling Price]])*1000</f>
        <v>0.29335289019267952</v>
      </c>
      <c r="L587" t="str">
        <f>IF(FlipkartTable[[#This Row],[Selling Price]]&lt;15000,"Budget",IF(FlipkartTable[[#This Row],[Selling Price]]&lt;50000,"Mid Range","Premium"))</f>
        <v>Budget</v>
      </c>
      <c r="M587" t="str">
        <f>IF(FlipkartTable[[#This Row],[Rating]]&gt;4.5,"Excellent",IF(FlipkartTable[[#This Row],[Rating]]&gt;4,"Good",IF(FlipkartTable[[#This Row],[Rating]]&gt;3.5,"Average","Poor")))</f>
        <v>Good</v>
      </c>
    </row>
    <row r="588" spans="1:13" x14ac:dyDescent="0.35">
      <c r="A588" t="s">
        <v>343</v>
      </c>
      <c r="B588" s="9">
        <v>1</v>
      </c>
      <c r="C588" t="s">
        <v>397</v>
      </c>
      <c r="D588" t="s">
        <v>14</v>
      </c>
      <c r="E588" t="s">
        <v>15</v>
      </c>
      <c r="F588">
        <v>4.3</v>
      </c>
      <c r="G588">
        <v>10999</v>
      </c>
      <c r="H588">
        <v>14990</v>
      </c>
      <c r="I588">
        <f>FlipkartTable[[#This Row],[Original Price]]-FlipkartTable[[#This Row],[Selling Price]]</f>
        <v>3991</v>
      </c>
      <c r="J588" s="4">
        <f>(FlipkartTable[[#This Row],[Original Price]]-FlipkartTable[[#This Row],[Selling Price]])/FlipkartTable[[#This Row],[Original Price]]</f>
        <v>0.26624416277518348</v>
      </c>
      <c r="K588">
        <f>(FlipkartTable[[#This Row],[Rating]]/FlipkartTable[[#This Row],[Selling Price]])*1000</f>
        <v>0.39094463133012086</v>
      </c>
      <c r="L588" t="str">
        <f>IF(FlipkartTable[[#This Row],[Selling Price]]&lt;15000,"Budget",IF(FlipkartTable[[#This Row],[Selling Price]]&lt;50000,"Mid Range","Premium"))</f>
        <v>Budget</v>
      </c>
      <c r="M588" t="str">
        <f>IF(FlipkartTable[[#This Row],[Rating]]&gt;4.5,"Excellent",IF(FlipkartTable[[#This Row],[Rating]]&gt;4,"Good",IF(FlipkartTable[[#This Row],[Rating]]&gt;3.5,"Average","Poor")))</f>
        <v>Good</v>
      </c>
    </row>
    <row r="589" spans="1:13" x14ac:dyDescent="0.35">
      <c r="A589" t="s">
        <v>343</v>
      </c>
      <c r="B589" s="9">
        <v>3</v>
      </c>
      <c r="C589" t="s">
        <v>147</v>
      </c>
      <c r="D589" t="s">
        <v>20</v>
      </c>
      <c r="E589" t="s">
        <v>21</v>
      </c>
      <c r="F589">
        <v>4.5</v>
      </c>
      <c r="G589">
        <v>8499</v>
      </c>
      <c r="H589">
        <v>10999</v>
      </c>
      <c r="I589">
        <f>FlipkartTable[[#This Row],[Original Price]]-FlipkartTable[[#This Row],[Selling Price]]</f>
        <v>2500</v>
      </c>
      <c r="J589" s="4">
        <f>(FlipkartTable[[#This Row],[Original Price]]-FlipkartTable[[#This Row],[Selling Price]])/FlipkartTable[[#This Row],[Original Price]]</f>
        <v>0.22729339030820983</v>
      </c>
      <c r="K589">
        <f>(FlipkartTable[[#This Row],[Rating]]/FlipkartTable[[#This Row],[Selling Price]])*1000</f>
        <v>0.52947405577126716</v>
      </c>
      <c r="L589" t="str">
        <f>IF(FlipkartTable[[#This Row],[Selling Price]]&lt;15000,"Budget",IF(FlipkartTable[[#This Row],[Selling Price]]&lt;50000,"Mid Range","Premium"))</f>
        <v>Budget</v>
      </c>
      <c r="M589" t="str">
        <f>IF(FlipkartTable[[#This Row],[Rating]]&gt;4.5,"Excellent",IF(FlipkartTable[[#This Row],[Rating]]&gt;4,"Good",IF(FlipkartTable[[#This Row],[Rating]]&gt;3.5,"Average","Poor")))</f>
        <v>Good</v>
      </c>
    </row>
    <row r="590" spans="1:13" x14ac:dyDescent="0.35">
      <c r="A590" t="s">
        <v>343</v>
      </c>
      <c r="B590" s="9" t="s">
        <v>400</v>
      </c>
      <c r="C590" t="s">
        <v>403</v>
      </c>
      <c r="D590" t="s">
        <v>11</v>
      </c>
      <c r="E590" t="s">
        <v>12</v>
      </c>
      <c r="F590">
        <v>4.4000000000000004</v>
      </c>
      <c r="G590">
        <v>12999</v>
      </c>
      <c r="H590">
        <v>14999</v>
      </c>
      <c r="I590">
        <f>FlipkartTable[[#This Row],[Original Price]]-FlipkartTable[[#This Row],[Selling Price]]</f>
        <v>2000</v>
      </c>
      <c r="J590" s="4">
        <f>(FlipkartTable[[#This Row],[Original Price]]-FlipkartTable[[#This Row],[Selling Price]])/FlipkartTable[[#This Row],[Original Price]]</f>
        <v>0.13334222281485433</v>
      </c>
      <c r="K590">
        <f>(FlipkartTable[[#This Row],[Rating]]/FlipkartTable[[#This Row],[Selling Price]])*1000</f>
        <v>0.33848757596738216</v>
      </c>
      <c r="L590" t="str">
        <f>IF(FlipkartTable[[#This Row],[Selling Price]]&lt;15000,"Budget",IF(FlipkartTable[[#This Row],[Selling Price]]&lt;50000,"Mid Range","Premium"))</f>
        <v>Budget</v>
      </c>
      <c r="M590" t="str">
        <f>IF(FlipkartTable[[#This Row],[Rating]]&gt;4.5,"Excellent",IF(FlipkartTable[[#This Row],[Rating]]&gt;4,"Good",IF(FlipkartTable[[#This Row],[Rating]]&gt;3.5,"Average","Poor")))</f>
        <v>Good</v>
      </c>
    </row>
    <row r="591" spans="1:13" x14ac:dyDescent="0.35">
      <c r="A591" t="s">
        <v>343</v>
      </c>
      <c r="B591" s="9" t="s">
        <v>404</v>
      </c>
      <c r="C591" t="s">
        <v>405</v>
      </c>
      <c r="D591" t="s">
        <v>11</v>
      </c>
      <c r="E591" t="s">
        <v>12</v>
      </c>
      <c r="F591">
        <v>4.5</v>
      </c>
      <c r="G591">
        <v>17999</v>
      </c>
      <c r="H591">
        <v>17999</v>
      </c>
      <c r="I591">
        <f>FlipkartTable[[#This Row],[Original Price]]-FlipkartTable[[#This Row],[Selling Price]]</f>
        <v>0</v>
      </c>
      <c r="J591" s="4">
        <f>(FlipkartTable[[#This Row],[Original Price]]-FlipkartTable[[#This Row],[Selling Price]])/FlipkartTable[[#This Row],[Original Price]]</f>
        <v>0</v>
      </c>
      <c r="K591">
        <f>(FlipkartTable[[#This Row],[Rating]]/FlipkartTable[[#This Row],[Selling Price]])*1000</f>
        <v>0.25001388966053667</v>
      </c>
      <c r="L591" t="str">
        <f>IF(FlipkartTable[[#This Row],[Selling Price]]&lt;15000,"Budget",IF(FlipkartTable[[#This Row],[Selling Price]]&lt;50000,"Mid Range","Premium"))</f>
        <v>Mid Range</v>
      </c>
      <c r="M591" t="str">
        <f>IF(FlipkartTable[[#This Row],[Rating]]&gt;4.5,"Excellent",IF(FlipkartTable[[#This Row],[Rating]]&gt;4,"Good",IF(FlipkartTable[[#This Row],[Rating]]&gt;3.5,"Average","Poor")))</f>
        <v>Good</v>
      </c>
    </row>
    <row r="592" spans="1:13" x14ac:dyDescent="0.35">
      <c r="A592" t="s">
        <v>343</v>
      </c>
      <c r="B592" s="9" t="s">
        <v>407</v>
      </c>
      <c r="C592" t="s">
        <v>340</v>
      </c>
      <c r="D592" t="s">
        <v>11</v>
      </c>
      <c r="E592" t="s">
        <v>12</v>
      </c>
      <c r="F592">
        <v>4.5</v>
      </c>
      <c r="G592">
        <v>10999</v>
      </c>
      <c r="H592">
        <v>10999</v>
      </c>
      <c r="I592">
        <f>FlipkartTable[[#This Row],[Original Price]]-FlipkartTable[[#This Row],[Selling Price]]</f>
        <v>0</v>
      </c>
      <c r="J592" s="4">
        <f>(FlipkartTable[[#This Row],[Original Price]]-FlipkartTable[[#This Row],[Selling Price]])/FlipkartTable[[#This Row],[Original Price]]</f>
        <v>0</v>
      </c>
      <c r="K592">
        <f>(FlipkartTable[[#This Row],[Rating]]/FlipkartTable[[#This Row],[Selling Price]])*1000</f>
        <v>0.40912810255477766</v>
      </c>
      <c r="L592" t="str">
        <f>IF(FlipkartTable[[#This Row],[Selling Price]]&lt;15000,"Budget",IF(FlipkartTable[[#This Row],[Selling Price]]&lt;50000,"Mid Range","Premium"))</f>
        <v>Budget</v>
      </c>
      <c r="M592" t="str">
        <f>IF(FlipkartTable[[#This Row],[Rating]]&gt;4.5,"Excellent",IF(FlipkartTable[[#This Row],[Rating]]&gt;4,"Good",IF(FlipkartTable[[#This Row],[Rating]]&gt;3.5,"Average","Poor")))</f>
        <v>Good</v>
      </c>
    </row>
    <row r="593" spans="1:13" x14ac:dyDescent="0.35">
      <c r="A593" t="s">
        <v>343</v>
      </c>
      <c r="B593" s="9">
        <v>1</v>
      </c>
      <c r="C593" t="s">
        <v>19</v>
      </c>
      <c r="D593" t="s">
        <v>11</v>
      </c>
      <c r="E593" t="s">
        <v>12</v>
      </c>
      <c r="F593">
        <v>4.4000000000000004</v>
      </c>
      <c r="G593">
        <v>10990</v>
      </c>
      <c r="H593">
        <v>14990</v>
      </c>
      <c r="I593">
        <f>FlipkartTable[[#This Row],[Original Price]]-FlipkartTable[[#This Row],[Selling Price]]</f>
        <v>4000</v>
      </c>
      <c r="J593" s="4">
        <f>(FlipkartTable[[#This Row],[Original Price]]-FlipkartTable[[#This Row],[Selling Price]])/FlipkartTable[[#This Row],[Original Price]]</f>
        <v>0.26684456304202803</v>
      </c>
      <c r="K593">
        <f>(FlipkartTable[[#This Row],[Rating]]/FlipkartTable[[#This Row],[Selling Price]])*1000</f>
        <v>0.40036396724294815</v>
      </c>
      <c r="L593" t="str">
        <f>IF(FlipkartTable[[#This Row],[Selling Price]]&lt;15000,"Budget",IF(FlipkartTable[[#This Row],[Selling Price]]&lt;50000,"Mid Range","Premium"))</f>
        <v>Budget</v>
      </c>
      <c r="M593" t="str">
        <f>IF(FlipkartTable[[#This Row],[Rating]]&gt;4.5,"Excellent",IF(FlipkartTable[[#This Row],[Rating]]&gt;4,"Good",IF(FlipkartTable[[#This Row],[Rating]]&gt;3.5,"Average","Poor")))</f>
        <v>Good</v>
      </c>
    </row>
    <row r="594" spans="1:13" x14ac:dyDescent="0.35">
      <c r="A594" t="s">
        <v>343</v>
      </c>
      <c r="B594" s="9">
        <v>1</v>
      </c>
      <c r="C594" t="s">
        <v>406</v>
      </c>
      <c r="D594" t="s">
        <v>14</v>
      </c>
      <c r="E594" t="s">
        <v>15</v>
      </c>
      <c r="F594">
        <v>4.3</v>
      </c>
      <c r="G594">
        <v>10990</v>
      </c>
      <c r="H594">
        <v>14990</v>
      </c>
      <c r="I594">
        <f>FlipkartTable[[#This Row],[Original Price]]-FlipkartTable[[#This Row],[Selling Price]]</f>
        <v>4000</v>
      </c>
      <c r="J594" s="4">
        <f>(FlipkartTable[[#This Row],[Original Price]]-FlipkartTable[[#This Row],[Selling Price]])/FlipkartTable[[#This Row],[Original Price]]</f>
        <v>0.26684456304202803</v>
      </c>
      <c r="K594">
        <f>(FlipkartTable[[#This Row],[Rating]]/FlipkartTable[[#This Row],[Selling Price]])*1000</f>
        <v>0.39126478616924476</v>
      </c>
      <c r="L594" t="str">
        <f>IF(FlipkartTable[[#This Row],[Selling Price]]&lt;15000,"Budget",IF(FlipkartTable[[#This Row],[Selling Price]]&lt;50000,"Mid Range","Premium"))</f>
        <v>Budget</v>
      </c>
      <c r="M594" t="str">
        <f>IF(FlipkartTable[[#This Row],[Rating]]&gt;4.5,"Excellent",IF(FlipkartTable[[#This Row],[Rating]]&gt;4,"Good",IF(FlipkartTable[[#This Row],[Rating]]&gt;3.5,"Average","Poor")))</f>
        <v>Good</v>
      </c>
    </row>
    <row r="595" spans="1:13" x14ac:dyDescent="0.35">
      <c r="A595" t="s">
        <v>343</v>
      </c>
      <c r="B595" s="9" t="s">
        <v>408</v>
      </c>
      <c r="C595" t="s">
        <v>177</v>
      </c>
      <c r="D595" t="s">
        <v>11</v>
      </c>
      <c r="E595" t="s">
        <v>15</v>
      </c>
      <c r="F595">
        <v>4.5</v>
      </c>
      <c r="G595">
        <v>17999</v>
      </c>
      <c r="H595">
        <v>17999</v>
      </c>
      <c r="I595">
        <f>FlipkartTable[[#This Row],[Original Price]]-FlipkartTable[[#This Row],[Selling Price]]</f>
        <v>0</v>
      </c>
      <c r="J595" s="4">
        <f>(FlipkartTable[[#This Row],[Original Price]]-FlipkartTable[[#This Row],[Selling Price]])/FlipkartTable[[#This Row],[Original Price]]</f>
        <v>0</v>
      </c>
      <c r="K595">
        <f>(FlipkartTable[[#This Row],[Rating]]/FlipkartTable[[#This Row],[Selling Price]])*1000</f>
        <v>0.25001388966053667</v>
      </c>
      <c r="L595" t="str">
        <f>IF(FlipkartTable[[#This Row],[Selling Price]]&lt;15000,"Budget",IF(FlipkartTable[[#This Row],[Selling Price]]&lt;50000,"Mid Range","Premium"))</f>
        <v>Mid Range</v>
      </c>
      <c r="M595" t="str">
        <f>IF(FlipkartTable[[#This Row],[Rating]]&gt;4.5,"Excellent",IF(FlipkartTable[[#This Row],[Rating]]&gt;4,"Good",IF(FlipkartTable[[#This Row],[Rating]]&gt;3.5,"Average","Poor")))</f>
        <v>Good</v>
      </c>
    </row>
    <row r="596" spans="1:13" x14ac:dyDescent="0.35">
      <c r="A596" t="s">
        <v>343</v>
      </c>
      <c r="B596" s="9" t="s">
        <v>409</v>
      </c>
      <c r="C596" t="s">
        <v>410</v>
      </c>
      <c r="D596" t="s">
        <v>35</v>
      </c>
      <c r="E596" t="s">
        <v>21</v>
      </c>
      <c r="F596">
        <v>4.3</v>
      </c>
      <c r="G596">
        <v>7499</v>
      </c>
      <c r="H596">
        <v>7999</v>
      </c>
      <c r="I596">
        <f>FlipkartTable[[#This Row],[Original Price]]-FlipkartTable[[#This Row],[Selling Price]]</f>
        <v>500</v>
      </c>
      <c r="J596" s="4">
        <f>(FlipkartTable[[#This Row],[Original Price]]-FlipkartTable[[#This Row],[Selling Price]])/FlipkartTable[[#This Row],[Original Price]]</f>
        <v>6.250781347668459E-2</v>
      </c>
      <c r="K596">
        <f>(FlipkartTable[[#This Row],[Rating]]/FlipkartTable[[#This Row],[Selling Price]])*1000</f>
        <v>0.57340978797172948</v>
      </c>
      <c r="L596" t="str">
        <f>IF(FlipkartTable[[#This Row],[Selling Price]]&lt;15000,"Budget",IF(FlipkartTable[[#This Row],[Selling Price]]&lt;50000,"Mid Range","Premium"))</f>
        <v>Budget</v>
      </c>
      <c r="M596" t="str">
        <f>IF(FlipkartTable[[#This Row],[Rating]]&gt;4.5,"Excellent",IF(FlipkartTable[[#This Row],[Rating]]&gt;4,"Good",IF(FlipkartTable[[#This Row],[Rating]]&gt;3.5,"Average","Poor")))</f>
        <v>Good</v>
      </c>
    </row>
    <row r="597" spans="1:13" x14ac:dyDescent="0.35">
      <c r="A597" t="s">
        <v>343</v>
      </c>
      <c r="B597" s="9" t="s">
        <v>409</v>
      </c>
      <c r="C597" t="s">
        <v>411</v>
      </c>
      <c r="D597" t="s">
        <v>35</v>
      </c>
      <c r="E597" t="s">
        <v>21</v>
      </c>
      <c r="F597">
        <v>4.3</v>
      </c>
      <c r="G597">
        <v>7499</v>
      </c>
      <c r="H597">
        <v>7999</v>
      </c>
      <c r="I597">
        <f>FlipkartTable[[#This Row],[Original Price]]-FlipkartTable[[#This Row],[Selling Price]]</f>
        <v>500</v>
      </c>
      <c r="J597" s="4">
        <f>(FlipkartTable[[#This Row],[Original Price]]-FlipkartTable[[#This Row],[Selling Price]])/FlipkartTable[[#This Row],[Original Price]]</f>
        <v>6.250781347668459E-2</v>
      </c>
      <c r="K597">
        <f>(FlipkartTable[[#This Row],[Rating]]/FlipkartTable[[#This Row],[Selling Price]])*1000</f>
        <v>0.57340978797172948</v>
      </c>
      <c r="L597" t="str">
        <f>IF(FlipkartTable[[#This Row],[Selling Price]]&lt;15000,"Budget",IF(FlipkartTable[[#This Row],[Selling Price]]&lt;50000,"Mid Range","Premium"))</f>
        <v>Budget</v>
      </c>
      <c r="M597" t="str">
        <f>IF(FlipkartTable[[#This Row],[Rating]]&gt;4.5,"Excellent",IF(FlipkartTable[[#This Row],[Rating]]&gt;4,"Good",IF(FlipkartTable[[#This Row],[Rating]]&gt;3.5,"Average","Poor")))</f>
        <v>Good</v>
      </c>
    </row>
    <row r="598" spans="1:13" x14ac:dyDescent="0.35">
      <c r="A598" t="s">
        <v>343</v>
      </c>
      <c r="B598" s="9" t="s">
        <v>412</v>
      </c>
      <c r="C598" t="s">
        <v>413</v>
      </c>
      <c r="D598" t="s">
        <v>11</v>
      </c>
      <c r="E598" t="s">
        <v>15</v>
      </c>
      <c r="F598">
        <v>4.3</v>
      </c>
      <c r="G598">
        <v>12499</v>
      </c>
      <c r="H598">
        <v>13999</v>
      </c>
      <c r="I598">
        <f>FlipkartTable[[#This Row],[Original Price]]-FlipkartTable[[#This Row],[Selling Price]]</f>
        <v>1500</v>
      </c>
      <c r="J598" s="4">
        <f>(FlipkartTable[[#This Row],[Original Price]]-FlipkartTable[[#This Row],[Selling Price]])/FlipkartTable[[#This Row],[Original Price]]</f>
        <v>0.10715051075076791</v>
      </c>
      <c r="K598">
        <f>(FlipkartTable[[#This Row],[Rating]]/FlipkartTable[[#This Row],[Selling Price]])*1000</f>
        <v>0.34402752220177613</v>
      </c>
      <c r="L598" t="str">
        <f>IF(FlipkartTable[[#This Row],[Selling Price]]&lt;15000,"Budget",IF(FlipkartTable[[#This Row],[Selling Price]]&lt;50000,"Mid Range","Premium"))</f>
        <v>Budget</v>
      </c>
      <c r="M598" t="str">
        <f>IF(FlipkartTable[[#This Row],[Rating]]&gt;4.5,"Excellent",IF(FlipkartTable[[#This Row],[Rating]]&gt;4,"Good",IF(FlipkartTable[[#This Row],[Rating]]&gt;3.5,"Average","Poor")))</f>
        <v>Good</v>
      </c>
    </row>
    <row r="599" spans="1:13" x14ac:dyDescent="0.35">
      <c r="A599" t="s">
        <v>343</v>
      </c>
      <c r="B599" s="9" t="s">
        <v>412</v>
      </c>
      <c r="C599" t="s">
        <v>414</v>
      </c>
      <c r="D599" t="s">
        <v>11</v>
      </c>
      <c r="E599" t="s">
        <v>12</v>
      </c>
      <c r="F599">
        <v>4.3</v>
      </c>
      <c r="G599">
        <v>11499</v>
      </c>
      <c r="H599">
        <v>12999</v>
      </c>
      <c r="I599">
        <f>FlipkartTable[[#This Row],[Original Price]]-FlipkartTable[[#This Row],[Selling Price]]</f>
        <v>1500</v>
      </c>
      <c r="J599" s="4">
        <f>(FlipkartTable[[#This Row],[Original Price]]-FlipkartTable[[#This Row],[Selling Price]])/FlipkartTable[[#This Row],[Original Price]]</f>
        <v>0.11539349180706208</v>
      </c>
      <c r="K599">
        <f>(FlipkartTable[[#This Row],[Rating]]/FlipkartTable[[#This Row],[Selling Price]])*1000</f>
        <v>0.37394556048352029</v>
      </c>
      <c r="L599" t="str">
        <f>IF(FlipkartTable[[#This Row],[Selling Price]]&lt;15000,"Budget",IF(FlipkartTable[[#This Row],[Selling Price]]&lt;50000,"Mid Range","Premium"))</f>
        <v>Budget</v>
      </c>
      <c r="M599" t="str">
        <f>IF(FlipkartTable[[#This Row],[Rating]]&gt;4.5,"Excellent",IF(FlipkartTable[[#This Row],[Rating]]&gt;4,"Good",IF(FlipkartTable[[#This Row],[Rating]]&gt;3.5,"Average","Poor")))</f>
        <v>Good</v>
      </c>
    </row>
    <row r="600" spans="1:13" x14ac:dyDescent="0.35">
      <c r="A600" t="s">
        <v>343</v>
      </c>
      <c r="B600" s="9" t="s">
        <v>412</v>
      </c>
      <c r="C600" t="s">
        <v>413</v>
      </c>
      <c r="D600" t="s">
        <v>11</v>
      </c>
      <c r="E600" t="s">
        <v>12</v>
      </c>
      <c r="F600">
        <v>4.3</v>
      </c>
      <c r="G600">
        <v>11499</v>
      </c>
      <c r="H600">
        <v>12999</v>
      </c>
      <c r="I600">
        <f>FlipkartTable[[#This Row],[Original Price]]-FlipkartTable[[#This Row],[Selling Price]]</f>
        <v>1500</v>
      </c>
      <c r="J600" s="4">
        <f>(FlipkartTable[[#This Row],[Original Price]]-FlipkartTable[[#This Row],[Selling Price]])/FlipkartTable[[#This Row],[Original Price]]</f>
        <v>0.11539349180706208</v>
      </c>
      <c r="K600">
        <f>(FlipkartTable[[#This Row],[Rating]]/FlipkartTable[[#This Row],[Selling Price]])*1000</f>
        <v>0.37394556048352029</v>
      </c>
      <c r="L600" t="str">
        <f>IF(FlipkartTable[[#This Row],[Selling Price]]&lt;15000,"Budget",IF(FlipkartTable[[#This Row],[Selling Price]]&lt;50000,"Mid Range","Premium"))</f>
        <v>Budget</v>
      </c>
      <c r="M600" t="str">
        <f>IF(FlipkartTable[[#This Row],[Rating]]&gt;4.5,"Excellent",IF(FlipkartTable[[#This Row],[Rating]]&gt;4,"Good",IF(FlipkartTable[[#This Row],[Rating]]&gt;3.5,"Average","Poor")))</f>
        <v>Good</v>
      </c>
    </row>
    <row r="601" spans="1:13" x14ac:dyDescent="0.35">
      <c r="A601" t="s">
        <v>343</v>
      </c>
      <c r="B601" s="9">
        <v>2</v>
      </c>
      <c r="C601" t="s">
        <v>397</v>
      </c>
      <c r="D601" t="s">
        <v>20</v>
      </c>
      <c r="E601" t="s">
        <v>21</v>
      </c>
      <c r="F601">
        <v>4.5</v>
      </c>
      <c r="G601">
        <v>9990</v>
      </c>
      <c r="H601">
        <v>9990</v>
      </c>
      <c r="I601">
        <f>FlipkartTable[[#This Row],[Original Price]]-FlipkartTable[[#This Row],[Selling Price]]</f>
        <v>0</v>
      </c>
      <c r="J601" s="4">
        <f>(FlipkartTable[[#This Row],[Original Price]]-FlipkartTable[[#This Row],[Selling Price]])/FlipkartTable[[#This Row],[Original Price]]</f>
        <v>0</v>
      </c>
      <c r="K601">
        <f>(FlipkartTable[[#This Row],[Rating]]/FlipkartTable[[#This Row],[Selling Price]])*1000</f>
        <v>0.45045045045045046</v>
      </c>
      <c r="L601" t="str">
        <f>IF(FlipkartTable[[#This Row],[Selling Price]]&lt;15000,"Budget",IF(FlipkartTable[[#This Row],[Selling Price]]&lt;50000,"Mid Range","Premium"))</f>
        <v>Budget</v>
      </c>
      <c r="M601" t="str">
        <f>IF(FlipkartTable[[#This Row],[Rating]]&gt;4.5,"Excellent",IF(FlipkartTable[[#This Row],[Rating]]&gt;4,"Good",IF(FlipkartTable[[#This Row],[Rating]]&gt;3.5,"Average","Poor")))</f>
        <v>Good</v>
      </c>
    </row>
    <row r="602" spans="1:13" x14ac:dyDescent="0.35">
      <c r="A602" t="s">
        <v>343</v>
      </c>
      <c r="B602" s="9">
        <v>2</v>
      </c>
      <c r="C602" t="s">
        <v>147</v>
      </c>
      <c r="D602" t="s">
        <v>20</v>
      </c>
      <c r="E602" t="s">
        <v>21</v>
      </c>
      <c r="F602">
        <v>4.5</v>
      </c>
      <c r="G602">
        <v>9990</v>
      </c>
      <c r="H602">
        <v>9990</v>
      </c>
      <c r="I602">
        <f>FlipkartTable[[#This Row],[Original Price]]-FlipkartTable[[#This Row],[Selling Price]]</f>
        <v>0</v>
      </c>
      <c r="J602" s="4">
        <f>(FlipkartTable[[#This Row],[Original Price]]-FlipkartTable[[#This Row],[Selling Price]])/FlipkartTable[[#This Row],[Original Price]]</f>
        <v>0</v>
      </c>
      <c r="K602">
        <f>(FlipkartTable[[#This Row],[Rating]]/FlipkartTable[[#This Row],[Selling Price]])*1000</f>
        <v>0.45045045045045046</v>
      </c>
      <c r="L602" t="str">
        <f>IF(FlipkartTable[[#This Row],[Selling Price]]&lt;15000,"Budget",IF(FlipkartTable[[#This Row],[Selling Price]]&lt;50000,"Mid Range","Premium"))</f>
        <v>Budget</v>
      </c>
      <c r="M602" t="str">
        <f>IF(FlipkartTable[[#This Row],[Rating]]&gt;4.5,"Excellent",IF(FlipkartTable[[#This Row],[Rating]]&gt;4,"Good",IF(FlipkartTable[[#This Row],[Rating]]&gt;3.5,"Average","Poor")))</f>
        <v>Good</v>
      </c>
    </row>
    <row r="603" spans="1:13" x14ac:dyDescent="0.35">
      <c r="A603" t="s">
        <v>343</v>
      </c>
      <c r="B603" s="9" t="s">
        <v>404</v>
      </c>
      <c r="C603" t="s">
        <v>415</v>
      </c>
      <c r="D603" t="s">
        <v>27</v>
      </c>
      <c r="E603" t="s">
        <v>15</v>
      </c>
      <c r="F603">
        <v>4.5</v>
      </c>
      <c r="G603">
        <v>20999</v>
      </c>
      <c r="H603">
        <v>20999</v>
      </c>
      <c r="I603">
        <f>FlipkartTable[[#This Row],[Original Price]]-FlipkartTable[[#This Row],[Selling Price]]</f>
        <v>0</v>
      </c>
      <c r="J603" s="4">
        <f>(FlipkartTable[[#This Row],[Original Price]]-FlipkartTable[[#This Row],[Selling Price]])/FlipkartTable[[#This Row],[Original Price]]</f>
        <v>0</v>
      </c>
      <c r="K603">
        <f>(FlipkartTable[[#This Row],[Rating]]/FlipkartTable[[#This Row],[Selling Price]])*1000</f>
        <v>0.21429591885327873</v>
      </c>
      <c r="L603" t="str">
        <f>IF(FlipkartTable[[#This Row],[Selling Price]]&lt;15000,"Budget",IF(FlipkartTable[[#This Row],[Selling Price]]&lt;50000,"Mid Range","Premium"))</f>
        <v>Mid Range</v>
      </c>
      <c r="M603" t="str">
        <f>IF(FlipkartTable[[#This Row],[Rating]]&gt;4.5,"Excellent",IF(FlipkartTable[[#This Row],[Rating]]&gt;4,"Good",IF(FlipkartTable[[#This Row],[Rating]]&gt;3.5,"Average","Poor")))</f>
        <v>Good</v>
      </c>
    </row>
    <row r="604" spans="1:13" x14ac:dyDescent="0.35">
      <c r="A604" t="s">
        <v>343</v>
      </c>
      <c r="B604" s="9" t="s">
        <v>408</v>
      </c>
      <c r="C604" t="s">
        <v>177</v>
      </c>
      <c r="D604" t="s">
        <v>27</v>
      </c>
      <c r="E604" t="s">
        <v>15</v>
      </c>
      <c r="F604">
        <v>4.5</v>
      </c>
      <c r="G604">
        <v>20999</v>
      </c>
      <c r="H604">
        <v>20999</v>
      </c>
      <c r="I604">
        <f>FlipkartTable[[#This Row],[Original Price]]-FlipkartTable[[#This Row],[Selling Price]]</f>
        <v>0</v>
      </c>
      <c r="J604" s="4">
        <f>(FlipkartTable[[#This Row],[Original Price]]-FlipkartTable[[#This Row],[Selling Price]])/FlipkartTable[[#This Row],[Original Price]]</f>
        <v>0</v>
      </c>
      <c r="K604">
        <f>(FlipkartTable[[#This Row],[Rating]]/FlipkartTable[[#This Row],[Selling Price]])*1000</f>
        <v>0.21429591885327873</v>
      </c>
      <c r="L604" t="str">
        <f>IF(FlipkartTable[[#This Row],[Selling Price]]&lt;15000,"Budget",IF(FlipkartTable[[#This Row],[Selling Price]]&lt;50000,"Mid Range","Premium"))</f>
        <v>Mid Range</v>
      </c>
      <c r="M604" t="str">
        <f>IF(FlipkartTable[[#This Row],[Rating]]&gt;4.5,"Excellent",IF(FlipkartTable[[#This Row],[Rating]]&gt;4,"Good",IF(FlipkartTable[[#This Row],[Rating]]&gt;3.5,"Average","Poor")))</f>
        <v>Good</v>
      </c>
    </row>
    <row r="605" spans="1:13" x14ac:dyDescent="0.35">
      <c r="A605" t="s">
        <v>343</v>
      </c>
      <c r="B605" s="9" t="s">
        <v>412</v>
      </c>
      <c r="C605" t="s">
        <v>414</v>
      </c>
      <c r="D605" t="s">
        <v>11</v>
      </c>
      <c r="E605" t="s">
        <v>15</v>
      </c>
      <c r="F605">
        <v>4.3</v>
      </c>
      <c r="G605">
        <v>12499</v>
      </c>
      <c r="H605">
        <v>13999</v>
      </c>
      <c r="I605">
        <f>FlipkartTable[[#This Row],[Original Price]]-FlipkartTable[[#This Row],[Selling Price]]</f>
        <v>1500</v>
      </c>
      <c r="J605" s="4">
        <f>(FlipkartTable[[#This Row],[Original Price]]-FlipkartTable[[#This Row],[Selling Price]])/FlipkartTable[[#This Row],[Original Price]]</f>
        <v>0.10715051075076791</v>
      </c>
      <c r="K605">
        <f>(FlipkartTable[[#This Row],[Rating]]/FlipkartTable[[#This Row],[Selling Price]])*1000</f>
        <v>0.34402752220177613</v>
      </c>
      <c r="L605" t="str">
        <f>IF(FlipkartTable[[#This Row],[Selling Price]]&lt;15000,"Budget",IF(FlipkartTable[[#This Row],[Selling Price]]&lt;50000,"Mid Range","Premium"))</f>
        <v>Budget</v>
      </c>
      <c r="M605" t="str">
        <f>IF(FlipkartTable[[#This Row],[Rating]]&gt;4.5,"Excellent",IF(FlipkartTable[[#This Row],[Rating]]&gt;4,"Good",IF(FlipkartTable[[#This Row],[Rating]]&gt;3.5,"Average","Poor")))</f>
        <v>Good</v>
      </c>
    </row>
    <row r="606" spans="1:13" x14ac:dyDescent="0.35">
      <c r="A606" t="s">
        <v>343</v>
      </c>
      <c r="B606" s="9" t="s">
        <v>365</v>
      </c>
      <c r="C606" t="s">
        <v>260</v>
      </c>
      <c r="D606" t="s">
        <v>11</v>
      </c>
      <c r="E606" t="s">
        <v>12</v>
      </c>
      <c r="F606">
        <v>4.3</v>
      </c>
      <c r="G606">
        <v>10499</v>
      </c>
      <c r="H606">
        <v>10999</v>
      </c>
      <c r="I606">
        <f>FlipkartTable[[#This Row],[Original Price]]-FlipkartTable[[#This Row],[Selling Price]]</f>
        <v>500</v>
      </c>
      <c r="J606" s="4">
        <f>(FlipkartTable[[#This Row],[Original Price]]-FlipkartTable[[#This Row],[Selling Price]])/FlipkartTable[[#This Row],[Original Price]]</f>
        <v>4.5458678061641965E-2</v>
      </c>
      <c r="K606">
        <f>(FlipkartTable[[#This Row],[Rating]]/FlipkartTable[[#This Row],[Selling Price]])*1000</f>
        <v>0.40956281550623869</v>
      </c>
      <c r="L606" t="str">
        <f>IF(FlipkartTable[[#This Row],[Selling Price]]&lt;15000,"Budget",IF(FlipkartTable[[#This Row],[Selling Price]]&lt;50000,"Mid Range","Premium"))</f>
        <v>Budget</v>
      </c>
      <c r="M606" t="str">
        <f>IF(FlipkartTable[[#This Row],[Rating]]&gt;4.5,"Excellent",IF(FlipkartTable[[#This Row],[Rating]]&gt;4,"Good",IF(FlipkartTable[[#This Row],[Rating]]&gt;3.5,"Average","Poor")))</f>
        <v>Good</v>
      </c>
    </row>
    <row r="607" spans="1:13" x14ac:dyDescent="0.35">
      <c r="A607" t="s">
        <v>343</v>
      </c>
      <c r="B607" s="9" t="s">
        <v>365</v>
      </c>
      <c r="C607" t="s">
        <v>366</v>
      </c>
      <c r="D607" t="s">
        <v>11</v>
      </c>
      <c r="E607" t="s">
        <v>12</v>
      </c>
      <c r="F607">
        <v>4.3</v>
      </c>
      <c r="G607">
        <v>10499</v>
      </c>
      <c r="H607">
        <v>10999</v>
      </c>
      <c r="I607">
        <f>FlipkartTable[[#This Row],[Original Price]]-FlipkartTable[[#This Row],[Selling Price]]</f>
        <v>500</v>
      </c>
      <c r="J607" s="4">
        <f>(FlipkartTable[[#This Row],[Original Price]]-FlipkartTable[[#This Row],[Selling Price]])/FlipkartTable[[#This Row],[Original Price]]</f>
        <v>4.5458678061641965E-2</v>
      </c>
      <c r="K607">
        <f>(FlipkartTable[[#This Row],[Rating]]/FlipkartTable[[#This Row],[Selling Price]])*1000</f>
        <v>0.40956281550623869</v>
      </c>
      <c r="L607" t="str">
        <f>IF(FlipkartTable[[#This Row],[Selling Price]]&lt;15000,"Budget",IF(FlipkartTable[[#This Row],[Selling Price]]&lt;50000,"Mid Range","Premium"))</f>
        <v>Budget</v>
      </c>
      <c r="M607" t="str">
        <f>IF(FlipkartTable[[#This Row],[Rating]]&gt;4.5,"Excellent",IF(FlipkartTable[[#This Row],[Rating]]&gt;4,"Good",IF(FlipkartTable[[#This Row],[Rating]]&gt;3.5,"Average","Poor")))</f>
        <v>Good</v>
      </c>
    </row>
    <row r="608" spans="1:13" x14ac:dyDescent="0.35">
      <c r="A608" t="s">
        <v>343</v>
      </c>
      <c r="B608" s="9" t="s">
        <v>365</v>
      </c>
      <c r="C608" t="s">
        <v>260</v>
      </c>
      <c r="D608" t="s">
        <v>20</v>
      </c>
      <c r="E608" t="s">
        <v>21</v>
      </c>
      <c r="F608">
        <v>4.3</v>
      </c>
      <c r="G608">
        <v>8999</v>
      </c>
      <c r="H608">
        <v>9999</v>
      </c>
      <c r="I608">
        <f>FlipkartTable[[#This Row],[Original Price]]-FlipkartTable[[#This Row],[Selling Price]]</f>
        <v>1000</v>
      </c>
      <c r="J608" s="4">
        <f>(FlipkartTable[[#This Row],[Original Price]]-FlipkartTable[[#This Row],[Selling Price]])/FlipkartTable[[#This Row],[Original Price]]</f>
        <v>0.1000100010001</v>
      </c>
      <c r="K608">
        <f>(FlipkartTable[[#This Row],[Rating]]/FlipkartTable[[#This Row],[Selling Price]])*1000</f>
        <v>0.47783087009667735</v>
      </c>
      <c r="L608" t="str">
        <f>IF(FlipkartTable[[#This Row],[Selling Price]]&lt;15000,"Budget",IF(FlipkartTable[[#This Row],[Selling Price]]&lt;50000,"Mid Range","Premium"))</f>
        <v>Budget</v>
      </c>
      <c r="M608" t="str">
        <f>IF(FlipkartTable[[#This Row],[Rating]]&gt;4.5,"Excellent",IF(FlipkartTable[[#This Row],[Rating]]&gt;4,"Good",IF(FlipkartTable[[#This Row],[Rating]]&gt;3.5,"Average","Poor")))</f>
        <v>Good</v>
      </c>
    </row>
    <row r="609" spans="1:13" x14ac:dyDescent="0.35">
      <c r="A609" t="s">
        <v>343</v>
      </c>
      <c r="B609" s="9" t="s">
        <v>372</v>
      </c>
      <c r="C609" t="s">
        <v>378</v>
      </c>
      <c r="D609" t="s">
        <v>11</v>
      </c>
      <c r="E609" t="s">
        <v>12</v>
      </c>
      <c r="F609">
        <v>4.4000000000000004</v>
      </c>
      <c r="G609">
        <v>10999</v>
      </c>
      <c r="H609">
        <v>12999</v>
      </c>
      <c r="I609">
        <f>FlipkartTable[[#This Row],[Original Price]]-FlipkartTable[[#This Row],[Selling Price]]</f>
        <v>2000</v>
      </c>
      <c r="J609" s="4">
        <f>(FlipkartTable[[#This Row],[Original Price]]-FlipkartTable[[#This Row],[Selling Price]])/FlipkartTable[[#This Row],[Original Price]]</f>
        <v>0.15385798907608278</v>
      </c>
      <c r="K609">
        <f>(FlipkartTable[[#This Row],[Rating]]/FlipkartTable[[#This Row],[Selling Price]])*1000</f>
        <v>0.40003636694244932</v>
      </c>
      <c r="L609" t="str">
        <f>IF(FlipkartTable[[#This Row],[Selling Price]]&lt;15000,"Budget",IF(FlipkartTable[[#This Row],[Selling Price]]&lt;50000,"Mid Range","Premium"))</f>
        <v>Budget</v>
      </c>
      <c r="M609" t="str">
        <f>IF(FlipkartTable[[#This Row],[Rating]]&gt;4.5,"Excellent",IF(FlipkartTable[[#This Row],[Rating]]&gt;4,"Good",IF(FlipkartTable[[#This Row],[Rating]]&gt;3.5,"Average","Poor")))</f>
        <v>Good</v>
      </c>
    </row>
    <row r="610" spans="1:13" x14ac:dyDescent="0.35">
      <c r="A610" t="s">
        <v>343</v>
      </c>
      <c r="B610" s="9" t="s">
        <v>372</v>
      </c>
      <c r="C610" t="s">
        <v>373</v>
      </c>
      <c r="D610" t="s">
        <v>11</v>
      </c>
      <c r="E610" t="s">
        <v>12</v>
      </c>
      <c r="F610">
        <v>4.4000000000000004</v>
      </c>
      <c r="G610">
        <v>10999</v>
      </c>
      <c r="H610">
        <v>12999</v>
      </c>
      <c r="I610">
        <f>FlipkartTable[[#This Row],[Original Price]]-FlipkartTable[[#This Row],[Selling Price]]</f>
        <v>2000</v>
      </c>
      <c r="J610" s="4">
        <f>(FlipkartTable[[#This Row],[Original Price]]-FlipkartTable[[#This Row],[Selling Price]])/FlipkartTable[[#This Row],[Original Price]]</f>
        <v>0.15385798907608278</v>
      </c>
      <c r="K610">
        <f>(FlipkartTable[[#This Row],[Rating]]/FlipkartTable[[#This Row],[Selling Price]])*1000</f>
        <v>0.40003636694244932</v>
      </c>
      <c r="L610" t="str">
        <f>IF(FlipkartTable[[#This Row],[Selling Price]]&lt;15000,"Budget",IF(FlipkartTable[[#This Row],[Selling Price]]&lt;50000,"Mid Range","Premium"))</f>
        <v>Budget</v>
      </c>
      <c r="M610" t="str">
        <f>IF(FlipkartTable[[#This Row],[Rating]]&gt;4.5,"Excellent",IF(FlipkartTable[[#This Row],[Rating]]&gt;4,"Good",IF(FlipkartTable[[#This Row],[Rating]]&gt;3.5,"Average","Poor")))</f>
        <v>Good</v>
      </c>
    </row>
    <row r="611" spans="1:13" x14ac:dyDescent="0.35">
      <c r="A611" t="s">
        <v>343</v>
      </c>
      <c r="B611" s="9" t="s">
        <v>370</v>
      </c>
      <c r="C611" t="s">
        <v>374</v>
      </c>
      <c r="D611" t="s">
        <v>14</v>
      </c>
      <c r="E611" t="s">
        <v>15</v>
      </c>
      <c r="F611">
        <v>4.3</v>
      </c>
      <c r="G611">
        <v>17999</v>
      </c>
      <c r="H611">
        <v>19999</v>
      </c>
      <c r="I611">
        <f>FlipkartTable[[#This Row],[Original Price]]-FlipkartTable[[#This Row],[Selling Price]]</f>
        <v>2000</v>
      </c>
      <c r="J611" s="4">
        <f>(FlipkartTable[[#This Row],[Original Price]]-FlipkartTable[[#This Row],[Selling Price]])/FlipkartTable[[#This Row],[Original Price]]</f>
        <v>0.10000500025001251</v>
      </c>
      <c r="K611">
        <f>(FlipkartTable[[#This Row],[Rating]]/FlipkartTable[[#This Row],[Selling Price]])*1000</f>
        <v>0.23890216123117949</v>
      </c>
      <c r="L611" t="str">
        <f>IF(FlipkartTable[[#This Row],[Selling Price]]&lt;15000,"Budget",IF(FlipkartTable[[#This Row],[Selling Price]]&lt;50000,"Mid Range","Premium"))</f>
        <v>Mid Range</v>
      </c>
      <c r="M611" t="str">
        <f>IF(FlipkartTable[[#This Row],[Rating]]&gt;4.5,"Excellent",IF(FlipkartTable[[#This Row],[Rating]]&gt;4,"Good",IF(FlipkartTable[[#This Row],[Rating]]&gt;3.5,"Average","Poor")))</f>
        <v>Good</v>
      </c>
    </row>
    <row r="612" spans="1:13" x14ac:dyDescent="0.35">
      <c r="A612" t="s">
        <v>343</v>
      </c>
      <c r="B612" s="9">
        <v>8</v>
      </c>
      <c r="C612" t="s">
        <v>375</v>
      </c>
      <c r="D612" t="s">
        <v>11</v>
      </c>
      <c r="E612" t="s">
        <v>15</v>
      </c>
      <c r="F612">
        <v>4.3</v>
      </c>
      <c r="G612">
        <v>15999</v>
      </c>
      <c r="H612">
        <v>16999</v>
      </c>
      <c r="I612">
        <f>FlipkartTable[[#This Row],[Original Price]]-FlipkartTable[[#This Row],[Selling Price]]</f>
        <v>1000</v>
      </c>
      <c r="J612" s="4">
        <f>(FlipkartTable[[#This Row],[Original Price]]-FlipkartTable[[#This Row],[Selling Price]])/FlipkartTable[[#This Row],[Original Price]]</f>
        <v>5.8826989822930761E-2</v>
      </c>
      <c r="K612">
        <f>(FlipkartTable[[#This Row],[Rating]]/FlipkartTable[[#This Row],[Selling Price]])*1000</f>
        <v>0.26876679792487029</v>
      </c>
      <c r="L612" t="str">
        <f>IF(FlipkartTable[[#This Row],[Selling Price]]&lt;15000,"Budget",IF(FlipkartTable[[#This Row],[Selling Price]]&lt;50000,"Mid Range","Premium"))</f>
        <v>Mid Range</v>
      </c>
      <c r="M612" t="str">
        <f>IF(FlipkartTable[[#This Row],[Rating]]&gt;4.5,"Excellent",IF(FlipkartTable[[#This Row],[Rating]]&gt;4,"Good",IF(FlipkartTable[[#This Row],[Rating]]&gt;3.5,"Average","Poor")))</f>
        <v>Good</v>
      </c>
    </row>
    <row r="613" spans="1:13" x14ac:dyDescent="0.35">
      <c r="A613" t="s">
        <v>343</v>
      </c>
      <c r="B613" s="9" t="s">
        <v>372</v>
      </c>
      <c r="C613" t="s">
        <v>378</v>
      </c>
      <c r="D613" t="s">
        <v>20</v>
      </c>
      <c r="E613" t="s">
        <v>21</v>
      </c>
      <c r="F613">
        <v>4.3</v>
      </c>
      <c r="G613">
        <v>9999</v>
      </c>
      <c r="H613">
        <v>11999</v>
      </c>
      <c r="I613">
        <f>FlipkartTable[[#This Row],[Original Price]]-FlipkartTable[[#This Row],[Selling Price]]</f>
        <v>2000</v>
      </c>
      <c r="J613" s="4">
        <f>(FlipkartTable[[#This Row],[Original Price]]-FlipkartTable[[#This Row],[Selling Price]])/FlipkartTable[[#This Row],[Original Price]]</f>
        <v>0.16668055671305942</v>
      </c>
      <c r="K613">
        <f>(FlipkartTable[[#This Row],[Rating]]/FlipkartTable[[#This Row],[Selling Price]])*1000</f>
        <v>0.43004300430043002</v>
      </c>
      <c r="L613" t="str">
        <f>IF(FlipkartTable[[#This Row],[Selling Price]]&lt;15000,"Budget",IF(FlipkartTable[[#This Row],[Selling Price]]&lt;50000,"Mid Range","Premium"))</f>
        <v>Budget</v>
      </c>
      <c r="M613" t="str">
        <f>IF(FlipkartTable[[#This Row],[Rating]]&gt;4.5,"Excellent",IF(FlipkartTable[[#This Row],[Rating]]&gt;4,"Good",IF(FlipkartTable[[#This Row],[Rating]]&gt;3.5,"Average","Poor")))</f>
        <v>Good</v>
      </c>
    </row>
    <row r="614" spans="1:13" x14ac:dyDescent="0.35">
      <c r="A614" t="s">
        <v>343</v>
      </c>
      <c r="B614" s="9" t="s">
        <v>370</v>
      </c>
      <c r="C614" t="s">
        <v>416</v>
      </c>
      <c r="D614" t="s">
        <v>27</v>
      </c>
      <c r="E614" t="s">
        <v>15</v>
      </c>
      <c r="F614">
        <v>4.4000000000000004</v>
      </c>
      <c r="G614">
        <v>19999</v>
      </c>
      <c r="H614">
        <v>21999</v>
      </c>
      <c r="I614">
        <f>FlipkartTable[[#This Row],[Original Price]]-FlipkartTable[[#This Row],[Selling Price]]</f>
        <v>2000</v>
      </c>
      <c r="J614" s="4">
        <f>(FlipkartTable[[#This Row],[Original Price]]-FlipkartTable[[#This Row],[Selling Price]])/FlipkartTable[[#This Row],[Original Price]]</f>
        <v>9.0913223328333112E-2</v>
      </c>
      <c r="K614">
        <f>(FlipkartTable[[#This Row],[Rating]]/FlipkartTable[[#This Row],[Selling Price]])*1000</f>
        <v>0.22001100055002751</v>
      </c>
      <c r="L614" t="str">
        <f>IF(FlipkartTable[[#This Row],[Selling Price]]&lt;15000,"Budget",IF(FlipkartTable[[#This Row],[Selling Price]]&lt;50000,"Mid Range","Premium"))</f>
        <v>Mid Range</v>
      </c>
      <c r="M614" t="str">
        <f>IF(FlipkartTable[[#This Row],[Rating]]&gt;4.5,"Excellent",IF(FlipkartTable[[#This Row],[Rating]]&gt;4,"Good",IF(FlipkartTable[[#This Row],[Rating]]&gt;3.5,"Average","Poor")))</f>
        <v>Good</v>
      </c>
    </row>
    <row r="615" spans="1:13" x14ac:dyDescent="0.35">
      <c r="A615" t="s">
        <v>343</v>
      </c>
      <c r="B615" s="9" t="s">
        <v>370</v>
      </c>
      <c r="C615" t="s">
        <v>416</v>
      </c>
      <c r="D615" t="s">
        <v>14</v>
      </c>
      <c r="E615" t="s">
        <v>15</v>
      </c>
      <c r="F615">
        <v>4.3</v>
      </c>
      <c r="G615">
        <v>17999</v>
      </c>
      <c r="H615">
        <v>19999</v>
      </c>
      <c r="I615">
        <f>FlipkartTable[[#This Row],[Original Price]]-FlipkartTable[[#This Row],[Selling Price]]</f>
        <v>2000</v>
      </c>
      <c r="J615" s="4">
        <f>(FlipkartTable[[#This Row],[Original Price]]-FlipkartTable[[#This Row],[Selling Price]])/FlipkartTable[[#This Row],[Original Price]]</f>
        <v>0.10000500025001251</v>
      </c>
      <c r="K615">
        <f>(FlipkartTable[[#This Row],[Rating]]/FlipkartTable[[#This Row],[Selling Price]])*1000</f>
        <v>0.23890216123117949</v>
      </c>
      <c r="L615" t="str">
        <f>IF(FlipkartTable[[#This Row],[Selling Price]]&lt;15000,"Budget",IF(FlipkartTable[[#This Row],[Selling Price]]&lt;50000,"Mid Range","Premium"))</f>
        <v>Mid Range</v>
      </c>
      <c r="M615" t="str">
        <f>IF(FlipkartTable[[#This Row],[Rating]]&gt;4.5,"Excellent",IF(FlipkartTable[[#This Row],[Rating]]&gt;4,"Good",IF(FlipkartTable[[#This Row],[Rating]]&gt;3.5,"Average","Poor")))</f>
        <v>Good</v>
      </c>
    </row>
    <row r="616" spans="1:13" x14ac:dyDescent="0.35">
      <c r="A616" t="s">
        <v>343</v>
      </c>
      <c r="B616" s="9" t="s">
        <v>432</v>
      </c>
      <c r="C616" t="s">
        <v>356</v>
      </c>
      <c r="D616" t="s">
        <v>11</v>
      </c>
      <c r="E616" t="s">
        <v>12</v>
      </c>
      <c r="F616">
        <v>4.4000000000000004</v>
      </c>
      <c r="G616">
        <v>9999</v>
      </c>
      <c r="H616">
        <v>10999</v>
      </c>
      <c r="I616">
        <f>FlipkartTable[[#This Row],[Original Price]]-FlipkartTable[[#This Row],[Selling Price]]</f>
        <v>1000</v>
      </c>
      <c r="J616" s="4">
        <f>(FlipkartTable[[#This Row],[Original Price]]-FlipkartTable[[#This Row],[Selling Price]])/FlipkartTable[[#This Row],[Original Price]]</f>
        <v>9.0917356123283929E-2</v>
      </c>
      <c r="K616">
        <f>(FlipkartTable[[#This Row],[Rating]]/FlipkartTable[[#This Row],[Selling Price]])*1000</f>
        <v>0.44004400440044006</v>
      </c>
      <c r="L616" t="str">
        <f>IF(FlipkartTable[[#This Row],[Selling Price]]&lt;15000,"Budget",IF(FlipkartTable[[#This Row],[Selling Price]]&lt;50000,"Mid Range","Premium"))</f>
        <v>Budget</v>
      </c>
      <c r="M616" t="str">
        <f>IF(FlipkartTable[[#This Row],[Rating]]&gt;4.5,"Excellent",IF(FlipkartTable[[#This Row],[Rating]]&gt;4,"Good",IF(FlipkartTable[[#This Row],[Rating]]&gt;3.5,"Average","Poor")))</f>
        <v>Good</v>
      </c>
    </row>
    <row r="617" spans="1:13" x14ac:dyDescent="0.35">
      <c r="A617" t="s">
        <v>343</v>
      </c>
      <c r="B617" s="9" t="s">
        <v>432</v>
      </c>
      <c r="C617" t="s">
        <v>357</v>
      </c>
      <c r="D617" t="s">
        <v>11</v>
      </c>
      <c r="E617" t="s">
        <v>12</v>
      </c>
      <c r="F617">
        <v>4.4000000000000004</v>
      </c>
      <c r="G617">
        <v>9999</v>
      </c>
      <c r="H617">
        <v>10999</v>
      </c>
      <c r="I617">
        <f>FlipkartTable[[#This Row],[Original Price]]-FlipkartTable[[#This Row],[Selling Price]]</f>
        <v>1000</v>
      </c>
      <c r="J617" s="4">
        <f>(FlipkartTable[[#This Row],[Original Price]]-FlipkartTable[[#This Row],[Selling Price]])/FlipkartTable[[#This Row],[Original Price]]</f>
        <v>9.0917356123283929E-2</v>
      </c>
      <c r="K617">
        <f>(FlipkartTable[[#This Row],[Rating]]/FlipkartTable[[#This Row],[Selling Price]])*1000</f>
        <v>0.44004400440044006</v>
      </c>
      <c r="L617" t="str">
        <f>IF(FlipkartTable[[#This Row],[Selling Price]]&lt;15000,"Budget",IF(FlipkartTable[[#This Row],[Selling Price]]&lt;50000,"Mid Range","Premium"))</f>
        <v>Budget</v>
      </c>
      <c r="M617" t="str">
        <f>IF(FlipkartTable[[#This Row],[Rating]]&gt;4.5,"Excellent",IF(FlipkartTable[[#This Row],[Rating]]&gt;4,"Good",IF(FlipkartTable[[#This Row],[Rating]]&gt;3.5,"Average","Poor")))</f>
        <v>Good</v>
      </c>
    </row>
    <row r="618" spans="1:13" x14ac:dyDescent="0.35">
      <c r="A618" t="s">
        <v>343</v>
      </c>
      <c r="B618" s="9" t="s">
        <v>388</v>
      </c>
      <c r="C618" t="s">
        <v>433</v>
      </c>
      <c r="D618" t="s">
        <v>11</v>
      </c>
      <c r="E618" t="s">
        <v>12</v>
      </c>
      <c r="F618">
        <v>4.4000000000000004</v>
      </c>
      <c r="G618">
        <v>9999</v>
      </c>
      <c r="H618">
        <v>9999</v>
      </c>
      <c r="I618">
        <f>FlipkartTable[[#This Row],[Original Price]]-FlipkartTable[[#This Row],[Selling Price]]</f>
        <v>0</v>
      </c>
      <c r="J618" s="4">
        <f>(FlipkartTable[[#This Row],[Original Price]]-FlipkartTable[[#This Row],[Selling Price]])/FlipkartTable[[#This Row],[Original Price]]</f>
        <v>0</v>
      </c>
      <c r="K618">
        <f>(FlipkartTable[[#This Row],[Rating]]/FlipkartTable[[#This Row],[Selling Price]])*1000</f>
        <v>0.44004400440044006</v>
      </c>
      <c r="L618" t="str">
        <f>IF(FlipkartTable[[#This Row],[Selling Price]]&lt;15000,"Budget",IF(FlipkartTable[[#This Row],[Selling Price]]&lt;50000,"Mid Range","Premium"))</f>
        <v>Budget</v>
      </c>
      <c r="M618" t="str">
        <f>IF(FlipkartTable[[#This Row],[Rating]]&gt;4.5,"Excellent",IF(FlipkartTable[[#This Row],[Rating]]&gt;4,"Good",IF(FlipkartTable[[#This Row],[Rating]]&gt;3.5,"Average","Poor")))</f>
        <v>Good</v>
      </c>
    </row>
    <row r="619" spans="1:13" x14ac:dyDescent="0.35">
      <c r="A619" t="s">
        <v>343</v>
      </c>
      <c r="B619" s="9" t="s">
        <v>388</v>
      </c>
      <c r="C619" t="s">
        <v>433</v>
      </c>
      <c r="D619" t="s">
        <v>20</v>
      </c>
      <c r="E619" t="s">
        <v>21</v>
      </c>
      <c r="F619">
        <v>4.4000000000000004</v>
      </c>
      <c r="G619">
        <v>8999</v>
      </c>
      <c r="H619">
        <v>8999</v>
      </c>
      <c r="I619">
        <f>FlipkartTable[[#This Row],[Original Price]]-FlipkartTable[[#This Row],[Selling Price]]</f>
        <v>0</v>
      </c>
      <c r="J619" s="4">
        <f>(FlipkartTable[[#This Row],[Original Price]]-FlipkartTable[[#This Row],[Selling Price]])/FlipkartTable[[#This Row],[Original Price]]</f>
        <v>0</v>
      </c>
      <c r="K619">
        <f>(FlipkartTable[[#This Row],[Rating]]/FlipkartTable[[#This Row],[Selling Price]])*1000</f>
        <v>0.48894321591287931</v>
      </c>
      <c r="L619" t="str">
        <f>IF(FlipkartTable[[#This Row],[Selling Price]]&lt;15000,"Budget",IF(FlipkartTable[[#This Row],[Selling Price]]&lt;50000,"Mid Range","Premium"))</f>
        <v>Budget</v>
      </c>
      <c r="M619" t="str">
        <f>IF(FlipkartTable[[#This Row],[Rating]]&gt;4.5,"Excellent",IF(FlipkartTable[[#This Row],[Rating]]&gt;4,"Good",IF(FlipkartTable[[#This Row],[Rating]]&gt;3.5,"Average","Poor")))</f>
        <v>Good</v>
      </c>
    </row>
    <row r="620" spans="1:13" x14ac:dyDescent="0.35">
      <c r="A620" t="s">
        <v>343</v>
      </c>
      <c r="B620" s="9" t="s">
        <v>388</v>
      </c>
      <c r="C620" t="s">
        <v>389</v>
      </c>
      <c r="D620" t="s">
        <v>11</v>
      </c>
      <c r="E620" t="s">
        <v>12</v>
      </c>
      <c r="F620">
        <v>4.4000000000000004</v>
      </c>
      <c r="G620">
        <v>10999</v>
      </c>
      <c r="H620">
        <v>10999</v>
      </c>
      <c r="I620">
        <f>FlipkartTable[[#This Row],[Original Price]]-FlipkartTable[[#This Row],[Selling Price]]</f>
        <v>0</v>
      </c>
      <c r="J620" s="4">
        <f>(FlipkartTable[[#This Row],[Original Price]]-FlipkartTable[[#This Row],[Selling Price]])/FlipkartTable[[#This Row],[Original Price]]</f>
        <v>0</v>
      </c>
      <c r="K620">
        <f>(FlipkartTable[[#This Row],[Rating]]/FlipkartTable[[#This Row],[Selling Price]])*1000</f>
        <v>0.40003636694244932</v>
      </c>
      <c r="L620" t="str">
        <f>IF(FlipkartTable[[#This Row],[Selling Price]]&lt;15000,"Budget",IF(FlipkartTable[[#This Row],[Selling Price]]&lt;50000,"Mid Range","Premium"))</f>
        <v>Budget</v>
      </c>
      <c r="M620" t="str">
        <f>IF(FlipkartTable[[#This Row],[Rating]]&gt;4.5,"Excellent",IF(FlipkartTable[[#This Row],[Rating]]&gt;4,"Good",IF(FlipkartTable[[#This Row],[Rating]]&gt;3.5,"Average","Poor")))</f>
        <v>Good</v>
      </c>
    </row>
    <row r="621" spans="1:13" x14ac:dyDescent="0.35">
      <c r="A621" t="s">
        <v>343</v>
      </c>
      <c r="B621" s="9" t="s">
        <v>388</v>
      </c>
      <c r="C621" t="s">
        <v>434</v>
      </c>
      <c r="D621" t="s">
        <v>20</v>
      </c>
      <c r="E621" t="s">
        <v>21</v>
      </c>
      <c r="F621">
        <v>4.4000000000000004</v>
      </c>
      <c r="G621">
        <v>8999</v>
      </c>
      <c r="H621">
        <v>8999</v>
      </c>
      <c r="I621">
        <f>FlipkartTable[[#This Row],[Original Price]]-FlipkartTable[[#This Row],[Selling Price]]</f>
        <v>0</v>
      </c>
      <c r="J621" s="4">
        <f>(FlipkartTable[[#This Row],[Original Price]]-FlipkartTable[[#This Row],[Selling Price]])/FlipkartTable[[#This Row],[Original Price]]</f>
        <v>0</v>
      </c>
      <c r="K621">
        <f>(FlipkartTable[[#This Row],[Rating]]/FlipkartTable[[#This Row],[Selling Price]])*1000</f>
        <v>0.48894321591287931</v>
      </c>
      <c r="L621" t="str">
        <f>IF(FlipkartTable[[#This Row],[Selling Price]]&lt;15000,"Budget",IF(FlipkartTable[[#This Row],[Selling Price]]&lt;50000,"Mid Range","Premium"))</f>
        <v>Budget</v>
      </c>
      <c r="M621" t="str">
        <f>IF(FlipkartTable[[#This Row],[Rating]]&gt;4.5,"Excellent",IF(FlipkartTable[[#This Row],[Rating]]&gt;4,"Good",IF(FlipkartTable[[#This Row],[Rating]]&gt;3.5,"Average","Poor")))</f>
        <v>Good</v>
      </c>
    </row>
    <row r="622" spans="1:13" x14ac:dyDescent="0.35">
      <c r="A622" t="s">
        <v>343</v>
      </c>
      <c r="B622" s="9" t="s">
        <v>432</v>
      </c>
      <c r="C622" t="s">
        <v>357</v>
      </c>
      <c r="D622" t="s">
        <v>11</v>
      </c>
      <c r="E622" t="s">
        <v>15</v>
      </c>
      <c r="F622">
        <v>4.4000000000000004</v>
      </c>
      <c r="G622">
        <v>10999</v>
      </c>
      <c r="H622">
        <v>11999</v>
      </c>
      <c r="I622">
        <f>FlipkartTable[[#This Row],[Original Price]]-FlipkartTable[[#This Row],[Selling Price]]</f>
        <v>1000</v>
      </c>
      <c r="J622" s="4">
        <f>(FlipkartTable[[#This Row],[Original Price]]-FlipkartTable[[#This Row],[Selling Price]])/FlipkartTable[[#This Row],[Original Price]]</f>
        <v>8.3340278356529712E-2</v>
      </c>
      <c r="K622">
        <f>(FlipkartTable[[#This Row],[Rating]]/FlipkartTable[[#This Row],[Selling Price]])*1000</f>
        <v>0.40003636694244932</v>
      </c>
      <c r="L622" t="str">
        <f>IF(FlipkartTable[[#This Row],[Selling Price]]&lt;15000,"Budget",IF(FlipkartTable[[#This Row],[Selling Price]]&lt;50000,"Mid Range","Premium"))</f>
        <v>Budget</v>
      </c>
      <c r="M622" t="str">
        <f>IF(FlipkartTable[[#This Row],[Rating]]&gt;4.5,"Excellent",IF(FlipkartTable[[#This Row],[Rating]]&gt;4,"Good",IF(FlipkartTable[[#This Row],[Rating]]&gt;3.5,"Average","Poor")))</f>
        <v>Good</v>
      </c>
    </row>
    <row r="623" spans="1:13" x14ac:dyDescent="0.35">
      <c r="A623" t="s">
        <v>343</v>
      </c>
      <c r="B623" s="9" t="s">
        <v>432</v>
      </c>
      <c r="C623" t="s">
        <v>356</v>
      </c>
      <c r="D623" t="s">
        <v>11</v>
      </c>
      <c r="E623" t="s">
        <v>15</v>
      </c>
      <c r="F623">
        <v>4.4000000000000004</v>
      </c>
      <c r="G623">
        <v>10999</v>
      </c>
      <c r="H623">
        <v>11999</v>
      </c>
      <c r="I623">
        <f>FlipkartTable[[#This Row],[Original Price]]-FlipkartTable[[#This Row],[Selling Price]]</f>
        <v>1000</v>
      </c>
      <c r="J623" s="4">
        <f>(FlipkartTable[[#This Row],[Original Price]]-FlipkartTable[[#This Row],[Selling Price]])/FlipkartTable[[#This Row],[Original Price]]</f>
        <v>8.3340278356529712E-2</v>
      </c>
      <c r="K623">
        <f>(FlipkartTable[[#This Row],[Rating]]/FlipkartTable[[#This Row],[Selling Price]])*1000</f>
        <v>0.40003636694244932</v>
      </c>
      <c r="L623" t="str">
        <f>IF(FlipkartTable[[#This Row],[Selling Price]]&lt;15000,"Budget",IF(FlipkartTable[[#This Row],[Selling Price]]&lt;50000,"Mid Range","Premium"))</f>
        <v>Budget</v>
      </c>
      <c r="M623" t="str">
        <f>IF(FlipkartTable[[#This Row],[Rating]]&gt;4.5,"Excellent",IF(FlipkartTable[[#This Row],[Rating]]&gt;4,"Good",IF(FlipkartTable[[#This Row],[Rating]]&gt;3.5,"Average","Poor")))</f>
        <v>Good</v>
      </c>
    </row>
    <row r="624" spans="1:13" x14ac:dyDescent="0.35">
      <c r="A624" t="s">
        <v>343</v>
      </c>
      <c r="B624" s="9" t="s">
        <v>392</v>
      </c>
      <c r="C624" t="s">
        <v>425</v>
      </c>
      <c r="D624" t="s">
        <v>14</v>
      </c>
      <c r="E624" t="s">
        <v>12</v>
      </c>
      <c r="F624">
        <v>4.5</v>
      </c>
      <c r="G624">
        <v>14999</v>
      </c>
      <c r="H624">
        <v>15999</v>
      </c>
      <c r="I624">
        <f>FlipkartTable[[#This Row],[Original Price]]-FlipkartTable[[#This Row],[Selling Price]]</f>
        <v>1000</v>
      </c>
      <c r="J624" s="4">
        <f>(FlipkartTable[[#This Row],[Original Price]]-FlipkartTable[[#This Row],[Selling Price]])/FlipkartTable[[#This Row],[Original Price]]</f>
        <v>6.2503906494155881E-2</v>
      </c>
      <c r="K624">
        <f>(FlipkartTable[[#This Row],[Rating]]/FlipkartTable[[#This Row],[Selling Price]])*1000</f>
        <v>0.30002000133342221</v>
      </c>
      <c r="L624" t="str">
        <f>IF(FlipkartTable[[#This Row],[Selling Price]]&lt;15000,"Budget",IF(FlipkartTable[[#This Row],[Selling Price]]&lt;50000,"Mid Range","Premium"))</f>
        <v>Budget</v>
      </c>
      <c r="M624" t="str">
        <f>IF(FlipkartTable[[#This Row],[Rating]]&gt;4.5,"Excellent",IF(FlipkartTable[[#This Row],[Rating]]&gt;4,"Good",IF(FlipkartTable[[#This Row],[Rating]]&gt;3.5,"Average","Poor")))</f>
        <v>Good</v>
      </c>
    </row>
    <row r="625" spans="1:13" x14ac:dyDescent="0.35">
      <c r="A625" t="s">
        <v>343</v>
      </c>
      <c r="B625" s="9" t="s">
        <v>377</v>
      </c>
      <c r="C625" t="s">
        <v>378</v>
      </c>
      <c r="D625" t="s">
        <v>11</v>
      </c>
      <c r="E625" t="s">
        <v>12</v>
      </c>
      <c r="F625">
        <v>4.4000000000000004</v>
      </c>
      <c r="G625">
        <v>10999</v>
      </c>
      <c r="H625">
        <v>10999</v>
      </c>
      <c r="I625">
        <f>FlipkartTable[[#This Row],[Original Price]]-FlipkartTable[[#This Row],[Selling Price]]</f>
        <v>0</v>
      </c>
      <c r="J625" s="4">
        <f>(FlipkartTable[[#This Row],[Original Price]]-FlipkartTable[[#This Row],[Selling Price]])/FlipkartTable[[#This Row],[Original Price]]</f>
        <v>0</v>
      </c>
      <c r="K625">
        <f>(FlipkartTable[[#This Row],[Rating]]/FlipkartTable[[#This Row],[Selling Price]])*1000</f>
        <v>0.40003636694244932</v>
      </c>
      <c r="L625" t="str">
        <f>IF(FlipkartTable[[#This Row],[Selling Price]]&lt;15000,"Budget",IF(FlipkartTable[[#This Row],[Selling Price]]&lt;50000,"Mid Range","Premium"))</f>
        <v>Budget</v>
      </c>
      <c r="M625" t="str">
        <f>IF(FlipkartTable[[#This Row],[Rating]]&gt;4.5,"Excellent",IF(FlipkartTable[[#This Row],[Rating]]&gt;4,"Good",IF(FlipkartTable[[#This Row],[Rating]]&gt;3.5,"Average","Poor")))</f>
        <v>Good</v>
      </c>
    </row>
    <row r="626" spans="1:13" x14ac:dyDescent="0.35">
      <c r="A626" t="s">
        <v>343</v>
      </c>
      <c r="B626" s="9" t="s">
        <v>394</v>
      </c>
      <c r="C626" t="s">
        <v>435</v>
      </c>
      <c r="D626" t="s">
        <v>11</v>
      </c>
      <c r="E626" t="s">
        <v>12</v>
      </c>
      <c r="F626">
        <v>4.3</v>
      </c>
      <c r="G626">
        <v>13999</v>
      </c>
      <c r="H626">
        <v>13999</v>
      </c>
      <c r="I626">
        <f>FlipkartTable[[#This Row],[Original Price]]-FlipkartTable[[#This Row],[Selling Price]]</f>
        <v>0</v>
      </c>
      <c r="J626" s="4">
        <f>(FlipkartTable[[#This Row],[Original Price]]-FlipkartTable[[#This Row],[Selling Price]])/FlipkartTable[[#This Row],[Original Price]]</f>
        <v>0</v>
      </c>
      <c r="K626">
        <f>(FlipkartTable[[#This Row],[Rating]]/FlipkartTable[[#This Row],[Selling Price]])*1000</f>
        <v>0.30716479748553466</v>
      </c>
      <c r="L626" t="str">
        <f>IF(FlipkartTable[[#This Row],[Selling Price]]&lt;15000,"Budget",IF(FlipkartTable[[#This Row],[Selling Price]]&lt;50000,"Mid Range","Premium"))</f>
        <v>Budget</v>
      </c>
      <c r="M626" t="str">
        <f>IF(FlipkartTable[[#This Row],[Rating]]&gt;4.5,"Excellent",IF(FlipkartTable[[#This Row],[Rating]]&gt;4,"Good",IF(FlipkartTable[[#This Row],[Rating]]&gt;3.5,"Average","Poor")))</f>
        <v>Good</v>
      </c>
    </row>
    <row r="627" spans="1:13" x14ac:dyDescent="0.35">
      <c r="A627" t="s">
        <v>343</v>
      </c>
      <c r="B627" s="9">
        <v>7</v>
      </c>
      <c r="C627" t="s">
        <v>436</v>
      </c>
      <c r="D627" t="s">
        <v>27</v>
      </c>
      <c r="E627" t="s">
        <v>15</v>
      </c>
      <c r="F627">
        <v>4.3</v>
      </c>
      <c r="G627">
        <v>17999</v>
      </c>
      <c r="H627">
        <v>20999</v>
      </c>
      <c r="I627">
        <f>FlipkartTable[[#This Row],[Original Price]]-FlipkartTable[[#This Row],[Selling Price]]</f>
        <v>3000</v>
      </c>
      <c r="J627" s="4">
        <f>(FlipkartTable[[#This Row],[Original Price]]-FlipkartTable[[#This Row],[Selling Price]])/FlipkartTable[[#This Row],[Original Price]]</f>
        <v>0.14286394590218582</v>
      </c>
      <c r="K627">
        <f>(FlipkartTable[[#This Row],[Rating]]/FlipkartTable[[#This Row],[Selling Price]])*1000</f>
        <v>0.23890216123117949</v>
      </c>
      <c r="L627" t="str">
        <f>IF(FlipkartTable[[#This Row],[Selling Price]]&lt;15000,"Budget",IF(FlipkartTable[[#This Row],[Selling Price]]&lt;50000,"Mid Range","Premium"))</f>
        <v>Mid Range</v>
      </c>
      <c r="M627" t="str">
        <f>IF(FlipkartTable[[#This Row],[Rating]]&gt;4.5,"Excellent",IF(FlipkartTable[[#This Row],[Rating]]&gt;4,"Good",IF(FlipkartTable[[#This Row],[Rating]]&gt;3.5,"Average","Poor")))</f>
        <v>Good</v>
      </c>
    </row>
    <row r="628" spans="1:13" x14ac:dyDescent="0.35">
      <c r="A628" t="s">
        <v>343</v>
      </c>
      <c r="B628" s="9" t="s">
        <v>392</v>
      </c>
      <c r="C628" t="s">
        <v>393</v>
      </c>
      <c r="D628" t="s">
        <v>14</v>
      </c>
      <c r="E628" t="s">
        <v>12</v>
      </c>
      <c r="F628">
        <v>4.5</v>
      </c>
      <c r="G628">
        <v>14999</v>
      </c>
      <c r="H628">
        <v>15999</v>
      </c>
      <c r="I628">
        <f>FlipkartTable[[#This Row],[Original Price]]-FlipkartTable[[#This Row],[Selling Price]]</f>
        <v>1000</v>
      </c>
      <c r="J628" s="4">
        <f>(FlipkartTable[[#This Row],[Original Price]]-FlipkartTable[[#This Row],[Selling Price]])/FlipkartTable[[#This Row],[Original Price]]</f>
        <v>6.2503906494155881E-2</v>
      </c>
      <c r="K628">
        <f>(FlipkartTable[[#This Row],[Rating]]/FlipkartTable[[#This Row],[Selling Price]])*1000</f>
        <v>0.30002000133342221</v>
      </c>
      <c r="L628" t="str">
        <f>IF(FlipkartTable[[#This Row],[Selling Price]]&lt;15000,"Budget",IF(FlipkartTable[[#This Row],[Selling Price]]&lt;50000,"Mid Range","Premium"))</f>
        <v>Budget</v>
      </c>
      <c r="M628" t="str">
        <f>IF(FlipkartTable[[#This Row],[Rating]]&gt;4.5,"Excellent",IF(FlipkartTable[[#This Row],[Rating]]&gt;4,"Good",IF(FlipkartTable[[#This Row],[Rating]]&gt;3.5,"Average","Poor")))</f>
        <v>Good</v>
      </c>
    </row>
    <row r="629" spans="1:13" x14ac:dyDescent="0.35">
      <c r="A629" t="s">
        <v>343</v>
      </c>
      <c r="B629" s="9" t="s">
        <v>391</v>
      </c>
      <c r="C629" t="s">
        <v>397</v>
      </c>
      <c r="D629" t="s">
        <v>11</v>
      </c>
      <c r="E629" t="s">
        <v>12</v>
      </c>
      <c r="F629">
        <v>4.4000000000000004</v>
      </c>
      <c r="G629">
        <v>10499</v>
      </c>
      <c r="H629">
        <v>10999</v>
      </c>
      <c r="I629">
        <f>FlipkartTable[[#This Row],[Original Price]]-FlipkartTable[[#This Row],[Selling Price]]</f>
        <v>500</v>
      </c>
      <c r="J629" s="4">
        <f>(FlipkartTable[[#This Row],[Original Price]]-FlipkartTable[[#This Row],[Selling Price]])/FlipkartTable[[#This Row],[Original Price]]</f>
        <v>4.5458678061641965E-2</v>
      </c>
      <c r="K629">
        <f>(FlipkartTable[[#This Row],[Rating]]/FlipkartTable[[#This Row],[Selling Price]])*1000</f>
        <v>0.41908753214591871</v>
      </c>
      <c r="L629" t="str">
        <f>IF(FlipkartTable[[#This Row],[Selling Price]]&lt;15000,"Budget",IF(FlipkartTable[[#This Row],[Selling Price]]&lt;50000,"Mid Range","Premium"))</f>
        <v>Budget</v>
      </c>
      <c r="M629" t="str">
        <f>IF(FlipkartTable[[#This Row],[Rating]]&gt;4.5,"Excellent",IF(FlipkartTable[[#This Row],[Rating]]&gt;4,"Good",IF(FlipkartTable[[#This Row],[Rating]]&gt;3.5,"Average","Poor")))</f>
        <v>Good</v>
      </c>
    </row>
    <row r="630" spans="1:13" x14ac:dyDescent="0.35">
      <c r="A630" t="s">
        <v>343</v>
      </c>
      <c r="B630" s="9" t="s">
        <v>391</v>
      </c>
      <c r="C630" t="s">
        <v>147</v>
      </c>
      <c r="D630" t="s">
        <v>20</v>
      </c>
      <c r="E630" t="s">
        <v>21</v>
      </c>
      <c r="F630">
        <v>4.4000000000000004</v>
      </c>
      <c r="G630">
        <v>8499</v>
      </c>
      <c r="H630">
        <v>8999</v>
      </c>
      <c r="I630">
        <f>FlipkartTable[[#This Row],[Original Price]]-FlipkartTable[[#This Row],[Selling Price]]</f>
        <v>500</v>
      </c>
      <c r="J630" s="4">
        <f>(FlipkartTable[[#This Row],[Original Price]]-FlipkartTable[[#This Row],[Selling Price]])/FlipkartTable[[#This Row],[Original Price]]</f>
        <v>5.5561729081009002E-2</v>
      </c>
      <c r="K630">
        <f>(FlipkartTable[[#This Row],[Rating]]/FlipkartTable[[#This Row],[Selling Price]])*1000</f>
        <v>0.51770796564301691</v>
      </c>
      <c r="L630" t="str">
        <f>IF(FlipkartTable[[#This Row],[Selling Price]]&lt;15000,"Budget",IF(FlipkartTable[[#This Row],[Selling Price]]&lt;50000,"Mid Range","Premium"))</f>
        <v>Budget</v>
      </c>
      <c r="M630" t="str">
        <f>IF(FlipkartTable[[#This Row],[Rating]]&gt;4.5,"Excellent",IF(FlipkartTable[[#This Row],[Rating]]&gt;4,"Good",IF(FlipkartTable[[#This Row],[Rating]]&gt;3.5,"Average","Poor")))</f>
        <v>Good</v>
      </c>
    </row>
    <row r="631" spans="1:13" x14ac:dyDescent="0.35">
      <c r="A631" t="s">
        <v>343</v>
      </c>
      <c r="B631" s="9" t="s">
        <v>392</v>
      </c>
      <c r="C631" t="s">
        <v>425</v>
      </c>
      <c r="D631" t="s">
        <v>27</v>
      </c>
      <c r="E631" t="s">
        <v>15</v>
      </c>
      <c r="F631">
        <v>4.5</v>
      </c>
      <c r="G631">
        <v>16999</v>
      </c>
      <c r="H631">
        <v>17999</v>
      </c>
      <c r="I631">
        <f>FlipkartTable[[#This Row],[Original Price]]-FlipkartTable[[#This Row],[Selling Price]]</f>
        <v>1000</v>
      </c>
      <c r="J631" s="4">
        <f>(FlipkartTable[[#This Row],[Original Price]]-FlipkartTable[[#This Row],[Selling Price]])/FlipkartTable[[#This Row],[Original Price]]</f>
        <v>5.5558642146785936E-2</v>
      </c>
      <c r="K631">
        <f>(FlipkartTable[[#This Row],[Rating]]/FlipkartTable[[#This Row],[Selling Price]])*1000</f>
        <v>0.26472145420318843</v>
      </c>
      <c r="L631" t="str">
        <f>IF(FlipkartTable[[#This Row],[Selling Price]]&lt;15000,"Budget",IF(FlipkartTable[[#This Row],[Selling Price]]&lt;50000,"Mid Range","Premium"))</f>
        <v>Mid Range</v>
      </c>
      <c r="M631" t="str">
        <f>IF(FlipkartTable[[#This Row],[Rating]]&gt;4.5,"Excellent",IF(FlipkartTable[[#This Row],[Rating]]&gt;4,"Good",IF(FlipkartTable[[#This Row],[Rating]]&gt;3.5,"Average","Poor")))</f>
        <v>Good</v>
      </c>
    </row>
    <row r="632" spans="1:13" x14ac:dyDescent="0.35">
      <c r="A632" t="s">
        <v>343</v>
      </c>
      <c r="B632" s="9" t="s">
        <v>377</v>
      </c>
      <c r="C632" t="s">
        <v>373</v>
      </c>
      <c r="D632" t="s">
        <v>11</v>
      </c>
      <c r="E632" t="s">
        <v>12</v>
      </c>
      <c r="F632">
        <v>4.4000000000000004</v>
      </c>
      <c r="G632">
        <v>10999</v>
      </c>
      <c r="H632">
        <v>10999</v>
      </c>
      <c r="I632">
        <f>FlipkartTable[[#This Row],[Original Price]]-FlipkartTable[[#This Row],[Selling Price]]</f>
        <v>0</v>
      </c>
      <c r="J632" s="4">
        <f>(FlipkartTable[[#This Row],[Original Price]]-FlipkartTable[[#This Row],[Selling Price]])/FlipkartTable[[#This Row],[Original Price]]</f>
        <v>0</v>
      </c>
      <c r="K632">
        <f>(FlipkartTable[[#This Row],[Rating]]/FlipkartTable[[#This Row],[Selling Price]])*1000</f>
        <v>0.40003636694244932</v>
      </c>
      <c r="L632" t="str">
        <f>IF(FlipkartTable[[#This Row],[Selling Price]]&lt;15000,"Budget",IF(FlipkartTable[[#This Row],[Selling Price]]&lt;50000,"Mid Range","Premium"))</f>
        <v>Budget</v>
      </c>
      <c r="M632" t="str">
        <f>IF(FlipkartTable[[#This Row],[Rating]]&gt;4.5,"Excellent",IF(FlipkartTable[[#This Row],[Rating]]&gt;4,"Good",IF(FlipkartTable[[#This Row],[Rating]]&gt;3.5,"Average","Poor")))</f>
        <v>Good</v>
      </c>
    </row>
    <row r="633" spans="1:13" x14ac:dyDescent="0.35">
      <c r="A633" t="s">
        <v>343</v>
      </c>
      <c r="B633" s="9">
        <v>7</v>
      </c>
      <c r="C633" t="s">
        <v>436</v>
      </c>
      <c r="D633" t="s">
        <v>14</v>
      </c>
      <c r="E633" t="s">
        <v>12</v>
      </c>
      <c r="F633">
        <v>4.3</v>
      </c>
      <c r="G633">
        <v>14999</v>
      </c>
      <c r="H633">
        <v>17999</v>
      </c>
      <c r="I633">
        <f>FlipkartTable[[#This Row],[Original Price]]-FlipkartTable[[#This Row],[Selling Price]]</f>
        <v>3000</v>
      </c>
      <c r="J633" s="4">
        <f>(FlipkartTable[[#This Row],[Original Price]]-FlipkartTable[[#This Row],[Selling Price]])/FlipkartTable[[#This Row],[Original Price]]</f>
        <v>0.16667592644035781</v>
      </c>
      <c r="K633">
        <f>(FlipkartTable[[#This Row],[Rating]]/FlipkartTable[[#This Row],[Selling Price]])*1000</f>
        <v>0.28668577905193682</v>
      </c>
      <c r="L633" t="str">
        <f>IF(FlipkartTable[[#This Row],[Selling Price]]&lt;15000,"Budget",IF(FlipkartTable[[#This Row],[Selling Price]]&lt;50000,"Mid Range","Premium"))</f>
        <v>Budget</v>
      </c>
      <c r="M633" t="str">
        <f>IF(FlipkartTable[[#This Row],[Rating]]&gt;4.5,"Excellent",IF(FlipkartTable[[#This Row],[Rating]]&gt;4,"Good",IF(FlipkartTable[[#This Row],[Rating]]&gt;3.5,"Average","Poor")))</f>
        <v>Good</v>
      </c>
    </row>
    <row r="634" spans="1:13" x14ac:dyDescent="0.35">
      <c r="A634" t="s">
        <v>343</v>
      </c>
      <c r="B634" s="9" t="s">
        <v>437</v>
      </c>
      <c r="C634" t="s">
        <v>438</v>
      </c>
      <c r="D634" t="s">
        <v>14</v>
      </c>
      <c r="E634" t="s">
        <v>15</v>
      </c>
      <c r="F634">
        <v>4.4000000000000004</v>
      </c>
      <c r="G634">
        <v>19999</v>
      </c>
      <c r="H634">
        <v>20999</v>
      </c>
      <c r="I634">
        <f>FlipkartTable[[#This Row],[Original Price]]-FlipkartTable[[#This Row],[Selling Price]]</f>
        <v>1000</v>
      </c>
      <c r="J634" s="4">
        <f>(FlipkartTable[[#This Row],[Original Price]]-FlipkartTable[[#This Row],[Selling Price]])/FlipkartTable[[#This Row],[Original Price]]</f>
        <v>4.7621315300728606E-2</v>
      </c>
      <c r="K634">
        <f>(FlipkartTable[[#This Row],[Rating]]/FlipkartTable[[#This Row],[Selling Price]])*1000</f>
        <v>0.22001100055002751</v>
      </c>
      <c r="L634" t="str">
        <f>IF(FlipkartTable[[#This Row],[Selling Price]]&lt;15000,"Budget",IF(FlipkartTable[[#This Row],[Selling Price]]&lt;50000,"Mid Range","Premium"))</f>
        <v>Mid Range</v>
      </c>
      <c r="M634" t="str">
        <f>IF(FlipkartTable[[#This Row],[Rating]]&gt;4.5,"Excellent",IF(FlipkartTable[[#This Row],[Rating]]&gt;4,"Good",IF(FlipkartTable[[#This Row],[Rating]]&gt;3.5,"Average","Poor")))</f>
        <v>Good</v>
      </c>
    </row>
    <row r="635" spans="1:13" x14ac:dyDescent="0.35">
      <c r="A635" t="s">
        <v>343</v>
      </c>
      <c r="B635" s="9" t="s">
        <v>439</v>
      </c>
      <c r="C635" t="s">
        <v>440</v>
      </c>
      <c r="D635" t="s">
        <v>27</v>
      </c>
      <c r="E635" t="s">
        <v>15</v>
      </c>
      <c r="F635">
        <v>4.3</v>
      </c>
      <c r="G635">
        <v>16999</v>
      </c>
      <c r="H635">
        <v>18999</v>
      </c>
      <c r="I635">
        <f>FlipkartTable[[#This Row],[Original Price]]-FlipkartTable[[#This Row],[Selling Price]]</f>
        <v>2000</v>
      </c>
      <c r="J635" s="4">
        <f>(FlipkartTable[[#This Row],[Original Price]]-FlipkartTable[[#This Row],[Selling Price]])/FlipkartTable[[#This Row],[Original Price]]</f>
        <v>0.10526869835254488</v>
      </c>
      <c r="K635">
        <f>(FlipkartTable[[#This Row],[Rating]]/FlipkartTable[[#This Row],[Selling Price]])*1000</f>
        <v>0.25295605623860223</v>
      </c>
      <c r="L635" t="str">
        <f>IF(FlipkartTable[[#This Row],[Selling Price]]&lt;15000,"Budget",IF(FlipkartTable[[#This Row],[Selling Price]]&lt;50000,"Mid Range","Premium"))</f>
        <v>Mid Range</v>
      </c>
      <c r="M635" t="str">
        <f>IF(FlipkartTable[[#This Row],[Rating]]&gt;4.5,"Excellent",IF(FlipkartTable[[#This Row],[Rating]]&gt;4,"Good",IF(FlipkartTable[[#This Row],[Rating]]&gt;3.5,"Average","Poor")))</f>
        <v>Good</v>
      </c>
    </row>
    <row r="636" spans="1:13" x14ac:dyDescent="0.35">
      <c r="A636" t="s">
        <v>343</v>
      </c>
      <c r="B636" s="9" t="s">
        <v>439</v>
      </c>
      <c r="C636" t="s">
        <v>441</v>
      </c>
      <c r="D636" t="s">
        <v>14</v>
      </c>
      <c r="E636" t="s">
        <v>12</v>
      </c>
      <c r="F636">
        <v>4.3</v>
      </c>
      <c r="G636">
        <v>14999</v>
      </c>
      <c r="H636">
        <v>16999</v>
      </c>
      <c r="I636">
        <f>FlipkartTable[[#This Row],[Original Price]]-FlipkartTable[[#This Row],[Selling Price]]</f>
        <v>2000</v>
      </c>
      <c r="J636" s="4">
        <f>(FlipkartTable[[#This Row],[Original Price]]-FlipkartTable[[#This Row],[Selling Price]])/FlipkartTable[[#This Row],[Original Price]]</f>
        <v>0.11765397964586152</v>
      </c>
      <c r="K636">
        <f>(FlipkartTable[[#This Row],[Rating]]/FlipkartTable[[#This Row],[Selling Price]])*1000</f>
        <v>0.28668577905193682</v>
      </c>
      <c r="L636" t="str">
        <f>IF(FlipkartTable[[#This Row],[Selling Price]]&lt;15000,"Budget",IF(FlipkartTable[[#This Row],[Selling Price]]&lt;50000,"Mid Range","Premium"))</f>
        <v>Budget</v>
      </c>
      <c r="M636" t="str">
        <f>IF(FlipkartTable[[#This Row],[Rating]]&gt;4.5,"Excellent",IF(FlipkartTable[[#This Row],[Rating]]&gt;4,"Good",IF(FlipkartTable[[#This Row],[Rating]]&gt;3.5,"Average","Poor")))</f>
        <v>Good</v>
      </c>
    </row>
    <row r="637" spans="1:13" x14ac:dyDescent="0.35">
      <c r="A637" t="s">
        <v>343</v>
      </c>
      <c r="B637" s="9" t="s">
        <v>439</v>
      </c>
      <c r="C637" t="s">
        <v>441</v>
      </c>
      <c r="D637" t="s">
        <v>27</v>
      </c>
      <c r="E637" t="s">
        <v>15</v>
      </c>
      <c r="F637">
        <v>4.3</v>
      </c>
      <c r="G637">
        <v>16999</v>
      </c>
      <c r="H637">
        <v>18999</v>
      </c>
      <c r="I637">
        <f>FlipkartTable[[#This Row],[Original Price]]-FlipkartTable[[#This Row],[Selling Price]]</f>
        <v>2000</v>
      </c>
      <c r="J637" s="4">
        <f>(FlipkartTable[[#This Row],[Original Price]]-FlipkartTable[[#This Row],[Selling Price]])/FlipkartTable[[#This Row],[Original Price]]</f>
        <v>0.10526869835254488</v>
      </c>
      <c r="K637">
        <f>(FlipkartTable[[#This Row],[Rating]]/FlipkartTable[[#This Row],[Selling Price]])*1000</f>
        <v>0.25295605623860223</v>
      </c>
      <c r="L637" t="str">
        <f>IF(FlipkartTable[[#This Row],[Selling Price]]&lt;15000,"Budget",IF(FlipkartTable[[#This Row],[Selling Price]]&lt;50000,"Mid Range","Premium"))</f>
        <v>Mid Range</v>
      </c>
      <c r="M637" t="str">
        <f>IF(FlipkartTable[[#This Row],[Rating]]&gt;4.5,"Excellent",IF(FlipkartTable[[#This Row],[Rating]]&gt;4,"Good",IF(FlipkartTable[[#This Row],[Rating]]&gt;3.5,"Average","Poor")))</f>
        <v>Good</v>
      </c>
    </row>
    <row r="638" spans="1:13" x14ac:dyDescent="0.35">
      <c r="A638" t="s">
        <v>343</v>
      </c>
      <c r="B638" s="9" t="s">
        <v>394</v>
      </c>
      <c r="C638" t="s">
        <v>435</v>
      </c>
      <c r="D638" t="s">
        <v>11</v>
      </c>
      <c r="E638" t="s">
        <v>15</v>
      </c>
      <c r="F638">
        <v>4.3</v>
      </c>
      <c r="G638">
        <v>14999</v>
      </c>
      <c r="H638">
        <v>14999</v>
      </c>
      <c r="I638">
        <f>FlipkartTable[[#This Row],[Original Price]]-FlipkartTable[[#This Row],[Selling Price]]</f>
        <v>0</v>
      </c>
      <c r="J638" s="4">
        <f>(FlipkartTable[[#This Row],[Original Price]]-FlipkartTable[[#This Row],[Selling Price]])/FlipkartTable[[#This Row],[Original Price]]</f>
        <v>0</v>
      </c>
      <c r="K638">
        <f>(FlipkartTable[[#This Row],[Rating]]/FlipkartTable[[#This Row],[Selling Price]])*1000</f>
        <v>0.28668577905193682</v>
      </c>
      <c r="L638" t="str">
        <f>IF(FlipkartTable[[#This Row],[Selling Price]]&lt;15000,"Budget",IF(FlipkartTable[[#This Row],[Selling Price]]&lt;50000,"Mid Range","Premium"))</f>
        <v>Budget</v>
      </c>
      <c r="M638" t="str">
        <f>IF(FlipkartTable[[#This Row],[Rating]]&gt;4.5,"Excellent",IF(FlipkartTable[[#This Row],[Rating]]&gt;4,"Good",IF(FlipkartTable[[#This Row],[Rating]]&gt;3.5,"Average","Poor")))</f>
        <v>Good</v>
      </c>
    </row>
    <row r="639" spans="1:13" x14ac:dyDescent="0.35">
      <c r="A639" t="s">
        <v>343</v>
      </c>
      <c r="B639" s="9" t="s">
        <v>398</v>
      </c>
      <c r="C639" t="s">
        <v>399</v>
      </c>
      <c r="D639" t="s">
        <v>27</v>
      </c>
      <c r="E639" t="s">
        <v>15</v>
      </c>
      <c r="F639">
        <v>4.3</v>
      </c>
      <c r="G639">
        <v>27999</v>
      </c>
      <c r="H639">
        <v>29999</v>
      </c>
      <c r="I639">
        <f>FlipkartTable[[#This Row],[Original Price]]-FlipkartTable[[#This Row],[Selling Price]]</f>
        <v>2000</v>
      </c>
      <c r="J639" s="4">
        <f>(FlipkartTable[[#This Row],[Original Price]]-FlipkartTable[[#This Row],[Selling Price]])/FlipkartTable[[#This Row],[Original Price]]</f>
        <v>6.6668888962965439E-2</v>
      </c>
      <c r="K639">
        <f>(FlipkartTable[[#This Row],[Rating]]/FlipkartTable[[#This Row],[Selling Price]])*1000</f>
        <v>0.15357691346119504</v>
      </c>
      <c r="L639" t="str">
        <f>IF(FlipkartTable[[#This Row],[Selling Price]]&lt;15000,"Budget",IF(FlipkartTable[[#This Row],[Selling Price]]&lt;50000,"Mid Range","Premium"))</f>
        <v>Mid Range</v>
      </c>
      <c r="M639" t="str">
        <f>IF(FlipkartTable[[#This Row],[Rating]]&gt;4.5,"Excellent",IF(FlipkartTable[[#This Row],[Rating]]&gt;4,"Good",IF(FlipkartTable[[#This Row],[Rating]]&gt;3.5,"Average","Poor")))</f>
        <v>Good</v>
      </c>
    </row>
    <row r="640" spans="1:13" x14ac:dyDescent="0.35">
      <c r="A640" t="s">
        <v>343</v>
      </c>
      <c r="B640" s="9" t="s">
        <v>442</v>
      </c>
      <c r="C640" t="s">
        <v>443</v>
      </c>
      <c r="D640" t="s">
        <v>20</v>
      </c>
      <c r="E640" t="s">
        <v>21</v>
      </c>
      <c r="F640">
        <v>4.3</v>
      </c>
      <c r="G640">
        <v>8499</v>
      </c>
      <c r="H640">
        <v>10999</v>
      </c>
      <c r="I640">
        <f>FlipkartTable[[#This Row],[Original Price]]-FlipkartTable[[#This Row],[Selling Price]]</f>
        <v>2500</v>
      </c>
      <c r="J640" s="4">
        <f>(FlipkartTable[[#This Row],[Original Price]]-FlipkartTable[[#This Row],[Selling Price]])/FlipkartTable[[#This Row],[Original Price]]</f>
        <v>0.22729339030820983</v>
      </c>
      <c r="K640">
        <f>(FlipkartTable[[#This Row],[Rating]]/FlipkartTable[[#This Row],[Selling Price]])*1000</f>
        <v>0.50594187551476644</v>
      </c>
      <c r="L640" t="str">
        <f>IF(FlipkartTable[[#This Row],[Selling Price]]&lt;15000,"Budget",IF(FlipkartTable[[#This Row],[Selling Price]]&lt;50000,"Mid Range","Premium"))</f>
        <v>Budget</v>
      </c>
      <c r="M640" t="str">
        <f>IF(FlipkartTable[[#This Row],[Rating]]&gt;4.5,"Excellent",IF(FlipkartTable[[#This Row],[Rating]]&gt;4,"Good",IF(FlipkartTable[[#This Row],[Rating]]&gt;3.5,"Average","Poor")))</f>
        <v>Good</v>
      </c>
    </row>
    <row r="641" spans="1:13" x14ac:dyDescent="0.35">
      <c r="A641" t="s">
        <v>343</v>
      </c>
      <c r="B641" s="9" t="s">
        <v>444</v>
      </c>
      <c r="C641" t="s">
        <v>443</v>
      </c>
      <c r="D641" t="s">
        <v>11</v>
      </c>
      <c r="E641" t="s">
        <v>12</v>
      </c>
      <c r="F641">
        <v>4.3</v>
      </c>
      <c r="G641">
        <v>10499</v>
      </c>
      <c r="H641">
        <v>12999</v>
      </c>
      <c r="I641">
        <f>FlipkartTable[[#This Row],[Original Price]]-FlipkartTable[[#This Row],[Selling Price]]</f>
        <v>2500</v>
      </c>
      <c r="J641" s="4">
        <f>(FlipkartTable[[#This Row],[Original Price]]-FlipkartTable[[#This Row],[Selling Price]])/FlipkartTable[[#This Row],[Original Price]]</f>
        <v>0.19232248634510346</v>
      </c>
      <c r="K641">
        <f>(FlipkartTable[[#This Row],[Rating]]/FlipkartTable[[#This Row],[Selling Price]])*1000</f>
        <v>0.40956281550623869</v>
      </c>
      <c r="L641" t="str">
        <f>IF(FlipkartTable[[#This Row],[Selling Price]]&lt;15000,"Budget",IF(FlipkartTable[[#This Row],[Selling Price]]&lt;50000,"Mid Range","Premium"))</f>
        <v>Budget</v>
      </c>
      <c r="M641" t="str">
        <f>IF(FlipkartTable[[#This Row],[Rating]]&gt;4.5,"Excellent",IF(FlipkartTable[[#This Row],[Rating]]&gt;4,"Good",IF(FlipkartTable[[#This Row],[Rating]]&gt;3.5,"Average","Poor")))</f>
        <v>Good</v>
      </c>
    </row>
    <row r="642" spans="1:13" x14ac:dyDescent="0.35">
      <c r="A642" t="s">
        <v>343</v>
      </c>
      <c r="B642" s="9" t="s">
        <v>444</v>
      </c>
      <c r="C642" t="s">
        <v>445</v>
      </c>
      <c r="D642" t="s">
        <v>11</v>
      </c>
      <c r="E642" t="s">
        <v>12</v>
      </c>
      <c r="F642">
        <v>4.3</v>
      </c>
      <c r="G642">
        <v>10499</v>
      </c>
      <c r="H642">
        <v>12999</v>
      </c>
      <c r="I642">
        <f>FlipkartTable[[#This Row],[Original Price]]-FlipkartTable[[#This Row],[Selling Price]]</f>
        <v>2500</v>
      </c>
      <c r="J642" s="4">
        <f>(FlipkartTable[[#This Row],[Original Price]]-FlipkartTable[[#This Row],[Selling Price]])/FlipkartTable[[#This Row],[Original Price]]</f>
        <v>0.19232248634510346</v>
      </c>
      <c r="K642">
        <f>(FlipkartTable[[#This Row],[Rating]]/FlipkartTable[[#This Row],[Selling Price]])*1000</f>
        <v>0.40956281550623869</v>
      </c>
      <c r="L642" t="str">
        <f>IF(FlipkartTable[[#This Row],[Selling Price]]&lt;15000,"Budget",IF(FlipkartTable[[#This Row],[Selling Price]]&lt;50000,"Mid Range","Premium"))</f>
        <v>Budget</v>
      </c>
      <c r="M642" t="str">
        <f>IF(FlipkartTable[[#This Row],[Rating]]&gt;4.5,"Excellent",IF(FlipkartTable[[#This Row],[Rating]]&gt;4,"Good",IF(FlipkartTable[[#This Row],[Rating]]&gt;3.5,"Average","Poor")))</f>
        <v>Good</v>
      </c>
    </row>
    <row r="643" spans="1:13" x14ac:dyDescent="0.35">
      <c r="A643" t="s">
        <v>343</v>
      </c>
      <c r="B643" s="9" t="s">
        <v>442</v>
      </c>
      <c r="C643" t="s">
        <v>443</v>
      </c>
      <c r="D643" t="s">
        <v>11</v>
      </c>
      <c r="E643" t="s">
        <v>12</v>
      </c>
      <c r="F643">
        <v>4.4000000000000004</v>
      </c>
      <c r="G643">
        <v>9499</v>
      </c>
      <c r="H643">
        <v>11999</v>
      </c>
      <c r="I643">
        <f>FlipkartTable[[#This Row],[Original Price]]-FlipkartTable[[#This Row],[Selling Price]]</f>
        <v>2500</v>
      </c>
      <c r="J643" s="4">
        <f>(FlipkartTable[[#This Row],[Original Price]]-FlipkartTable[[#This Row],[Selling Price]])/FlipkartTable[[#This Row],[Original Price]]</f>
        <v>0.20835069589132427</v>
      </c>
      <c r="K643">
        <f>(FlipkartTable[[#This Row],[Rating]]/FlipkartTable[[#This Row],[Selling Price]])*1000</f>
        <v>0.46320665333192973</v>
      </c>
      <c r="L643" t="str">
        <f>IF(FlipkartTable[[#This Row],[Selling Price]]&lt;15000,"Budget",IF(FlipkartTable[[#This Row],[Selling Price]]&lt;50000,"Mid Range","Premium"))</f>
        <v>Budget</v>
      </c>
      <c r="M643" t="str">
        <f>IF(FlipkartTable[[#This Row],[Rating]]&gt;4.5,"Excellent",IF(FlipkartTable[[#This Row],[Rating]]&gt;4,"Good",IF(FlipkartTable[[#This Row],[Rating]]&gt;3.5,"Average","Poor")))</f>
        <v>Good</v>
      </c>
    </row>
    <row r="644" spans="1:13" x14ac:dyDescent="0.35">
      <c r="A644" t="s">
        <v>343</v>
      </c>
      <c r="B644" s="9" t="s">
        <v>444</v>
      </c>
      <c r="C644" t="s">
        <v>443</v>
      </c>
      <c r="D644" t="s">
        <v>11</v>
      </c>
      <c r="E644" t="s">
        <v>15</v>
      </c>
      <c r="F644">
        <v>4.3</v>
      </c>
      <c r="G644">
        <v>11499</v>
      </c>
      <c r="H644">
        <v>13999</v>
      </c>
      <c r="I644">
        <f>FlipkartTable[[#This Row],[Original Price]]-FlipkartTable[[#This Row],[Selling Price]]</f>
        <v>2500</v>
      </c>
      <c r="J644" s="4">
        <f>(FlipkartTable[[#This Row],[Original Price]]-FlipkartTable[[#This Row],[Selling Price]])/FlipkartTable[[#This Row],[Original Price]]</f>
        <v>0.1785841845846132</v>
      </c>
      <c r="K644">
        <f>(FlipkartTable[[#This Row],[Rating]]/FlipkartTable[[#This Row],[Selling Price]])*1000</f>
        <v>0.37394556048352029</v>
      </c>
      <c r="L644" t="str">
        <f>IF(FlipkartTable[[#This Row],[Selling Price]]&lt;15000,"Budget",IF(FlipkartTable[[#This Row],[Selling Price]]&lt;50000,"Mid Range","Premium"))</f>
        <v>Budget</v>
      </c>
      <c r="M644" t="str">
        <f>IF(FlipkartTable[[#This Row],[Rating]]&gt;4.5,"Excellent",IF(FlipkartTable[[#This Row],[Rating]]&gt;4,"Good",IF(FlipkartTable[[#This Row],[Rating]]&gt;3.5,"Average","Poor")))</f>
        <v>Good</v>
      </c>
    </row>
    <row r="645" spans="1:13" x14ac:dyDescent="0.35">
      <c r="A645" t="s">
        <v>343</v>
      </c>
      <c r="B645" s="9" t="s">
        <v>446</v>
      </c>
      <c r="C645" t="s">
        <v>447</v>
      </c>
      <c r="D645" t="s">
        <v>11</v>
      </c>
      <c r="E645" t="s">
        <v>12</v>
      </c>
      <c r="F645">
        <v>4.5</v>
      </c>
      <c r="G645">
        <v>9999</v>
      </c>
      <c r="H645">
        <v>10999</v>
      </c>
      <c r="I645">
        <f>FlipkartTable[[#This Row],[Original Price]]-FlipkartTable[[#This Row],[Selling Price]]</f>
        <v>1000</v>
      </c>
      <c r="J645" s="4">
        <f>(FlipkartTable[[#This Row],[Original Price]]-FlipkartTable[[#This Row],[Selling Price]])/FlipkartTable[[#This Row],[Original Price]]</f>
        <v>9.0917356123283929E-2</v>
      </c>
      <c r="K645">
        <f>(FlipkartTable[[#This Row],[Rating]]/FlipkartTable[[#This Row],[Selling Price]])*1000</f>
        <v>0.45004500450045004</v>
      </c>
      <c r="L645" t="str">
        <f>IF(FlipkartTable[[#This Row],[Selling Price]]&lt;15000,"Budget",IF(FlipkartTable[[#This Row],[Selling Price]]&lt;50000,"Mid Range","Premium"))</f>
        <v>Budget</v>
      </c>
      <c r="M645" t="str">
        <f>IF(FlipkartTable[[#This Row],[Rating]]&gt;4.5,"Excellent",IF(FlipkartTable[[#This Row],[Rating]]&gt;4,"Good",IF(FlipkartTable[[#This Row],[Rating]]&gt;3.5,"Average","Poor")))</f>
        <v>Good</v>
      </c>
    </row>
    <row r="646" spans="1:13" x14ac:dyDescent="0.35">
      <c r="A646" t="s">
        <v>343</v>
      </c>
      <c r="B646" s="9" t="s">
        <v>448</v>
      </c>
      <c r="C646" t="s">
        <v>449</v>
      </c>
      <c r="D646" t="s">
        <v>11</v>
      </c>
      <c r="E646" t="s">
        <v>15</v>
      </c>
      <c r="F646">
        <v>4.5</v>
      </c>
      <c r="G646">
        <v>11999</v>
      </c>
      <c r="H646">
        <v>12999</v>
      </c>
      <c r="I646">
        <f>FlipkartTable[[#This Row],[Original Price]]-FlipkartTable[[#This Row],[Selling Price]]</f>
        <v>1000</v>
      </c>
      <c r="J646" s="4">
        <f>(FlipkartTable[[#This Row],[Original Price]]-FlipkartTable[[#This Row],[Selling Price]])/FlipkartTable[[#This Row],[Original Price]]</f>
        <v>7.692899453804139E-2</v>
      </c>
      <c r="K646">
        <f>(FlipkartTable[[#This Row],[Rating]]/FlipkartTable[[#This Row],[Selling Price]])*1000</f>
        <v>0.37503125260438369</v>
      </c>
      <c r="L646" t="str">
        <f>IF(FlipkartTable[[#This Row],[Selling Price]]&lt;15000,"Budget",IF(FlipkartTable[[#This Row],[Selling Price]]&lt;50000,"Mid Range","Premium"))</f>
        <v>Budget</v>
      </c>
      <c r="M646" t="str">
        <f>IF(FlipkartTable[[#This Row],[Rating]]&gt;4.5,"Excellent",IF(FlipkartTable[[#This Row],[Rating]]&gt;4,"Good",IF(FlipkartTable[[#This Row],[Rating]]&gt;3.5,"Average","Poor")))</f>
        <v>Good</v>
      </c>
    </row>
    <row r="647" spans="1:13" x14ac:dyDescent="0.35">
      <c r="A647" t="s">
        <v>343</v>
      </c>
      <c r="B647" s="9" t="s">
        <v>448</v>
      </c>
      <c r="C647" t="s">
        <v>450</v>
      </c>
      <c r="D647" t="s">
        <v>11</v>
      </c>
      <c r="E647" t="s">
        <v>15</v>
      </c>
      <c r="F647">
        <v>4.5</v>
      </c>
      <c r="G647">
        <v>11999</v>
      </c>
      <c r="H647">
        <v>12999</v>
      </c>
      <c r="I647">
        <f>FlipkartTable[[#This Row],[Original Price]]-FlipkartTable[[#This Row],[Selling Price]]</f>
        <v>1000</v>
      </c>
      <c r="J647" s="4">
        <f>(FlipkartTable[[#This Row],[Original Price]]-FlipkartTable[[#This Row],[Selling Price]])/FlipkartTable[[#This Row],[Original Price]]</f>
        <v>7.692899453804139E-2</v>
      </c>
      <c r="K647">
        <f>(FlipkartTable[[#This Row],[Rating]]/FlipkartTable[[#This Row],[Selling Price]])*1000</f>
        <v>0.37503125260438369</v>
      </c>
      <c r="L647" t="str">
        <f>IF(FlipkartTable[[#This Row],[Selling Price]]&lt;15000,"Budget",IF(FlipkartTable[[#This Row],[Selling Price]]&lt;50000,"Mid Range","Premium"))</f>
        <v>Budget</v>
      </c>
      <c r="M647" t="str">
        <f>IF(FlipkartTable[[#This Row],[Rating]]&gt;4.5,"Excellent",IF(FlipkartTable[[#This Row],[Rating]]&gt;4,"Good",IF(FlipkartTable[[#This Row],[Rating]]&gt;3.5,"Average","Poor")))</f>
        <v>Good</v>
      </c>
    </row>
    <row r="648" spans="1:13" x14ac:dyDescent="0.35">
      <c r="A648" t="s">
        <v>343</v>
      </c>
      <c r="B648" s="9" t="s">
        <v>444</v>
      </c>
      <c r="C648" t="s">
        <v>445</v>
      </c>
      <c r="D648" t="s">
        <v>11</v>
      </c>
      <c r="E648" t="s">
        <v>15</v>
      </c>
      <c r="F648">
        <v>4.3</v>
      </c>
      <c r="G648">
        <v>11499</v>
      </c>
      <c r="H648">
        <v>13999</v>
      </c>
      <c r="I648">
        <f>FlipkartTable[[#This Row],[Original Price]]-FlipkartTable[[#This Row],[Selling Price]]</f>
        <v>2500</v>
      </c>
      <c r="J648" s="4">
        <f>(FlipkartTable[[#This Row],[Original Price]]-FlipkartTable[[#This Row],[Selling Price]])/FlipkartTable[[#This Row],[Original Price]]</f>
        <v>0.1785841845846132</v>
      </c>
      <c r="K648">
        <f>(FlipkartTable[[#This Row],[Rating]]/FlipkartTable[[#This Row],[Selling Price]])*1000</f>
        <v>0.37394556048352029</v>
      </c>
      <c r="L648" t="str">
        <f>IF(FlipkartTable[[#This Row],[Selling Price]]&lt;15000,"Budget",IF(FlipkartTable[[#This Row],[Selling Price]]&lt;50000,"Mid Range","Premium"))</f>
        <v>Budget</v>
      </c>
      <c r="M648" t="str">
        <f>IF(FlipkartTable[[#This Row],[Rating]]&gt;4.5,"Excellent",IF(FlipkartTable[[#This Row],[Rating]]&gt;4,"Good",IF(FlipkartTable[[#This Row],[Rating]]&gt;3.5,"Average","Poor")))</f>
        <v>Good</v>
      </c>
    </row>
    <row r="649" spans="1:13" x14ac:dyDescent="0.35">
      <c r="A649" t="s">
        <v>343</v>
      </c>
      <c r="B649" s="9" t="s">
        <v>442</v>
      </c>
      <c r="C649" t="s">
        <v>445</v>
      </c>
      <c r="D649" t="s">
        <v>11</v>
      </c>
      <c r="E649" t="s">
        <v>12</v>
      </c>
      <c r="F649">
        <v>4.4000000000000004</v>
      </c>
      <c r="G649">
        <v>9499</v>
      </c>
      <c r="H649">
        <v>11999</v>
      </c>
      <c r="I649">
        <f>FlipkartTable[[#This Row],[Original Price]]-FlipkartTable[[#This Row],[Selling Price]]</f>
        <v>2500</v>
      </c>
      <c r="J649" s="4">
        <f>(FlipkartTable[[#This Row],[Original Price]]-FlipkartTable[[#This Row],[Selling Price]])/FlipkartTable[[#This Row],[Original Price]]</f>
        <v>0.20835069589132427</v>
      </c>
      <c r="K649">
        <f>(FlipkartTable[[#This Row],[Rating]]/FlipkartTable[[#This Row],[Selling Price]])*1000</f>
        <v>0.46320665333192973</v>
      </c>
      <c r="L649" t="str">
        <f>IF(FlipkartTable[[#This Row],[Selling Price]]&lt;15000,"Budget",IF(FlipkartTable[[#This Row],[Selling Price]]&lt;50000,"Mid Range","Premium"))</f>
        <v>Budget</v>
      </c>
      <c r="M649" t="str">
        <f>IF(FlipkartTable[[#This Row],[Rating]]&gt;4.5,"Excellent",IF(FlipkartTable[[#This Row],[Rating]]&gt;4,"Good",IF(FlipkartTable[[#This Row],[Rating]]&gt;3.5,"Average","Poor")))</f>
        <v>Good</v>
      </c>
    </row>
    <row r="650" spans="1:13" x14ac:dyDescent="0.35">
      <c r="A650" t="s">
        <v>343</v>
      </c>
      <c r="B650" s="9" t="s">
        <v>396</v>
      </c>
      <c r="C650" t="s">
        <v>397</v>
      </c>
      <c r="D650" t="s">
        <v>35</v>
      </c>
      <c r="E650" t="s">
        <v>124</v>
      </c>
      <c r="F650">
        <v>4.4000000000000004</v>
      </c>
      <c r="G650">
        <v>6499</v>
      </c>
      <c r="H650">
        <v>6999</v>
      </c>
      <c r="I650">
        <f>FlipkartTable[[#This Row],[Original Price]]-FlipkartTable[[#This Row],[Selling Price]]</f>
        <v>500</v>
      </c>
      <c r="J650" s="4">
        <f>(FlipkartTable[[#This Row],[Original Price]]-FlipkartTable[[#This Row],[Selling Price]])/FlipkartTable[[#This Row],[Original Price]]</f>
        <v>7.1438776968138301E-2</v>
      </c>
      <c r="K650">
        <f>(FlipkartTable[[#This Row],[Rating]]/FlipkartTable[[#This Row],[Selling Price]])*1000</f>
        <v>0.67702723495922457</v>
      </c>
      <c r="L650" t="str">
        <f>IF(FlipkartTable[[#This Row],[Selling Price]]&lt;15000,"Budget",IF(FlipkartTable[[#This Row],[Selling Price]]&lt;50000,"Mid Range","Premium"))</f>
        <v>Budget</v>
      </c>
      <c r="M650" t="str">
        <f>IF(FlipkartTable[[#This Row],[Rating]]&gt;4.5,"Excellent",IF(FlipkartTable[[#This Row],[Rating]]&gt;4,"Good",IF(FlipkartTable[[#This Row],[Rating]]&gt;3.5,"Average","Poor")))</f>
        <v>Good</v>
      </c>
    </row>
    <row r="651" spans="1:13" x14ac:dyDescent="0.35">
      <c r="A651" t="s">
        <v>343</v>
      </c>
      <c r="B651" s="9" t="s">
        <v>442</v>
      </c>
      <c r="C651" t="s">
        <v>445</v>
      </c>
      <c r="D651" t="s">
        <v>20</v>
      </c>
      <c r="E651" t="s">
        <v>21</v>
      </c>
      <c r="F651">
        <v>4.3</v>
      </c>
      <c r="G651">
        <v>8499</v>
      </c>
      <c r="H651">
        <v>10999</v>
      </c>
      <c r="I651">
        <f>FlipkartTable[[#This Row],[Original Price]]-FlipkartTable[[#This Row],[Selling Price]]</f>
        <v>2500</v>
      </c>
      <c r="J651" s="4">
        <f>(FlipkartTable[[#This Row],[Original Price]]-FlipkartTable[[#This Row],[Selling Price]])/FlipkartTable[[#This Row],[Original Price]]</f>
        <v>0.22729339030820983</v>
      </c>
      <c r="K651">
        <f>(FlipkartTable[[#This Row],[Rating]]/FlipkartTable[[#This Row],[Selling Price]])*1000</f>
        <v>0.50594187551476644</v>
      </c>
      <c r="L651" t="str">
        <f>IF(FlipkartTable[[#This Row],[Selling Price]]&lt;15000,"Budget",IF(FlipkartTable[[#This Row],[Selling Price]]&lt;50000,"Mid Range","Premium"))</f>
        <v>Budget</v>
      </c>
      <c r="M651" t="str">
        <f>IF(FlipkartTable[[#This Row],[Rating]]&gt;4.5,"Excellent",IF(FlipkartTable[[#This Row],[Rating]]&gt;4,"Good",IF(FlipkartTable[[#This Row],[Rating]]&gt;3.5,"Average","Poor")))</f>
        <v>Good</v>
      </c>
    </row>
    <row r="652" spans="1:13" x14ac:dyDescent="0.35">
      <c r="A652" t="s">
        <v>343</v>
      </c>
      <c r="B652" s="9" t="s">
        <v>451</v>
      </c>
      <c r="C652" t="s">
        <v>452</v>
      </c>
      <c r="D652" t="s">
        <v>27</v>
      </c>
      <c r="E652" t="s">
        <v>15</v>
      </c>
      <c r="F652">
        <v>4.4000000000000004</v>
      </c>
      <c r="G652">
        <v>19999</v>
      </c>
      <c r="H652">
        <v>19999</v>
      </c>
      <c r="I652">
        <f>FlipkartTable[[#This Row],[Original Price]]-FlipkartTable[[#This Row],[Selling Price]]</f>
        <v>0</v>
      </c>
      <c r="J652" s="4">
        <f>(FlipkartTable[[#This Row],[Original Price]]-FlipkartTable[[#This Row],[Selling Price]])/FlipkartTable[[#This Row],[Original Price]]</f>
        <v>0</v>
      </c>
      <c r="K652">
        <f>(FlipkartTable[[#This Row],[Rating]]/FlipkartTable[[#This Row],[Selling Price]])*1000</f>
        <v>0.22001100055002751</v>
      </c>
      <c r="L652" t="str">
        <f>IF(FlipkartTable[[#This Row],[Selling Price]]&lt;15000,"Budget",IF(FlipkartTable[[#This Row],[Selling Price]]&lt;50000,"Mid Range","Premium"))</f>
        <v>Mid Range</v>
      </c>
      <c r="M652" t="str">
        <f>IF(FlipkartTable[[#This Row],[Rating]]&gt;4.5,"Excellent",IF(FlipkartTable[[#This Row],[Rating]]&gt;4,"Good",IF(FlipkartTable[[#This Row],[Rating]]&gt;3.5,"Average","Poor")))</f>
        <v>Good</v>
      </c>
    </row>
    <row r="653" spans="1:13" x14ac:dyDescent="0.35">
      <c r="A653" t="s">
        <v>343</v>
      </c>
      <c r="B653" s="9" t="s">
        <v>446</v>
      </c>
      <c r="C653" t="s">
        <v>453</v>
      </c>
      <c r="D653" t="s">
        <v>20</v>
      </c>
      <c r="E653" t="s">
        <v>21</v>
      </c>
      <c r="F653">
        <v>4.5</v>
      </c>
      <c r="G653">
        <v>8999</v>
      </c>
      <c r="H653">
        <v>9999</v>
      </c>
      <c r="I653">
        <f>FlipkartTable[[#This Row],[Original Price]]-FlipkartTable[[#This Row],[Selling Price]]</f>
        <v>1000</v>
      </c>
      <c r="J653" s="4">
        <f>(FlipkartTable[[#This Row],[Original Price]]-FlipkartTable[[#This Row],[Selling Price]])/FlipkartTable[[#This Row],[Original Price]]</f>
        <v>0.1000100010001</v>
      </c>
      <c r="K653">
        <f>(FlipkartTable[[#This Row],[Rating]]/FlipkartTable[[#This Row],[Selling Price]])*1000</f>
        <v>0.50005556172908106</v>
      </c>
      <c r="L653" t="str">
        <f>IF(FlipkartTable[[#This Row],[Selling Price]]&lt;15000,"Budget",IF(FlipkartTable[[#This Row],[Selling Price]]&lt;50000,"Mid Range","Premium"))</f>
        <v>Budget</v>
      </c>
      <c r="M653" t="str">
        <f>IF(FlipkartTable[[#This Row],[Rating]]&gt;4.5,"Excellent",IF(FlipkartTable[[#This Row],[Rating]]&gt;4,"Good",IF(FlipkartTable[[#This Row],[Rating]]&gt;3.5,"Average","Poor")))</f>
        <v>Good</v>
      </c>
    </row>
    <row r="654" spans="1:13" x14ac:dyDescent="0.35">
      <c r="A654" t="s">
        <v>343</v>
      </c>
      <c r="B654" s="9">
        <v>6</v>
      </c>
      <c r="C654" t="s">
        <v>402</v>
      </c>
      <c r="D654" t="s">
        <v>14</v>
      </c>
      <c r="E654" t="s">
        <v>15</v>
      </c>
      <c r="F654">
        <v>4.4000000000000004</v>
      </c>
      <c r="G654">
        <v>15999</v>
      </c>
      <c r="H654">
        <v>16999</v>
      </c>
      <c r="I654">
        <f>FlipkartTable[[#This Row],[Original Price]]-FlipkartTable[[#This Row],[Selling Price]]</f>
        <v>1000</v>
      </c>
      <c r="J654" s="4">
        <f>(FlipkartTable[[#This Row],[Original Price]]-FlipkartTable[[#This Row],[Selling Price]])/FlipkartTable[[#This Row],[Original Price]]</f>
        <v>5.8826989822930761E-2</v>
      </c>
      <c r="K654">
        <f>(FlipkartTable[[#This Row],[Rating]]/FlipkartTable[[#This Row],[Selling Price]])*1000</f>
        <v>0.27501718857428592</v>
      </c>
      <c r="L654" t="str">
        <f>IF(FlipkartTable[[#This Row],[Selling Price]]&lt;15000,"Budget",IF(FlipkartTable[[#This Row],[Selling Price]]&lt;50000,"Mid Range","Premium"))</f>
        <v>Mid Range</v>
      </c>
      <c r="M654" t="str">
        <f>IF(FlipkartTable[[#This Row],[Rating]]&gt;4.5,"Excellent",IF(FlipkartTable[[#This Row],[Rating]]&gt;4,"Good",IF(FlipkartTable[[#This Row],[Rating]]&gt;3.5,"Average","Poor")))</f>
        <v>Good</v>
      </c>
    </row>
    <row r="655" spans="1:13" x14ac:dyDescent="0.35">
      <c r="A655" t="s">
        <v>343</v>
      </c>
      <c r="B655" s="9" t="s">
        <v>446</v>
      </c>
      <c r="C655" t="s">
        <v>447</v>
      </c>
      <c r="D655" t="s">
        <v>20</v>
      </c>
      <c r="E655" t="s">
        <v>21</v>
      </c>
      <c r="F655">
        <v>4.5</v>
      </c>
      <c r="G655">
        <v>8999</v>
      </c>
      <c r="H655">
        <v>9999</v>
      </c>
      <c r="I655">
        <f>FlipkartTable[[#This Row],[Original Price]]-FlipkartTable[[#This Row],[Selling Price]]</f>
        <v>1000</v>
      </c>
      <c r="J655" s="4">
        <f>(FlipkartTable[[#This Row],[Original Price]]-FlipkartTable[[#This Row],[Selling Price]])/FlipkartTable[[#This Row],[Original Price]]</f>
        <v>0.1000100010001</v>
      </c>
      <c r="K655">
        <f>(FlipkartTable[[#This Row],[Rating]]/FlipkartTable[[#This Row],[Selling Price]])*1000</f>
        <v>0.50005556172908106</v>
      </c>
      <c r="L655" t="str">
        <f>IF(FlipkartTable[[#This Row],[Selling Price]]&lt;15000,"Budget",IF(FlipkartTable[[#This Row],[Selling Price]]&lt;50000,"Mid Range","Premium"))</f>
        <v>Budget</v>
      </c>
      <c r="M655" t="str">
        <f>IF(FlipkartTable[[#This Row],[Rating]]&gt;4.5,"Excellent",IF(FlipkartTable[[#This Row],[Rating]]&gt;4,"Good",IF(FlipkartTable[[#This Row],[Rating]]&gt;3.5,"Average","Poor")))</f>
        <v>Good</v>
      </c>
    </row>
    <row r="656" spans="1:13" x14ac:dyDescent="0.35">
      <c r="A656" t="s">
        <v>343</v>
      </c>
      <c r="B656" s="9" t="s">
        <v>448</v>
      </c>
      <c r="C656" t="s">
        <v>454</v>
      </c>
      <c r="D656" t="s">
        <v>11</v>
      </c>
      <c r="E656" t="s">
        <v>15</v>
      </c>
      <c r="F656">
        <v>4.5</v>
      </c>
      <c r="G656">
        <v>11999</v>
      </c>
      <c r="H656">
        <v>12999</v>
      </c>
      <c r="I656">
        <f>FlipkartTable[[#This Row],[Original Price]]-FlipkartTable[[#This Row],[Selling Price]]</f>
        <v>1000</v>
      </c>
      <c r="J656" s="4">
        <f>(FlipkartTable[[#This Row],[Original Price]]-FlipkartTable[[#This Row],[Selling Price]])/FlipkartTable[[#This Row],[Original Price]]</f>
        <v>7.692899453804139E-2</v>
      </c>
      <c r="K656">
        <f>(FlipkartTable[[#This Row],[Rating]]/FlipkartTable[[#This Row],[Selling Price]])*1000</f>
        <v>0.37503125260438369</v>
      </c>
      <c r="L656" t="str">
        <f>IF(FlipkartTable[[#This Row],[Selling Price]]&lt;15000,"Budget",IF(FlipkartTable[[#This Row],[Selling Price]]&lt;50000,"Mid Range","Premium"))</f>
        <v>Budget</v>
      </c>
      <c r="M656" t="str">
        <f>IF(FlipkartTable[[#This Row],[Rating]]&gt;4.5,"Excellent",IF(FlipkartTable[[#This Row],[Rating]]&gt;4,"Good",IF(FlipkartTable[[#This Row],[Rating]]&gt;3.5,"Average","Poor")))</f>
        <v>Good</v>
      </c>
    </row>
    <row r="657" spans="1:13" x14ac:dyDescent="0.35">
      <c r="A657" t="s">
        <v>343</v>
      </c>
      <c r="B657" s="9">
        <v>6</v>
      </c>
      <c r="C657" t="s">
        <v>427</v>
      </c>
      <c r="D657" t="s">
        <v>11</v>
      </c>
      <c r="E657" t="s">
        <v>12</v>
      </c>
      <c r="F657">
        <v>4.4000000000000004</v>
      </c>
      <c r="G657">
        <v>13999</v>
      </c>
      <c r="H657">
        <v>14999</v>
      </c>
      <c r="I657">
        <f>FlipkartTable[[#This Row],[Original Price]]-FlipkartTable[[#This Row],[Selling Price]]</f>
        <v>1000</v>
      </c>
      <c r="J657" s="4">
        <f>(FlipkartTable[[#This Row],[Original Price]]-FlipkartTable[[#This Row],[Selling Price]])/FlipkartTable[[#This Row],[Original Price]]</f>
        <v>6.6671111407427167E-2</v>
      </c>
      <c r="K657">
        <f>(FlipkartTable[[#This Row],[Rating]]/FlipkartTable[[#This Row],[Selling Price]])*1000</f>
        <v>0.31430816486891927</v>
      </c>
      <c r="L657" t="str">
        <f>IF(FlipkartTable[[#This Row],[Selling Price]]&lt;15000,"Budget",IF(FlipkartTable[[#This Row],[Selling Price]]&lt;50000,"Mid Range","Premium"))</f>
        <v>Budget</v>
      </c>
      <c r="M657" t="str">
        <f>IF(FlipkartTable[[#This Row],[Rating]]&gt;4.5,"Excellent",IF(FlipkartTable[[#This Row],[Rating]]&gt;4,"Good",IF(FlipkartTable[[#This Row],[Rating]]&gt;3.5,"Average","Poor")))</f>
        <v>Good</v>
      </c>
    </row>
    <row r="658" spans="1:13" x14ac:dyDescent="0.35">
      <c r="A658" t="s">
        <v>343</v>
      </c>
      <c r="B658" s="9" t="s">
        <v>455</v>
      </c>
      <c r="C658" t="s">
        <v>456</v>
      </c>
      <c r="D658" t="s">
        <v>20</v>
      </c>
      <c r="E658" t="s">
        <v>21</v>
      </c>
      <c r="F658">
        <v>4.4000000000000004</v>
      </c>
      <c r="G658">
        <v>8285</v>
      </c>
      <c r="H658">
        <v>8285</v>
      </c>
      <c r="I658">
        <f>FlipkartTable[[#This Row],[Original Price]]-FlipkartTable[[#This Row],[Selling Price]]</f>
        <v>0</v>
      </c>
      <c r="J658" s="4">
        <f>(FlipkartTable[[#This Row],[Original Price]]-FlipkartTable[[#This Row],[Selling Price]])/FlipkartTable[[#This Row],[Original Price]]</f>
        <v>0</v>
      </c>
      <c r="K658">
        <f>(FlipkartTable[[#This Row],[Rating]]/FlipkartTable[[#This Row],[Selling Price]])*1000</f>
        <v>0.53108026554013277</v>
      </c>
      <c r="L658" t="str">
        <f>IF(FlipkartTable[[#This Row],[Selling Price]]&lt;15000,"Budget",IF(FlipkartTable[[#This Row],[Selling Price]]&lt;50000,"Mid Range","Premium"))</f>
        <v>Budget</v>
      </c>
      <c r="M658" t="str">
        <f>IF(FlipkartTable[[#This Row],[Rating]]&gt;4.5,"Excellent",IF(FlipkartTable[[#This Row],[Rating]]&gt;4,"Good",IF(FlipkartTable[[#This Row],[Rating]]&gt;3.5,"Average","Poor")))</f>
        <v>Good</v>
      </c>
    </row>
    <row r="659" spans="1:13" x14ac:dyDescent="0.35">
      <c r="A659" t="s">
        <v>343</v>
      </c>
      <c r="B659" s="9" t="s">
        <v>455</v>
      </c>
      <c r="C659" t="s">
        <v>457</v>
      </c>
      <c r="D659" t="s">
        <v>20</v>
      </c>
      <c r="E659" t="s">
        <v>21</v>
      </c>
      <c r="F659">
        <v>4.4000000000000004</v>
      </c>
      <c r="G659">
        <v>8490</v>
      </c>
      <c r="H659">
        <v>8490</v>
      </c>
      <c r="I659">
        <f>FlipkartTable[[#This Row],[Original Price]]-FlipkartTable[[#This Row],[Selling Price]]</f>
        <v>0</v>
      </c>
      <c r="J659" s="4">
        <f>(FlipkartTable[[#This Row],[Original Price]]-FlipkartTable[[#This Row],[Selling Price]])/FlipkartTable[[#This Row],[Original Price]]</f>
        <v>0</v>
      </c>
      <c r="K659">
        <f>(FlipkartTable[[#This Row],[Rating]]/FlipkartTable[[#This Row],[Selling Price]])*1000</f>
        <v>0.51825677267373382</v>
      </c>
      <c r="L659" t="str">
        <f>IF(FlipkartTable[[#This Row],[Selling Price]]&lt;15000,"Budget",IF(FlipkartTable[[#This Row],[Selling Price]]&lt;50000,"Mid Range","Premium"))</f>
        <v>Budget</v>
      </c>
      <c r="M659" t="str">
        <f>IF(FlipkartTable[[#This Row],[Rating]]&gt;4.5,"Excellent",IF(FlipkartTable[[#This Row],[Rating]]&gt;4,"Good",IF(FlipkartTable[[#This Row],[Rating]]&gt;3.5,"Average","Poor")))</f>
        <v>Good</v>
      </c>
    </row>
    <row r="660" spans="1:13" x14ac:dyDescent="0.35">
      <c r="A660" t="s">
        <v>343</v>
      </c>
      <c r="B660" s="9">
        <v>6</v>
      </c>
      <c r="C660" t="s">
        <v>402</v>
      </c>
      <c r="D660" t="s">
        <v>27</v>
      </c>
      <c r="E660" t="s">
        <v>15</v>
      </c>
      <c r="F660">
        <v>4.4000000000000004</v>
      </c>
      <c r="G660">
        <v>16999</v>
      </c>
      <c r="H660">
        <v>17999</v>
      </c>
      <c r="I660">
        <f>FlipkartTable[[#This Row],[Original Price]]-FlipkartTable[[#This Row],[Selling Price]]</f>
        <v>1000</v>
      </c>
      <c r="J660" s="4">
        <f>(FlipkartTable[[#This Row],[Original Price]]-FlipkartTable[[#This Row],[Selling Price]])/FlipkartTable[[#This Row],[Original Price]]</f>
        <v>5.5558642146785936E-2</v>
      </c>
      <c r="K660">
        <f>(FlipkartTable[[#This Row],[Rating]]/FlipkartTable[[#This Row],[Selling Price]])*1000</f>
        <v>0.25883875522089539</v>
      </c>
      <c r="L660" t="str">
        <f>IF(FlipkartTable[[#This Row],[Selling Price]]&lt;15000,"Budget",IF(FlipkartTable[[#This Row],[Selling Price]]&lt;50000,"Mid Range","Premium"))</f>
        <v>Mid Range</v>
      </c>
      <c r="M660" t="str">
        <f>IF(FlipkartTable[[#This Row],[Rating]]&gt;4.5,"Excellent",IF(FlipkartTable[[#This Row],[Rating]]&gt;4,"Good",IF(FlipkartTable[[#This Row],[Rating]]&gt;3.5,"Average","Poor")))</f>
        <v>Good</v>
      </c>
    </row>
    <row r="661" spans="1:13" x14ac:dyDescent="0.35">
      <c r="A661" t="s">
        <v>343</v>
      </c>
      <c r="B661" s="9" t="s">
        <v>458</v>
      </c>
      <c r="C661" t="s">
        <v>403</v>
      </c>
      <c r="D661" t="s">
        <v>27</v>
      </c>
      <c r="E661" t="s">
        <v>15</v>
      </c>
      <c r="F661">
        <v>4.5</v>
      </c>
      <c r="G661">
        <v>31999</v>
      </c>
      <c r="H661">
        <v>31999</v>
      </c>
      <c r="I661">
        <f>FlipkartTable[[#This Row],[Original Price]]-FlipkartTable[[#This Row],[Selling Price]]</f>
        <v>0</v>
      </c>
      <c r="J661" s="4">
        <f>(FlipkartTable[[#This Row],[Original Price]]-FlipkartTable[[#This Row],[Selling Price]])/FlipkartTable[[#This Row],[Original Price]]</f>
        <v>0</v>
      </c>
      <c r="K661">
        <f>(FlipkartTable[[#This Row],[Rating]]/FlipkartTable[[#This Row],[Selling Price]])*1000</f>
        <v>0.1406293946685834</v>
      </c>
      <c r="L661" t="str">
        <f>IF(FlipkartTable[[#This Row],[Selling Price]]&lt;15000,"Budget",IF(FlipkartTable[[#This Row],[Selling Price]]&lt;50000,"Mid Range","Premium"))</f>
        <v>Mid Range</v>
      </c>
      <c r="M661" t="str">
        <f>IF(FlipkartTable[[#This Row],[Rating]]&gt;4.5,"Excellent",IF(FlipkartTable[[#This Row],[Rating]]&gt;4,"Good",IF(FlipkartTable[[#This Row],[Rating]]&gt;3.5,"Average","Poor")))</f>
        <v>Good</v>
      </c>
    </row>
    <row r="662" spans="1:13" x14ac:dyDescent="0.35">
      <c r="A662" t="s">
        <v>343</v>
      </c>
      <c r="B662" s="9">
        <v>6</v>
      </c>
      <c r="C662" t="s">
        <v>402</v>
      </c>
      <c r="D662" t="s">
        <v>11</v>
      </c>
      <c r="E662" t="s">
        <v>12</v>
      </c>
      <c r="F662">
        <v>4.4000000000000004</v>
      </c>
      <c r="G662">
        <v>13999</v>
      </c>
      <c r="H662">
        <v>14999</v>
      </c>
      <c r="I662">
        <f>FlipkartTable[[#This Row],[Original Price]]-FlipkartTable[[#This Row],[Selling Price]]</f>
        <v>1000</v>
      </c>
      <c r="J662" s="4">
        <f>(FlipkartTable[[#This Row],[Original Price]]-FlipkartTable[[#This Row],[Selling Price]])/FlipkartTable[[#This Row],[Original Price]]</f>
        <v>6.6671111407427167E-2</v>
      </c>
      <c r="K662">
        <f>(FlipkartTable[[#This Row],[Rating]]/FlipkartTable[[#This Row],[Selling Price]])*1000</f>
        <v>0.31430816486891927</v>
      </c>
      <c r="L662" t="str">
        <f>IF(FlipkartTable[[#This Row],[Selling Price]]&lt;15000,"Budget",IF(FlipkartTable[[#This Row],[Selling Price]]&lt;50000,"Mid Range","Premium"))</f>
        <v>Budget</v>
      </c>
      <c r="M662" t="str">
        <f>IF(FlipkartTable[[#This Row],[Rating]]&gt;4.5,"Excellent",IF(FlipkartTable[[#This Row],[Rating]]&gt;4,"Good",IF(FlipkartTable[[#This Row],[Rating]]&gt;3.5,"Average","Poor")))</f>
        <v>Good</v>
      </c>
    </row>
    <row r="663" spans="1:13" x14ac:dyDescent="0.35">
      <c r="A663" t="s">
        <v>343</v>
      </c>
      <c r="B663" s="9" t="s">
        <v>455</v>
      </c>
      <c r="C663" t="s">
        <v>459</v>
      </c>
      <c r="D663" t="s">
        <v>11</v>
      </c>
      <c r="E663" t="s">
        <v>12</v>
      </c>
      <c r="F663">
        <v>4.4000000000000004</v>
      </c>
      <c r="G663">
        <v>9999</v>
      </c>
      <c r="H663">
        <v>15499</v>
      </c>
      <c r="I663">
        <f>FlipkartTable[[#This Row],[Original Price]]-FlipkartTable[[#This Row],[Selling Price]]</f>
        <v>5500</v>
      </c>
      <c r="J663" s="4">
        <f>(FlipkartTable[[#This Row],[Original Price]]-FlipkartTable[[#This Row],[Selling Price]])/FlipkartTable[[#This Row],[Original Price]]</f>
        <v>0.35486160397444999</v>
      </c>
      <c r="K663">
        <f>(FlipkartTable[[#This Row],[Rating]]/FlipkartTable[[#This Row],[Selling Price]])*1000</f>
        <v>0.44004400440044006</v>
      </c>
      <c r="L663" t="str">
        <f>IF(FlipkartTable[[#This Row],[Selling Price]]&lt;15000,"Budget",IF(FlipkartTable[[#This Row],[Selling Price]]&lt;50000,"Mid Range","Premium"))</f>
        <v>Budget</v>
      </c>
      <c r="M663" t="str">
        <f>IF(FlipkartTable[[#This Row],[Rating]]&gt;4.5,"Excellent",IF(FlipkartTable[[#This Row],[Rating]]&gt;4,"Good",IF(FlipkartTable[[#This Row],[Rating]]&gt;3.5,"Average","Poor")))</f>
        <v>Good</v>
      </c>
    </row>
    <row r="664" spans="1:13" x14ac:dyDescent="0.35">
      <c r="A664" t="s">
        <v>343</v>
      </c>
      <c r="B664" s="9" t="s">
        <v>451</v>
      </c>
      <c r="C664" t="s">
        <v>460</v>
      </c>
      <c r="D664" t="s">
        <v>14</v>
      </c>
      <c r="E664" t="s">
        <v>12</v>
      </c>
      <c r="F664">
        <v>4.4000000000000004</v>
      </c>
      <c r="G664">
        <v>17999</v>
      </c>
      <c r="H664">
        <v>17999</v>
      </c>
      <c r="I664">
        <f>FlipkartTable[[#This Row],[Original Price]]-FlipkartTable[[#This Row],[Selling Price]]</f>
        <v>0</v>
      </c>
      <c r="J664" s="4">
        <f>(FlipkartTable[[#This Row],[Original Price]]-FlipkartTable[[#This Row],[Selling Price]])/FlipkartTable[[#This Row],[Original Price]]</f>
        <v>0</v>
      </c>
      <c r="K664">
        <f>(FlipkartTable[[#This Row],[Rating]]/FlipkartTable[[#This Row],[Selling Price]])*1000</f>
        <v>0.24445802544585812</v>
      </c>
      <c r="L664" t="str">
        <f>IF(FlipkartTable[[#This Row],[Selling Price]]&lt;15000,"Budget",IF(FlipkartTable[[#This Row],[Selling Price]]&lt;50000,"Mid Range","Premium"))</f>
        <v>Mid Range</v>
      </c>
      <c r="M664" t="str">
        <f>IF(FlipkartTable[[#This Row],[Rating]]&gt;4.5,"Excellent",IF(FlipkartTable[[#This Row],[Rating]]&gt;4,"Good",IF(FlipkartTable[[#This Row],[Rating]]&gt;3.5,"Average","Poor")))</f>
        <v>Good</v>
      </c>
    </row>
    <row r="665" spans="1:13" x14ac:dyDescent="0.35">
      <c r="A665" t="s">
        <v>343</v>
      </c>
      <c r="B665" s="9">
        <v>1</v>
      </c>
      <c r="C665" t="s">
        <v>461</v>
      </c>
      <c r="D665" t="s">
        <v>14</v>
      </c>
      <c r="E665" t="s">
        <v>15</v>
      </c>
      <c r="F665">
        <v>4.3</v>
      </c>
      <c r="G665">
        <v>12799</v>
      </c>
      <c r="H665">
        <v>12799</v>
      </c>
      <c r="I665">
        <f>FlipkartTable[[#This Row],[Original Price]]-FlipkartTable[[#This Row],[Selling Price]]</f>
        <v>0</v>
      </c>
      <c r="J665" s="4">
        <f>(FlipkartTable[[#This Row],[Original Price]]-FlipkartTable[[#This Row],[Selling Price]])/FlipkartTable[[#This Row],[Original Price]]</f>
        <v>0</v>
      </c>
      <c r="K665">
        <f>(FlipkartTable[[#This Row],[Rating]]/FlipkartTable[[#This Row],[Selling Price]])*1000</f>
        <v>0.33596374716774746</v>
      </c>
      <c r="L665" t="str">
        <f>IF(FlipkartTable[[#This Row],[Selling Price]]&lt;15000,"Budget",IF(FlipkartTable[[#This Row],[Selling Price]]&lt;50000,"Mid Range","Premium"))</f>
        <v>Budget</v>
      </c>
      <c r="M665" t="str">
        <f>IF(FlipkartTable[[#This Row],[Rating]]&gt;4.5,"Excellent",IF(FlipkartTable[[#This Row],[Rating]]&gt;4,"Good",IF(FlipkartTable[[#This Row],[Rating]]&gt;3.5,"Average","Poor")))</f>
        <v>Good</v>
      </c>
    </row>
    <row r="666" spans="1:13" x14ac:dyDescent="0.35">
      <c r="A666" t="s">
        <v>343</v>
      </c>
      <c r="B666" s="9" t="s">
        <v>455</v>
      </c>
      <c r="C666" t="s">
        <v>457</v>
      </c>
      <c r="D666" t="s">
        <v>11</v>
      </c>
      <c r="E666" t="s">
        <v>12</v>
      </c>
      <c r="F666">
        <v>4.4000000000000004</v>
      </c>
      <c r="G666">
        <v>11990</v>
      </c>
      <c r="H666">
        <v>15499</v>
      </c>
      <c r="I666">
        <f>FlipkartTable[[#This Row],[Original Price]]-FlipkartTable[[#This Row],[Selling Price]]</f>
        <v>3509</v>
      </c>
      <c r="J666" s="4">
        <f>(FlipkartTable[[#This Row],[Original Price]]-FlipkartTable[[#This Row],[Selling Price]])/FlipkartTable[[#This Row],[Original Price]]</f>
        <v>0.22640170333569909</v>
      </c>
      <c r="K666">
        <f>(FlipkartTable[[#This Row],[Rating]]/FlipkartTable[[#This Row],[Selling Price]])*1000</f>
        <v>0.36697247706422026</v>
      </c>
      <c r="L666" t="str">
        <f>IF(FlipkartTable[[#This Row],[Selling Price]]&lt;15000,"Budget",IF(FlipkartTable[[#This Row],[Selling Price]]&lt;50000,"Mid Range","Premium"))</f>
        <v>Budget</v>
      </c>
      <c r="M666" t="str">
        <f>IF(FlipkartTable[[#This Row],[Rating]]&gt;4.5,"Excellent",IF(FlipkartTable[[#This Row],[Rating]]&gt;4,"Good",IF(FlipkartTable[[#This Row],[Rating]]&gt;3.5,"Average","Poor")))</f>
        <v>Good</v>
      </c>
    </row>
    <row r="667" spans="1:13" x14ac:dyDescent="0.35">
      <c r="A667" t="s">
        <v>343</v>
      </c>
      <c r="B667" s="9" t="s">
        <v>462</v>
      </c>
      <c r="C667" t="s">
        <v>25</v>
      </c>
      <c r="D667" t="s">
        <v>11</v>
      </c>
      <c r="E667" t="s">
        <v>15</v>
      </c>
      <c r="F667">
        <v>4.5</v>
      </c>
      <c r="G667">
        <v>11999</v>
      </c>
      <c r="H667">
        <v>12999</v>
      </c>
      <c r="I667">
        <f>FlipkartTable[[#This Row],[Original Price]]-FlipkartTable[[#This Row],[Selling Price]]</f>
        <v>1000</v>
      </c>
      <c r="J667" s="4">
        <f>(FlipkartTable[[#This Row],[Original Price]]-FlipkartTable[[#This Row],[Selling Price]])/FlipkartTable[[#This Row],[Original Price]]</f>
        <v>7.692899453804139E-2</v>
      </c>
      <c r="K667">
        <f>(FlipkartTable[[#This Row],[Rating]]/FlipkartTable[[#This Row],[Selling Price]])*1000</f>
        <v>0.37503125260438369</v>
      </c>
      <c r="L667" t="str">
        <f>IF(FlipkartTable[[#This Row],[Selling Price]]&lt;15000,"Budget",IF(FlipkartTable[[#This Row],[Selling Price]]&lt;50000,"Mid Range","Premium"))</f>
        <v>Budget</v>
      </c>
      <c r="M667" t="str">
        <f>IF(FlipkartTable[[#This Row],[Rating]]&gt;4.5,"Excellent",IF(FlipkartTable[[#This Row],[Rating]]&gt;4,"Good",IF(FlipkartTable[[#This Row],[Rating]]&gt;3.5,"Average","Poor")))</f>
        <v>Good</v>
      </c>
    </row>
    <row r="668" spans="1:13" x14ac:dyDescent="0.35">
      <c r="A668" t="s">
        <v>343</v>
      </c>
      <c r="B668" s="9" t="s">
        <v>388</v>
      </c>
      <c r="C668" t="s">
        <v>434</v>
      </c>
      <c r="D668" t="s">
        <v>11</v>
      </c>
      <c r="E668" t="s">
        <v>12</v>
      </c>
      <c r="F668">
        <v>4.4000000000000004</v>
      </c>
      <c r="G668">
        <v>10999</v>
      </c>
      <c r="H668">
        <v>10999</v>
      </c>
      <c r="I668">
        <f>FlipkartTable[[#This Row],[Original Price]]-FlipkartTable[[#This Row],[Selling Price]]</f>
        <v>0</v>
      </c>
      <c r="J668" s="4">
        <f>(FlipkartTable[[#This Row],[Original Price]]-FlipkartTable[[#This Row],[Selling Price]])/FlipkartTable[[#This Row],[Original Price]]</f>
        <v>0</v>
      </c>
      <c r="K668">
        <f>(FlipkartTable[[#This Row],[Rating]]/FlipkartTable[[#This Row],[Selling Price]])*1000</f>
        <v>0.40003636694244932</v>
      </c>
      <c r="L668" t="str">
        <f>IF(FlipkartTable[[#This Row],[Selling Price]]&lt;15000,"Budget",IF(FlipkartTable[[#This Row],[Selling Price]]&lt;50000,"Mid Range","Premium"))</f>
        <v>Budget</v>
      </c>
      <c r="M668" t="str">
        <f>IF(FlipkartTable[[#This Row],[Rating]]&gt;4.5,"Excellent",IF(FlipkartTable[[#This Row],[Rating]]&gt;4,"Good",IF(FlipkartTable[[#This Row],[Rating]]&gt;3.5,"Average","Poor")))</f>
        <v>Good</v>
      </c>
    </row>
    <row r="669" spans="1:13" x14ac:dyDescent="0.35">
      <c r="A669" t="s">
        <v>343</v>
      </c>
      <c r="B669" s="9" t="s">
        <v>420</v>
      </c>
      <c r="C669" t="s">
        <v>171</v>
      </c>
      <c r="D669" t="s">
        <v>27</v>
      </c>
      <c r="E669" t="s">
        <v>15</v>
      </c>
      <c r="F669">
        <v>4.4000000000000004</v>
      </c>
      <c r="G669">
        <v>25999</v>
      </c>
      <c r="H669">
        <v>27999</v>
      </c>
      <c r="I669">
        <f>FlipkartTable[[#This Row],[Original Price]]-FlipkartTable[[#This Row],[Selling Price]]</f>
        <v>2000</v>
      </c>
      <c r="J669" s="4">
        <f>(FlipkartTable[[#This Row],[Original Price]]-FlipkartTable[[#This Row],[Selling Price]])/FlipkartTable[[#This Row],[Original Price]]</f>
        <v>7.1431122540090722E-2</v>
      </c>
      <c r="K669">
        <f>(FlipkartTable[[#This Row],[Rating]]/FlipkartTable[[#This Row],[Selling Price]])*1000</f>
        <v>0.16923727835685989</v>
      </c>
      <c r="L669" t="str">
        <f>IF(FlipkartTable[[#This Row],[Selling Price]]&lt;15000,"Budget",IF(FlipkartTable[[#This Row],[Selling Price]]&lt;50000,"Mid Range","Premium"))</f>
        <v>Mid Range</v>
      </c>
      <c r="M669" t="str">
        <f>IF(FlipkartTable[[#This Row],[Rating]]&gt;4.5,"Excellent",IF(FlipkartTable[[#This Row],[Rating]]&gt;4,"Good",IF(FlipkartTable[[#This Row],[Rating]]&gt;3.5,"Average","Poor")))</f>
        <v>Good</v>
      </c>
    </row>
    <row r="670" spans="1:13" x14ac:dyDescent="0.35">
      <c r="A670" t="s">
        <v>343</v>
      </c>
      <c r="B670" s="9" t="s">
        <v>455</v>
      </c>
      <c r="C670" t="s">
        <v>457</v>
      </c>
      <c r="D670" t="s">
        <v>20</v>
      </c>
      <c r="E670" t="s">
        <v>12</v>
      </c>
      <c r="F670">
        <v>4.4000000000000004</v>
      </c>
      <c r="G670">
        <v>11999</v>
      </c>
      <c r="H670">
        <v>11999</v>
      </c>
      <c r="I670">
        <f>FlipkartTable[[#This Row],[Original Price]]-FlipkartTable[[#This Row],[Selling Price]]</f>
        <v>0</v>
      </c>
      <c r="J670" s="4">
        <f>(FlipkartTable[[#This Row],[Original Price]]-FlipkartTable[[#This Row],[Selling Price]])/FlipkartTable[[#This Row],[Original Price]]</f>
        <v>0</v>
      </c>
      <c r="K670">
        <f>(FlipkartTable[[#This Row],[Rating]]/FlipkartTable[[#This Row],[Selling Price]])*1000</f>
        <v>0.36669722476873073</v>
      </c>
      <c r="L670" t="str">
        <f>IF(FlipkartTable[[#This Row],[Selling Price]]&lt;15000,"Budget",IF(FlipkartTable[[#This Row],[Selling Price]]&lt;50000,"Mid Range","Premium"))</f>
        <v>Budget</v>
      </c>
      <c r="M670" t="str">
        <f>IF(FlipkartTable[[#This Row],[Rating]]&gt;4.5,"Excellent",IF(FlipkartTable[[#This Row],[Rating]]&gt;4,"Good",IF(FlipkartTable[[#This Row],[Rating]]&gt;3.5,"Average","Poor")))</f>
        <v>Good</v>
      </c>
    </row>
    <row r="671" spans="1:13" x14ac:dyDescent="0.35">
      <c r="A671" t="s">
        <v>343</v>
      </c>
      <c r="B671" s="9">
        <v>2</v>
      </c>
      <c r="C671" t="s">
        <v>106</v>
      </c>
      <c r="D671" t="s">
        <v>11</v>
      </c>
      <c r="E671" t="s">
        <v>12</v>
      </c>
      <c r="F671">
        <v>4.4000000000000004</v>
      </c>
      <c r="G671">
        <v>11990</v>
      </c>
      <c r="H671">
        <v>11990</v>
      </c>
      <c r="I671">
        <f>FlipkartTable[[#This Row],[Original Price]]-FlipkartTable[[#This Row],[Selling Price]]</f>
        <v>0</v>
      </c>
      <c r="J671" s="4">
        <f>(FlipkartTable[[#This Row],[Original Price]]-FlipkartTable[[#This Row],[Selling Price]])/FlipkartTable[[#This Row],[Original Price]]</f>
        <v>0</v>
      </c>
      <c r="K671">
        <f>(FlipkartTable[[#This Row],[Rating]]/FlipkartTable[[#This Row],[Selling Price]])*1000</f>
        <v>0.36697247706422026</v>
      </c>
      <c r="L671" t="str">
        <f>IF(FlipkartTable[[#This Row],[Selling Price]]&lt;15000,"Budget",IF(FlipkartTable[[#This Row],[Selling Price]]&lt;50000,"Mid Range","Premium"))</f>
        <v>Budget</v>
      </c>
      <c r="M671" t="str">
        <f>IF(FlipkartTable[[#This Row],[Rating]]&gt;4.5,"Excellent",IF(FlipkartTable[[#This Row],[Rating]]&gt;4,"Good",IF(FlipkartTable[[#This Row],[Rating]]&gt;3.5,"Average","Poor")))</f>
        <v>Good</v>
      </c>
    </row>
    <row r="672" spans="1:13" x14ac:dyDescent="0.35">
      <c r="A672" t="s">
        <v>343</v>
      </c>
      <c r="B672" s="9">
        <v>1</v>
      </c>
      <c r="C672" t="s">
        <v>147</v>
      </c>
      <c r="D672" t="s">
        <v>11</v>
      </c>
      <c r="E672" t="s">
        <v>12</v>
      </c>
      <c r="F672">
        <v>4.4000000000000004</v>
      </c>
      <c r="G672">
        <v>9490</v>
      </c>
      <c r="H672">
        <v>9490</v>
      </c>
      <c r="I672">
        <f>FlipkartTable[[#This Row],[Original Price]]-FlipkartTable[[#This Row],[Selling Price]]</f>
        <v>0</v>
      </c>
      <c r="J672" s="4">
        <f>(FlipkartTable[[#This Row],[Original Price]]-FlipkartTable[[#This Row],[Selling Price]])/FlipkartTable[[#This Row],[Original Price]]</f>
        <v>0</v>
      </c>
      <c r="K672">
        <f>(FlipkartTable[[#This Row],[Rating]]/FlipkartTable[[#This Row],[Selling Price]])*1000</f>
        <v>0.46364594309799789</v>
      </c>
      <c r="L672" t="str">
        <f>IF(FlipkartTable[[#This Row],[Selling Price]]&lt;15000,"Budget",IF(FlipkartTable[[#This Row],[Selling Price]]&lt;50000,"Mid Range","Premium"))</f>
        <v>Budget</v>
      </c>
      <c r="M672" t="str">
        <f>IF(FlipkartTable[[#This Row],[Rating]]&gt;4.5,"Excellent",IF(FlipkartTable[[#This Row],[Rating]]&gt;4,"Good",IF(FlipkartTable[[#This Row],[Rating]]&gt;3.5,"Average","Poor")))</f>
        <v>Good</v>
      </c>
    </row>
    <row r="673" spans="1:13" x14ac:dyDescent="0.35">
      <c r="A673" t="s">
        <v>343</v>
      </c>
      <c r="B673" s="9" t="s">
        <v>451</v>
      </c>
      <c r="C673" t="s">
        <v>452</v>
      </c>
      <c r="D673" t="s">
        <v>14</v>
      </c>
      <c r="E673" t="s">
        <v>12</v>
      </c>
      <c r="F673">
        <v>4.4000000000000004</v>
      </c>
      <c r="G673">
        <v>17999</v>
      </c>
      <c r="H673">
        <v>17999</v>
      </c>
      <c r="I673">
        <f>FlipkartTable[[#This Row],[Original Price]]-FlipkartTable[[#This Row],[Selling Price]]</f>
        <v>0</v>
      </c>
      <c r="J673" s="4">
        <f>(FlipkartTable[[#This Row],[Original Price]]-FlipkartTable[[#This Row],[Selling Price]])/FlipkartTable[[#This Row],[Original Price]]</f>
        <v>0</v>
      </c>
      <c r="K673">
        <f>(FlipkartTable[[#This Row],[Rating]]/FlipkartTable[[#This Row],[Selling Price]])*1000</f>
        <v>0.24445802544585812</v>
      </c>
      <c r="L673" t="str">
        <f>IF(FlipkartTable[[#This Row],[Selling Price]]&lt;15000,"Budget",IF(FlipkartTable[[#This Row],[Selling Price]]&lt;50000,"Mid Range","Premium"))</f>
        <v>Mid Range</v>
      </c>
      <c r="M673" t="str">
        <f>IF(FlipkartTable[[#This Row],[Rating]]&gt;4.5,"Excellent",IF(FlipkartTable[[#This Row],[Rating]]&gt;4,"Good",IF(FlipkartTable[[#This Row],[Rating]]&gt;3.5,"Average","Poor")))</f>
        <v>Good</v>
      </c>
    </row>
    <row r="674" spans="1:13" x14ac:dyDescent="0.35">
      <c r="A674" t="s">
        <v>343</v>
      </c>
      <c r="B674" s="9" t="s">
        <v>404</v>
      </c>
      <c r="C674" t="s">
        <v>415</v>
      </c>
      <c r="D674" t="s">
        <v>11</v>
      </c>
      <c r="E674" t="s">
        <v>12</v>
      </c>
      <c r="F674">
        <v>4.5</v>
      </c>
      <c r="G674">
        <v>17999</v>
      </c>
      <c r="H674">
        <v>17999</v>
      </c>
      <c r="I674">
        <f>FlipkartTable[[#This Row],[Original Price]]-FlipkartTable[[#This Row],[Selling Price]]</f>
        <v>0</v>
      </c>
      <c r="J674" s="4">
        <f>(FlipkartTable[[#This Row],[Original Price]]-FlipkartTable[[#This Row],[Selling Price]])/FlipkartTable[[#This Row],[Original Price]]</f>
        <v>0</v>
      </c>
      <c r="K674">
        <f>(FlipkartTable[[#This Row],[Rating]]/FlipkartTable[[#This Row],[Selling Price]])*1000</f>
        <v>0.25001388966053667</v>
      </c>
      <c r="L674" t="str">
        <f>IF(FlipkartTable[[#This Row],[Selling Price]]&lt;15000,"Budget",IF(FlipkartTable[[#This Row],[Selling Price]]&lt;50000,"Mid Range","Premium"))</f>
        <v>Mid Range</v>
      </c>
      <c r="M674" t="str">
        <f>IF(FlipkartTable[[#This Row],[Rating]]&gt;4.5,"Excellent",IF(FlipkartTable[[#This Row],[Rating]]&gt;4,"Good",IF(FlipkartTable[[#This Row],[Rating]]&gt;3.5,"Average","Poor")))</f>
        <v>Good</v>
      </c>
    </row>
    <row r="675" spans="1:13" x14ac:dyDescent="0.35">
      <c r="A675" t="s">
        <v>343</v>
      </c>
      <c r="B675" s="9" t="s">
        <v>404</v>
      </c>
      <c r="C675" t="s">
        <v>52</v>
      </c>
      <c r="D675" t="s">
        <v>11</v>
      </c>
      <c r="E675" t="s">
        <v>12</v>
      </c>
      <c r="F675">
        <v>4.5</v>
      </c>
      <c r="G675">
        <v>17999</v>
      </c>
      <c r="H675">
        <v>17999</v>
      </c>
      <c r="I675">
        <f>FlipkartTable[[#This Row],[Original Price]]-FlipkartTable[[#This Row],[Selling Price]]</f>
        <v>0</v>
      </c>
      <c r="J675" s="4">
        <f>(FlipkartTable[[#This Row],[Original Price]]-FlipkartTable[[#This Row],[Selling Price]])/FlipkartTable[[#This Row],[Original Price]]</f>
        <v>0</v>
      </c>
      <c r="K675">
        <f>(FlipkartTable[[#This Row],[Rating]]/FlipkartTable[[#This Row],[Selling Price]])*1000</f>
        <v>0.25001388966053667</v>
      </c>
      <c r="L675" t="str">
        <f>IF(FlipkartTable[[#This Row],[Selling Price]]&lt;15000,"Budget",IF(FlipkartTable[[#This Row],[Selling Price]]&lt;50000,"Mid Range","Premium"))</f>
        <v>Mid Range</v>
      </c>
      <c r="M675" t="str">
        <f>IF(FlipkartTable[[#This Row],[Rating]]&gt;4.5,"Excellent",IF(FlipkartTable[[#This Row],[Rating]]&gt;4,"Good",IF(FlipkartTable[[#This Row],[Rating]]&gt;3.5,"Average","Poor")))</f>
        <v>Good</v>
      </c>
    </row>
    <row r="676" spans="1:13" x14ac:dyDescent="0.35">
      <c r="A676" t="s">
        <v>343</v>
      </c>
      <c r="B676" s="9" t="s">
        <v>451</v>
      </c>
      <c r="C676" t="s">
        <v>460</v>
      </c>
      <c r="D676" t="s">
        <v>27</v>
      </c>
      <c r="E676" t="s">
        <v>15</v>
      </c>
      <c r="F676">
        <v>4.4000000000000004</v>
      </c>
      <c r="G676">
        <v>19999</v>
      </c>
      <c r="H676">
        <v>19999</v>
      </c>
      <c r="I676">
        <f>FlipkartTable[[#This Row],[Original Price]]-FlipkartTable[[#This Row],[Selling Price]]</f>
        <v>0</v>
      </c>
      <c r="J676" s="4">
        <f>(FlipkartTable[[#This Row],[Original Price]]-FlipkartTable[[#This Row],[Selling Price]])/FlipkartTable[[#This Row],[Original Price]]</f>
        <v>0</v>
      </c>
      <c r="K676">
        <f>(FlipkartTable[[#This Row],[Rating]]/FlipkartTable[[#This Row],[Selling Price]])*1000</f>
        <v>0.22001100055002751</v>
      </c>
      <c r="L676" t="str">
        <f>IF(FlipkartTable[[#This Row],[Selling Price]]&lt;15000,"Budget",IF(FlipkartTable[[#This Row],[Selling Price]]&lt;50000,"Mid Range","Premium"))</f>
        <v>Mid Range</v>
      </c>
      <c r="M676" t="str">
        <f>IF(FlipkartTable[[#This Row],[Rating]]&gt;4.5,"Excellent",IF(FlipkartTable[[#This Row],[Rating]]&gt;4,"Good",IF(FlipkartTable[[#This Row],[Rating]]&gt;3.5,"Average","Poor")))</f>
        <v>Good</v>
      </c>
    </row>
    <row r="677" spans="1:13" x14ac:dyDescent="0.35">
      <c r="A677" t="s">
        <v>343</v>
      </c>
      <c r="B677" s="9" t="s">
        <v>396</v>
      </c>
      <c r="C677" t="s">
        <v>106</v>
      </c>
      <c r="D677" t="s">
        <v>20</v>
      </c>
      <c r="E677" t="s">
        <v>21</v>
      </c>
      <c r="F677">
        <v>4.4000000000000004</v>
      </c>
      <c r="G677">
        <v>7499</v>
      </c>
      <c r="H677">
        <v>8999</v>
      </c>
      <c r="I677">
        <f>FlipkartTable[[#This Row],[Original Price]]-FlipkartTable[[#This Row],[Selling Price]]</f>
        <v>1500</v>
      </c>
      <c r="J677" s="4">
        <f>(FlipkartTable[[#This Row],[Original Price]]-FlipkartTable[[#This Row],[Selling Price]])/FlipkartTable[[#This Row],[Original Price]]</f>
        <v>0.166685187243027</v>
      </c>
      <c r="K677">
        <f>(FlipkartTable[[#This Row],[Rating]]/FlipkartTable[[#This Row],[Selling Price]])*1000</f>
        <v>0.58674489931990936</v>
      </c>
      <c r="L677" t="str">
        <f>IF(FlipkartTable[[#This Row],[Selling Price]]&lt;15000,"Budget",IF(FlipkartTable[[#This Row],[Selling Price]]&lt;50000,"Mid Range","Premium"))</f>
        <v>Budget</v>
      </c>
      <c r="M677" t="str">
        <f>IF(FlipkartTable[[#This Row],[Rating]]&gt;4.5,"Excellent",IF(FlipkartTable[[#This Row],[Rating]]&gt;4,"Good",IF(FlipkartTable[[#This Row],[Rating]]&gt;3.5,"Average","Poor")))</f>
        <v>Good</v>
      </c>
    </row>
    <row r="678" spans="1:13" x14ac:dyDescent="0.35">
      <c r="A678" t="s">
        <v>343</v>
      </c>
      <c r="B678" s="9" t="s">
        <v>396</v>
      </c>
      <c r="C678" t="s">
        <v>463</v>
      </c>
      <c r="D678" t="s">
        <v>20</v>
      </c>
      <c r="E678" t="s">
        <v>21</v>
      </c>
      <c r="F678">
        <v>4.4000000000000004</v>
      </c>
      <c r="G678">
        <v>7499</v>
      </c>
      <c r="H678">
        <v>8999</v>
      </c>
      <c r="I678">
        <f>FlipkartTable[[#This Row],[Original Price]]-FlipkartTable[[#This Row],[Selling Price]]</f>
        <v>1500</v>
      </c>
      <c r="J678" s="4">
        <f>(FlipkartTable[[#This Row],[Original Price]]-FlipkartTable[[#This Row],[Selling Price]])/FlipkartTable[[#This Row],[Original Price]]</f>
        <v>0.166685187243027</v>
      </c>
      <c r="K678">
        <f>(FlipkartTable[[#This Row],[Rating]]/FlipkartTable[[#This Row],[Selling Price]])*1000</f>
        <v>0.58674489931990936</v>
      </c>
      <c r="L678" t="str">
        <f>IF(FlipkartTable[[#This Row],[Selling Price]]&lt;15000,"Budget",IF(FlipkartTable[[#This Row],[Selling Price]]&lt;50000,"Mid Range","Premium"))</f>
        <v>Budget</v>
      </c>
      <c r="M678" t="str">
        <f>IF(FlipkartTable[[#This Row],[Rating]]&gt;4.5,"Excellent",IF(FlipkartTable[[#This Row],[Rating]]&gt;4,"Good",IF(FlipkartTable[[#This Row],[Rating]]&gt;3.5,"Average","Poor")))</f>
        <v>Good</v>
      </c>
    </row>
    <row r="679" spans="1:13" x14ac:dyDescent="0.35">
      <c r="A679" t="s">
        <v>343</v>
      </c>
      <c r="B679" s="9" t="s">
        <v>396</v>
      </c>
      <c r="C679" t="s">
        <v>464</v>
      </c>
      <c r="D679" t="s">
        <v>20</v>
      </c>
      <c r="E679" t="s">
        <v>21</v>
      </c>
      <c r="F679">
        <v>4.4000000000000004</v>
      </c>
      <c r="G679">
        <v>7499</v>
      </c>
      <c r="H679">
        <v>8999</v>
      </c>
      <c r="I679">
        <f>FlipkartTable[[#This Row],[Original Price]]-FlipkartTable[[#This Row],[Selling Price]]</f>
        <v>1500</v>
      </c>
      <c r="J679" s="4">
        <f>(FlipkartTable[[#This Row],[Original Price]]-FlipkartTable[[#This Row],[Selling Price]])/FlipkartTable[[#This Row],[Original Price]]</f>
        <v>0.166685187243027</v>
      </c>
      <c r="K679">
        <f>(FlipkartTable[[#This Row],[Rating]]/FlipkartTable[[#This Row],[Selling Price]])*1000</f>
        <v>0.58674489931990936</v>
      </c>
      <c r="L679" t="str">
        <f>IF(FlipkartTable[[#This Row],[Selling Price]]&lt;15000,"Budget",IF(FlipkartTable[[#This Row],[Selling Price]]&lt;50000,"Mid Range","Premium"))</f>
        <v>Budget</v>
      </c>
      <c r="M679" t="str">
        <f>IF(FlipkartTable[[#This Row],[Rating]]&gt;4.5,"Excellent",IF(FlipkartTable[[#This Row],[Rating]]&gt;4,"Good",IF(FlipkartTable[[#This Row],[Rating]]&gt;3.5,"Average","Poor")))</f>
        <v>Good</v>
      </c>
    </row>
    <row r="680" spans="1:13" x14ac:dyDescent="0.35">
      <c r="A680" t="s">
        <v>343</v>
      </c>
      <c r="B680" s="9" t="s">
        <v>407</v>
      </c>
      <c r="C680" t="s">
        <v>465</v>
      </c>
      <c r="D680" t="s">
        <v>11</v>
      </c>
      <c r="E680" t="s">
        <v>12</v>
      </c>
      <c r="F680">
        <v>4.5</v>
      </c>
      <c r="G680">
        <v>10999</v>
      </c>
      <c r="H680">
        <v>10999</v>
      </c>
      <c r="I680">
        <f>FlipkartTable[[#This Row],[Original Price]]-FlipkartTable[[#This Row],[Selling Price]]</f>
        <v>0</v>
      </c>
      <c r="J680" s="4">
        <f>(FlipkartTable[[#This Row],[Original Price]]-FlipkartTable[[#This Row],[Selling Price]])/FlipkartTable[[#This Row],[Original Price]]</f>
        <v>0</v>
      </c>
      <c r="K680">
        <f>(FlipkartTable[[#This Row],[Rating]]/FlipkartTable[[#This Row],[Selling Price]])*1000</f>
        <v>0.40912810255477766</v>
      </c>
      <c r="L680" t="str">
        <f>IF(FlipkartTable[[#This Row],[Selling Price]]&lt;15000,"Budget",IF(FlipkartTable[[#This Row],[Selling Price]]&lt;50000,"Mid Range","Premium"))</f>
        <v>Budget</v>
      </c>
      <c r="M680" t="str">
        <f>IF(FlipkartTable[[#This Row],[Rating]]&gt;4.5,"Excellent",IF(FlipkartTable[[#This Row],[Rating]]&gt;4,"Good",IF(FlipkartTable[[#This Row],[Rating]]&gt;3.5,"Average","Poor")))</f>
        <v>Good</v>
      </c>
    </row>
    <row r="681" spans="1:13" x14ac:dyDescent="0.35">
      <c r="A681" t="s">
        <v>343</v>
      </c>
      <c r="B681" s="9" t="s">
        <v>404</v>
      </c>
      <c r="C681" t="s">
        <v>52</v>
      </c>
      <c r="D681" t="s">
        <v>14</v>
      </c>
      <c r="E681" t="s">
        <v>15</v>
      </c>
      <c r="F681">
        <v>4.5</v>
      </c>
      <c r="G681">
        <v>19999</v>
      </c>
      <c r="H681">
        <v>19999</v>
      </c>
      <c r="I681">
        <f>FlipkartTable[[#This Row],[Original Price]]-FlipkartTable[[#This Row],[Selling Price]]</f>
        <v>0</v>
      </c>
      <c r="J681" s="4">
        <f>(FlipkartTable[[#This Row],[Original Price]]-FlipkartTable[[#This Row],[Selling Price]])/FlipkartTable[[#This Row],[Original Price]]</f>
        <v>0</v>
      </c>
      <c r="K681">
        <f>(FlipkartTable[[#This Row],[Rating]]/FlipkartTable[[#This Row],[Selling Price]])*1000</f>
        <v>0.2250112505625281</v>
      </c>
      <c r="L681" t="str">
        <f>IF(FlipkartTable[[#This Row],[Selling Price]]&lt;15000,"Budget",IF(FlipkartTable[[#This Row],[Selling Price]]&lt;50000,"Mid Range","Premium"))</f>
        <v>Mid Range</v>
      </c>
      <c r="M681" t="str">
        <f>IF(FlipkartTable[[#This Row],[Rating]]&gt;4.5,"Excellent",IF(FlipkartTable[[#This Row],[Rating]]&gt;4,"Good",IF(FlipkartTable[[#This Row],[Rating]]&gt;3.5,"Average","Poor")))</f>
        <v>Good</v>
      </c>
    </row>
    <row r="682" spans="1:13" x14ac:dyDescent="0.35">
      <c r="A682" t="s">
        <v>343</v>
      </c>
      <c r="B682" s="9" t="s">
        <v>451</v>
      </c>
      <c r="C682" t="s">
        <v>452</v>
      </c>
      <c r="D682" t="s">
        <v>14</v>
      </c>
      <c r="E682" t="s">
        <v>15</v>
      </c>
      <c r="F682">
        <v>4.4000000000000004</v>
      </c>
      <c r="G682">
        <v>18999</v>
      </c>
      <c r="H682">
        <v>18999</v>
      </c>
      <c r="I682">
        <f>FlipkartTable[[#This Row],[Original Price]]-FlipkartTable[[#This Row],[Selling Price]]</f>
        <v>0</v>
      </c>
      <c r="J682" s="4">
        <f>(FlipkartTable[[#This Row],[Original Price]]-FlipkartTable[[#This Row],[Selling Price]])/FlipkartTable[[#This Row],[Original Price]]</f>
        <v>0</v>
      </c>
      <c r="K682">
        <f>(FlipkartTable[[#This Row],[Rating]]/FlipkartTable[[#This Row],[Selling Price]])*1000</f>
        <v>0.23159113637559872</v>
      </c>
      <c r="L682" t="str">
        <f>IF(FlipkartTable[[#This Row],[Selling Price]]&lt;15000,"Budget",IF(FlipkartTable[[#This Row],[Selling Price]]&lt;50000,"Mid Range","Premium"))</f>
        <v>Mid Range</v>
      </c>
      <c r="M682" t="str">
        <f>IF(FlipkartTable[[#This Row],[Rating]]&gt;4.5,"Excellent",IF(FlipkartTable[[#This Row],[Rating]]&gt;4,"Good",IF(FlipkartTable[[#This Row],[Rating]]&gt;3.5,"Average","Poor")))</f>
        <v>Good</v>
      </c>
    </row>
    <row r="683" spans="1:13" x14ac:dyDescent="0.35">
      <c r="A683" t="s">
        <v>343</v>
      </c>
      <c r="B683" s="9" t="s">
        <v>451</v>
      </c>
      <c r="C683" t="s">
        <v>466</v>
      </c>
      <c r="D683" t="s">
        <v>14</v>
      </c>
      <c r="E683" t="s">
        <v>15</v>
      </c>
      <c r="F683">
        <v>4.4000000000000004</v>
      </c>
      <c r="G683">
        <v>18999</v>
      </c>
      <c r="H683">
        <v>18999</v>
      </c>
      <c r="I683">
        <f>FlipkartTable[[#This Row],[Original Price]]-FlipkartTable[[#This Row],[Selling Price]]</f>
        <v>0</v>
      </c>
      <c r="J683" s="4">
        <f>(FlipkartTable[[#This Row],[Original Price]]-FlipkartTable[[#This Row],[Selling Price]])/FlipkartTable[[#This Row],[Original Price]]</f>
        <v>0</v>
      </c>
      <c r="K683">
        <f>(FlipkartTable[[#This Row],[Rating]]/FlipkartTable[[#This Row],[Selling Price]])*1000</f>
        <v>0.23159113637559872</v>
      </c>
      <c r="L683" t="str">
        <f>IF(FlipkartTable[[#This Row],[Selling Price]]&lt;15000,"Budget",IF(FlipkartTable[[#This Row],[Selling Price]]&lt;50000,"Mid Range","Premium"))</f>
        <v>Mid Range</v>
      </c>
      <c r="M683" t="str">
        <f>IF(FlipkartTable[[#This Row],[Rating]]&gt;4.5,"Excellent",IF(FlipkartTable[[#This Row],[Rating]]&gt;4,"Good",IF(FlipkartTable[[#This Row],[Rating]]&gt;3.5,"Average","Poor")))</f>
        <v>Good</v>
      </c>
    </row>
    <row r="684" spans="1:13" x14ac:dyDescent="0.35">
      <c r="A684" t="s">
        <v>343</v>
      </c>
      <c r="B684" s="9" t="s">
        <v>404</v>
      </c>
      <c r="C684" t="s">
        <v>405</v>
      </c>
      <c r="D684" t="s">
        <v>27</v>
      </c>
      <c r="E684" t="s">
        <v>15</v>
      </c>
      <c r="F684">
        <v>4.5</v>
      </c>
      <c r="G684">
        <v>20999</v>
      </c>
      <c r="H684">
        <v>20999</v>
      </c>
      <c r="I684">
        <f>FlipkartTable[[#This Row],[Original Price]]-FlipkartTable[[#This Row],[Selling Price]]</f>
        <v>0</v>
      </c>
      <c r="J684" s="4">
        <f>(FlipkartTable[[#This Row],[Original Price]]-FlipkartTable[[#This Row],[Selling Price]])/FlipkartTable[[#This Row],[Original Price]]</f>
        <v>0</v>
      </c>
      <c r="K684">
        <f>(FlipkartTable[[#This Row],[Rating]]/FlipkartTable[[#This Row],[Selling Price]])*1000</f>
        <v>0.21429591885327873</v>
      </c>
      <c r="L684" t="str">
        <f>IF(FlipkartTable[[#This Row],[Selling Price]]&lt;15000,"Budget",IF(FlipkartTable[[#This Row],[Selling Price]]&lt;50000,"Mid Range","Premium"))</f>
        <v>Mid Range</v>
      </c>
      <c r="M684" t="str">
        <f>IF(FlipkartTable[[#This Row],[Rating]]&gt;4.5,"Excellent",IF(FlipkartTable[[#This Row],[Rating]]&gt;4,"Good",IF(FlipkartTable[[#This Row],[Rating]]&gt;3.5,"Average","Poor")))</f>
        <v>Good</v>
      </c>
    </row>
    <row r="685" spans="1:13" x14ac:dyDescent="0.35">
      <c r="A685" t="s">
        <v>343</v>
      </c>
      <c r="B685" s="9" t="s">
        <v>451</v>
      </c>
      <c r="C685" t="s">
        <v>466</v>
      </c>
      <c r="D685" t="s">
        <v>27</v>
      </c>
      <c r="E685" t="s">
        <v>15</v>
      </c>
      <c r="F685">
        <v>4.4000000000000004</v>
      </c>
      <c r="G685">
        <v>19499</v>
      </c>
      <c r="H685">
        <v>19499</v>
      </c>
      <c r="I685">
        <f>FlipkartTable[[#This Row],[Original Price]]-FlipkartTable[[#This Row],[Selling Price]]</f>
        <v>0</v>
      </c>
      <c r="J685" s="4">
        <f>(FlipkartTable[[#This Row],[Original Price]]-FlipkartTable[[#This Row],[Selling Price]])/FlipkartTable[[#This Row],[Original Price]]</f>
        <v>0</v>
      </c>
      <c r="K685">
        <f>(FlipkartTable[[#This Row],[Rating]]/FlipkartTable[[#This Row],[Selling Price]])*1000</f>
        <v>0.22565259756910613</v>
      </c>
      <c r="L685" t="str">
        <f>IF(FlipkartTable[[#This Row],[Selling Price]]&lt;15000,"Budget",IF(FlipkartTable[[#This Row],[Selling Price]]&lt;50000,"Mid Range","Premium"))</f>
        <v>Mid Range</v>
      </c>
      <c r="M685" t="str">
        <f>IF(FlipkartTable[[#This Row],[Rating]]&gt;4.5,"Excellent",IF(FlipkartTable[[#This Row],[Rating]]&gt;4,"Good",IF(FlipkartTable[[#This Row],[Rating]]&gt;3.5,"Average","Poor")))</f>
        <v>Good</v>
      </c>
    </row>
    <row r="686" spans="1:13" x14ac:dyDescent="0.35">
      <c r="A686" t="s">
        <v>343</v>
      </c>
      <c r="B686" s="9" t="s">
        <v>400</v>
      </c>
      <c r="C686" t="s">
        <v>401</v>
      </c>
      <c r="D686" t="s">
        <v>11</v>
      </c>
      <c r="E686" t="s">
        <v>12</v>
      </c>
      <c r="F686">
        <v>4.4000000000000004</v>
      </c>
      <c r="G686">
        <v>12999</v>
      </c>
      <c r="H686">
        <v>14999</v>
      </c>
      <c r="I686">
        <f>FlipkartTable[[#This Row],[Original Price]]-FlipkartTable[[#This Row],[Selling Price]]</f>
        <v>2000</v>
      </c>
      <c r="J686" s="4">
        <f>(FlipkartTable[[#This Row],[Original Price]]-FlipkartTable[[#This Row],[Selling Price]])/FlipkartTable[[#This Row],[Original Price]]</f>
        <v>0.13334222281485433</v>
      </c>
      <c r="K686">
        <f>(FlipkartTable[[#This Row],[Rating]]/FlipkartTable[[#This Row],[Selling Price]])*1000</f>
        <v>0.33848757596738216</v>
      </c>
      <c r="L686" t="str">
        <f>IF(FlipkartTable[[#This Row],[Selling Price]]&lt;15000,"Budget",IF(FlipkartTable[[#This Row],[Selling Price]]&lt;50000,"Mid Range","Premium"))</f>
        <v>Budget</v>
      </c>
      <c r="M686" t="str">
        <f>IF(FlipkartTable[[#This Row],[Rating]]&gt;4.5,"Excellent",IF(FlipkartTable[[#This Row],[Rating]]&gt;4,"Good",IF(FlipkartTable[[#This Row],[Rating]]&gt;3.5,"Average","Poor")))</f>
        <v>Good</v>
      </c>
    </row>
    <row r="687" spans="1:13" x14ac:dyDescent="0.35">
      <c r="A687" t="s">
        <v>343</v>
      </c>
      <c r="B687" s="9" t="s">
        <v>451</v>
      </c>
      <c r="C687" t="s">
        <v>460</v>
      </c>
      <c r="D687" t="s">
        <v>14</v>
      </c>
      <c r="E687" t="s">
        <v>15</v>
      </c>
      <c r="F687">
        <v>4.4000000000000004</v>
      </c>
      <c r="G687">
        <v>18999</v>
      </c>
      <c r="H687">
        <v>18999</v>
      </c>
      <c r="I687">
        <f>FlipkartTable[[#This Row],[Original Price]]-FlipkartTable[[#This Row],[Selling Price]]</f>
        <v>0</v>
      </c>
      <c r="J687" s="4">
        <f>(FlipkartTable[[#This Row],[Original Price]]-FlipkartTable[[#This Row],[Selling Price]])/FlipkartTable[[#This Row],[Original Price]]</f>
        <v>0</v>
      </c>
      <c r="K687">
        <f>(FlipkartTable[[#This Row],[Rating]]/FlipkartTable[[#This Row],[Selling Price]])*1000</f>
        <v>0.23159113637559872</v>
      </c>
      <c r="L687" t="str">
        <f>IF(FlipkartTable[[#This Row],[Selling Price]]&lt;15000,"Budget",IF(FlipkartTable[[#This Row],[Selling Price]]&lt;50000,"Mid Range","Premium"))</f>
        <v>Mid Range</v>
      </c>
      <c r="M687" t="str">
        <f>IF(FlipkartTable[[#This Row],[Rating]]&gt;4.5,"Excellent",IF(FlipkartTable[[#This Row],[Rating]]&gt;4,"Good",IF(FlipkartTable[[#This Row],[Rating]]&gt;3.5,"Average","Poor")))</f>
        <v>Good</v>
      </c>
    </row>
    <row r="688" spans="1:13" x14ac:dyDescent="0.35">
      <c r="A688" t="s">
        <v>343</v>
      </c>
      <c r="B688" s="9">
        <v>3</v>
      </c>
      <c r="C688" t="s">
        <v>467</v>
      </c>
      <c r="D688" t="s">
        <v>20</v>
      </c>
      <c r="E688" t="s">
        <v>12</v>
      </c>
      <c r="F688">
        <v>4.5</v>
      </c>
      <c r="G688">
        <v>9499</v>
      </c>
      <c r="H688">
        <v>11999</v>
      </c>
      <c r="I688">
        <f>FlipkartTable[[#This Row],[Original Price]]-FlipkartTable[[#This Row],[Selling Price]]</f>
        <v>2500</v>
      </c>
      <c r="J688" s="4">
        <f>(FlipkartTable[[#This Row],[Original Price]]-FlipkartTable[[#This Row],[Selling Price]])/FlipkartTable[[#This Row],[Original Price]]</f>
        <v>0.20835069589132427</v>
      </c>
      <c r="K688">
        <f>(FlipkartTable[[#This Row],[Rating]]/FlipkartTable[[#This Row],[Selling Price]])*1000</f>
        <v>0.47373407727129169</v>
      </c>
      <c r="L688" t="str">
        <f>IF(FlipkartTable[[#This Row],[Selling Price]]&lt;15000,"Budget",IF(FlipkartTable[[#This Row],[Selling Price]]&lt;50000,"Mid Range","Premium"))</f>
        <v>Budget</v>
      </c>
      <c r="M688" t="str">
        <f>IF(FlipkartTable[[#This Row],[Rating]]&gt;4.5,"Excellent",IF(FlipkartTable[[#This Row],[Rating]]&gt;4,"Good",IF(FlipkartTable[[#This Row],[Rating]]&gt;3.5,"Average","Poor")))</f>
        <v>Good</v>
      </c>
    </row>
    <row r="689" spans="1:13" x14ac:dyDescent="0.35">
      <c r="A689" t="s">
        <v>343</v>
      </c>
      <c r="B689" s="9" t="s">
        <v>420</v>
      </c>
      <c r="C689" t="s">
        <v>171</v>
      </c>
      <c r="D689" t="s">
        <v>14</v>
      </c>
      <c r="E689" t="s">
        <v>15</v>
      </c>
      <c r="F689">
        <v>4.4000000000000004</v>
      </c>
      <c r="G689">
        <v>24999</v>
      </c>
      <c r="H689">
        <v>26999</v>
      </c>
      <c r="I689">
        <f>FlipkartTable[[#This Row],[Original Price]]-FlipkartTable[[#This Row],[Selling Price]]</f>
        <v>2000</v>
      </c>
      <c r="J689" s="4">
        <f>(FlipkartTable[[#This Row],[Original Price]]-FlipkartTable[[#This Row],[Selling Price]])/FlipkartTable[[#This Row],[Original Price]]</f>
        <v>7.4076817659913335E-2</v>
      </c>
      <c r="K689">
        <f>(FlipkartTable[[#This Row],[Rating]]/FlipkartTable[[#This Row],[Selling Price]])*1000</f>
        <v>0.17600704028161127</v>
      </c>
      <c r="L689" t="str">
        <f>IF(FlipkartTable[[#This Row],[Selling Price]]&lt;15000,"Budget",IF(FlipkartTable[[#This Row],[Selling Price]]&lt;50000,"Mid Range","Premium"))</f>
        <v>Mid Range</v>
      </c>
      <c r="M689" t="str">
        <f>IF(FlipkartTable[[#This Row],[Rating]]&gt;4.5,"Excellent",IF(FlipkartTable[[#This Row],[Rating]]&gt;4,"Good",IF(FlipkartTable[[#This Row],[Rating]]&gt;3.5,"Average","Poor")))</f>
        <v>Good</v>
      </c>
    </row>
    <row r="690" spans="1:13" x14ac:dyDescent="0.35">
      <c r="A690" t="s">
        <v>343</v>
      </c>
      <c r="B690" s="9" t="s">
        <v>404</v>
      </c>
      <c r="C690" t="s">
        <v>405</v>
      </c>
      <c r="D690" t="s">
        <v>27</v>
      </c>
      <c r="E690" t="s">
        <v>64</v>
      </c>
      <c r="F690">
        <v>4.5</v>
      </c>
      <c r="G690">
        <v>24999</v>
      </c>
      <c r="H690">
        <v>24999</v>
      </c>
      <c r="I690">
        <f>FlipkartTable[[#This Row],[Original Price]]-FlipkartTable[[#This Row],[Selling Price]]</f>
        <v>0</v>
      </c>
      <c r="J690" s="4">
        <f>(FlipkartTable[[#This Row],[Original Price]]-FlipkartTable[[#This Row],[Selling Price]])/FlipkartTable[[#This Row],[Original Price]]</f>
        <v>0</v>
      </c>
      <c r="K690">
        <f>(FlipkartTable[[#This Row],[Rating]]/FlipkartTable[[#This Row],[Selling Price]])*1000</f>
        <v>0.18000720028801154</v>
      </c>
      <c r="L690" t="str">
        <f>IF(FlipkartTable[[#This Row],[Selling Price]]&lt;15000,"Budget",IF(FlipkartTable[[#This Row],[Selling Price]]&lt;50000,"Mid Range","Premium"))</f>
        <v>Mid Range</v>
      </c>
      <c r="M690" t="str">
        <f>IF(FlipkartTable[[#This Row],[Rating]]&gt;4.5,"Excellent",IF(FlipkartTable[[#This Row],[Rating]]&gt;4,"Good",IF(FlipkartTable[[#This Row],[Rating]]&gt;3.5,"Average","Poor")))</f>
        <v>Good</v>
      </c>
    </row>
    <row r="691" spans="1:13" x14ac:dyDescent="0.35">
      <c r="A691" t="s">
        <v>343</v>
      </c>
      <c r="B691" s="9" t="s">
        <v>404</v>
      </c>
      <c r="C691" t="s">
        <v>405</v>
      </c>
      <c r="D691" t="s">
        <v>14</v>
      </c>
      <c r="E691" t="s">
        <v>15</v>
      </c>
      <c r="F691">
        <v>4.5</v>
      </c>
      <c r="G691">
        <v>19999</v>
      </c>
      <c r="H691">
        <v>19999</v>
      </c>
      <c r="I691">
        <f>FlipkartTable[[#This Row],[Original Price]]-FlipkartTable[[#This Row],[Selling Price]]</f>
        <v>0</v>
      </c>
      <c r="J691" s="4">
        <f>(FlipkartTable[[#This Row],[Original Price]]-FlipkartTable[[#This Row],[Selling Price]])/FlipkartTable[[#This Row],[Original Price]]</f>
        <v>0</v>
      </c>
      <c r="K691">
        <f>(FlipkartTable[[#This Row],[Rating]]/FlipkartTable[[#This Row],[Selling Price]])*1000</f>
        <v>0.2250112505625281</v>
      </c>
      <c r="L691" t="str">
        <f>IF(FlipkartTable[[#This Row],[Selling Price]]&lt;15000,"Budget",IF(FlipkartTable[[#This Row],[Selling Price]]&lt;50000,"Mid Range","Premium"))</f>
        <v>Mid Range</v>
      </c>
      <c r="M691" t="str">
        <f>IF(FlipkartTable[[#This Row],[Rating]]&gt;4.5,"Excellent",IF(FlipkartTable[[#This Row],[Rating]]&gt;4,"Good",IF(FlipkartTable[[#This Row],[Rating]]&gt;3.5,"Average","Poor")))</f>
        <v>Good</v>
      </c>
    </row>
    <row r="692" spans="1:13" x14ac:dyDescent="0.35">
      <c r="A692" t="s">
        <v>343</v>
      </c>
      <c r="B692" s="9" t="s">
        <v>404</v>
      </c>
      <c r="C692" t="s">
        <v>52</v>
      </c>
      <c r="D692" t="s">
        <v>27</v>
      </c>
      <c r="E692" t="s">
        <v>15</v>
      </c>
      <c r="F692">
        <v>4.5</v>
      </c>
      <c r="G692">
        <v>20999</v>
      </c>
      <c r="H692">
        <v>20999</v>
      </c>
      <c r="I692">
        <f>FlipkartTable[[#This Row],[Original Price]]-FlipkartTable[[#This Row],[Selling Price]]</f>
        <v>0</v>
      </c>
      <c r="J692" s="4">
        <f>(FlipkartTable[[#This Row],[Original Price]]-FlipkartTable[[#This Row],[Selling Price]])/FlipkartTable[[#This Row],[Original Price]]</f>
        <v>0</v>
      </c>
      <c r="K692">
        <f>(FlipkartTable[[#This Row],[Rating]]/FlipkartTable[[#This Row],[Selling Price]])*1000</f>
        <v>0.21429591885327873</v>
      </c>
      <c r="L692" t="str">
        <f>IF(FlipkartTable[[#This Row],[Selling Price]]&lt;15000,"Budget",IF(FlipkartTable[[#This Row],[Selling Price]]&lt;50000,"Mid Range","Premium"))</f>
        <v>Mid Range</v>
      </c>
      <c r="M692" t="str">
        <f>IF(FlipkartTable[[#This Row],[Rating]]&gt;4.5,"Excellent",IF(FlipkartTable[[#This Row],[Rating]]&gt;4,"Good",IF(FlipkartTable[[#This Row],[Rating]]&gt;3.5,"Average","Poor")))</f>
        <v>Good</v>
      </c>
    </row>
    <row r="693" spans="1:13" x14ac:dyDescent="0.35">
      <c r="A693" t="s">
        <v>343</v>
      </c>
      <c r="B693" s="9" t="s">
        <v>404</v>
      </c>
      <c r="C693" t="s">
        <v>415</v>
      </c>
      <c r="D693" t="s">
        <v>14</v>
      </c>
      <c r="E693" t="s">
        <v>15</v>
      </c>
      <c r="F693">
        <v>4.5</v>
      </c>
      <c r="G693">
        <v>19999</v>
      </c>
      <c r="H693">
        <v>19999</v>
      </c>
      <c r="I693">
        <f>FlipkartTable[[#This Row],[Original Price]]-FlipkartTable[[#This Row],[Selling Price]]</f>
        <v>0</v>
      </c>
      <c r="J693" s="4">
        <f>(FlipkartTable[[#This Row],[Original Price]]-FlipkartTable[[#This Row],[Selling Price]])/FlipkartTable[[#This Row],[Original Price]]</f>
        <v>0</v>
      </c>
      <c r="K693">
        <f>(FlipkartTable[[#This Row],[Rating]]/FlipkartTable[[#This Row],[Selling Price]])*1000</f>
        <v>0.2250112505625281</v>
      </c>
      <c r="L693" t="str">
        <f>IF(FlipkartTable[[#This Row],[Selling Price]]&lt;15000,"Budget",IF(FlipkartTable[[#This Row],[Selling Price]]&lt;50000,"Mid Range","Premium"))</f>
        <v>Mid Range</v>
      </c>
      <c r="M693" t="str">
        <f>IF(FlipkartTable[[#This Row],[Rating]]&gt;4.5,"Excellent",IF(FlipkartTable[[#This Row],[Rating]]&gt;4,"Good",IF(FlipkartTable[[#This Row],[Rating]]&gt;3.5,"Average","Poor")))</f>
        <v>Good</v>
      </c>
    </row>
    <row r="694" spans="1:13" x14ac:dyDescent="0.35">
      <c r="A694" t="s">
        <v>343</v>
      </c>
      <c r="B694" s="9" t="s">
        <v>404</v>
      </c>
      <c r="C694" t="s">
        <v>52</v>
      </c>
      <c r="D694" t="s">
        <v>27</v>
      </c>
      <c r="E694" t="s">
        <v>64</v>
      </c>
      <c r="F694">
        <v>4.5</v>
      </c>
      <c r="G694">
        <v>24999</v>
      </c>
      <c r="H694">
        <v>24999</v>
      </c>
      <c r="I694">
        <f>FlipkartTable[[#This Row],[Original Price]]-FlipkartTable[[#This Row],[Selling Price]]</f>
        <v>0</v>
      </c>
      <c r="J694" s="4">
        <f>(FlipkartTable[[#This Row],[Original Price]]-FlipkartTable[[#This Row],[Selling Price]])/FlipkartTable[[#This Row],[Original Price]]</f>
        <v>0</v>
      </c>
      <c r="K694">
        <f>(FlipkartTable[[#This Row],[Rating]]/FlipkartTable[[#This Row],[Selling Price]])*1000</f>
        <v>0.18000720028801154</v>
      </c>
      <c r="L694" t="str">
        <f>IF(FlipkartTable[[#This Row],[Selling Price]]&lt;15000,"Budget",IF(FlipkartTable[[#This Row],[Selling Price]]&lt;50000,"Mid Range","Premium"))</f>
        <v>Mid Range</v>
      </c>
      <c r="M694" t="str">
        <f>IF(FlipkartTable[[#This Row],[Rating]]&gt;4.5,"Excellent",IF(FlipkartTable[[#This Row],[Rating]]&gt;4,"Good",IF(FlipkartTable[[#This Row],[Rating]]&gt;3.5,"Average","Poor")))</f>
        <v>Good</v>
      </c>
    </row>
    <row r="695" spans="1:13" x14ac:dyDescent="0.35">
      <c r="A695" t="s">
        <v>343</v>
      </c>
      <c r="B695" s="9" t="s">
        <v>407</v>
      </c>
      <c r="C695" t="s">
        <v>465</v>
      </c>
      <c r="D695" t="s">
        <v>11</v>
      </c>
      <c r="E695" t="s">
        <v>15</v>
      </c>
      <c r="F695">
        <v>4.5</v>
      </c>
      <c r="G695">
        <v>11999</v>
      </c>
      <c r="H695">
        <v>11999</v>
      </c>
      <c r="I695">
        <f>FlipkartTable[[#This Row],[Original Price]]-FlipkartTable[[#This Row],[Selling Price]]</f>
        <v>0</v>
      </c>
      <c r="J695" s="4">
        <f>(FlipkartTable[[#This Row],[Original Price]]-FlipkartTable[[#This Row],[Selling Price]])/FlipkartTable[[#This Row],[Original Price]]</f>
        <v>0</v>
      </c>
      <c r="K695">
        <f>(FlipkartTable[[#This Row],[Rating]]/FlipkartTable[[#This Row],[Selling Price]])*1000</f>
        <v>0.37503125260438369</v>
      </c>
      <c r="L695" t="str">
        <f>IF(FlipkartTable[[#This Row],[Selling Price]]&lt;15000,"Budget",IF(FlipkartTable[[#This Row],[Selling Price]]&lt;50000,"Mid Range","Premium"))</f>
        <v>Budget</v>
      </c>
      <c r="M695" t="str">
        <f>IF(FlipkartTable[[#This Row],[Rating]]&gt;4.5,"Excellent",IF(FlipkartTable[[#This Row],[Rating]]&gt;4,"Good",IF(FlipkartTable[[#This Row],[Rating]]&gt;3.5,"Average","Poor")))</f>
        <v>Good</v>
      </c>
    </row>
    <row r="696" spans="1:13" x14ac:dyDescent="0.35">
      <c r="A696" t="s">
        <v>343</v>
      </c>
      <c r="B696" s="9" t="s">
        <v>458</v>
      </c>
      <c r="C696" t="s">
        <v>468</v>
      </c>
      <c r="D696" t="s">
        <v>63</v>
      </c>
      <c r="E696" t="s">
        <v>64</v>
      </c>
      <c r="F696">
        <v>4.5999999999999996</v>
      </c>
      <c r="G696">
        <v>36999</v>
      </c>
      <c r="H696">
        <v>36999</v>
      </c>
      <c r="I696">
        <f>FlipkartTable[[#This Row],[Original Price]]-FlipkartTable[[#This Row],[Selling Price]]</f>
        <v>0</v>
      </c>
      <c r="J696" s="4">
        <f>(FlipkartTable[[#This Row],[Original Price]]-FlipkartTable[[#This Row],[Selling Price]])/FlipkartTable[[#This Row],[Original Price]]</f>
        <v>0</v>
      </c>
      <c r="K696">
        <f>(FlipkartTable[[#This Row],[Rating]]/FlipkartTable[[#This Row],[Selling Price]])*1000</f>
        <v>0.12432768453201438</v>
      </c>
      <c r="L696" t="str">
        <f>IF(FlipkartTable[[#This Row],[Selling Price]]&lt;15000,"Budget",IF(FlipkartTable[[#This Row],[Selling Price]]&lt;50000,"Mid Range","Premium"))</f>
        <v>Mid Range</v>
      </c>
      <c r="M696" t="str">
        <f>IF(FlipkartTable[[#This Row],[Rating]]&gt;4.5,"Excellent",IF(FlipkartTable[[#This Row],[Rating]]&gt;4,"Good",IF(FlipkartTable[[#This Row],[Rating]]&gt;3.5,"Average","Poor")))</f>
        <v>Excellent</v>
      </c>
    </row>
    <row r="697" spans="1:13" x14ac:dyDescent="0.35">
      <c r="A697" t="s">
        <v>343</v>
      </c>
      <c r="B697" s="9" t="s">
        <v>458</v>
      </c>
      <c r="C697" t="s">
        <v>469</v>
      </c>
      <c r="D697" t="s">
        <v>63</v>
      </c>
      <c r="E697" t="s">
        <v>64</v>
      </c>
      <c r="F697">
        <v>4.5999999999999996</v>
      </c>
      <c r="G697">
        <v>36999</v>
      </c>
      <c r="H697">
        <v>36999</v>
      </c>
      <c r="I697">
        <f>FlipkartTable[[#This Row],[Original Price]]-FlipkartTable[[#This Row],[Selling Price]]</f>
        <v>0</v>
      </c>
      <c r="J697" s="4">
        <f>(FlipkartTable[[#This Row],[Original Price]]-FlipkartTable[[#This Row],[Selling Price]])/FlipkartTable[[#This Row],[Original Price]]</f>
        <v>0</v>
      </c>
      <c r="K697">
        <f>(FlipkartTable[[#This Row],[Rating]]/FlipkartTable[[#This Row],[Selling Price]])*1000</f>
        <v>0.12432768453201438</v>
      </c>
      <c r="L697" t="str">
        <f>IF(FlipkartTable[[#This Row],[Selling Price]]&lt;15000,"Budget",IF(FlipkartTable[[#This Row],[Selling Price]]&lt;50000,"Mid Range","Premium"))</f>
        <v>Mid Range</v>
      </c>
      <c r="M697" t="str">
        <f>IF(FlipkartTable[[#This Row],[Rating]]&gt;4.5,"Excellent",IF(FlipkartTable[[#This Row],[Rating]]&gt;4,"Good",IF(FlipkartTable[[#This Row],[Rating]]&gt;3.5,"Average","Poor")))</f>
        <v>Excellent</v>
      </c>
    </row>
    <row r="698" spans="1:13" x14ac:dyDescent="0.35">
      <c r="A698" t="s">
        <v>343</v>
      </c>
      <c r="B698" s="9" t="s">
        <v>407</v>
      </c>
      <c r="C698" t="s">
        <v>340</v>
      </c>
      <c r="D698" t="s">
        <v>11</v>
      </c>
      <c r="E698" t="s">
        <v>15</v>
      </c>
      <c r="F698">
        <v>4.5</v>
      </c>
      <c r="G698">
        <v>11999</v>
      </c>
      <c r="H698">
        <v>11999</v>
      </c>
      <c r="I698">
        <f>FlipkartTable[[#This Row],[Original Price]]-FlipkartTable[[#This Row],[Selling Price]]</f>
        <v>0</v>
      </c>
      <c r="J698" s="4">
        <f>(FlipkartTable[[#This Row],[Original Price]]-FlipkartTable[[#This Row],[Selling Price]])/FlipkartTable[[#This Row],[Original Price]]</f>
        <v>0</v>
      </c>
      <c r="K698">
        <f>(FlipkartTable[[#This Row],[Rating]]/FlipkartTable[[#This Row],[Selling Price]])*1000</f>
        <v>0.37503125260438369</v>
      </c>
      <c r="L698" t="str">
        <f>IF(FlipkartTable[[#This Row],[Selling Price]]&lt;15000,"Budget",IF(FlipkartTable[[#This Row],[Selling Price]]&lt;50000,"Mid Range","Premium"))</f>
        <v>Budget</v>
      </c>
      <c r="M698" t="str">
        <f>IF(FlipkartTable[[#This Row],[Rating]]&gt;4.5,"Excellent",IF(FlipkartTable[[#This Row],[Rating]]&gt;4,"Good",IF(FlipkartTable[[#This Row],[Rating]]&gt;3.5,"Average","Poor")))</f>
        <v>Good</v>
      </c>
    </row>
    <row r="699" spans="1:13" x14ac:dyDescent="0.35">
      <c r="A699" t="s">
        <v>343</v>
      </c>
      <c r="B699" s="9">
        <v>3</v>
      </c>
      <c r="C699" t="s">
        <v>56</v>
      </c>
      <c r="D699" t="s">
        <v>11</v>
      </c>
      <c r="E699" t="s">
        <v>12</v>
      </c>
      <c r="F699">
        <v>4.4000000000000004</v>
      </c>
      <c r="G699">
        <v>10499</v>
      </c>
      <c r="H699">
        <v>12999</v>
      </c>
      <c r="I699">
        <f>FlipkartTable[[#This Row],[Original Price]]-FlipkartTable[[#This Row],[Selling Price]]</f>
        <v>2500</v>
      </c>
      <c r="J699" s="4">
        <f>(FlipkartTable[[#This Row],[Original Price]]-FlipkartTable[[#This Row],[Selling Price]])/FlipkartTable[[#This Row],[Original Price]]</f>
        <v>0.19232248634510346</v>
      </c>
      <c r="K699">
        <f>(FlipkartTable[[#This Row],[Rating]]/FlipkartTable[[#This Row],[Selling Price]])*1000</f>
        <v>0.41908753214591871</v>
      </c>
      <c r="L699" t="str">
        <f>IF(FlipkartTable[[#This Row],[Selling Price]]&lt;15000,"Budget",IF(FlipkartTable[[#This Row],[Selling Price]]&lt;50000,"Mid Range","Premium"))</f>
        <v>Budget</v>
      </c>
      <c r="M699" t="str">
        <f>IF(FlipkartTable[[#This Row],[Rating]]&gt;4.5,"Excellent",IF(FlipkartTable[[#This Row],[Rating]]&gt;4,"Good",IF(FlipkartTable[[#This Row],[Rating]]&gt;3.5,"Average","Poor")))</f>
        <v>Good</v>
      </c>
    </row>
    <row r="700" spans="1:13" x14ac:dyDescent="0.35">
      <c r="A700" t="s">
        <v>343</v>
      </c>
      <c r="B700" s="9">
        <v>3</v>
      </c>
      <c r="C700" t="s">
        <v>19</v>
      </c>
      <c r="D700" t="s">
        <v>20</v>
      </c>
      <c r="E700" t="s">
        <v>21</v>
      </c>
      <c r="F700">
        <v>4.5</v>
      </c>
      <c r="G700">
        <v>8499</v>
      </c>
      <c r="H700">
        <v>10999</v>
      </c>
      <c r="I700">
        <f>FlipkartTable[[#This Row],[Original Price]]-FlipkartTable[[#This Row],[Selling Price]]</f>
        <v>2500</v>
      </c>
      <c r="J700" s="4">
        <f>(FlipkartTable[[#This Row],[Original Price]]-FlipkartTable[[#This Row],[Selling Price]])/FlipkartTable[[#This Row],[Original Price]]</f>
        <v>0.22729339030820983</v>
      </c>
      <c r="K700">
        <f>(FlipkartTable[[#This Row],[Rating]]/FlipkartTable[[#This Row],[Selling Price]])*1000</f>
        <v>0.52947405577126716</v>
      </c>
      <c r="L700" t="str">
        <f>IF(FlipkartTable[[#This Row],[Selling Price]]&lt;15000,"Budget",IF(FlipkartTable[[#This Row],[Selling Price]]&lt;50000,"Mid Range","Premium"))</f>
        <v>Budget</v>
      </c>
      <c r="M700" t="str">
        <f>IF(FlipkartTable[[#This Row],[Rating]]&gt;4.5,"Excellent",IF(FlipkartTable[[#This Row],[Rating]]&gt;4,"Good",IF(FlipkartTable[[#This Row],[Rating]]&gt;3.5,"Average","Poor")))</f>
        <v>Good</v>
      </c>
    </row>
    <row r="701" spans="1:13" x14ac:dyDescent="0.35">
      <c r="A701" t="s">
        <v>343</v>
      </c>
      <c r="B701" s="9">
        <v>3</v>
      </c>
      <c r="C701" t="s">
        <v>19</v>
      </c>
      <c r="D701" t="s">
        <v>11</v>
      </c>
      <c r="E701" t="s">
        <v>12</v>
      </c>
      <c r="F701">
        <v>4.4000000000000004</v>
      </c>
      <c r="G701">
        <v>10499</v>
      </c>
      <c r="H701">
        <v>12999</v>
      </c>
      <c r="I701">
        <f>FlipkartTable[[#This Row],[Original Price]]-FlipkartTable[[#This Row],[Selling Price]]</f>
        <v>2500</v>
      </c>
      <c r="J701" s="4">
        <f>(FlipkartTable[[#This Row],[Original Price]]-FlipkartTable[[#This Row],[Selling Price]])/FlipkartTable[[#This Row],[Original Price]]</f>
        <v>0.19232248634510346</v>
      </c>
      <c r="K701">
        <f>(FlipkartTable[[#This Row],[Rating]]/FlipkartTable[[#This Row],[Selling Price]])*1000</f>
        <v>0.41908753214591871</v>
      </c>
      <c r="L701" t="str">
        <f>IF(FlipkartTable[[#This Row],[Selling Price]]&lt;15000,"Budget",IF(FlipkartTable[[#This Row],[Selling Price]]&lt;50000,"Mid Range","Premium"))</f>
        <v>Budget</v>
      </c>
      <c r="M701" t="str">
        <f>IF(FlipkartTable[[#This Row],[Rating]]&gt;4.5,"Excellent",IF(FlipkartTable[[#This Row],[Rating]]&gt;4,"Good",IF(FlipkartTable[[#This Row],[Rating]]&gt;3.5,"Average","Poor")))</f>
        <v>Good</v>
      </c>
    </row>
    <row r="702" spans="1:13" x14ac:dyDescent="0.35">
      <c r="A702" t="s">
        <v>343</v>
      </c>
      <c r="B702" s="9">
        <v>3</v>
      </c>
      <c r="C702" t="s">
        <v>56</v>
      </c>
      <c r="D702" t="s">
        <v>20</v>
      </c>
      <c r="E702" t="s">
        <v>12</v>
      </c>
      <c r="F702">
        <v>4.5</v>
      </c>
      <c r="G702">
        <v>9499</v>
      </c>
      <c r="H702">
        <v>11999</v>
      </c>
      <c r="I702">
        <f>FlipkartTable[[#This Row],[Original Price]]-FlipkartTable[[#This Row],[Selling Price]]</f>
        <v>2500</v>
      </c>
      <c r="J702" s="4">
        <f>(FlipkartTable[[#This Row],[Original Price]]-FlipkartTable[[#This Row],[Selling Price]])/FlipkartTable[[#This Row],[Original Price]]</f>
        <v>0.20835069589132427</v>
      </c>
      <c r="K702">
        <f>(FlipkartTable[[#This Row],[Rating]]/FlipkartTable[[#This Row],[Selling Price]])*1000</f>
        <v>0.47373407727129169</v>
      </c>
      <c r="L702" t="str">
        <f>IF(FlipkartTable[[#This Row],[Selling Price]]&lt;15000,"Budget",IF(FlipkartTable[[#This Row],[Selling Price]]&lt;50000,"Mid Range","Premium"))</f>
        <v>Budget</v>
      </c>
      <c r="M702" t="str">
        <f>IF(FlipkartTable[[#This Row],[Rating]]&gt;4.5,"Excellent",IF(FlipkartTable[[#This Row],[Rating]]&gt;4,"Good",IF(FlipkartTable[[#This Row],[Rating]]&gt;3.5,"Average","Poor")))</f>
        <v>Good</v>
      </c>
    </row>
    <row r="703" spans="1:13" x14ac:dyDescent="0.35">
      <c r="A703" t="s">
        <v>343</v>
      </c>
      <c r="B703" s="9">
        <v>3</v>
      </c>
      <c r="C703" t="s">
        <v>147</v>
      </c>
      <c r="D703" t="s">
        <v>11</v>
      </c>
      <c r="E703" t="s">
        <v>12</v>
      </c>
      <c r="F703">
        <v>4.4000000000000004</v>
      </c>
      <c r="G703">
        <v>9499</v>
      </c>
      <c r="H703">
        <v>12999</v>
      </c>
      <c r="I703">
        <f>FlipkartTable[[#This Row],[Original Price]]-FlipkartTable[[#This Row],[Selling Price]]</f>
        <v>3500</v>
      </c>
      <c r="J703" s="4">
        <f>(FlipkartTable[[#This Row],[Original Price]]-FlipkartTable[[#This Row],[Selling Price]])/FlipkartTable[[#This Row],[Original Price]]</f>
        <v>0.26925148088314488</v>
      </c>
      <c r="K703">
        <f>(FlipkartTable[[#This Row],[Rating]]/FlipkartTable[[#This Row],[Selling Price]])*1000</f>
        <v>0.46320665333192973</v>
      </c>
      <c r="L703" t="str">
        <f>IF(FlipkartTable[[#This Row],[Selling Price]]&lt;15000,"Budget",IF(FlipkartTable[[#This Row],[Selling Price]]&lt;50000,"Mid Range","Premium"))</f>
        <v>Budget</v>
      </c>
      <c r="M703" t="str">
        <f>IF(FlipkartTable[[#This Row],[Rating]]&gt;4.5,"Excellent",IF(FlipkartTable[[#This Row],[Rating]]&gt;4,"Good",IF(FlipkartTable[[#This Row],[Rating]]&gt;3.5,"Average","Poor")))</f>
        <v>Good</v>
      </c>
    </row>
    <row r="704" spans="1:13" x14ac:dyDescent="0.35">
      <c r="A704" t="s">
        <v>343</v>
      </c>
      <c r="B704" s="9">
        <v>3</v>
      </c>
      <c r="C704" t="s">
        <v>467</v>
      </c>
      <c r="D704" t="s">
        <v>11</v>
      </c>
      <c r="E704" t="s">
        <v>12</v>
      </c>
      <c r="F704">
        <v>4.4000000000000004</v>
      </c>
      <c r="G704">
        <v>10499</v>
      </c>
      <c r="H704">
        <v>12999</v>
      </c>
      <c r="I704">
        <f>FlipkartTable[[#This Row],[Original Price]]-FlipkartTable[[#This Row],[Selling Price]]</f>
        <v>2500</v>
      </c>
      <c r="J704" s="4">
        <f>(FlipkartTable[[#This Row],[Original Price]]-FlipkartTable[[#This Row],[Selling Price]])/FlipkartTable[[#This Row],[Original Price]]</f>
        <v>0.19232248634510346</v>
      </c>
      <c r="K704">
        <f>(FlipkartTable[[#This Row],[Rating]]/FlipkartTable[[#This Row],[Selling Price]])*1000</f>
        <v>0.41908753214591871</v>
      </c>
      <c r="L704" t="str">
        <f>IF(FlipkartTable[[#This Row],[Selling Price]]&lt;15000,"Budget",IF(FlipkartTable[[#This Row],[Selling Price]]&lt;50000,"Mid Range","Premium"))</f>
        <v>Budget</v>
      </c>
      <c r="M704" t="str">
        <f>IF(FlipkartTable[[#This Row],[Rating]]&gt;4.5,"Excellent",IF(FlipkartTable[[#This Row],[Rating]]&gt;4,"Good",IF(FlipkartTable[[#This Row],[Rating]]&gt;3.5,"Average","Poor")))</f>
        <v>Good</v>
      </c>
    </row>
    <row r="705" spans="1:13" x14ac:dyDescent="0.35">
      <c r="A705" t="s">
        <v>343</v>
      </c>
      <c r="B705" s="9">
        <v>3</v>
      </c>
      <c r="C705" t="s">
        <v>56</v>
      </c>
      <c r="D705" t="s">
        <v>20</v>
      </c>
      <c r="E705" t="s">
        <v>21</v>
      </c>
      <c r="F705">
        <v>4.5</v>
      </c>
      <c r="G705">
        <v>8499</v>
      </c>
      <c r="H705">
        <v>10999</v>
      </c>
      <c r="I705">
        <f>FlipkartTable[[#This Row],[Original Price]]-FlipkartTable[[#This Row],[Selling Price]]</f>
        <v>2500</v>
      </c>
      <c r="J705" s="4">
        <f>(FlipkartTable[[#This Row],[Original Price]]-FlipkartTable[[#This Row],[Selling Price]])/FlipkartTable[[#This Row],[Original Price]]</f>
        <v>0.22729339030820983</v>
      </c>
      <c r="K705">
        <f>(FlipkartTable[[#This Row],[Rating]]/FlipkartTable[[#This Row],[Selling Price]])*1000</f>
        <v>0.52947405577126716</v>
      </c>
      <c r="L705" t="str">
        <f>IF(FlipkartTable[[#This Row],[Selling Price]]&lt;15000,"Budget",IF(FlipkartTable[[#This Row],[Selling Price]]&lt;50000,"Mid Range","Premium"))</f>
        <v>Budget</v>
      </c>
      <c r="M705" t="str">
        <f>IF(FlipkartTable[[#This Row],[Rating]]&gt;4.5,"Excellent",IF(FlipkartTable[[#This Row],[Rating]]&gt;4,"Good",IF(FlipkartTable[[#This Row],[Rating]]&gt;3.5,"Average","Poor")))</f>
        <v>Good</v>
      </c>
    </row>
    <row r="706" spans="1:13" x14ac:dyDescent="0.35">
      <c r="A706" t="s">
        <v>343</v>
      </c>
      <c r="B706" s="9" t="s">
        <v>446</v>
      </c>
      <c r="C706" t="s">
        <v>453</v>
      </c>
      <c r="D706" t="s">
        <v>11</v>
      </c>
      <c r="E706" t="s">
        <v>12</v>
      </c>
      <c r="F706">
        <v>4.5</v>
      </c>
      <c r="G706">
        <v>9999</v>
      </c>
      <c r="H706">
        <v>10999</v>
      </c>
      <c r="I706">
        <f>FlipkartTable[[#This Row],[Original Price]]-FlipkartTable[[#This Row],[Selling Price]]</f>
        <v>1000</v>
      </c>
      <c r="J706" s="4">
        <f>(FlipkartTable[[#This Row],[Original Price]]-FlipkartTable[[#This Row],[Selling Price]])/FlipkartTable[[#This Row],[Original Price]]</f>
        <v>9.0917356123283929E-2</v>
      </c>
      <c r="K706">
        <f>(FlipkartTable[[#This Row],[Rating]]/FlipkartTable[[#This Row],[Selling Price]])*1000</f>
        <v>0.45004500450045004</v>
      </c>
      <c r="L706" t="str">
        <f>IF(FlipkartTable[[#This Row],[Selling Price]]&lt;15000,"Budget",IF(FlipkartTable[[#This Row],[Selling Price]]&lt;50000,"Mid Range","Premium"))</f>
        <v>Budget</v>
      </c>
      <c r="M706" t="str">
        <f>IF(FlipkartTable[[#This Row],[Rating]]&gt;4.5,"Excellent",IF(FlipkartTable[[#This Row],[Rating]]&gt;4,"Good",IF(FlipkartTable[[#This Row],[Rating]]&gt;3.5,"Average","Poor")))</f>
        <v>Good</v>
      </c>
    </row>
    <row r="707" spans="1:13" x14ac:dyDescent="0.35">
      <c r="A707" t="s">
        <v>343</v>
      </c>
      <c r="B707" s="9" t="s">
        <v>408</v>
      </c>
      <c r="C707" t="s">
        <v>470</v>
      </c>
      <c r="D707" t="s">
        <v>27</v>
      </c>
      <c r="E707" t="s">
        <v>15</v>
      </c>
      <c r="F707">
        <v>4.5</v>
      </c>
      <c r="G707">
        <v>20999</v>
      </c>
      <c r="H707">
        <v>20999</v>
      </c>
      <c r="I707">
        <f>FlipkartTable[[#This Row],[Original Price]]-FlipkartTable[[#This Row],[Selling Price]]</f>
        <v>0</v>
      </c>
      <c r="J707" s="4">
        <f>(FlipkartTable[[#This Row],[Original Price]]-FlipkartTable[[#This Row],[Selling Price]])/FlipkartTable[[#This Row],[Original Price]]</f>
        <v>0</v>
      </c>
      <c r="K707">
        <f>(FlipkartTable[[#This Row],[Rating]]/FlipkartTable[[#This Row],[Selling Price]])*1000</f>
        <v>0.21429591885327873</v>
      </c>
      <c r="L707" t="str">
        <f>IF(FlipkartTable[[#This Row],[Selling Price]]&lt;15000,"Budget",IF(FlipkartTable[[#This Row],[Selling Price]]&lt;50000,"Mid Range","Premium"))</f>
        <v>Mid Range</v>
      </c>
      <c r="M707" t="str">
        <f>IF(FlipkartTable[[#This Row],[Rating]]&gt;4.5,"Excellent",IF(FlipkartTable[[#This Row],[Rating]]&gt;4,"Good",IF(FlipkartTable[[#This Row],[Rating]]&gt;3.5,"Average","Poor")))</f>
        <v>Good</v>
      </c>
    </row>
    <row r="708" spans="1:13" x14ac:dyDescent="0.35">
      <c r="A708" t="s">
        <v>343</v>
      </c>
      <c r="B708" s="9" t="s">
        <v>408</v>
      </c>
      <c r="C708" t="s">
        <v>471</v>
      </c>
      <c r="D708" t="s">
        <v>27</v>
      </c>
      <c r="E708" t="s">
        <v>15</v>
      </c>
      <c r="F708">
        <v>4.5</v>
      </c>
      <c r="G708">
        <v>20999</v>
      </c>
      <c r="H708">
        <v>20999</v>
      </c>
      <c r="I708">
        <f>FlipkartTable[[#This Row],[Original Price]]-FlipkartTable[[#This Row],[Selling Price]]</f>
        <v>0</v>
      </c>
      <c r="J708" s="4">
        <f>(FlipkartTable[[#This Row],[Original Price]]-FlipkartTable[[#This Row],[Selling Price]])/FlipkartTable[[#This Row],[Original Price]]</f>
        <v>0</v>
      </c>
      <c r="K708">
        <f>(FlipkartTable[[#This Row],[Rating]]/FlipkartTable[[#This Row],[Selling Price]])*1000</f>
        <v>0.21429591885327873</v>
      </c>
      <c r="L708" t="str">
        <f>IF(FlipkartTable[[#This Row],[Selling Price]]&lt;15000,"Budget",IF(FlipkartTable[[#This Row],[Selling Price]]&lt;50000,"Mid Range","Premium"))</f>
        <v>Mid Range</v>
      </c>
      <c r="M708" t="str">
        <f>IF(FlipkartTable[[#This Row],[Rating]]&gt;4.5,"Excellent",IF(FlipkartTable[[#This Row],[Rating]]&gt;4,"Good",IF(FlipkartTable[[#This Row],[Rating]]&gt;3.5,"Average","Poor")))</f>
        <v>Good</v>
      </c>
    </row>
    <row r="709" spans="1:13" x14ac:dyDescent="0.35">
      <c r="A709" t="s">
        <v>343</v>
      </c>
      <c r="B709" s="9" t="s">
        <v>408</v>
      </c>
      <c r="C709" t="s">
        <v>472</v>
      </c>
      <c r="D709" t="s">
        <v>11</v>
      </c>
      <c r="E709" t="s">
        <v>15</v>
      </c>
      <c r="F709">
        <v>4.5</v>
      </c>
      <c r="G709">
        <v>17999</v>
      </c>
      <c r="H709">
        <v>17999</v>
      </c>
      <c r="I709">
        <f>FlipkartTable[[#This Row],[Original Price]]-FlipkartTable[[#This Row],[Selling Price]]</f>
        <v>0</v>
      </c>
      <c r="J709" s="4">
        <f>(FlipkartTable[[#This Row],[Original Price]]-FlipkartTable[[#This Row],[Selling Price]])/FlipkartTable[[#This Row],[Original Price]]</f>
        <v>0</v>
      </c>
      <c r="K709">
        <f>(FlipkartTable[[#This Row],[Rating]]/FlipkartTable[[#This Row],[Selling Price]])*1000</f>
        <v>0.25001388966053667</v>
      </c>
      <c r="L709" t="str">
        <f>IF(FlipkartTable[[#This Row],[Selling Price]]&lt;15000,"Budget",IF(FlipkartTable[[#This Row],[Selling Price]]&lt;50000,"Mid Range","Premium"))</f>
        <v>Mid Range</v>
      </c>
      <c r="M709" t="str">
        <f>IF(FlipkartTable[[#This Row],[Rating]]&gt;4.5,"Excellent",IF(FlipkartTable[[#This Row],[Rating]]&gt;4,"Good",IF(FlipkartTable[[#This Row],[Rating]]&gt;3.5,"Average","Poor")))</f>
        <v>Good</v>
      </c>
    </row>
    <row r="710" spans="1:13" x14ac:dyDescent="0.35">
      <c r="A710" t="s">
        <v>343</v>
      </c>
      <c r="B710" s="9" t="s">
        <v>458</v>
      </c>
      <c r="C710" t="s">
        <v>403</v>
      </c>
      <c r="D710" t="s">
        <v>63</v>
      </c>
      <c r="E710" t="s">
        <v>64</v>
      </c>
      <c r="F710">
        <v>4.5999999999999996</v>
      </c>
      <c r="G710">
        <v>35999</v>
      </c>
      <c r="H710">
        <v>35999</v>
      </c>
      <c r="I710">
        <f>FlipkartTable[[#This Row],[Original Price]]-FlipkartTable[[#This Row],[Selling Price]]</f>
        <v>0</v>
      </c>
      <c r="J710" s="4">
        <f>(FlipkartTable[[#This Row],[Original Price]]-FlipkartTable[[#This Row],[Selling Price]])/FlipkartTable[[#This Row],[Original Price]]</f>
        <v>0</v>
      </c>
      <c r="K710">
        <f>(FlipkartTable[[#This Row],[Rating]]/FlipkartTable[[#This Row],[Selling Price]])*1000</f>
        <v>0.12778132725909053</v>
      </c>
      <c r="L710" t="str">
        <f>IF(FlipkartTable[[#This Row],[Selling Price]]&lt;15000,"Budget",IF(FlipkartTable[[#This Row],[Selling Price]]&lt;50000,"Mid Range","Premium"))</f>
        <v>Mid Range</v>
      </c>
      <c r="M710" t="str">
        <f>IF(FlipkartTable[[#This Row],[Rating]]&gt;4.5,"Excellent",IF(FlipkartTable[[#This Row],[Rating]]&gt;4,"Good",IF(FlipkartTable[[#This Row],[Rating]]&gt;3.5,"Average","Poor")))</f>
        <v>Excellent</v>
      </c>
    </row>
    <row r="711" spans="1:13" x14ac:dyDescent="0.35">
      <c r="A711" t="s">
        <v>343</v>
      </c>
      <c r="B711" s="9" t="s">
        <v>458</v>
      </c>
      <c r="C711" t="s">
        <v>473</v>
      </c>
      <c r="D711" t="s">
        <v>63</v>
      </c>
      <c r="E711" t="s">
        <v>64</v>
      </c>
      <c r="F711">
        <v>4.5999999999999996</v>
      </c>
      <c r="G711">
        <v>35999</v>
      </c>
      <c r="H711">
        <v>35999</v>
      </c>
      <c r="I711">
        <f>FlipkartTable[[#This Row],[Original Price]]-FlipkartTable[[#This Row],[Selling Price]]</f>
        <v>0</v>
      </c>
      <c r="J711" s="4">
        <f>(FlipkartTable[[#This Row],[Original Price]]-FlipkartTable[[#This Row],[Selling Price]])/FlipkartTable[[#This Row],[Original Price]]</f>
        <v>0</v>
      </c>
      <c r="K711">
        <f>(FlipkartTable[[#This Row],[Rating]]/FlipkartTable[[#This Row],[Selling Price]])*1000</f>
        <v>0.12778132725909053</v>
      </c>
      <c r="L711" t="str">
        <f>IF(FlipkartTable[[#This Row],[Selling Price]]&lt;15000,"Budget",IF(FlipkartTable[[#This Row],[Selling Price]]&lt;50000,"Mid Range","Premium"))</f>
        <v>Mid Range</v>
      </c>
      <c r="M711" t="str">
        <f>IF(FlipkartTable[[#This Row],[Rating]]&gt;4.5,"Excellent",IF(FlipkartTable[[#This Row],[Rating]]&gt;4,"Good",IF(FlipkartTable[[#This Row],[Rating]]&gt;3.5,"Average","Poor")))</f>
        <v>Excellent</v>
      </c>
    </row>
    <row r="712" spans="1:13" x14ac:dyDescent="0.35">
      <c r="A712" t="s">
        <v>343</v>
      </c>
      <c r="B712" s="9" t="s">
        <v>458</v>
      </c>
      <c r="C712" t="s">
        <v>473</v>
      </c>
      <c r="D712" t="s">
        <v>27</v>
      </c>
      <c r="E712" t="s">
        <v>15</v>
      </c>
      <c r="F712">
        <v>4.5</v>
      </c>
      <c r="G712">
        <v>31999</v>
      </c>
      <c r="H712">
        <v>31999</v>
      </c>
      <c r="I712">
        <f>FlipkartTable[[#This Row],[Original Price]]-FlipkartTable[[#This Row],[Selling Price]]</f>
        <v>0</v>
      </c>
      <c r="J712" s="4">
        <f>(FlipkartTable[[#This Row],[Original Price]]-FlipkartTable[[#This Row],[Selling Price]])/FlipkartTable[[#This Row],[Original Price]]</f>
        <v>0</v>
      </c>
      <c r="K712">
        <f>(FlipkartTable[[#This Row],[Rating]]/FlipkartTable[[#This Row],[Selling Price]])*1000</f>
        <v>0.1406293946685834</v>
      </c>
      <c r="L712" t="str">
        <f>IF(FlipkartTable[[#This Row],[Selling Price]]&lt;15000,"Budget",IF(FlipkartTable[[#This Row],[Selling Price]]&lt;50000,"Mid Range","Premium"))</f>
        <v>Mid Range</v>
      </c>
      <c r="M712" t="str">
        <f>IF(FlipkartTable[[#This Row],[Rating]]&gt;4.5,"Excellent",IF(FlipkartTable[[#This Row],[Rating]]&gt;4,"Good",IF(FlipkartTable[[#This Row],[Rating]]&gt;3.5,"Average","Poor")))</f>
        <v>Good</v>
      </c>
    </row>
    <row r="713" spans="1:13" x14ac:dyDescent="0.35">
      <c r="A713" t="s">
        <v>343</v>
      </c>
      <c r="B713" s="9" t="s">
        <v>409</v>
      </c>
      <c r="C713" t="s">
        <v>410</v>
      </c>
      <c r="D713" t="s">
        <v>11</v>
      </c>
      <c r="E713" t="s">
        <v>12</v>
      </c>
      <c r="F713">
        <v>4.3</v>
      </c>
      <c r="G713">
        <v>8999</v>
      </c>
      <c r="H713">
        <v>9999</v>
      </c>
      <c r="I713">
        <f>FlipkartTable[[#This Row],[Original Price]]-FlipkartTable[[#This Row],[Selling Price]]</f>
        <v>1000</v>
      </c>
      <c r="J713" s="4">
        <f>(FlipkartTable[[#This Row],[Original Price]]-FlipkartTable[[#This Row],[Selling Price]])/FlipkartTable[[#This Row],[Original Price]]</f>
        <v>0.1000100010001</v>
      </c>
      <c r="K713">
        <f>(FlipkartTable[[#This Row],[Rating]]/FlipkartTable[[#This Row],[Selling Price]])*1000</f>
        <v>0.47783087009667735</v>
      </c>
      <c r="L713" t="str">
        <f>IF(FlipkartTable[[#This Row],[Selling Price]]&lt;15000,"Budget",IF(FlipkartTable[[#This Row],[Selling Price]]&lt;50000,"Mid Range","Premium"))</f>
        <v>Budget</v>
      </c>
      <c r="M713" t="str">
        <f>IF(FlipkartTable[[#This Row],[Rating]]&gt;4.5,"Excellent",IF(FlipkartTable[[#This Row],[Rating]]&gt;4,"Good",IF(FlipkartTable[[#This Row],[Rating]]&gt;3.5,"Average","Poor")))</f>
        <v>Good</v>
      </c>
    </row>
    <row r="714" spans="1:13" x14ac:dyDescent="0.35">
      <c r="A714" t="s">
        <v>343</v>
      </c>
      <c r="B714" s="9" t="s">
        <v>409</v>
      </c>
      <c r="C714" t="s">
        <v>411</v>
      </c>
      <c r="D714" t="s">
        <v>11</v>
      </c>
      <c r="E714" t="s">
        <v>12</v>
      </c>
      <c r="F714">
        <v>4.3</v>
      </c>
      <c r="G714">
        <v>8999</v>
      </c>
      <c r="H714">
        <v>9999</v>
      </c>
      <c r="I714">
        <f>FlipkartTable[[#This Row],[Original Price]]-FlipkartTable[[#This Row],[Selling Price]]</f>
        <v>1000</v>
      </c>
      <c r="J714" s="4">
        <f>(FlipkartTable[[#This Row],[Original Price]]-FlipkartTable[[#This Row],[Selling Price]])/FlipkartTable[[#This Row],[Original Price]]</f>
        <v>0.1000100010001</v>
      </c>
      <c r="K714">
        <f>(FlipkartTable[[#This Row],[Rating]]/FlipkartTable[[#This Row],[Selling Price]])*1000</f>
        <v>0.47783087009667735</v>
      </c>
      <c r="L714" t="str">
        <f>IF(FlipkartTable[[#This Row],[Selling Price]]&lt;15000,"Budget",IF(FlipkartTable[[#This Row],[Selling Price]]&lt;50000,"Mid Range","Premium"))</f>
        <v>Budget</v>
      </c>
      <c r="M714" t="str">
        <f>IF(FlipkartTable[[#This Row],[Rating]]&gt;4.5,"Excellent",IF(FlipkartTable[[#This Row],[Rating]]&gt;4,"Good",IF(FlipkartTable[[#This Row],[Rating]]&gt;3.5,"Average","Poor")))</f>
        <v>Good</v>
      </c>
    </row>
    <row r="715" spans="1:13" x14ac:dyDescent="0.35">
      <c r="A715" t="s">
        <v>343</v>
      </c>
      <c r="B715" s="9">
        <v>2</v>
      </c>
      <c r="C715" t="s">
        <v>397</v>
      </c>
      <c r="D715" t="s">
        <v>11</v>
      </c>
      <c r="E715" t="s">
        <v>12</v>
      </c>
      <c r="F715">
        <v>4.4000000000000004</v>
      </c>
      <c r="G715">
        <v>11990</v>
      </c>
      <c r="H715">
        <v>11990</v>
      </c>
      <c r="I715">
        <f>FlipkartTable[[#This Row],[Original Price]]-FlipkartTable[[#This Row],[Selling Price]]</f>
        <v>0</v>
      </c>
      <c r="J715" s="4">
        <f>(FlipkartTable[[#This Row],[Original Price]]-FlipkartTable[[#This Row],[Selling Price]])/FlipkartTable[[#This Row],[Original Price]]</f>
        <v>0</v>
      </c>
      <c r="K715">
        <f>(FlipkartTable[[#This Row],[Rating]]/FlipkartTable[[#This Row],[Selling Price]])*1000</f>
        <v>0.36697247706422026</v>
      </c>
      <c r="L715" t="str">
        <f>IF(FlipkartTable[[#This Row],[Selling Price]]&lt;15000,"Budget",IF(FlipkartTable[[#This Row],[Selling Price]]&lt;50000,"Mid Range","Premium"))</f>
        <v>Budget</v>
      </c>
      <c r="M715" t="str">
        <f>IF(FlipkartTable[[#This Row],[Rating]]&gt;4.5,"Excellent",IF(FlipkartTable[[#This Row],[Rating]]&gt;4,"Good",IF(FlipkartTable[[#This Row],[Rating]]&gt;3.5,"Average","Poor")))</f>
        <v>Good</v>
      </c>
    </row>
    <row r="716" spans="1:13" x14ac:dyDescent="0.35">
      <c r="A716" t="s">
        <v>343</v>
      </c>
      <c r="B716" s="9" t="s">
        <v>455</v>
      </c>
      <c r="C716" t="s">
        <v>459</v>
      </c>
      <c r="D716" t="s">
        <v>20</v>
      </c>
      <c r="E716" t="s">
        <v>12</v>
      </c>
      <c r="F716">
        <v>4.4000000000000004</v>
      </c>
      <c r="G716">
        <v>9999</v>
      </c>
      <c r="H716">
        <v>11999</v>
      </c>
      <c r="I716">
        <f>FlipkartTable[[#This Row],[Original Price]]-FlipkartTable[[#This Row],[Selling Price]]</f>
        <v>2000</v>
      </c>
      <c r="J716" s="4">
        <f>(FlipkartTable[[#This Row],[Original Price]]-FlipkartTable[[#This Row],[Selling Price]])/FlipkartTable[[#This Row],[Original Price]]</f>
        <v>0.16668055671305942</v>
      </c>
      <c r="K716">
        <f>(FlipkartTable[[#This Row],[Rating]]/FlipkartTable[[#This Row],[Selling Price]])*1000</f>
        <v>0.44004400440044006</v>
      </c>
      <c r="L716" t="str">
        <f>IF(FlipkartTable[[#This Row],[Selling Price]]&lt;15000,"Budget",IF(FlipkartTable[[#This Row],[Selling Price]]&lt;50000,"Mid Range","Premium"))</f>
        <v>Budget</v>
      </c>
      <c r="M716" t="str">
        <f>IF(FlipkartTable[[#This Row],[Rating]]&gt;4.5,"Excellent",IF(FlipkartTable[[#This Row],[Rating]]&gt;4,"Good",IF(FlipkartTable[[#This Row],[Rating]]&gt;3.5,"Average","Poor")))</f>
        <v>Good</v>
      </c>
    </row>
    <row r="717" spans="1:13" x14ac:dyDescent="0.35">
      <c r="A717" t="s">
        <v>343</v>
      </c>
      <c r="B717" s="9" t="s">
        <v>404</v>
      </c>
      <c r="C717" t="s">
        <v>415</v>
      </c>
      <c r="D717" t="s">
        <v>27</v>
      </c>
      <c r="E717" t="s">
        <v>64</v>
      </c>
      <c r="F717">
        <v>4.5</v>
      </c>
      <c r="G717">
        <v>24999</v>
      </c>
      <c r="H717">
        <v>24999</v>
      </c>
      <c r="I717">
        <f>FlipkartTable[[#This Row],[Original Price]]-FlipkartTable[[#This Row],[Selling Price]]</f>
        <v>0</v>
      </c>
      <c r="J717" s="4">
        <f>(FlipkartTable[[#This Row],[Original Price]]-FlipkartTable[[#This Row],[Selling Price]])/FlipkartTable[[#This Row],[Original Price]]</f>
        <v>0</v>
      </c>
      <c r="K717">
        <f>(FlipkartTable[[#This Row],[Rating]]/FlipkartTable[[#This Row],[Selling Price]])*1000</f>
        <v>0.18000720028801154</v>
      </c>
      <c r="L717" t="str">
        <f>IF(FlipkartTable[[#This Row],[Selling Price]]&lt;15000,"Budget",IF(FlipkartTable[[#This Row],[Selling Price]]&lt;50000,"Mid Range","Premium"))</f>
        <v>Mid Range</v>
      </c>
      <c r="M717" t="str">
        <f>IF(FlipkartTable[[#This Row],[Rating]]&gt;4.5,"Excellent",IF(FlipkartTable[[#This Row],[Rating]]&gt;4,"Good",IF(FlipkartTable[[#This Row],[Rating]]&gt;3.5,"Average","Poor")))</f>
        <v>Good</v>
      </c>
    </row>
    <row r="718" spans="1:13" x14ac:dyDescent="0.35">
      <c r="A718" t="s">
        <v>343</v>
      </c>
      <c r="B718" s="9">
        <v>1</v>
      </c>
      <c r="C718" t="s">
        <v>170</v>
      </c>
      <c r="D718" t="s">
        <v>11</v>
      </c>
      <c r="E718" t="s">
        <v>12</v>
      </c>
      <c r="F718">
        <v>4.4000000000000004</v>
      </c>
      <c r="G718">
        <v>11490</v>
      </c>
      <c r="H718">
        <v>12990</v>
      </c>
      <c r="I718">
        <f>FlipkartTable[[#This Row],[Original Price]]-FlipkartTable[[#This Row],[Selling Price]]</f>
        <v>1500</v>
      </c>
      <c r="J718" s="4">
        <f>(FlipkartTable[[#This Row],[Original Price]]-FlipkartTable[[#This Row],[Selling Price]])/FlipkartTable[[#This Row],[Original Price]]</f>
        <v>0.11547344110854503</v>
      </c>
      <c r="K718">
        <f>(FlipkartTable[[#This Row],[Rating]]/FlipkartTable[[#This Row],[Selling Price]])*1000</f>
        <v>0.38294168842471715</v>
      </c>
      <c r="L718" t="str">
        <f>IF(FlipkartTable[[#This Row],[Selling Price]]&lt;15000,"Budget",IF(FlipkartTable[[#This Row],[Selling Price]]&lt;50000,"Mid Range","Premium"))</f>
        <v>Budget</v>
      </c>
      <c r="M718" t="str">
        <f>IF(FlipkartTable[[#This Row],[Rating]]&gt;4.5,"Excellent",IF(FlipkartTable[[#This Row],[Rating]]&gt;4,"Good",IF(FlipkartTable[[#This Row],[Rating]]&gt;3.5,"Average","Poor")))</f>
        <v>Good</v>
      </c>
    </row>
    <row r="719" spans="1:13" x14ac:dyDescent="0.35">
      <c r="A719" t="s">
        <v>343</v>
      </c>
      <c r="B719" s="9">
        <v>3</v>
      </c>
      <c r="C719" t="s">
        <v>467</v>
      </c>
      <c r="D719" t="s">
        <v>20</v>
      </c>
      <c r="E719" t="s">
        <v>21</v>
      </c>
      <c r="F719">
        <v>4.5</v>
      </c>
      <c r="G719">
        <v>8499</v>
      </c>
      <c r="H719">
        <v>10999</v>
      </c>
      <c r="I719">
        <f>FlipkartTable[[#This Row],[Original Price]]-FlipkartTable[[#This Row],[Selling Price]]</f>
        <v>2500</v>
      </c>
      <c r="J719" s="4">
        <f>(FlipkartTable[[#This Row],[Original Price]]-FlipkartTable[[#This Row],[Selling Price]])/FlipkartTable[[#This Row],[Original Price]]</f>
        <v>0.22729339030820983</v>
      </c>
      <c r="K719">
        <f>(FlipkartTable[[#This Row],[Rating]]/FlipkartTable[[#This Row],[Selling Price]])*1000</f>
        <v>0.52947405577126716</v>
      </c>
      <c r="L719" t="str">
        <f>IF(FlipkartTable[[#This Row],[Selling Price]]&lt;15000,"Budget",IF(FlipkartTable[[#This Row],[Selling Price]]&lt;50000,"Mid Range","Premium"))</f>
        <v>Budget</v>
      </c>
      <c r="M719" t="str">
        <f>IF(FlipkartTable[[#This Row],[Rating]]&gt;4.5,"Excellent",IF(FlipkartTable[[#This Row],[Rating]]&gt;4,"Good",IF(FlipkartTable[[#This Row],[Rating]]&gt;3.5,"Average","Poor")))</f>
        <v>Good</v>
      </c>
    </row>
    <row r="720" spans="1:13" x14ac:dyDescent="0.35">
      <c r="A720" t="s">
        <v>343</v>
      </c>
      <c r="B720" s="9">
        <v>3</v>
      </c>
      <c r="C720" t="s">
        <v>467</v>
      </c>
      <c r="D720" t="s">
        <v>20</v>
      </c>
      <c r="E720" t="s">
        <v>21</v>
      </c>
      <c r="F720">
        <v>4.5</v>
      </c>
      <c r="G720">
        <v>8499</v>
      </c>
      <c r="H720">
        <v>10999</v>
      </c>
      <c r="I720">
        <f>FlipkartTable[[#This Row],[Original Price]]-FlipkartTable[[#This Row],[Selling Price]]</f>
        <v>2500</v>
      </c>
      <c r="J720" s="4">
        <f>(FlipkartTable[[#This Row],[Original Price]]-FlipkartTable[[#This Row],[Selling Price]])/FlipkartTable[[#This Row],[Original Price]]</f>
        <v>0.22729339030820983</v>
      </c>
      <c r="K720">
        <f>(FlipkartTable[[#This Row],[Rating]]/FlipkartTable[[#This Row],[Selling Price]])*1000</f>
        <v>0.52947405577126716</v>
      </c>
      <c r="L720" t="str">
        <f>IF(FlipkartTable[[#This Row],[Selling Price]]&lt;15000,"Budget",IF(FlipkartTable[[#This Row],[Selling Price]]&lt;50000,"Mid Range","Premium"))</f>
        <v>Budget</v>
      </c>
      <c r="M720" t="str">
        <f>IF(FlipkartTable[[#This Row],[Rating]]&gt;4.5,"Excellent",IF(FlipkartTable[[#This Row],[Rating]]&gt;4,"Good",IF(FlipkartTable[[#This Row],[Rating]]&gt;3.5,"Average","Poor")))</f>
        <v>Good</v>
      </c>
    </row>
    <row r="721" spans="1:13" x14ac:dyDescent="0.35">
      <c r="A721" t="s">
        <v>343</v>
      </c>
      <c r="B721" s="9" t="s">
        <v>400</v>
      </c>
      <c r="C721" t="s">
        <v>403</v>
      </c>
      <c r="D721" t="s">
        <v>14</v>
      </c>
      <c r="E721" t="s">
        <v>12</v>
      </c>
      <c r="F721">
        <v>4.4000000000000004</v>
      </c>
      <c r="G721">
        <v>13999</v>
      </c>
      <c r="H721">
        <v>15999</v>
      </c>
      <c r="I721">
        <f>FlipkartTable[[#This Row],[Original Price]]-FlipkartTable[[#This Row],[Selling Price]]</f>
        <v>2000</v>
      </c>
      <c r="J721" s="4">
        <f>(FlipkartTable[[#This Row],[Original Price]]-FlipkartTable[[#This Row],[Selling Price]])/FlipkartTable[[#This Row],[Original Price]]</f>
        <v>0.12500781298831176</v>
      </c>
      <c r="K721">
        <f>(FlipkartTable[[#This Row],[Rating]]/FlipkartTable[[#This Row],[Selling Price]])*1000</f>
        <v>0.31430816486891927</v>
      </c>
      <c r="L721" t="str">
        <f>IF(FlipkartTable[[#This Row],[Selling Price]]&lt;15000,"Budget",IF(FlipkartTable[[#This Row],[Selling Price]]&lt;50000,"Mid Range","Premium"))</f>
        <v>Budget</v>
      </c>
      <c r="M721" t="str">
        <f>IF(FlipkartTable[[#This Row],[Rating]]&gt;4.5,"Excellent",IF(FlipkartTable[[#This Row],[Rating]]&gt;4,"Good",IF(FlipkartTable[[#This Row],[Rating]]&gt;3.5,"Average","Poor")))</f>
        <v>Good</v>
      </c>
    </row>
    <row r="722" spans="1:13" x14ac:dyDescent="0.35">
      <c r="A722" t="s">
        <v>343</v>
      </c>
      <c r="B722" s="9" t="s">
        <v>408</v>
      </c>
      <c r="C722" t="s">
        <v>474</v>
      </c>
      <c r="D722" t="s">
        <v>27</v>
      </c>
      <c r="E722" t="s">
        <v>15</v>
      </c>
      <c r="F722">
        <v>4.5</v>
      </c>
      <c r="G722">
        <v>21999</v>
      </c>
      <c r="H722">
        <v>21999</v>
      </c>
      <c r="I722">
        <f>FlipkartTable[[#This Row],[Original Price]]-FlipkartTable[[#This Row],[Selling Price]]</f>
        <v>0</v>
      </c>
      <c r="J722" s="4">
        <f>(FlipkartTable[[#This Row],[Original Price]]-FlipkartTable[[#This Row],[Selling Price]])/FlipkartTable[[#This Row],[Original Price]]</f>
        <v>0</v>
      </c>
      <c r="K722">
        <f>(FlipkartTable[[#This Row],[Rating]]/FlipkartTable[[#This Row],[Selling Price]])*1000</f>
        <v>0.20455475248874949</v>
      </c>
      <c r="L722" t="str">
        <f>IF(FlipkartTable[[#This Row],[Selling Price]]&lt;15000,"Budget",IF(FlipkartTable[[#This Row],[Selling Price]]&lt;50000,"Mid Range","Premium"))</f>
        <v>Mid Range</v>
      </c>
      <c r="M722" t="str">
        <f>IF(FlipkartTable[[#This Row],[Rating]]&gt;4.5,"Excellent",IF(FlipkartTable[[#This Row],[Rating]]&gt;4,"Good",IF(FlipkartTable[[#This Row],[Rating]]&gt;3.5,"Average","Poor")))</f>
        <v>Good</v>
      </c>
    </row>
    <row r="723" spans="1:13" x14ac:dyDescent="0.35">
      <c r="A723" t="s">
        <v>343</v>
      </c>
      <c r="B723" s="9" t="s">
        <v>408</v>
      </c>
      <c r="C723" t="s">
        <v>471</v>
      </c>
      <c r="D723" t="s">
        <v>27</v>
      </c>
      <c r="E723" t="s">
        <v>15</v>
      </c>
      <c r="F723">
        <v>4.5</v>
      </c>
      <c r="G723">
        <v>20999</v>
      </c>
      <c r="H723">
        <v>20999</v>
      </c>
      <c r="I723">
        <f>FlipkartTable[[#This Row],[Original Price]]-FlipkartTable[[#This Row],[Selling Price]]</f>
        <v>0</v>
      </c>
      <c r="J723" s="4">
        <f>(FlipkartTable[[#This Row],[Original Price]]-FlipkartTable[[#This Row],[Selling Price]])/FlipkartTable[[#This Row],[Original Price]]</f>
        <v>0</v>
      </c>
      <c r="K723">
        <f>(FlipkartTable[[#This Row],[Rating]]/FlipkartTable[[#This Row],[Selling Price]])*1000</f>
        <v>0.21429591885327873</v>
      </c>
      <c r="L723" t="str">
        <f>IF(FlipkartTable[[#This Row],[Selling Price]]&lt;15000,"Budget",IF(FlipkartTable[[#This Row],[Selling Price]]&lt;50000,"Mid Range","Premium"))</f>
        <v>Mid Range</v>
      </c>
      <c r="M723" t="str">
        <f>IF(FlipkartTable[[#This Row],[Rating]]&gt;4.5,"Excellent",IF(FlipkartTable[[#This Row],[Rating]]&gt;4,"Good",IF(FlipkartTable[[#This Row],[Rating]]&gt;3.5,"Average","Poor")))</f>
        <v>Good</v>
      </c>
    </row>
    <row r="724" spans="1:13" x14ac:dyDescent="0.35">
      <c r="A724" t="s">
        <v>343</v>
      </c>
      <c r="B724" s="9" t="s">
        <v>408</v>
      </c>
      <c r="C724" t="s">
        <v>472</v>
      </c>
      <c r="D724" t="s">
        <v>27</v>
      </c>
      <c r="E724" t="s">
        <v>15</v>
      </c>
      <c r="F724">
        <v>4.5</v>
      </c>
      <c r="G724">
        <v>20999</v>
      </c>
      <c r="H724">
        <v>20999</v>
      </c>
      <c r="I724">
        <f>FlipkartTable[[#This Row],[Original Price]]-FlipkartTable[[#This Row],[Selling Price]]</f>
        <v>0</v>
      </c>
      <c r="J724" s="4">
        <f>(FlipkartTable[[#This Row],[Original Price]]-FlipkartTable[[#This Row],[Selling Price]])/FlipkartTable[[#This Row],[Original Price]]</f>
        <v>0</v>
      </c>
      <c r="K724">
        <f>(FlipkartTable[[#This Row],[Rating]]/FlipkartTable[[#This Row],[Selling Price]])*1000</f>
        <v>0.21429591885327873</v>
      </c>
      <c r="L724" t="str">
        <f>IF(FlipkartTable[[#This Row],[Selling Price]]&lt;15000,"Budget",IF(FlipkartTable[[#This Row],[Selling Price]]&lt;50000,"Mid Range","Premium"))</f>
        <v>Mid Range</v>
      </c>
      <c r="M724" t="str">
        <f>IF(FlipkartTable[[#This Row],[Rating]]&gt;4.5,"Excellent",IF(FlipkartTable[[#This Row],[Rating]]&gt;4,"Good",IF(FlipkartTable[[#This Row],[Rating]]&gt;3.5,"Average","Poor")))</f>
        <v>Good</v>
      </c>
    </row>
    <row r="725" spans="1:13" x14ac:dyDescent="0.35">
      <c r="A725" t="s">
        <v>475</v>
      </c>
      <c r="B725" s="9" t="s">
        <v>476</v>
      </c>
      <c r="C725" t="s">
        <v>477</v>
      </c>
      <c r="D725" t="s">
        <v>35</v>
      </c>
      <c r="E725" t="s">
        <v>21</v>
      </c>
      <c r="F725">
        <v>4.0999999999999996</v>
      </c>
      <c r="G725">
        <v>6299</v>
      </c>
      <c r="H725">
        <v>7990</v>
      </c>
      <c r="I725">
        <f>FlipkartTable[[#This Row],[Original Price]]-FlipkartTable[[#This Row],[Selling Price]]</f>
        <v>1691</v>
      </c>
      <c r="J725" s="4">
        <f>(FlipkartTable[[#This Row],[Original Price]]-FlipkartTable[[#This Row],[Selling Price]])/FlipkartTable[[#This Row],[Original Price]]</f>
        <v>0.211639549436796</v>
      </c>
      <c r="K725">
        <f>(FlipkartTable[[#This Row],[Rating]]/FlipkartTable[[#This Row],[Selling Price]])*1000</f>
        <v>0.65089696777266226</v>
      </c>
      <c r="L725" t="str">
        <f>IF(FlipkartTable[[#This Row],[Selling Price]]&lt;15000,"Budget",IF(FlipkartTable[[#This Row],[Selling Price]]&lt;50000,"Mid Range","Premium"))</f>
        <v>Budget</v>
      </c>
      <c r="M725" t="str">
        <f>IF(FlipkartTable[[#This Row],[Rating]]&gt;4.5,"Excellent",IF(FlipkartTable[[#This Row],[Rating]]&gt;4,"Good",IF(FlipkartTable[[#This Row],[Rating]]&gt;3.5,"Average","Poor")))</f>
        <v>Good</v>
      </c>
    </row>
    <row r="726" spans="1:13" x14ac:dyDescent="0.35">
      <c r="A726" t="s">
        <v>475</v>
      </c>
      <c r="B726" s="9" t="s">
        <v>476</v>
      </c>
      <c r="C726" t="s">
        <v>19</v>
      </c>
      <c r="D726" t="s">
        <v>35</v>
      </c>
      <c r="E726" t="s">
        <v>21</v>
      </c>
      <c r="F726">
        <v>4.0999999999999996</v>
      </c>
      <c r="G726">
        <v>6299</v>
      </c>
      <c r="H726">
        <v>7990</v>
      </c>
      <c r="I726">
        <f>FlipkartTable[[#This Row],[Original Price]]-FlipkartTable[[#This Row],[Selling Price]]</f>
        <v>1691</v>
      </c>
      <c r="J726" s="4">
        <f>(FlipkartTable[[#This Row],[Original Price]]-FlipkartTable[[#This Row],[Selling Price]])/FlipkartTable[[#This Row],[Original Price]]</f>
        <v>0.211639549436796</v>
      </c>
      <c r="K726">
        <f>(FlipkartTable[[#This Row],[Rating]]/FlipkartTable[[#This Row],[Selling Price]])*1000</f>
        <v>0.65089696777266226</v>
      </c>
      <c r="L726" t="str">
        <f>IF(FlipkartTable[[#This Row],[Selling Price]]&lt;15000,"Budget",IF(FlipkartTable[[#This Row],[Selling Price]]&lt;50000,"Mid Range","Premium"))</f>
        <v>Budget</v>
      </c>
      <c r="M726" t="str">
        <f>IF(FlipkartTable[[#This Row],[Rating]]&gt;4.5,"Excellent",IF(FlipkartTable[[#This Row],[Rating]]&gt;4,"Good",IF(FlipkartTable[[#This Row],[Rating]]&gt;3.5,"Average","Poor")))</f>
        <v>Good</v>
      </c>
    </row>
    <row r="727" spans="1:13" x14ac:dyDescent="0.35">
      <c r="A727" t="s">
        <v>475</v>
      </c>
      <c r="B727" s="9" t="s">
        <v>476</v>
      </c>
      <c r="C727" t="s">
        <v>84</v>
      </c>
      <c r="D727" t="s">
        <v>35</v>
      </c>
      <c r="E727" t="s">
        <v>21</v>
      </c>
      <c r="F727">
        <v>4.0999999999999996</v>
      </c>
      <c r="G727">
        <v>6299</v>
      </c>
      <c r="H727">
        <v>7990</v>
      </c>
      <c r="I727">
        <f>FlipkartTable[[#This Row],[Original Price]]-FlipkartTable[[#This Row],[Selling Price]]</f>
        <v>1691</v>
      </c>
      <c r="J727" s="4">
        <f>(FlipkartTable[[#This Row],[Original Price]]-FlipkartTable[[#This Row],[Selling Price]])/FlipkartTable[[#This Row],[Original Price]]</f>
        <v>0.211639549436796</v>
      </c>
      <c r="K727">
        <f>(FlipkartTable[[#This Row],[Rating]]/FlipkartTable[[#This Row],[Selling Price]])*1000</f>
        <v>0.65089696777266226</v>
      </c>
      <c r="L727" t="str">
        <f>IF(FlipkartTable[[#This Row],[Selling Price]]&lt;15000,"Budget",IF(FlipkartTable[[#This Row],[Selling Price]]&lt;50000,"Mid Range","Premium"))</f>
        <v>Budget</v>
      </c>
      <c r="M727" t="str">
        <f>IF(FlipkartTable[[#This Row],[Rating]]&gt;4.5,"Excellent",IF(FlipkartTable[[#This Row],[Rating]]&gt;4,"Good",IF(FlipkartTable[[#This Row],[Rating]]&gt;3.5,"Average","Poor")))</f>
        <v>Good</v>
      </c>
    </row>
    <row r="728" spans="1:13" x14ac:dyDescent="0.35">
      <c r="A728" t="s">
        <v>475</v>
      </c>
      <c r="B728" s="9" t="s">
        <v>478</v>
      </c>
      <c r="C728" t="s">
        <v>22</v>
      </c>
      <c r="D728" t="s">
        <v>20</v>
      </c>
      <c r="E728" t="s">
        <v>21</v>
      </c>
      <c r="F728">
        <v>3.8</v>
      </c>
      <c r="G728">
        <v>7299</v>
      </c>
      <c r="H728">
        <v>9999</v>
      </c>
      <c r="I728">
        <f>FlipkartTable[[#This Row],[Original Price]]-FlipkartTable[[#This Row],[Selling Price]]</f>
        <v>2700</v>
      </c>
      <c r="J728" s="4">
        <f>(FlipkartTable[[#This Row],[Original Price]]-FlipkartTable[[#This Row],[Selling Price]])/FlipkartTable[[#This Row],[Original Price]]</f>
        <v>0.27002700270027002</v>
      </c>
      <c r="K728">
        <f>(FlipkartTable[[#This Row],[Rating]]/FlipkartTable[[#This Row],[Selling Price]])*1000</f>
        <v>0.52061926291272775</v>
      </c>
      <c r="L728" t="str">
        <f>IF(FlipkartTable[[#This Row],[Selling Price]]&lt;15000,"Budget",IF(FlipkartTable[[#This Row],[Selling Price]]&lt;50000,"Mid Range","Premium"))</f>
        <v>Budget</v>
      </c>
      <c r="M728" t="str">
        <f>IF(FlipkartTable[[#This Row],[Rating]]&gt;4.5,"Excellent",IF(FlipkartTable[[#This Row],[Rating]]&gt;4,"Good",IF(FlipkartTable[[#This Row],[Rating]]&gt;3.5,"Average","Poor")))</f>
        <v>Average</v>
      </c>
    </row>
    <row r="729" spans="1:13" x14ac:dyDescent="0.35">
      <c r="A729" t="s">
        <v>475</v>
      </c>
      <c r="B729" s="9" t="s">
        <v>478</v>
      </c>
      <c r="C729" t="s">
        <v>84</v>
      </c>
      <c r="D729" t="s">
        <v>20</v>
      </c>
      <c r="E729" t="s">
        <v>21</v>
      </c>
      <c r="F729">
        <v>3.8</v>
      </c>
      <c r="G729">
        <v>7299</v>
      </c>
      <c r="H729">
        <v>9999</v>
      </c>
      <c r="I729">
        <f>FlipkartTable[[#This Row],[Original Price]]-FlipkartTable[[#This Row],[Selling Price]]</f>
        <v>2700</v>
      </c>
      <c r="J729" s="4">
        <f>(FlipkartTable[[#This Row],[Original Price]]-FlipkartTable[[#This Row],[Selling Price]])/FlipkartTable[[#This Row],[Original Price]]</f>
        <v>0.27002700270027002</v>
      </c>
      <c r="K729">
        <f>(FlipkartTable[[#This Row],[Rating]]/FlipkartTable[[#This Row],[Selling Price]])*1000</f>
        <v>0.52061926291272775</v>
      </c>
      <c r="L729" t="str">
        <f>IF(FlipkartTable[[#This Row],[Selling Price]]&lt;15000,"Budget",IF(FlipkartTable[[#This Row],[Selling Price]]&lt;50000,"Mid Range","Premium"))</f>
        <v>Budget</v>
      </c>
      <c r="M729" t="str">
        <f>IF(FlipkartTable[[#This Row],[Rating]]&gt;4.5,"Excellent",IF(FlipkartTable[[#This Row],[Rating]]&gt;4,"Good",IF(FlipkartTable[[#This Row],[Rating]]&gt;3.5,"Average","Poor")))</f>
        <v>Average</v>
      </c>
    </row>
    <row r="730" spans="1:13" x14ac:dyDescent="0.35">
      <c r="A730" t="s">
        <v>475</v>
      </c>
      <c r="B730" s="9" t="s">
        <v>478</v>
      </c>
      <c r="C730" t="s">
        <v>19</v>
      </c>
      <c r="D730" t="s">
        <v>20</v>
      </c>
      <c r="E730" t="s">
        <v>21</v>
      </c>
      <c r="F730">
        <v>3.8</v>
      </c>
      <c r="G730">
        <v>7299</v>
      </c>
      <c r="H730">
        <v>9999</v>
      </c>
      <c r="I730">
        <f>FlipkartTable[[#This Row],[Original Price]]-FlipkartTable[[#This Row],[Selling Price]]</f>
        <v>2700</v>
      </c>
      <c r="J730" s="4">
        <f>(FlipkartTable[[#This Row],[Original Price]]-FlipkartTable[[#This Row],[Selling Price]])/FlipkartTable[[#This Row],[Original Price]]</f>
        <v>0.27002700270027002</v>
      </c>
      <c r="K730">
        <f>(FlipkartTable[[#This Row],[Rating]]/FlipkartTable[[#This Row],[Selling Price]])*1000</f>
        <v>0.52061926291272775</v>
      </c>
      <c r="L730" t="str">
        <f>IF(FlipkartTable[[#This Row],[Selling Price]]&lt;15000,"Budget",IF(FlipkartTable[[#This Row],[Selling Price]]&lt;50000,"Mid Range","Premium"))</f>
        <v>Budget</v>
      </c>
      <c r="M730" t="str">
        <f>IF(FlipkartTable[[#This Row],[Rating]]&gt;4.5,"Excellent",IF(FlipkartTable[[#This Row],[Rating]]&gt;4,"Good",IF(FlipkartTable[[#This Row],[Rating]]&gt;3.5,"Average","Poor")))</f>
        <v>Average</v>
      </c>
    </row>
    <row r="731" spans="1:13" x14ac:dyDescent="0.35">
      <c r="A731" t="s">
        <v>475</v>
      </c>
      <c r="B731" s="9" t="s">
        <v>479</v>
      </c>
      <c r="C731" t="s">
        <v>19</v>
      </c>
      <c r="D731" t="s">
        <v>35</v>
      </c>
      <c r="E731" t="s">
        <v>21</v>
      </c>
      <c r="F731">
        <v>3.9</v>
      </c>
      <c r="G731">
        <v>6499</v>
      </c>
      <c r="H731">
        <v>6499</v>
      </c>
      <c r="I731">
        <f>FlipkartTable[[#This Row],[Original Price]]-FlipkartTable[[#This Row],[Selling Price]]</f>
        <v>0</v>
      </c>
      <c r="J731" s="4">
        <f>(FlipkartTable[[#This Row],[Original Price]]-FlipkartTable[[#This Row],[Selling Price]])/FlipkartTable[[#This Row],[Original Price]]</f>
        <v>0</v>
      </c>
      <c r="K731">
        <f>(FlipkartTable[[#This Row],[Rating]]/FlipkartTable[[#This Row],[Selling Price]])*1000</f>
        <v>0.60009232189567618</v>
      </c>
      <c r="L731" t="str">
        <f>IF(FlipkartTable[[#This Row],[Selling Price]]&lt;15000,"Budget",IF(FlipkartTable[[#This Row],[Selling Price]]&lt;50000,"Mid Range","Premium"))</f>
        <v>Budget</v>
      </c>
      <c r="M731" t="str">
        <f>IF(FlipkartTable[[#This Row],[Rating]]&gt;4.5,"Excellent",IF(FlipkartTable[[#This Row],[Rating]]&gt;4,"Good",IF(FlipkartTable[[#This Row],[Rating]]&gt;3.5,"Average","Poor")))</f>
        <v>Average</v>
      </c>
    </row>
    <row r="732" spans="1:13" x14ac:dyDescent="0.35">
      <c r="A732" t="s">
        <v>475</v>
      </c>
      <c r="B732" s="9" t="s">
        <v>480</v>
      </c>
      <c r="C732" t="s">
        <v>152</v>
      </c>
      <c r="D732" t="s">
        <v>20</v>
      </c>
      <c r="E732" t="s">
        <v>124</v>
      </c>
      <c r="F732">
        <v>3.9</v>
      </c>
      <c r="G732">
        <v>8999</v>
      </c>
      <c r="H732">
        <v>8999</v>
      </c>
      <c r="I732">
        <f>FlipkartTable[[#This Row],[Original Price]]-FlipkartTable[[#This Row],[Selling Price]]</f>
        <v>0</v>
      </c>
      <c r="J732" s="4">
        <f>(FlipkartTable[[#This Row],[Original Price]]-FlipkartTable[[#This Row],[Selling Price]])/FlipkartTable[[#This Row],[Original Price]]</f>
        <v>0</v>
      </c>
      <c r="K732">
        <f>(FlipkartTable[[#This Row],[Rating]]/FlipkartTable[[#This Row],[Selling Price]])*1000</f>
        <v>0.43338148683187022</v>
      </c>
      <c r="L732" t="str">
        <f>IF(FlipkartTable[[#This Row],[Selling Price]]&lt;15000,"Budget",IF(FlipkartTable[[#This Row],[Selling Price]]&lt;50000,"Mid Range","Premium"))</f>
        <v>Budget</v>
      </c>
      <c r="M732" t="str">
        <f>IF(FlipkartTable[[#This Row],[Rating]]&gt;4.5,"Excellent",IF(FlipkartTable[[#This Row],[Rating]]&gt;4,"Good",IF(FlipkartTable[[#This Row],[Rating]]&gt;3.5,"Average","Poor")))</f>
        <v>Average</v>
      </c>
    </row>
    <row r="733" spans="1:13" x14ac:dyDescent="0.35">
      <c r="A733" t="s">
        <v>475</v>
      </c>
      <c r="B733" s="9" t="s">
        <v>481</v>
      </c>
      <c r="C733" t="s">
        <v>123</v>
      </c>
      <c r="D733" t="s">
        <v>35</v>
      </c>
      <c r="E733" t="s">
        <v>124</v>
      </c>
      <c r="F733">
        <v>4.0999999999999996</v>
      </c>
      <c r="G733">
        <v>6990</v>
      </c>
      <c r="H733">
        <v>6990</v>
      </c>
      <c r="I733">
        <f>FlipkartTable[[#This Row],[Original Price]]-FlipkartTable[[#This Row],[Selling Price]]</f>
        <v>0</v>
      </c>
      <c r="J733" s="4">
        <f>(FlipkartTable[[#This Row],[Original Price]]-FlipkartTable[[#This Row],[Selling Price]])/FlipkartTable[[#This Row],[Original Price]]</f>
        <v>0</v>
      </c>
      <c r="K733">
        <f>(FlipkartTable[[#This Row],[Rating]]/FlipkartTable[[#This Row],[Selling Price]])*1000</f>
        <v>0.58655221745350494</v>
      </c>
      <c r="L733" t="str">
        <f>IF(FlipkartTable[[#This Row],[Selling Price]]&lt;15000,"Budget",IF(FlipkartTable[[#This Row],[Selling Price]]&lt;50000,"Mid Range","Premium"))</f>
        <v>Budget</v>
      </c>
      <c r="M733" t="str">
        <f>IF(FlipkartTable[[#This Row],[Rating]]&gt;4.5,"Excellent",IF(FlipkartTable[[#This Row],[Rating]]&gt;4,"Good",IF(FlipkartTable[[#This Row],[Rating]]&gt;3.5,"Average","Poor")))</f>
        <v>Good</v>
      </c>
    </row>
    <row r="734" spans="1:13" x14ac:dyDescent="0.35">
      <c r="A734" t="s">
        <v>475</v>
      </c>
      <c r="B734" s="9" t="s">
        <v>482</v>
      </c>
      <c r="C734" t="s">
        <v>141</v>
      </c>
      <c r="D734" t="s">
        <v>11</v>
      </c>
      <c r="E734" t="s">
        <v>12</v>
      </c>
      <c r="F734">
        <v>4</v>
      </c>
      <c r="G734">
        <v>21499</v>
      </c>
      <c r="H734">
        <v>21499</v>
      </c>
      <c r="I734">
        <f>FlipkartTable[[#This Row],[Original Price]]-FlipkartTable[[#This Row],[Selling Price]]</f>
        <v>0</v>
      </c>
      <c r="J734" s="4">
        <f>(FlipkartTable[[#This Row],[Original Price]]-FlipkartTable[[#This Row],[Selling Price]])/FlipkartTable[[#This Row],[Original Price]]</f>
        <v>0</v>
      </c>
      <c r="K734">
        <f>(FlipkartTable[[#This Row],[Rating]]/FlipkartTable[[#This Row],[Selling Price]])*1000</f>
        <v>0.18605516535652822</v>
      </c>
      <c r="L734" t="str">
        <f>IF(FlipkartTable[[#This Row],[Selling Price]]&lt;15000,"Budget",IF(FlipkartTable[[#This Row],[Selling Price]]&lt;50000,"Mid Range","Premium"))</f>
        <v>Mid Range</v>
      </c>
      <c r="M734" t="str">
        <f>IF(FlipkartTable[[#This Row],[Rating]]&gt;4.5,"Excellent",IF(FlipkartTable[[#This Row],[Rating]]&gt;4,"Good",IF(FlipkartTable[[#This Row],[Rating]]&gt;3.5,"Average","Poor")))</f>
        <v>Average</v>
      </c>
    </row>
    <row r="735" spans="1:13" x14ac:dyDescent="0.35">
      <c r="A735" t="s">
        <v>475</v>
      </c>
      <c r="B735" s="9" t="s">
        <v>483</v>
      </c>
      <c r="C735" t="s">
        <v>484</v>
      </c>
      <c r="D735" t="s">
        <v>11</v>
      </c>
      <c r="E735" t="s">
        <v>21</v>
      </c>
      <c r="F735">
        <v>4</v>
      </c>
      <c r="G735">
        <v>8750</v>
      </c>
      <c r="H735">
        <v>8750</v>
      </c>
      <c r="I735">
        <f>FlipkartTable[[#This Row],[Original Price]]-FlipkartTable[[#This Row],[Selling Price]]</f>
        <v>0</v>
      </c>
      <c r="J735" s="4">
        <f>(FlipkartTable[[#This Row],[Original Price]]-FlipkartTable[[#This Row],[Selling Price]])/FlipkartTable[[#This Row],[Original Price]]</f>
        <v>0</v>
      </c>
      <c r="K735">
        <f>(FlipkartTable[[#This Row],[Rating]]/FlipkartTable[[#This Row],[Selling Price]])*1000</f>
        <v>0.45714285714285713</v>
      </c>
      <c r="L735" t="str">
        <f>IF(FlipkartTable[[#This Row],[Selling Price]]&lt;15000,"Budget",IF(FlipkartTable[[#This Row],[Selling Price]]&lt;50000,"Mid Range","Premium"))</f>
        <v>Budget</v>
      </c>
      <c r="M735" t="str">
        <f>IF(FlipkartTable[[#This Row],[Rating]]&gt;4.5,"Excellent",IF(FlipkartTable[[#This Row],[Rating]]&gt;4,"Good",IF(FlipkartTable[[#This Row],[Rating]]&gt;3.5,"Average","Poor")))</f>
        <v>Average</v>
      </c>
    </row>
    <row r="736" spans="1:13" x14ac:dyDescent="0.35">
      <c r="A736" t="s">
        <v>475</v>
      </c>
      <c r="B736" s="9" t="s">
        <v>483</v>
      </c>
      <c r="C736" t="s">
        <v>19</v>
      </c>
      <c r="D736" t="s">
        <v>11</v>
      </c>
      <c r="E736" t="s">
        <v>21</v>
      </c>
      <c r="F736">
        <v>4</v>
      </c>
      <c r="G736">
        <v>8690</v>
      </c>
      <c r="H736">
        <v>8690</v>
      </c>
      <c r="I736">
        <f>FlipkartTable[[#This Row],[Original Price]]-FlipkartTable[[#This Row],[Selling Price]]</f>
        <v>0</v>
      </c>
      <c r="J736" s="4">
        <f>(FlipkartTable[[#This Row],[Original Price]]-FlipkartTable[[#This Row],[Selling Price]])/FlipkartTable[[#This Row],[Original Price]]</f>
        <v>0</v>
      </c>
      <c r="K736">
        <f>(FlipkartTable[[#This Row],[Rating]]/FlipkartTable[[#This Row],[Selling Price]])*1000</f>
        <v>0.46029919447640966</v>
      </c>
      <c r="L736" t="str">
        <f>IF(FlipkartTable[[#This Row],[Selling Price]]&lt;15000,"Budget",IF(FlipkartTable[[#This Row],[Selling Price]]&lt;50000,"Mid Range","Premium"))</f>
        <v>Budget</v>
      </c>
      <c r="M736" t="str">
        <f>IF(FlipkartTable[[#This Row],[Rating]]&gt;4.5,"Excellent",IF(FlipkartTable[[#This Row],[Rating]]&gt;4,"Good",IF(FlipkartTable[[#This Row],[Rating]]&gt;3.5,"Average","Poor")))</f>
        <v>Average</v>
      </c>
    </row>
    <row r="737" spans="1:13" x14ac:dyDescent="0.35">
      <c r="A737" t="s">
        <v>475</v>
      </c>
      <c r="B737" s="9" t="s">
        <v>479</v>
      </c>
      <c r="C737" t="s">
        <v>22</v>
      </c>
      <c r="D737" t="s">
        <v>35</v>
      </c>
      <c r="E737" t="s">
        <v>21</v>
      </c>
      <c r="F737">
        <v>3.9</v>
      </c>
      <c r="G737">
        <v>5499</v>
      </c>
      <c r="H737">
        <v>5499</v>
      </c>
      <c r="I737">
        <f>FlipkartTable[[#This Row],[Original Price]]-FlipkartTable[[#This Row],[Selling Price]]</f>
        <v>0</v>
      </c>
      <c r="J737" s="4">
        <f>(FlipkartTable[[#This Row],[Original Price]]-FlipkartTable[[#This Row],[Selling Price]])/FlipkartTable[[#This Row],[Original Price]]</f>
        <v>0</v>
      </c>
      <c r="K737">
        <f>(FlipkartTable[[#This Row],[Rating]]/FlipkartTable[[#This Row],[Selling Price]])*1000</f>
        <v>0.70921985815602828</v>
      </c>
      <c r="L737" t="str">
        <f>IF(FlipkartTable[[#This Row],[Selling Price]]&lt;15000,"Budget",IF(FlipkartTable[[#This Row],[Selling Price]]&lt;50000,"Mid Range","Premium"))</f>
        <v>Budget</v>
      </c>
      <c r="M737" t="str">
        <f>IF(FlipkartTable[[#This Row],[Rating]]&gt;4.5,"Excellent",IF(FlipkartTable[[#This Row],[Rating]]&gt;4,"Good",IF(FlipkartTable[[#This Row],[Rating]]&gt;3.5,"Average","Poor")))</f>
        <v>Average</v>
      </c>
    </row>
    <row r="738" spans="1:13" x14ac:dyDescent="0.35">
      <c r="A738" t="s">
        <v>475</v>
      </c>
      <c r="B738" s="9" t="s">
        <v>479</v>
      </c>
      <c r="C738" t="s">
        <v>84</v>
      </c>
      <c r="D738" t="s">
        <v>35</v>
      </c>
      <c r="E738" t="s">
        <v>21</v>
      </c>
      <c r="F738">
        <v>3.9</v>
      </c>
      <c r="G738">
        <v>5666</v>
      </c>
      <c r="H738">
        <v>5666</v>
      </c>
      <c r="I738">
        <f>FlipkartTable[[#This Row],[Original Price]]-FlipkartTable[[#This Row],[Selling Price]]</f>
        <v>0</v>
      </c>
      <c r="J738" s="4">
        <f>(FlipkartTable[[#This Row],[Original Price]]-FlipkartTable[[#This Row],[Selling Price]])/FlipkartTable[[#This Row],[Original Price]]</f>
        <v>0</v>
      </c>
      <c r="K738">
        <f>(FlipkartTable[[#This Row],[Rating]]/FlipkartTable[[#This Row],[Selling Price]])*1000</f>
        <v>0.68831627250264726</v>
      </c>
      <c r="L738" t="str">
        <f>IF(FlipkartTable[[#This Row],[Selling Price]]&lt;15000,"Budget",IF(FlipkartTable[[#This Row],[Selling Price]]&lt;50000,"Mid Range","Premium"))</f>
        <v>Budget</v>
      </c>
      <c r="M738" t="str">
        <f>IF(FlipkartTable[[#This Row],[Rating]]&gt;4.5,"Excellent",IF(FlipkartTable[[#This Row],[Rating]]&gt;4,"Good",IF(FlipkartTable[[#This Row],[Rating]]&gt;3.5,"Average","Poor")))</f>
        <v>Average</v>
      </c>
    </row>
    <row r="739" spans="1:13" x14ac:dyDescent="0.35">
      <c r="A739" t="s">
        <v>475</v>
      </c>
      <c r="B739" s="9" t="s">
        <v>485</v>
      </c>
      <c r="C739" t="s">
        <v>22</v>
      </c>
      <c r="D739" t="s">
        <v>20</v>
      </c>
      <c r="E739" t="s">
        <v>21</v>
      </c>
      <c r="F739">
        <v>4</v>
      </c>
      <c r="G739">
        <v>6490</v>
      </c>
      <c r="H739">
        <v>6490</v>
      </c>
      <c r="I739">
        <f>FlipkartTable[[#This Row],[Original Price]]-FlipkartTable[[#This Row],[Selling Price]]</f>
        <v>0</v>
      </c>
      <c r="J739" s="4">
        <f>(FlipkartTable[[#This Row],[Original Price]]-FlipkartTable[[#This Row],[Selling Price]])/FlipkartTable[[#This Row],[Original Price]]</f>
        <v>0</v>
      </c>
      <c r="K739">
        <f>(FlipkartTable[[#This Row],[Rating]]/FlipkartTable[[#This Row],[Selling Price]])*1000</f>
        <v>0.6163328197226503</v>
      </c>
      <c r="L739" t="str">
        <f>IF(FlipkartTable[[#This Row],[Selling Price]]&lt;15000,"Budget",IF(FlipkartTable[[#This Row],[Selling Price]]&lt;50000,"Mid Range","Premium"))</f>
        <v>Budget</v>
      </c>
      <c r="M739" t="str">
        <f>IF(FlipkartTable[[#This Row],[Rating]]&gt;4.5,"Excellent",IF(FlipkartTable[[#This Row],[Rating]]&gt;4,"Good",IF(FlipkartTable[[#This Row],[Rating]]&gt;3.5,"Average","Poor")))</f>
        <v>Average</v>
      </c>
    </row>
    <row r="740" spans="1:13" x14ac:dyDescent="0.35">
      <c r="A740" t="s">
        <v>475</v>
      </c>
      <c r="B740" s="9" t="s">
        <v>485</v>
      </c>
      <c r="C740" t="s">
        <v>19</v>
      </c>
      <c r="D740" t="s">
        <v>20</v>
      </c>
      <c r="E740" t="s">
        <v>21</v>
      </c>
      <c r="F740">
        <v>4</v>
      </c>
      <c r="G740">
        <v>6899</v>
      </c>
      <c r="H740">
        <v>6950</v>
      </c>
      <c r="I740">
        <f>FlipkartTable[[#This Row],[Original Price]]-FlipkartTable[[#This Row],[Selling Price]]</f>
        <v>51</v>
      </c>
      <c r="J740" s="4">
        <f>(FlipkartTable[[#This Row],[Original Price]]-FlipkartTable[[#This Row],[Selling Price]])/FlipkartTable[[#This Row],[Original Price]]</f>
        <v>7.3381294964028777E-3</v>
      </c>
      <c r="K740">
        <f>(FlipkartTable[[#This Row],[Rating]]/FlipkartTable[[#This Row],[Selling Price]])*1000</f>
        <v>0.57979417306856074</v>
      </c>
      <c r="L740" t="str">
        <f>IF(FlipkartTable[[#This Row],[Selling Price]]&lt;15000,"Budget",IF(FlipkartTable[[#This Row],[Selling Price]]&lt;50000,"Mid Range","Premium"))</f>
        <v>Budget</v>
      </c>
      <c r="M740" t="str">
        <f>IF(FlipkartTable[[#This Row],[Rating]]&gt;4.5,"Excellent",IF(FlipkartTable[[#This Row],[Rating]]&gt;4,"Good",IF(FlipkartTable[[#This Row],[Rating]]&gt;3.5,"Average","Poor")))</f>
        <v>Average</v>
      </c>
    </row>
    <row r="741" spans="1:13" x14ac:dyDescent="0.35">
      <c r="A741" t="s">
        <v>475</v>
      </c>
      <c r="B741" s="9" t="s">
        <v>487</v>
      </c>
      <c r="C741" t="s">
        <v>19</v>
      </c>
      <c r="D741" t="s">
        <v>488</v>
      </c>
      <c r="E741" t="s">
        <v>489</v>
      </c>
      <c r="F741">
        <v>4</v>
      </c>
      <c r="G741">
        <v>2199</v>
      </c>
      <c r="H741">
        <v>2199</v>
      </c>
      <c r="I741">
        <f>FlipkartTable[[#This Row],[Original Price]]-FlipkartTable[[#This Row],[Selling Price]]</f>
        <v>0</v>
      </c>
      <c r="J741" s="4">
        <f>(FlipkartTable[[#This Row],[Original Price]]-FlipkartTable[[#This Row],[Selling Price]])/FlipkartTable[[#This Row],[Original Price]]</f>
        <v>0</v>
      </c>
      <c r="K741">
        <f>(FlipkartTable[[#This Row],[Rating]]/FlipkartTable[[#This Row],[Selling Price]])*1000</f>
        <v>1.8190086402910413</v>
      </c>
      <c r="L741" t="str">
        <f>IF(FlipkartTable[[#This Row],[Selling Price]]&lt;15000,"Budget",IF(FlipkartTable[[#This Row],[Selling Price]]&lt;50000,"Mid Range","Premium"))</f>
        <v>Budget</v>
      </c>
      <c r="M741" t="str">
        <f>IF(FlipkartTable[[#This Row],[Rating]]&gt;4.5,"Excellent",IF(FlipkartTable[[#This Row],[Rating]]&gt;4,"Good",IF(FlipkartTable[[#This Row],[Rating]]&gt;3.5,"Average","Poor")))</f>
        <v>Average</v>
      </c>
    </row>
    <row r="742" spans="1:13" x14ac:dyDescent="0.35">
      <c r="A742" t="s">
        <v>475</v>
      </c>
      <c r="B742" s="9" t="s">
        <v>487</v>
      </c>
      <c r="C742" t="s">
        <v>19</v>
      </c>
      <c r="D742" t="s">
        <v>488</v>
      </c>
      <c r="E742" t="s">
        <v>489</v>
      </c>
      <c r="F742">
        <v>4</v>
      </c>
      <c r="G742">
        <v>2199</v>
      </c>
      <c r="H742">
        <v>2199</v>
      </c>
      <c r="I742">
        <f>FlipkartTable[[#This Row],[Original Price]]-FlipkartTable[[#This Row],[Selling Price]]</f>
        <v>0</v>
      </c>
      <c r="J742" s="4">
        <f>(FlipkartTable[[#This Row],[Original Price]]-FlipkartTable[[#This Row],[Selling Price]])/FlipkartTable[[#This Row],[Original Price]]</f>
        <v>0</v>
      </c>
      <c r="K742">
        <f>(FlipkartTable[[#This Row],[Rating]]/FlipkartTable[[#This Row],[Selling Price]])*1000</f>
        <v>1.8190086402910413</v>
      </c>
      <c r="L742" t="str">
        <f>IF(FlipkartTable[[#This Row],[Selling Price]]&lt;15000,"Budget",IF(FlipkartTable[[#This Row],[Selling Price]]&lt;50000,"Mid Range","Premium"))</f>
        <v>Budget</v>
      </c>
      <c r="M742" t="str">
        <f>IF(FlipkartTable[[#This Row],[Rating]]&gt;4.5,"Excellent",IF(FlipkartTable[[#This Row],[Rating]]&gt;4,"Good",IF(FlipkartTable[[#This Row],[Rating]]&gt;3.5,"Average","Poor")))</f>
        <v>Average</v>
      </c>
    </row>
    <row r="743" spans="1:13" x14ac:dyDescent="0.35">
      <c r="A743" t="s">
        <v>475</v>
      </c>
      <c r="B743" s="9" t="s">
        <v>490</v>
      </c>
      <c r="C743" t="s">
        <v>84</v>
      </c>
      <c r="D743" t="s">
        <v>134</v>
      </c>
      <c r="E743" t="s">
        <v>124</v>
      </c>
      <c r="F743">
        <v>3.1</v>
      </c>
      <c r="G743">
        <v>4150</v>
      </c>
      <c r="H743">
        <v>7250</v>
      </c>
      <c r="I743">
        <f>FlipkartTable[[#This Row],[Original Price]]-FlipkartTable[[#This Row],[Selling Price]]</f>
        <v>3100</v>
      </c>
      <c r="J743" s="4">
        <f>(FlipkartTable[[#This Row],[Original Price]]-FlipkartTable[[#This Row],[Selling Price]])/FlipkartTable[[#This Row],[Original Price]]</f>
        <v>0.42758620689655175</v>
      </c>
      <c r="K743">
        <f>(FlipkartTable[[#This Row],[Rating]]/FlipkartTable[[#This Row],[Selling Price]])*1000</f>
        <v>0.74698795180722888</v>
      </c>
      <c r="L743" t="str">
        <f>IF(FlipkartTable[[#This Row],[Selling Price]]&lt;15000,"Budget",IF(FlipkartTable[[#This Row],[Selling Price]]&lt;50000,"Mid Range","Premium"))</f>
        <v>Budget</v>
      </c>
      <c r="M743" t="str">
        <f>IF(FlipkartTable[[#This Row],[Rating]]&gt;4.5,"Excellent",IF(FlipkartTable[[#This Row],[Rating]]&gt;4,"Good",IF(FlipkartTable[[#This Row],[Rating]]&gt;3.5,"Average","Poor")))</f>
        <v>Poor</v>
      </c>
    </row>
    <row r="744" spans="1:13" x14ac:dyDescent="0.35">
      <c r="A744" t="s">
        <v>475</v>
      </c>
      <c r="B744" s="9" t="s">
        <v>491</v>
      </c>
      <c r="C744" t="s">
        <v>19</v>
      </c>
      <c r="D744" t="s">
        <v>492</v>
      </c>
      <c r="E744" t="s">
        <v>493</v>
      </c>
      <c r="F744">
        <v>3.9</v>
      </c>
      <c r="G744">
        <v>3150</v>
      </c>
      <c r="H744">
        <v>3150</v>
      </c>
      <c r="I744">
        <f>FlipkartTable[[#This Row],[Original Price]]-FlipkartTable[[#This Row],[Selling Price]]</f>
        <v>0</v>
      </c>
      <c r="J744" s="4">
        <f>(FlipkartTable[[#This Row],[Original Price]]-FlipkartTable[[#This Row],[Selling Price]])/FlipkartTable[[#This Row],[Original Price]]</f>
        <v>0</v>
      </c>
      <c r="K744">
        <f>(FlipkartTable[[#This Row],[Rating]]/FlipkartTable[[#This Row],[Selling Price]])*1000</f>
        <v>1.2380952380952379</v>
      </c>
      <c r="L744" t="str">
        <f>IF(FlipkartTable[[#This Row],[Selling Price]]&lt;15000,"Budget",IF(FlipkartTable[[#This Row],[Selling Price]]&lt;50000,"Mid Range","Premium"))</f>
        <v>Budget</v>
      </c>
      <c r="M744" t="str">
        <f>IF(FlipkartTable[[#This Row],[Rating]]&gt;4.5,"Excellent",IF(FlipkartTable[[#This Row],[Rating]]&gt;4,"Good",IF(FlipkartTable[[#This Row],[Rating]]&gt;3.5,"Average","Poor")))</f>
        <v>Average</v>
      </c>
    </row>
    <row r="745" spans="1:13" x14ac:dyDescent="0.35">
      <c r="A745" t="s">
        <v>475</v>
      </c>
      <c r="B745" s="9" t="s">
        <v>494</v>
      </c>
      <c r="C745" t="s">
        <v>19</v>
      </c>
      <c r="D745" t="s">
        <v>488</v>
      </c>
      <c r="E745" t="s">
        <v>489</v>
      </c>
      <c r="F745">
        <v>3.9</v>
      </c>
      <c r="G745">
        <v>1890</v>
      </c>
      <c r="H745">
        <v>1890</v>
      </c>
      <c r="I745">
        <f>FlipkartTable[[#This Row],[Original Price]]-FlipkartTable[[#This Row],[Selling Price]]</f>
        <v>0</v>
      </c>
      <c r="J745" s="4">
        <f>(FlipkartTable[[#This Row],[Original Price]]-FlipkartTable[[#This Row],[Selling Price]])/FlipkartTable[[#This Row],[Original Price]]</f>
        <v>0</v>
      </c>
      <c r="K745">
        <f>(FlipkartTable[[#This Row],[Rating]]/FlipkartTable[[#This Row],[Selling Price]])*1000</f>
        <v>2.0634920634920633</v>
      </c>
      <c r="L745" t="str">
        <f>IF(FlipkartTable[[#This Row],[Selling Price]]&lt;15000,"Budget",IF(FlipkartTable[[#This Row],[Selling Price]]&lt;50000,"Mid Range","Premium"))</f>
        <v>Budget</v>
      </c>
      <c r="M745" t="str">
        <f>IF(FlipkartTable[[#This Row],[Rating]]&gt;4.5,"Excellent",IF(FlipkartTable[[#This Row],[Rating]]&gt;4,"Good",IF(FlipkartTable[[#This Row],[Rating]]&gt;3.5,"Average","Poor")))</f>
        <v>Average</v>
      </c>
    </row>
    <row r="746" spans="1:13" x14ac:dyDescent="0.35">
      <c r="A746" t="s">
        <v>475</v>
      </c>
      <c r="B746" s="9" t="s">
        <v>495</v>
      </c>
      <c r="C746" t="s">
        <v>116</v>
      </c>
      <c r="D746" t="s">
        <v>134</v>
      </c>
      <c r="E746" t="s">
        <v>124</v>
      </c>
      <c r="F746">
        <v>3.7</v>
      </c>
      <c r="G746">
        <v>4290</v>
      </c>
      <c r="H746">
        <v>4290</v>
      </c>
      <c r="I746">
        <f>FlipkartTable[[#This Row],[Original Price]]-FlipkartTable[[#This Row],[Selling Price]]</f>
        <v>0</v>
      </c>
      <c r="J746" s="4">
        <f>(FlipkartTable[[#This Row],[Original Price]]-FlipkartTable[[#This Row],[Selling Price]])/FlipkartTable[[#This Row],[Original Price]]</f>
        <v>0</v>
      </c>
      <c r="K746">
        <f>(FlipkartTable[[#This Row],[Rating]]/FlipkartTable[[#This Row],[Selling Price]])*1000</f>
        <v>0.86247086247086246</v>
      </c>
      <c r="L746" t="str">
        <f>IF(FlipkartTable[[#This Row],[Selling Price]]&lt;15000,"Budget",IF(FlipkartTable[[#This Row],[Selling Price]]&lt;50000,"Mid Range","Premium"))</f>
        <v>Budget</v>
      </c>
      <c r="M746" t="str">
        <f>IF(FlipkartTable[[#This Row],[Rating]]&gt;4.5,"Excellent",IF(FlipkartTable[[#This Row],[Rating]]&gt;4,"Good",IF(FlipkartTable[[#This Row],[Rating]]&gt;3.5,"Average","Poor")))</f>
        <v>Average</v>
      </c>
    </row>
    <row r="747" spans="1:13" x14ac:dyDescent="0.35">
      <c r="A747" t="s">
        <v>475</v>
      </c>
      <c r="B747" s="9" t="s">
        <v>496</v>
      </c>
      <c r="C747" t="s">
        <v>152</v>
      </c>
      <c r="D747" t="s">
        <v>263</v>
      </c>
      <c r="E747" t="s">
        <v>11</v>
      </c>
      <c r="F747">
        <v>3.6</v>
      </c>
      <c r="G747">
        <v>2350</v>
      </c>
      <c r="H747">
        <v>7996</v>
      </c>
      <c r="I747">
        <f>FlipkartTable[[#This Row],[Original Price]]-FlipkartTable[[#This Row],[Selling Price]]</f>
        <v>5646</v>
      </c>
      <c r="J747" s="4">
        <f>(FlipkartTable[[#This Row],[Original Price]]-FlipkartTable[[#This Row],[Selling Price]])/FlipkartTable[[#This Row],[Original Price]]</f>
        <v>0.70610305152576291</v>
      </c>
      <c r="K747">
        <f>(FlipkartTable[[#This Row],[Rating]]/FlipkartTable[[#This Row],[Selling Price]])*1000</f>
        <v>1.5319148936170215</v>
      </c>
      <c r="L747" t="str">
        <f>IF(FlipkartTable[[#This Row],[Selling Price]]&lt;15000,"Budget",IF(FlipkartTable[[#This Row],[Selling Price]]&lt;50000,"Mid Range","Premium"))</f>
        <v>Budget</v>
      </c>
      <c r="M747" t="str">
        <f>IF(FlipkartTable[[#This Row],[Rating]]&gt;4.5,"Excellent",IF(FlipkartTable[[#This Row],[Rating]]&gt;4,"Good",IF(FlipkartTable[[#This Row],[Rating]]&gt;3.5,"Average","Poor")))</f>
        <v>Average</v>
      </c>
    </row>
    <row r="748" spans="1:13" x14ac:dyDescent="0.35">
      <c r="A748" t="s">
        <v>475</v>
      </c>
      <c r="B748" s="9" t="s">
        <v>491</v>
      </c>
      <c r="C748" t="s">
        <v>19</v>
      </c>
      <c r="D748" t="s">
        <v>492</v>
      </c>
      <c r="E748" t="s">
        <v>493</v>
      </c>
      <c r="F748">
        <v>3.9</v>
      </c>
      <c r="G748">
        <v>2490</v>
      </c>
      <c r="H748">
        <v>2490</v>
      </c>
      <c r="I748">
        <f>FlipkartTable[[#This Row],[Original Price]]-FlipkartTable[[#This Row],[Selling Price]]</f>
        <v>0</v>
      </c>
      <c r="J748" s="4">
        <f>(FlipkartTable[[#This Row],[Original Price]]-FlipkartTable[[#This Row],[Selling Price]])/FlipkartTable[[#This Row],[Original Price]]</f>
        <v>0</v>
      </c>
      <c r="K748">
        <f>(FlipkartTable[[#This Row],[Rating]]/FlipkartTable[[#This Row],[Selling Price]])*1000</f>
        <v>1.5662650602409638</v>
      </c>
      <c r="L748" t="str">
        <f>IF(FlipkartTable[[#This Row],[Selling Price]]&lt;15000,"Budget",IF(FlipkartTable[[#This Row],[Selling Price]]&lt;50000,"Mid Range","Premium"))</f>
        <v>Budget</v>
      </c>
      <c r="M748" t="str">
        <f>IF(FlipkartTable[[#This Row],[Rating]]&gt;4.5,"Excellent",IF(FlipkartTable[[#This Row],[Rating]]&gt;4,"Good",IF(FlipkartTable[[#This Row],[Rating]]&gt;3.5,"Average","Poor")))</f>
        <v>Average</v>
      </c>
    </row>
    <row r="749" spans="1:13" x14ac:dyDescent="0.35">
      <c r="A749" t="s">
        <v>475</v>
      </c>
      <c r="B749" s="9" t="s">
        <v>495</v>
      </c>
      <c r="C749" t="s">
        <v>19</v>
      </c>
      <c r="D749" t="s">
        <v>134</v>
      </c>
      <c r="E749" t="s">
        <v>124</v>
      </c>
      <c r="F749">
        <v>3.7</v>
      </c>
      <c r="G749">
        <v>3990</v>
      </c>
      <c r="H749">
        <v>3990</v>
      </c>
      <c r="I749">
        <f>FlipkartTable[[#This Row],[Original Price]]-FlipkartTable[[#This Row],[Selling Price]]</f>
        <v>0</v>
      </c>
      <c r="J749" s="4">
        <f>(FlipkartTable[[#This Row],[Original Price]]-FlipkartTable[[#This Row],[Selling Price]])/FlipkartTable[[#This Row],[Original Price]]</f>
        <v>0</v>
      </c>
      <c r="K749">
        <f>(FlipkartTable[[#This Row],[Rating]]/FlipkartTable[[#This Row],[Selling Price]])*1000</f>
        <v>0.92731829573934843</v>
      </c>
      <c r="L749" t="str">
        <f>IF(FlipkartTable[[#This Row],[Selling Price]]&lt;15000,"Budget",IF(FlipkartTable[[#This Row],[Selling Price]]&lt;50000,"Mid Range","Premium"))</f>
        <v>Budget</v>
      </c>
      <c r="M749" t="str">
        <f>IF(FlipkartTable[[#This Row],[Rating]]&gt;4.5,"Excellent",IF(FlipkartTable[[#This Row],[Rating]]&gt;4,"Good",IF(FlipkartTable[[#This Row],[Rating]]&gt;3.5,"Average","Poor")))</f>
        <v>Average</v>
      </c>
    </row>
    <row r="750" spans="1:13" x14ac:dyDescent="0.35">
      <c r="A750" t="s">
        <v>475</v>
      </c>
      <c r="B750" s="9" t="s">
        <v>495</v>
      </c>
      <c r="C750" t="s">
        <v>152</v>
      </c>
      <c r="D750" t="s">
        <v>134</v>
      </c>
      <c r="E750" t="s">
        <v>124</v>
      </c>
      <c r="F750">
        <v>3.7</v>
      </c>
      <c r="G750">
        <v>5199</v>
      </c>
      <c r="H750">
        <v>5199</v>
      </c>
      <c r="I750">
        <f>FlipkartTable[[#This Row],[Original Price]]-FlipkartTable[[#This Row],[Selling Price]]</f>
        <v>0</v>
      </c>
      <c r="J750" s="4">
        <f>(FlipkartTable[[#This Row],[Original Price]]-FlipkartTable[[#This Row],[Selling Price]])/FlipkartTable[[#This Row],[Original Price]]</f>
        <v>0</v>
      </c>
      <c r="K750">
        <f>(FlipkartTable[[#This Row],[Rating]]/FlipkartTable[[#This Row],[Selling Price]])*1000</f>
        <v>0.71167532217734186</v>
      </c>
      <c r="L750" t="str">
        <f>IF(FlipkartTable[[#This Row],[Selling Price]]&lt;15000,"Budget",IF(FlipkartTable[[#This Row],[Selling Price]]&lt;50000,"Mid Range","Premium"))</f>
        <v>Budget</v>
      </c>
      <c r="M750" t="str">
        <f>IF(FlipkartTable[[#This Row],[Rating]]&gt;4.5,"Excellent",IF(FlipkartTable[[#This Row],[Rating]]&gt;4,"Good",IF(FlipkartTable[[#This Row],[Rating]]&gt;3.5,"Average","Poor")))</f>
        <v>Average</v>
      </c>
    </row>
    <row r="751" spans="1:13" x14ac:dyDescent="0.35">
      <c r="A751" t="s">
        <v>475</v>
      </c>
      <c r="B751" s="9" t="s">
        <v>497</v>
      </c>
      <c r="C751" t="s">
        <v>19</v>
      </c>
      <c r="D751" t="s">
        <v>263</v>
      </c>
      <c r="E751" t="s">
        <v>11</v>
      </c>
      <c r="F751">
        <v>3.6</v>
      </c>
      <c r="G751">
        <v>2450</v>
      </c>
      <c r="H751">
        <v>2450</v>
      </c>
      <c r="I751">
        <f>FlipkartTable[[#This Row],[Original Price]]-FlipkartTable[[#This Row],[Selling Price]]</f>
        <v>0</v>
      </c>
      <c r="J751" s="4">
        <f>(FlipkartTable[[#This Row],[Original Price]]-FlipkartTable[[#This Row],[Selling Price]])/FlipkartTable[[#This Row],[Original Price]]</f>
        <v>0</v>
      </c>
      <c r="K751">
        <f>(FlipkartTable[[#This Row],[Rating]]/FlipkartTable[[#This Row],[Selling Price]])*1000</f>
        <v>1.4693877551020409</v>
      </c>
      <c r="L751" t="str">
        <f>IF(FlipkartTable[[#This Row],[Selling Price]]&lt;15000,"Budget",IF(FlipkartTable[[#This Row],[Selling Price]]&lt;50000,"Mid Range","Premium"))</f>
        <v>Budget</v>
      </c>
      <c r="M751" t="str">
        <f>IF(FlipkartTable[[#This Row],[Rating]]&gt;4.5,"Excellent",IF(FlipkartTable[[#This Row],[Rating]]&gt;4,"Good",IF(FlipkartTable[[#This Row],[Rating]]&gt;3.5,"Average","Poor")))</f>
        <v>Average</v>
      </c>
    </row>
    <row r="752" spans="1:13" x14ac:dyDescent="0.35">
      <c r="A752" t="s">
        <v>475</v>
      </c>
      <c r="B752" s="9" t="s">
        <v>498</v>
      </c>
      <c r="C752" t="s">
        <v>19</v>
      </c>
      <c r="D752" t="s">
        <v>134</v>
      </c>
      <c r="E752" t="s">
        <v>27</v>
      </c>
      <c r="F752">
        <v>3.8</v>
      </c>
      <c r="G752">
        <v>3490</v>
      </c>
      <c r="H752">
        <v>3490</v>
      </c>
      <c r="I752">
        <f>FlipkartTable[[#This Row],[Original Price]]-FlipkartTable[[#This Row],[Selling Price]]</f>
        <v>0</v>
      </c>
      <c r="J752" s="4">
        <f>(FlipkartTable[[#This Row],[Original Price]]-FlipkartTable[[#This Row],[Selling Price]])/FlipkartTable[[#This Row],[Original Price]]</f>
        <v>0</v>
      </c>
      <c r="K752">
        <f>(FlipkartTable[[#This Row],[Rating]]/FlipkartTable[[#This Row],[Selling Price]])*1000</f>
        <v>1.0888252148997133</v>
      </c>
      <c r="L752" t="str">
        <f>IF(FlipkartTable[[#This Row],[Selling Price]]&lt;15000,"Budget",IF(FlipkartTable[[#This Row],[Selling Price]]&lt;50000,"Mid Range","Premium"))</f>
        <v>Budget</v>
      </c>
      <c r="M752" t="str">
        <f>IF(FlipkartTable[[#This Row],[Rating]]&gt;4.5,"Excellent",IF(FlipkartTable[[#This Row],[Rating]]&gt;4,"Good",IF(FlipkartTable[[#This Row],[Rating]]&gt;3.5,"Average","Poor")))</f>
        <v>Average</v>
      </c>
    </row>
    <row r="753" spans="1:13" x14ac:dyDescent="0.35">
      <c r="A753" t="s">
        <v>475</v>
      </c>
      <c r="B753" s="9" t="s">
        <v>498</v>
      </c>
      <c r="C753" t="s">
        <v>84</v>
      </c>
      <c r="D753" t="s">
        <v>134</v>
      </c>
      <c r="E753" t="s">
        <v>27</v>
      </c>
      <c r="F753">
        <v>3.8</v>
      </c>
      <c r="G753">
        <v>3990</v>
      </c>
      <c r="H753">
        <v>3990</v>
      </c>
      <c r="I753">
        <f>FlipkartTable[[#This Row],[Original Price]]-FlipkartTable[[#This Row],[Selling Price]]</f>
        <v>0</v>
      </c>
      <c r="J753" s="4">
        <f>(FlipkartTable[[#This Row],[Original Price]]-FlipkartTable[[#This Row],[Selling Price]])/FlipkartTable[[#This Row],[Original Price]]</f>
        <v>0</v>
      </c>
      <c r="K753">
        <f>(FlipkartTable[[#This Row],[Rating]]/FlipkartTable[[#This Row],[Selling Price]])*1000</f>
        <v>0.95238095238095233</v>
      </c>
      <c r="L753" t="str">
        <f>IF(FlipkartTable[[#This Row],[Selling Price]]&lt;15000,"Budget",IF(FlipkartTable[[#This Row],[Selling Price]]&lt;50000,"Mid Range","Premium"))</f>
        <v>Budget</v>
      </c>
      <c r="M753" t="str">
        <f>IF(FlipkartTable[[#This Row],[Rating]]&gt;4.5,"Excellent",IF(FlipkartTable[[#This Row],[Rating]]&gt;4,"Good",IF(FlipkartTable[[#This Row],[Rating]]&gt;3.5,"Average","Poor")))</f>
        <v>Average</v>
      </c>
    </row>
    <row r="754" spans="1:13" x14ac:dyDescent="0.35">
      <c r="A754" t="s">
        <v>475</v>
      </c>
      <c r="B754" s="9" t="s">
        <v>499</v>
      </c>
      <c r="C754" t="s">
        <v>22</v>
      </c>
      <c r="D754" t="s">
        <v>134</v>
      </c>
      <c r="E754" t="s">
        <v>124</v>
      </c>
      <c r="F754">
        <v>3.8</v>
      </c>
      <c r="G754">
        <v>4190</v>
      </c>
      <c r="H754">
        <v>7238</v>
      </c>
      <c r="I754">
        <f>FlipkartTable[[#This Row],[Original Price]]-FlipkartTable[[#This Row],[Selling Price]]</f>
        <v>3048</v>
      </c>
      <c r="J754" s="4">
        <f>(FlipkartTable[[#This Row],[Original Price]]-FlipkartTable[[#This Row],[Selling Price]])/FlipkartTable[[#This Row],[Original Price]]</f>
        <v>0.4211108040895275</v>
      </c>
      <c r="K754">
        <f>(FlipkartTable[[#This Row],[Rating]]/FlipkartTable[[#This Row],[Selling Price]])*1000</f>
        <v>0.90692124105011929</v>
      </c>
      <c r="L754" t="str">
        <f>IF(FlipkartTable[[#This Row],[Selling Price]]&lt;15000,"Budget",IF(FlipkartTable[[#This Row],[Selling Price]]&lt;50000,"Mid Range","Premium"))</f>
        <v>Budget</v>
      </c>
      <c r="M754" t="str">
        <f>IF(FlipkartTable[[#This Row],[Rating]]&gt;4.5,"Excellent",IF(FlipkartTable[[#This Row],[Rating]]&gt;4,"Good",IF(FlipkartTable[[#This Row],[Rating]]&gt;3.5,"Average","Poor")))</f>
        <v>Average</v>
      </c>
    </row>
    <row r="755" spans="1:13" x14ac:dyDescent="0.35">
      <c r="A755" t="s">
        <v>475</v>
      </c>
      <c r="B755" s="9" t="s">
        <v>494</v>
      </c>
      <c r="C755" t="s">
        <v>19</v>
      </c>
      <c r="D755" t="s">
        <v>488</v>
      </c>
      <c r="E755" t="s">
        <v>489</v>
      </c>
      <c r="F755">
        <v>3.9</v>
      </c>
      <c r="G755">
        <v>1099</v>
      </c>
      <c r="H755">
        <v>1099</v>
      </c>
      <c r="I755">
        <f>FlipkartTable[[#This Row],[Original Price]]-FlipkartTable[[#This Row],[Selling Price]]</f>
        <v>0</v>
      </c>
      <c r="J755" s="4">
        <f>(FlipkartTable[[#This Row],[Original Price]]-FlipkartTable[[#This Row],[Selling Price]])/FlipkartTable[[#This Row],[Original Price]]</f>
        <v>0</v>
      </c>
      <c r="K755">
        <f>(FlipkartTable[[#This Row],[Rating]]/FlipkartTable[[#This Row],[Selling Price]])*1000</f>
        <v>3.5486806187443132</v>
      </c>
      <c r="L755" t="str">
        <f>IF(FlipkartTable[[#This Row],[Selling Price]]&lt;15000,"Budget",IF(FlipkartTable[[#This Row],[Selling Price]]&lt;50000,"Mid Range","Premium"))</f>
        <v>Budget</v>
      </c>
      <c r="M755" t="str">
        <f>IF(FlipkartTable[[#This Row],[Rating]]&gt;4.5,"Excellent",IF(FlipkartTable[[#This Row],[Rating]]&gt;4,"Good",IF(FlipkartTable[[#This Row],[Rating]]&gt;3.5,"Average","Poor")))</f>
        <v>Average</v>
      </c>
    </row>
    <row r="756" spans="1:13" x14ac:dyDescent="0.35">
      <c r="A756" t="s">
        <v>475</v>
      </c>
      <c r="B756" s="9" t="s">
        <v>500</v>
      </c>
      <c r="C756" t="s">
        <v>19</v>
      </c>
      <c r="D756" t="s">
        <v>20</v>
      </c>
      <c r="E756" t="s">
        <v>21</v>
      </c>
      <c r="F756">
        <v>4.2</v>
      </c>
      <c r="G756">
        <v>7900</v>
      </c>
      <c r="H756">
        <v>7900</v>
      </c>
      <c r="I756">
        <f>FlipkartTable[[#This Row],[Original Price]]-FlipkartTable[[#This Row],[Selling Price]]</f>
        <v>0</v>
      </c>
      <c r="J756" s="4">
        <f>(FlipkartTable[[#This Row],[Original Price]]-FlipkartTable[[#This Row],[Selling Price]])/FlipkartTable[[#This Row],[Original Price]]</f>
        <v>0</v>
      </c>
      <c r="K756">
        <f>(FlipkartTable[[#This Row],[Rating]]/FlipkartTable[[#This Row],[Selling Price]])*1000</f>
        <v>0.53164556962025322</v>
      </c>
      <c r="L756" t="str">
        <f>IF(FlipkartTable[[#This Row],[Selling Price]]&lt;15000,"Budget",IF(FlipkartTable[[#This Row],[Selling Price]]&lt;50000,"Mid Range","Premium"))</f>
        <v>Budget</v>
      </c>
      <c r="M756" t="str">
        <f>IF(FlipkartTable[[#This Row],[Rating]]&gt;4.5,"Excellent",IF(FlipkartTable[[#This Row],[Rating]]&gt;4,"Good",IF(FlipkartTable[[#This Row],[Rating]]&gt;3.5,"Average","Poor")))</f>
        <v>Good</v>
      </c>
    </row>
    <row r="757" spans="1:13" x14ac:dyDescent="0.35">
      <c r="A757" t="s">
        <v>475</v>
      </c>
      <c r="B757" s="9" t="s">
        <v>500</v>
      </c>
      <c r="C757" t="s">
        <v>123</v>
      </c>
      <c r="D757" t="s">
        <v>20</v>
      </c>
      <c r="E757" t="s">
        <v>21</v>
      </c>
      <c r="F757">
        <v>4.2</v>
      </c>
      <c r="G757">
        <v>7900</v>
      </c>
      <c r="H757">
        <v>7900</v>
      </c>
      <c r="I757">
        <f>FlipkartTable[[#This Row],[Original Price]]-FlipkartTable[[#This Row],[Selling Price]]</f>
        <v>0</v>
      </c>
      <c r="J757" s="4">
        <f>(FlipkartTable[[#This Row],[Original Price]]-FlipkartTable[[#This Row],[Selling Price]])/FlipkartTable[[#This Row],[Original Price]]</f>
        <v>0</v>
      </c>
      <c r="K757">
        <f>(FlipkartTable[[#This Row],[Rating]]/FlipkartTable[[#This Row],[Selling Price]])*1000</f>
        <v>0.53164556962025322</v>
      </c>
      <c r="L757" t="str">
        <f>IF(FlipkartTable[[#This Row],[Selling Price]]&lt;15000,"Budget",IF(FlipkartTable[[#This Row],[Selling Price]]&lt;50000,"Mid Range","Premium"))</f>
        <v>Budget</v>
      </c>
      <c r="M757" t="str">
        <f>IF(FlipkartTable[[#This Row],[Rating]]&gt;4.5,"Excellent",IF(FlipkartTable[[#This Row],[Rating]]&gt;4,"Good",IF(FlipkartTable[[#This Row],[Rating]]&gt;3.5,"Average","Poor")))</f>
        <v>Good</v>
      </c>
    </row>
    <row r="758" spans="1:13" x14ac:dyDescent="0.35">
      <c r="A758" t="s">
        <v>475</v>
      </c>
      <c r="B758" s="9" t="s">
        <v>491</v>
      </c>
      <c r="C758" t="s">
        <v>19</v>
      </c>
      <c r="D758" t="s">
        <v>488</v>
      </c>
      <c r="E758" t="s">
        <v>489</v>
      </c>
      <c r="F758">
        <v>3.7</v>
      </c>
      <c r="G758">
        <v>1099</v>
      </c>
      <c r="H758">
        <v>1999</v>
      </c>
      <c r="I758">
        <f>FlipkartTable[[#This Row],[Original Price]]-FlipkartTable[[#This Row],[Selling Price]]</f>
        <v>900</v>
      </c>
      <c r="J758" s="4">
        <f>(FlipkartTable[[#This Row],[Original Price]]-FlipkartTable[[#This Row],[Selling Price]])/FlipkartTable[[#This Row],[Original Price]]</f>
        <v>0.45022511255627812</v>
      </c>
      <c r="K758">
        <f>(FlipkartTable[[#This Row],[Rating]]/FlipkartTable[[#This Row],[Selling Price]])*1000</f>
        <v>3.3666969972702456</v>
      </c>
      <c r="L758" t="str">
        <f>IF(FlipkartTable[[#This Row],[Selling Price]]&lt;15000,"Budget",IF(FlipkartTable[[#This Row],[Selling Price]]&lt;50000,"Mid Range","Premium"))</f>
        <v>Budget</v>
      </c>
      <c r="M758" t="str">
        <f>IF(FlipkartTable[[#This Row],[Rating]]&gt;4.5,"Excellent",IF(FlipkartTable[[#This Row],[Rating]]&gt;4,"Good",IF(FlipkartTable[[#This Row],[Rating]]&gt;3.5,"Average","Poor")))</f>
        <v>Average</v>
      </c>
    </row>
    <row r="759" spans="1:13" x14ac:dyDescent="0.35">
      <c r="A759" t="s">
        <v>475</v>
      </c>
      <c r="B759" s="9" t="s">
        <v>499</v>
      </c>
      <c r="C759" t="s">
        <v>116</v>
      </c>
      <c r="D759" t="s">
        <v>134</v>
      </c>
      <c r="E759" t="s">
        <v>124</v>
      </c>
      <c r="F759">
        <v>3.8</v>
      </c>
      <c r="G759">
        <v>4190</v>
      </c>
      <c r="H759">
        <v>4190</v>
      </c>
      <c r="I759">
        <f>FlipkartTable[[#This Row],[Original Price]]-FlipkartTable[[#This Row],[Selling Price]]</f>
        <v>0</v>
      </c>
      <c r="J759" s="4">
        <f>(FlipkartTable[[#This Row],[Original Price]]-FlipkartTable[[#This Row],[Selling Price]])/FlipkartTable[[#This Row],[Original Price]]</f>
        <v>0</v>
      </c>
      <c r="K759">
        <f>(FlipkartTable[[#This Row],[Rating]]/FlipkartTable[[#This Row],[Selling Price]])*1000</f>
        <v>0.90692124105011929</v>
      </c>
      <c r="L759" t="str">
        <f>IF(FlipkartTable[[#This Row],[Selling Price]]&lt;15000,"Budget",IF(FlipkartTable[[#This Row],[Selling Price]]&lt;50000,"Mid Range","Premium"))</f>
        <v>Budget</v>
      </c>
      <c r="M759" t="str">
        <f>IF(FlipkartTable[[#This Row],[Rating]]&gt;4.5,"Excellent",IF(FlipkartTable[[#This Row],[Rating]]&gt;4,"Good",IF(FlipkartTable[[#This Row],[Rating]]&gt;3.5,"Average","Poor")))</f>
        <v>Average</v>
      </c>
    </row>
    <row r="760" spans="1:13" x14ac:dyDescent="0.35">
      <c r="A760" t="s">
        <v>475</v>
      </c>
      <c r="B760" s="9" t="s">
        <v>501</v>
      </c>
      <c r="C760" t="s">
        <v>19</v>
      </c>
      <c r="D760" t="s">
        <v>35</v>
      </c>
      <c r="E760" t="s">
        <v>124</v>
      </c>
      <c r="F760">
        <v>4</v>
      </c>
      <c r="G760">
        <v>4650</v>
      </c>
      <c r="H760">
        <v>4650</v>
      </c>
      <c r="I760">
        <f>FlipkartTable[[#This Row],[Original Price]]-FlipkartTable[[#This Row],[Selling Price]]</f>
        <v>0</v>
      </c>
      <c r="J760" s="4">
        <f>(FlipkartTable[[#This Row],[Original Price]]-FlipkartTable[[#This Row],[Selling Price]])/FlipkartTable[[#This Row],[Original Price]]</f>
        <v>0</v>
      </c>
      <c r="K760">
        <f>(FlipkartTable[[#This Row],[Rating]]/FlipkartTable[[#This Row],[Selling Price]])*1000</f>
        <v>0.86021505376344087</v>
      </c>
      <c r="L760" t="str">
        <f>IF(FlipkartTable[[#This Row],[Selling Price]]&lt;15000,"Budget",IF(FlipkartTable[[#This Row],[Selling Price]]&lt;50000,"Mid Range","Premium"))</f>
        <v>Budget</v>
      </c>
      <c r="M760" t="str">
        <f>IF(FlipkartTable[[#This Row],[Rating]]&gt;4.5,"Excellent",IF(FlipkartTable[[#This Row],[Rating]]&gt;4,"Good",IF(FlipkartTable[[#This Row],[Rating]]&gt;3.5,"Average","Poor")))</f>
        <v>Average</v>
      </c>
    </row>
    <row r="761" spans="1:13" x14ac:dyDescent="0.35">
      <c r="A761" t="s">
        <v>475</v>
      </c>
      <c r="B761" s="9" t="s">
        <v>481</v>
      </c>
      <c r="C761" t="s">
        <v>19</v>
      </c>
      <c r="D761" t="s">
        <v>35</v>
      </c>
      <c r="E761" t="s">
        <v>124</v>
      </c>
      <c r="F761">
        <v>4.0999999999999996</v>
      </c>
      <c r="G761">
        <v>6990</v>
      </c>
      <c r="H761">
        <v>6990</v>
      </c>
      <c r="I761">
        <f>FlipkartTable[[#This Row],[Original Price]]-FlipkartTable[[#This Row],[Selling Price]]</f>
        <v>0</v>
      </c>
      <c r="J761" s="4">
        <f>(FlipkartTable[[#This Row],[Original Price]]-FlipkartTable[[#This Row],[Selling Price]])/FlipkartTable[[#This Row],[Original Price]]</f>
        <v>0</v>
      </c>
      <c r="K761">
        <f>(FlipkartTable[[#This Row],[Rating]]/FlipkartTable[[#This Row],[Selling Price]])*1000</f>
        <v>0.58655221745350494</v>
      </c>
      <c r="L761" t="str">
        <f>IF(FlipkartTable[[#This Row],[Selling Price]]&lt;15000,"Budget",IF(FlipkartTable[[#This Row],[Selling Price]]&lt;50000,"Mid Range","Premium"))</f>
        <v>Budget</v>
      </c>
      <c r="M761" t="str">
        <f>IF(FlipkartTable[[#This Row],[Rating]]&gt;4.5,"Excellent",IF(FlipkartTable[[#This Row],[Rating]]&gt;4,"Good",IF(FlipkartTable[[#This Row],[Rating]]&gt;3.5,"Average","Poor")))</f>
        <v>Good</v>
      </c>
    </row>
    <row r="762" spans="1:13" x14ac:dyDescent="0.35">
      <c r="A762" t="s">
        <v>475</v>
      </c>
      <c r="B762" s="9" t="s">
        <v>502</v>
      </c>
      <c r="C762" t="s">
        <v>22</v>
      </c>
      <c r="D762" t="s">
        <v>20</v>
      </c>
      <c r="E762" t="s">
        <v>21</v>
      </c>
      <c r="F762">
        <v>4.0999999999999996</v>
      </c>
      <c r="G762">
        <v>7290</v>
      </c>
      <c r="H762">
        <v>7290</v>
      </c>
      <c r="I762">
        <f>FlipkartTable[[#This Row],[Original Price]]-FlipkartTable[[#This Row],[Selling Price]]</f>
        <v>0</v>
      </c>
      <c r="J762" s="4">
        <f>(FlipkartTable[[#This Row],[Original Price]]-FlipkartTable[[#This Row],[Selling Price]])/FlipkartTable[[#This Row],[Original Price]]</f>
        <v>0</v>
      </c>
      <c r="K762">
        <f>(FlipkartTable[[#This Row],[Rating]]/FlipkartTable[[#This Row],[Selling Price]])*1000</f>
        <v>0.56241426611796974</v>
      </c>
      <c r="L762" t="str">
        <f>IF(FlipkartTable[[#This Row],[Selling Price]]&lt;15000,"Budget",IF(FlipkartTable[[#This Row],[Selling Price]]&lt;50000,"Mid Range","Premium"))</f>
        <v>Budget</v>
      </c>
      <c r="M762" t="str">
        <f>IF(FlipkartTable[[#This Row],[Rating]]&gt;4.5,"Excellent",IF(FlipkartTable[[#This Row],[Rating]]&gt;4,"Good",IF(FlipkartTable[[#This Row],[Rating]]&gt;3.5,"Average","Poor")))</f>
        <v>Good</v>
      </c>
    </row>
    <row r="763" spans="1:13" x14ac:dyDescent="0.35">
      <c r="A763" t="s">
        <v>475</v>
      </c>
      <c r="B763" s="9" t="s">
        <v>483</v>
      </c>
      <c r="C763" t="s">
        <v>116</v>
      </c>
      <c r="D763" t="s">
        <v>11</v>
      </c>
      <c r="E763" t="s">
        <v>21</v>
      </c>
      <c r="F763">
        <v>4</v>
      </c>
      <c r="G763">
        <v>15490</v>
      </c>
      <c r="H763">
        <v>15490</v>
      </c>
      <c r="I763">
        <f>FlipkartTable[[#This Row],[Original Price]]-FlipkartTable[[#This Row],[Selling Price]]</f>
        <v>0</v>
      </c>
      <c r="J763" s="4">
        <f>(FlipkartTable[[#This Row],[Original Price]]-FlipkartTable[[#This Row],[Selling Price]])/FlipkartTable[[#This Row],[Original Price]]</f>
        <v>0</v>
      </c>
      <c r="K763">
        <f>(FlipkartTable[[#This Row],[Rating]]/FlipkartTable[[#This Row],[Selling Price]])*1000</f>
        <v>0.25823111684958039</v>
      </c>
      <c r="L763" t="str">
        <f>IF(FlipkartTable[[#This Row],[Selling Price]]&lt;15000,"Budget",IF(FlipkartTable[[#This Row],[Selling Price]]&lt;50000,"Mid Range","Premium"))</f>
        <v>Mid Range</v>
      </c>
      <c r="M763" t="str">
        <f>IF(FlipkartTable[[#This Row],[Rating]]&gt;4.5,"Excellent",IF(FlipkartTable[[#This Row],[Rating]]&gt;4,"Good",IF(FlipkartTable[[#This Row],[Rating]]&gt;3.5,"Average","Poor")))</f>
        <v>Average</v>
      </c>
    </row>
    <row r="764" spans="1:13" x14ac:dyDescent="0.35">
      <c r="A764" t="s">
        <v>475</v>
      </c>
      <c r="B764" s="9" t="s">
        <v>480</v>
      </c>
      <c r="C764" t="s">
        <v>141</v>
      </c>
      <c r="D764" t="s">
        <v>20</v>
      </c>
      <c r="E764" t="s">
        <v>124</v>
      </c>
      <c r="F764">
        <v>3.9</v>
      </c>
      <c r="G764">
        <v>5290</v>
      </c>
      <c r="H764">
        <v>5290</v>
      </c>
      <c r="I764">
        <f>FlipkartTable[[#This Row],[Original Price]]-FlipkartTable[[#This Row],[Selling Price]]</f>
        <v>0</v>
      </c>
      <c r="J764" s="4">
        <f>(FlipkartTable[[#This Row],[Original Price]]-FlipkartTable[[#This Row],[Selling Price]])/FlipkartTable[[#This Row],[Original Price]]</f>
        <v>0</v>
      </c>
      <c r="K764">
        <f>(FlipkartTable[[#This Row],[Rating]]/FlipkartTable[[#This Row],[Selling Price]])*1000</f>
        <v>0.73724007561436666</v>
      </c>
      <c r="L764" t="str">
        <f>IF(FlipkartTable[[#This Row],[Selling Price]]&lt;15000,"Budget",IF(FlipkartTable[[#This Row],[Selling Price]]&lt;50000,"Mid Range","Premium"))</f>
        <v>Budget</v>
      </c>
      <c r="M764" t="str">
        <f>IF(FlipkartTable[[#This Row],[Rating]]&gt;4.5,"Excellent",IF(FlipkartTable[[#This Row],[Rating]]&gt;4,"Good",IF(FlipkartTable[[#This Row],[Rating]]&gt;3.5,"Average","Poor")))</f>
        <v>Average</v>
      </c>
    </row>
    <row r="765" spans="1:13" x14ac:dyDescent="0.35">
      <c r="A765" t="s">
        <v>475</v>
      </c>
      <c r="B765" s="9" t="s">
        <v>480</v>
      </c>
      <c r="C765" t="s">
        <v>116</v>
      </c>
      <c r="D765" t="s">
        <v>20</v>
      </c>
      <c r="E765" t="s">
        <v>124</v>
      </c>
      <c r="F765">
        <v>3.9</v>
      </c>
      <c r="G765">
        <v>5290</v>
      </c>
      <c r="H765">
        <v>5290</v>
      </c>
      <c r="I765">
        <f>FlipkartTable[[#This Row],[Original Price]]-FlipkartTable[[#This Row],[Selling Price]]</f>
        <v>0</v>
      </c>
      <c r="J765" s="4">
        <f>(FlipkartTable[[#This Row],[Original Price]]-FlipkartTable[[#This Row],[Selling Price]])/FlipkartTable[[#This Row],[Original Price]]</f>
        <v>0</v>
      </c>
      <c r="K765">
        <f>(FlipkartTable[[#This Row],[Rating]]/FlipkartTable[[#This Row],[Selling Price]])*1000</f>
        <v>0.73724007561436666</v>
      </c>
      <c r="L765" t="str">
        <f>IF(FlipkartTable[[#This Row],[Selling Price]]&lt;15000,"Budget",IF(FlipkartTable[[#This Row],[Selling Price]]&lt;50000,"Mid Range","Premium"))</f>
        <v>Budget</v>
      </c>
      <c r="M765" t="str">
        <f>IF(FlipkartTable[[#This Row],[Rating]]&gt;4.5,"Excellent",IF(FlipkartTable[[#This Row],[Rating]]&gt;4,"Good",IF(FlipkartTable[[#This Row],[Rating]]&gt;3.5,"Average","Poor")))</f>
        <v>Average</v>
      </c>
    </row>
    <row r="766" spans="1:13" x14ac:dyDescent="0.35">
      <c r="A766" t="s">
        <v>475</v>
      </c>
      <c r="B766" s="9" t="s">
        <v>503</v>
      </c>
      <c r="C766" t="s">
        <v>141</v>
      </c>
      <c r="D766" t="s">
        <v>35</v>
      </c>
      <c r="E766" t="s">
        <v>124</v>
      </c>
      <c r="F766">
        <v>3.8</v>
      </c>
      <c r="G766">
        <v>4750</v>
      </c>
      <c r="H766">
        <v>4750</v>
      </c>
      <c r="I766">
        <f>FlipkartTable[[#This Row],[Original Price]]-FlipkartTable[[#This Row],[Selling Price]]</f>
        <v>0</v>
      </c>
      <c r="J766" s="4">
        <f>(FlipkartTable[[#This Row],[Original Price]]-FlipkartTable[[#This Row],[Selling Price]])/FlipkartTable[[#This Row],[Original Price]]</f>
        <v>0</v>
      </c>
      <c r="K766">
        <f>(FlipkartTable[[#This Row],[Rating]]/FlipkartTable[[#This Row],[Selling Price]])*1000</f>
        <v>0.79999999999999993</v>
      </c>
      <c r="L766" t="str">
        <f>IF(FlipkartTable[[#This Row],[Selling Price]]&lt;15000,"Budget",IF(FlipkartTable[[#This Row],[Selling Price]]&lt;50000,"Mid Range","Premium"))</f>
        <v>Budget</v>
      </c>
      <c r="M766" t="str">
        <f>IF(FlipkartTable[[#This Row],[Rating]]&gt;4.5,"Excellent",IF(FlipkartTable[[#This Row],[Rating]]&gt;4,"Good",IF(FlipkartTable[[#This Row],[Rating]]&gt;3.5,"Average","Poor")))</f>
        <v>Average</v>
      </c>
    </row>
    <row r="767" spans="1:13" x14ac:dyDescent="0.35">
      <c r="A767" t="s">
        <v>475</v>
      </c>
      <c r="B767" s="9" t="s">
        <v>503</v>
      </c>
      <c r="C767" t="s">
        <v>116</v>
      </c>
      <c r="D767" t="s">
        <v>35</v>
      </c>
      <c r="E767" t="s">
        <v>124</v>
      </c>
      <c r="F767">
        <v>3.8</v>
      </c>
      <c r="G767">
        <v>4450</v>
      </c>
      <c r="H767">
        <v>4450</v>
      </c>
      <c r="I767">
        <f>FlipkartTable[[#This Row],[Original Price]]-FlipkartTable[[#This Row],[Selling Price]]</f>
        <v>0</v>
      </c>
      <c r="J767" s="4">
        <f>(FlipkartTable[[#This Row],[Original Price]]-FlipkartTable[[#This Row],[Selling Price]])/FlipkartTable[[#This Row],[Original Price]]</f>
        <v>0</v>
      </c>
      <c r="K767">
        <f>(FlipkartTable[[#This Row],[Rating]]/FlipkartTable[[#This Row],[Selling Price]])*1000</f>
        <v>0.8539325842696629</v>
      </c>
      <c r="L767" t="str">
        <f>IF(FlipkartTable[[#This Row],[Selling Price]]&lt;15000,"Budget",IF(FlipkartTable[[#This Row],[Selling Price]]&lt;50000,"Mid Range","Premium"))</f>
        <v>Budget</v>
      </c>
      <c r="M767" t="str">
        <f>IF(FlipkartTable[[#This Row],[Rating]]&gt;4.5,"Excellent",IF(FlipkartTable[[#This Row],[Rating]]&gt;4,"Good",IF(FlipkartTable[[#This Row],[Rating]]&gt;3.5,"Average","Poor")))</f>
        <v>Average</v>
      </c>
    </row>
    <row r="768" spans="1:13" x14ac:dyDescent="0.35">
      <c r="A768" t="s">
        <v>475</v>
      </c>
      <c r="B768" s="9" t="s">
        <v>503</v>
      </c>
      <c r="C768" t="s">
        <v>152</v>
      </c>
      <c r="D768" t="s">
        <v>35</v>
      </c>
      <c r="E768" t="s">
        <v>124</v>
      </c>
      <c r="F768">
        <v>3.8</v>
      </c>
      <c r="G768">
        <v>4990</v>
      </c>
      <c r="H768">
        <v>4990</v>
      </c>
      <c r="I768">
        <f>FlipkartTable[[#This Row],[Original Price]]-FlipkartTable[[#This Row],[Selling Price]]</f>
        <v>0</v>
      </c>
      <c r="J768" s="4">
        <f>(FlipkartTable[[#This Row],[Original Price]]-FlipkartTable[[#This Row],[Selling Price]])/FlipkartTable[[#This Row],[Original Price]]</f>
        <v>0</v>
      </c>
      <c r="K768">
        <f>(FlipkartTable[[#This Row],[Rating]]/FlipkartTable[[#This Row],[Selling Price]])*1000</f>
        <v>0.76152304609218435</v>
      </c>
      <c r="L768" t="str">
        <f>IF(FlipkartTable[[#This Row],[Selling Price]]&lt;15000,"Budget",IF(FlipkartTable[[#This Row],[Selling Price]]&lt;50000,"Mid Range","Premium"))</f>
        <v>Budget</v>
      </c>
      <c r="M768" t="str">
        <f>IF(FlipkartTable[[#This Row],[Rating]]&gt;4.5,"Excellent",IF(FlipkartTable[[#This Row],[Rating]]&gt;4,"Good",IF(FlipkartTable[[#This Row],[Rating]]&gt;3.5,"Average","Poor")))</f>
        <v>Average</v>
      </c>
    </row>
    <row r="769" spans="1:13" x14ac:dyDescent="0.35">
      <c r="A769" t="s">
        <v>475</v>
      </c>
      <c r="B769" s="9" t="s">
        <v>499</v>
      </c>
      <c r="C769" t="s">
        <v>19</v>
      </c>
      <c r="D769" t="s">
        <v>134</v>
      </c>
      <c r="E769" t="s">
        <v>124</v>
      </c>
      <c r="F769">
        <v>3.8</v>
      </c>
      <c r="G769">
        <v>2799</v>
      </c>
      <c r="H769">
        <v>2799</v>
      </c>
      <c r="I769">
        <f>FlipkartTable[[#This Row],[Original Price]]-FlipkartTable[[#This Row],[Selling Price]]</f>
        <v>0</v>
      </c>
      <c r="J769" s="4">
        <f>(FlipkartTable[[#This Row],[Original Price]]-FlipkartTable[[#This Row],[Selling Price]])/FlipkartTable[[#This Row],[Original Price]]</f>
        <v>0</v>
      </c>
      <c r="K769">
        <f>(FlipkartTable[[#This Row],[Rating]]/FlipkartTable[[#This Row],[Selling Price]])*1000</f>
        <v>1.3576277241872097</v>
      </c>
      <c r="L769" t="str">
        <f>IF(FlipkartTable[[#This Row],[Selling Price]]&lt;15000,"Budget",IF(FlipkartTable[[#This Row],[Selling Price]]&lt;50000,"Mid Range","Premium"))</f>
        <v>Budget</v>
      </c>
      <c r="M769" t="str">
        <f>IF(FlipkartTable[[#This Row],[Rating]]&gt;4.5,"Excellent",IF(FlipkartTable[[#This Row],[Rating]]&gt;4,"Good",IF(FlipkartTable[[#This Row],[Rating]]&gt;3.5,"Average","Poor")))</f>
        <v>Average</v>
      </c>
    </row>
    <row r="770" spans="1:13" x14ac:dyDescent="0.35">
      <c r="A770" t="s">
        <v>475</v>
      </c>
      <c r="B770" s="9" t="s">
        <v>504</v>
      </c>
      <c r="C770" t="s">
        <v>19</v>
      </c>
      <c r="D770" t="s">
        <v>11</v>
      </c>
      <c r="E770" t="s">
        <v>12</v>
      </c>
      <c r="F770">
        <v>4.0999999999999996</v>
      </c>
      <c r="G770">
        <v>16499</v>
      </c>
      <c r="H770">
        <v>16499</v>
      </c>
      <c r="I770">
        <f>FlipkartTable[[#This Row],[Original Price]]-FlipkartTable[[#This Row],[Selling Price]]</f>
        <v>0</v>
      </c>
      <c r="J770" s="4">
        <f>(FlipkartTable[[#This Row],[Original Price]]-FlipkartTable[[#This Row],[Selling Price]])/FlipkartTable[[#This Row],[Original Price]]</f>
        <v>0</v>
      </c>
      <c r="K770">
        <f>(FlipkartTable[[#This Row],[Rating]]/FlipkartTable[[#This Row],[Selling Price]])*1000</f>
        <v>0.2484999090853991</v>
      </c>
      <c r="L770" t="str">
        <f>IF(FlipkartTable[[#This Row],[Selling Price]]&lt;15000,"Budget",IF(FlipkartTable[[#This Row],[Selling Price]]&lt;50000,"Mid Range","Premium"))</f>
        <v>Mid Range</v>
      </c>
      <c r="M770" t="str">
        <f>IF(FlipkartTable[[#This Row],[Rating]]&gt;4.5,"Excellent",IF(FlipkartTable[[#This Row],[Rating]]&gt;4,"Good",IF(FlipkartTable[[#This Row],[Rating]]&gt;3.5,"Average","Poor")))</f>
        <v>Good</v>
      </c>
    </row>
    <row r="771" spans="1:13" x14ac:dyDescent="0.35">
      <c r="A771" t="s">
        <v>475</v>
      </c>
      <c r="B771" s="9" t="s">
        <v>504</v>
      </c>
      <c r="C771" t="s">
        <v>505</v>
      </c>
      <c r="D771" t="s">
        <v>11</v>
      </c>
      <c r="E771" t="s">
        <v>12</v>
      </c>
      <c r="F771">
        <v>4.0999999999999996</v>
      </c>
      <c r="G771">
        <v>10499</v>
      </c>
      <c r="H771">
        <v>10499</v>
      </c>
      <c r="I771">
        <f>FlipkartTable[[#This Row],[Original Price]]-FlipkartTable[[#This Row],[Selling Price]]</f>
        <v>0</v>
      </c>
      <c r="J771" s="4">
        <f>(FlipkartTable[[#This Row],[Original Price]]-FlipkartTable[[#This Row],[Selling Price]])/FlipkartTable[[#This Row],[Original Price]]</f>
        <v>0</v>
      </c>
      <c r="K771">
        <f>(FlipkartTable[[#This Row],[Rating]]/FlipkartTable[[#This Row],[Selling Price]])*1000</f>
        <v>0.3905133822268787</v>
      </c>
      <c r="L771" t="str">
        <f>IF(FlipkartTable[[#This Row],[Selling Price]]&lt;15000,"Budget",IF(FlipkartTable[[#This Row],[Selling Price]]&lt;50000,"Mid Range","Premium"))</f>
        <v>Budget</v>
      </c>
      <c r="M771" t="str">
        <f>IF(FlipkartTable[[#This Row],[Rating]]&gt;4.5,"Excellent",IF(FlipkartTable[[#This Row],[Rating]]&gt;4,"Good",IF(FlipkartTable[[#This Row],[Rating]]&gt;3.5,"Average","Poor")))</f>
        <v>Good</v>
      </c>
    </row>
    <row r="772" spans="1:13" x14ac:dyDescent="0.35">
      <c r="A772" t="s">
        <v>475</v>
      </c>
      <c r="B772" s="9" t="s">
        <v>506</v>
      </c>
      <c r="C772" t="s">
        <v>19</v>
      </c>
      <c r="D772" t="s">
        <v>134</v>
      </c>
      <c r="E772" t="s">
        <v>27</v>
      </c>
      <c r="F772">
        <v>3.8</v>
      </c>
      <c r="G772">
        <v>7150</v>
      </c>
      <c r="H772">
        <v>7150</v>
      </c>
      <c r="I772">
        <f>FlipkartTable[[#This Row],[Original Price]]-FlipkartTable[[#This Row],[Selling Price]]</f>
        <v>0</v>
      </c>
      <c r="J772" s="4">
        <f>(FlipkartTable[[#This Row],[Original Price]]-FlipkartTable[[#This Row],[Selling Price]])/FlipkartTable[[#This Row],[Original Price]]</f>
        <v>0</v>
      </c>
      <c r="K772">
        <f>(FlipkartTable[[#This Row],[Rating]]/FlipkartTable[[#This Row],[Selling Price]])*1000</f>
        <v>0.53146853146853146</v>
      </c>
      <c r="L772" t="str">
        <f>IF(FlipkartTable[[#This Row],[Selling Price]]&lt;15000,"Budget",IF(FlipkartTable[[#This Row],[Selling Price]]&lt;50000,"Mid Range","Premium"))</f>
        <v>Budget</v>
      </c>
      <c r="M772" t="str">
        <f>IF(FlipkartTable[[#This Row],[Rating]]&gt;4.5,"Excellent",IF(FlipkartTable[[#This Row],[Rating]]&gt;4,"Good",IF(FlipkartTable[[#This Row],[Rating]]&gt;3.5,"Average","Poor")))</f>
        <v>Average</v>
      </c>
    </row>
    <row r="773" spans="1:13" x14ac:dyDescent="0.35">
      <c r="A773" t="s">
        <v>475</v>
      </c>
      <c r="B773" s="9" t="s">
        <v>507</v>
      </c>
      <c r="C773" t="s">
        <v>116</v>
      </c>
      <c r="D773" t="s">
        <v>134</v>
      </c>
      <c r="E773" t="s">
        <v>124</v>
      </c>
      <c r="F773">
        <v>3.8</v>
      </c>
      <c r="G773">
        <v>4999</v>
      </c>
      <c r="H773">
        <v>4999</v>
      </c>
      <c r="I773">
        <f>FlipkartTable[[#This Row],[Original Price]]-FlipkartTable[[#This Row],[Selling Price]]</f>
        <v>0</v>
      </c>
      <c r="J773" s="4">
        <f>(FlipkartTable[[#This Row],[Original Price]]-FlipkartTable[[#This Row],[Selling Price]])/FlipkartTable[[#This Row],[Original Price]]</f>
        <v>0</v>
      </c>
      <c r="K773">
        <f>(FlipkartTable[[#This Row],[Rating]]/FlipkartTable[[#This Row],[Selling Price]])*1000</f>
        <v>0.76015203040608115</v>
      </c>
      <c r="L773" t="str">
        <f>IF(FlipkartTable[[#This Row],[Selling Price]]&lt;15000,"Budget",IF(FlipkartTable[[#This Row],[Selling Price]]&lt;50000,"Mid Range","Premium"))</f>
        <v>Budget</v>
      </c>
      <c r="M773" t="str">
        <f>IF(FlipkartTable[[#This Row],[Rating]]&gt;4.5,"Excellent",IF(FlipkartTable[[#This Row],[Rating]]&gt;4,"Good",IF(FlipkartTable[[#This Row],[Rating]]&gt;3.5,"Average","Poor")))</f>
        <v>Average</v>
      </c>
    </row>
    <row r="774" spans="1:13" x14ac:dyDescent="0.35">
      <c r="A774" t="s">
        <v>475</v>
      </c>
      <c r="B774" s="9" t="s">
        <v>498</v>
      </c>
      <c r="C774" t="s">
        <v>152</v>
      </c>
      <c r="D774" t="s">
        <v>134</v>
      </c>
      <c r="E774" t="s">
        <v>27</v>
      </c>
      <c r="F774">
        <v>3.8</v>
      </c>
      <c r="G774">
        <v>2999</v>
      </c>
      <c r="H774">
        <v>2999</v>
      </c>
      <c r="I774">
        <f>FlipkartTable[[#This Row],[Original Price]]-FlipkartTable[[#This Row],[Selling Price]]</f>
        <v>0</v>
      </c>
      <c r="J774" s="4">
        <f>(FlipkartTable[[#This Row],[Original Price]]-FlipkartTable[[#This Row],[Selling Price]])/FlipkartTable[[#This Row],[Original Price]]</f>
        <v>0</v>
      </c>
      <c r="K774">
        <f>(FlipkartTable[[#This Row],[Rating]]/FlipkartTable[[#This Row],[Selling Price]])*1000</f>
        <v>1.2670890296765589</v>
      </c>
      <c r="L774" t="str">
        <f>IF(FlipkartTable[[#This Row],[Selling Price]]&lt;15000,"Budget",IF(FlipkartTable[[#This Row],[Selling Price]]&lt;50000,"Mid Range","Premium"))</f>
        <v>Budget</v>
      </c>
      <c r="M774" t="str">
        <f>IF(FlipkartTable[[#This Row],[Rating]]&gt;4.5,"Excellent",IF(FlipkartTable[[#This Row],[Rating]]&gt;4,"Good",IF(FlipkartTable[[#This Row],[Rating]]&gt;3.5,"Average","Poor")))</f>
        <v>Average</v>
      </c>
    </row>
    <row r="775" spans="1:13" x14ac:dyDescent="0.35">
      <c r="A775" t="s">
        <v>475</v>
      </c>
      <c r="B775" s="9" t="s">
        <v>508</v>
      </c>
      <c r="C775" t="s">
        <v>19</v>
      </c>
      <c r="D775" t="s">
        <v>20</v>
      </c>
      <c r="E775" t="s">
        <v>124</v>
      </c>
      <c r="F775">
        <v>4</v>
      </c>
      <c r="G775">
        <v>6475</v>
      </c>
      <c r="H775">
        <v>6475</v>
      </c>
      <c r="I775">
        <f>FlipkartTable[[#This Row],[Original Price]]-FlipkartTable[[#This Row],[Selling Price]]</f>
        <v>0</v>
      </c>
      <c r="J775" s="4">
        <f>(FlipkartTable[[#This Row],[Original Price]]-FlipkartTable[[#This Row],[Selling Price]])/FlipkartTable[[#This Row],[Original Price]]</f>
        <v>0</v>
      </c>
      <c r="K775">
        <f>(FlipkartTable[[#This Row],[Rating]]/FlipkartTable[[#This Row],[Selling Price]])*1000</f>
        <v>0.61776061776061775</v>
      </c>
      <c r="L775" t="str">
        <f>IF(FlipkartTable[[#This Row],[Selling Price]]&lt;15000,"Budget",IF(FlipkartTable[[#This Row],[Selling Price]]&lt;50000,"Mid Range","Premium"))</f>
        <v>Budget</v>
      </c>
      <c r="M775" t="str">
        <f>IF(FlipkartTable[[#This Row],[Rating]]&gt;4.5,"Excellent",IF(FlipkartTable[[#This Row],[Rating]]&gt;4,"Good",IF(FlipkartTable[[#This Row],[Rating]]&gt;3.5,"Average","Poor")))</f>
        <v>Average</v>
      </c>
    </row>
    <row r="776" spans="1:13" x14ac:dyDescent="0.35">
      <c r="A776" t="s">
        <v>475</v>
      </c>
      <c r="B776" s="9" t="s">
        <v>509</v>
      </c>
      <c r="C776" t="s">
        <v>22</v>
      </c>
      <c r="D776" t="s">
        <v>20</v>
      </c>
      <c r="E776" t="s">
        <v>21</v>
      </c>
      <c r="F776">
        <v>4.0999999999999996</v>
      </c>
      <c r="G776">
        <v>7990</v>
      </c>
      <c r="H776">
        <v>7990</v>
      </c>
      <c r="I776">
        <f>FlipkartTable[[#This Row],[Original Price]]-FlipkartTable[[#This Row],[Selling Price]]</f>
        <v>0</v>
      </c>
      <c r="J776" s="4">
        <f>(FlipkartTable[[#This Row],[Original Price]]-FlipkartTable[[#This Row],[Selling Price]])/FlipkartTable[[#This Row],[Original Price]]</f>
        <v>0</v>
      </c>
      <c r="K776">
        <f>(FlipkartTable[[#This Row],[Rating]]/FlipkartTable[[#This Row],[Selling Price]])*1000</f>
        <v>0.51314142678347929</v>
      </c>
      <c r="L776" t="str">
        <f>IF(FlipkartTable[[#This Row],[Selling Price]]&lt;15000,"Budget",IF(FlipkartTable[[#This Row],[Selling Price]]&lt;50000,"Mid Range","Premium"))</f>
        <v>Budget</v>
      </c>
      <c r="M776" t="str">
        <f>IF(FlipkartTable[[#This Row],[Rating]]&gt;4.5,"Excellent",IF(FlipkartTable[[#This Row],[Rating]]&gt;4,"Good",IF(FlipkartTable[[#This Row],[Rating]]&gt;3.5,"Average","Poor")))</f>
        <v>Good</v>
      </c>
    </row>
    <row r="777" spans="1:13" x14ac:dyDescent="0.35">
      <c r="A777" t="s">
        <v>475</v>
      </c>
      <c r="B777" s="9" t="s">
        <v>510</v>
      </c>
      <c r="C777" t="s">
        <v>19</v>
      </c>
      <c r="D777" t="s">
        <v>35</v>
      </c>
      <c r="E777" t="s">
        <v>124</v>
      </c>
      <c r="F777">
        <v>4</v>
      </c>
      <c r="G777">
        <v>8479</v>
      </c>
      <c r="H777">
        <v>8479</v>
      </c>
      <c r="I777">
        <f>FlipkartTable[[#This Row],[Original Price]]-FlipkartTable[[#This Row],[Selling Price]]</f>
        <v>0</v>
      </c>
      <c r="J777" s="4">
        <f>(FlipkartTable[[#This Row],[Original Price]]-FlipkartTable[[#This Row],[Selling Price]])/FlipkartTable[[#This Row],[Original Price]]</f>
        <v>0</v>
      </c>
      <c r="K777">
        <f>(FlipkartTable[[#This Row],[Rating]]/FlipkartTable[[#This Row],[Selling Price]])*1000</f>
        <v>0.47175374454534735</v>
      </c>
      <c r="L777" t="str">
        <f>IF(FlipkartTable[[#This Row],[Selling Price]]&lt;15000,"Budget",IF(FlipkartTable[[#This Row],[Selling Price]]&lt;50000,"Mid Range","Premium"))</f>
        <v>Budget</v>
      </c>
      <c r="M777" t="str">
        <f>IF(FlipkartTable[[#This Row],[Rating]]&gt;4.5,"Excellent",IF(FlipkartTable[[#This Row],[Rating]]&gt;4,"Good",IF(FlipkartTable[[#This Row],[Rating]]&gt;3.5,"Average","Poor")))</f>
        <v>Average</v>
      </c>
    </row>
    <row r="778" spans="1:13" x14ac:dyDescent="0.35">
      <c r="A778" t="s">
        <v>475</v>
      </c>
      <c r="B778" s="9" t="s">
        <v>510</v>
      </c>
      <c r="C778" t="s">
        <v>511</v>
      </c>
      <c r="D778" t="s">
        <v>35</v>
      </c>
      <c r="E778" t="s">
        <v>124</v>
      </c>
      <c r="F778">
        <v>4</v>
      </c>
      <c r="G778">
        <v>8479</v>
      </c>
      <c r="H778">
        <v>8479</v>
      </c>
      <c r="I778">
        <f>FlipkartTable[[#This Row],[Original Price]]-FlipkartTable[[#This Row],[Selling Price]]</f>
        <v>0</v>
      </c>
      <c r="J778" s="4">
        <f>(FlipkartTable[[#This Row],[Original Price]]-FlipkartTable[[#This Row],[Selling Price]])/FlipkartTable[[#This Row],[Original Price]]</f>
        <v>0</v>
      </c>
      <c r="K778">
        <f>(FlipkartTable[[#This Row],[Rating]]/FlipkartTable[[#This Row],[Selling Price]])*1000</f>
        <v>0.47175374454534735</v>
      </c>
      <c r="L778" t="str">
        <f>IF(FlipkartTable[[#This Row],[Selling Price]]&lt;15000,"Budget",IF(FlipkartTable[[#This Row],[Selling Price]]&lt;50000,"Mid Range","Premium"))</f>
        <v>Budget</v>
      </c>
      <c r="M778" t="str">
        <f>IF(FlipkartTable[[#This Row],[Rating]]&gt;4.5,"Excellent",IF(FlipkartTable[[#This Row],[Rating]]&gt;4,"Good",IF(FlipkartTable[[#This Row],[Rating]]&gt;3.5,"Average","Poor")))</f>
        <v>Average</v>
      </c>
    </row>
    <row r="779" spans="1:13" x14ac:dyDescent="0.35">
      <c r="A779" t="s">
        <v>475</v>
      </c>
      <c r="B779" s="9" t="s">
        <v>512</v>
      </c>
      <c r="C779" t="s">
        <v>116</v>
      </c>
      <c r="D779" t="s">
        <v>20</v>
      </c>
      <c r="E779" t="s">
        <v>21</v>
      </c>
      <c r="F779">
        <v>3.9</v>
      </c>
      <c r="G779">
        <v>11499</v>
      </c>
      <c r="H779">
        <v>11499</v>
      </c>
      <c r="I779">
        <f>FlipkartTable[[#This Row],[Original Price]]-FlipkartTable[[#This Row],[Selling Price]]</f>
        <v>0</v>
      </c>
      <c r="J779" s="4">
        <f>(FlipkartTable[[#This Row],[Original Price]]-FlipkartTable[[#This Row],[Selling Price]])/FlipkartTable[[#This Row],[Original Price]]</f>
        <v>0</v>
      </c>
      <c r="K779">
        <f>(FlipkartTable[[#This Row],[Rating]]/FlipkartTable[[#This Row],[Selling Price]])*1000</f>
        <v>0.33915992695016955</v>
      </c>
      <c r="L779" t="str">
        <f>IF(FlipkartTable[[#This Row],[Selling Price]]&lt;15000,"Budget",IF(FlipkartTable[[#This Row],[Selling Price]]&lt;50000,"Mid Range","Premium"))</f>
        <v>Budget</v>
      </c>
      <c r="M779" t="str">
        <f>IF(FlipkartTable[[#This Row],[Rating]]&gt;4.5,"Excellent",IF(FlipkartTable[[#This Row],[Rating]]&gt;4,"Good",IF(FlipkartTable[[#This Row],[Rating]]&gt;3.5,"Average","Poor")))</f>
        <v>Average</v>
      </c>
    </row>
    <row r="780" spans="1:13" x14ac:dyDescent="0.35">
      <c r="A780" t="s">
        <v>475</v>
      </c>
      <c r="B780" s="9" t="s">
        <v>512</v>
      </c>
      <c r="C780" t="s">
        <v>19</v>
      </c>
      <c r="D780" t="s">
        <v>20</v>
      </c>
      <c r="E780" t="s">
        <v>21</v>
      </c>
      <c r="F780">
        <v>3.9</v>
      </c>
      <c r="G780">
        <v>11499</v>
      </c>
      <c r="H780">
        <v>11499</v>
      </c>
      <c r="I780">
        <f>FlipkartTable[[#This Row],[Original Price]]-FlipkartTable[[#This Row],[Selling Price]]</f>
        <v>0</v>
      </c>
      <c r="J780" s="4">
        <f>(FlipkartTable[[#This Row],[Original Price]]-FlipkartTable[[#This Row],[Selling Price]])/FlipkartTable[[#This Row],[Original Price]]</f>
        <v>0</v>
      </c>
      <c r="K780">
        <f>(FlipkartTable[[#This Row],[Rating]]/FlipkartTable[[#This Row],[Selling Price]])*1000</f>
        <v>0.33915992695016955</v>
      </c>
      <c r="L780" t="str">
        <f>IF(FlipkartTable[[#This Row],[Selling Price]]&lt;15000,"Budget",IF(FlipkartTable[[#This Row],[Selling Price]]&lt;50000,"Mid Range","Premium"))</f>
        <v>Budget</v>
      </c>
      <c r="M780" t="str">
        <f>IF(FlipkartTable[[#This Row],[Rating]]&gt;4.5,"Excellent",IF(FlipkartTable[[#This Row],[Rating]]&gt;4,"Good",IF(FlipkartTable[[#This Row],[Rating]]&gt;3.5,"Average","Poor")))</f>
        <v>Average</v>
      </c>
    </row>
    <row r="781" spans="1:13" x14ac:dyDescent="0.35">
      <c r="A781" t="s">
        <v>475</v>
      </c>
      <c r="B781" s="9" t="s">
        <v>481</v>
      </c>
      <c r="C781" t="s">
        <v>22</v>
      </c>
      <c r="D781" t="s">
        <v>35</v>
      </c>
      <c r="E781" t="s">
        <v>124</v>
      </c>
      <c r="F781">
        <v>4.0999999999999996</v>
      </c>
      <c r="G781">
        <v>6990</v>
      </c>
      <c r="H781">
        <v>6990</v>
      </c>
      <c r="I781">
        <f>FlipkartTable[[#This Row],[Original Price]]-FlipkartTable[[#This Row],[Selling Price]]</f>
        <v>0</v>
      </c>
      <c r="J781" s="4">
        <f>(FlipkartTable[[#This Row],[Original Price]]-FlipkartTable[[#This Row],[Selling Price]])/FlipkartTable[[#This Row],[Original Price]]</f>
        <v>0</v>
      </c>
      <c r="K781">
        <f>(FlipkartTable[[#This Row],[Rating]]/FlipkartTable[[#This Row],[Selling Price]])*1000</f>
        <v>0.58655221745350494</v>
      </c>
      <c r="L781" t="str">
        <f>IF(FlipkartTable[[#This Row],[Selling Price]]&lt;15000,"Budget",IF(FlipkartTable[[#This Row],[Selling Price]]&lt;50000,"Mid Range","Premium"))</f>
        <v>Budget</v>
      </c>
      <c r="M781" t="str">
        <f>IF(FlipkartTable[[#This Row],[Rating]]&gt;4.5,"Excellent",IF(FlipkartTable[[#This Row],[Rating]]&gt;4,"Good",IF(FlipkartTable[[#This Row],[Rating]]&gt;3.5,"Average","Poor")))</f>
        <v>Good</v>
      </c>
    </row>
    <row r="782" spans="1:13" x14ac:dyDescent="0.35">
      <c r="A782" t="s">
        <v>475</v>
      </c>
      <c r="B782" s="9" t="s">
        <v>508</v>
      </c>
      <c r="C782" t="s">
        <v>116</v>
      </c>
      <c r="D782" t="s">
        <v>20</v>
      </c>
      <c r="E782" t="s">
        <v>124</v>
      </c>
      <c r="F782">
        <v>4</v>
      </c>
      <c r="G782">
        <v>6450</v>
      </c>
      <c r="H782">
        <v>6450</v>
      </c>
      <c r="I782">
        <f>FlipkartTable[[#This Row],[Original Price]]-FlipkartTable[[#This Row],[Selling Price]]</f>
        <v>0</v>
      </c>
      <c r="J782" s="4">
        <f>(FlipkartTable[[#This Row],[Original Price]]-FlipkartTable[[#This Row],[Selling Price]])/FlipkartTable[[#This Row],[Original Price]]</f>
        <v>0</v>
      </c>
      <c r="K782">
        <f>(FlipkartTable[[#This Row],[Rating]]/FlipkartTable[[#This Row],[Selling Price]])*1000</f>
        <v>0.62015503875968991</v>
      </c>
      <c r="L782" t="str">
        <f>IF(FlipkartTable[[#This Row],[Selling Price]]&lt;15000,"Budget",IF(FlipkartTable[[#This Row],[Selling Price]]&lt;50000,"Mid Range","Premium"))</f>
        <v>Budget</v>
      </c>
      <c r="M782" t="str">
        <f>IF(FlipkartTable[[#This Row],[Rating]]&gt;4.5,"Excellent",IF(FlipkartTable[[#This Row],[Rating]]&gt;4,"Good",IF(FlipkartTable[[#This Row],[Rating]]&gt;3.5,"Average","Poor")))</f>
        <v>Average</v>
      </c>
    </row>
    <row r="783" spans="1:13" x14ac:dyDescent="0.35">
      <c r="A783" t="s">
        <v>475</v>
      </c>
      <c r="B783" s="9" t="s">
        <v>497</v>
      </c>
      <c r="C783" t="s">
        <v>152</v>
      </c>
      <c r="D783" t="s">
        <v>263</v>
      </c>
      <c r="E783" t="s">
        <v>11</v>
      </c>
      <c r="F783">
        <v>3.6</v>
      </c>
      <c r="G783">
        <v>2650</v>
      </c>
      <c r="H783">
        <v>2650</v>
      </c>
      <c r="I783">
        <f>FlipkartTable[[#This Row],[Original Price]]-FlipkartTable[[#This Row],[Selling Price]]</f>
        <v>0</v>
      </c>
      <c r="J783" s="4">
        <f>(FlipkartTable[[#This Row],[Original Price]]-FlipkartTable[[#This Row],[Selling Price]])/FlipkartTable[[#This Row],[Original Price]]</f>
        <v>0</v>
      </c>
      <c r="K783">
        <f>(FlipkartTable[[#This Row],[Rating]]/FlipkartTable[[#This Row],[Selling Price]])*1000</f>
        <v>1.358490566037736</v>
      </c>
      <c r="L783" t="str">
        <f>IF(FlipkartTable[[#This Row],[Selling Price]]&lt;15000,"Budget",IF(FlipkartTable[[#This Row],[Selling Price]]&lt;50000,"Mid Range","Premium"))</f>
        <v>Budget</v>
      </c>
      <c r="M783" t="str">
        <f>IF(FlipkartTable[[#This Row],[Rating]]&gt;4.5,"Excellent",IF(FlipkartTable[[#This Row],[Rating]]&gt;4,"Good",IF(FlipkartTable[[#This Row],[Rating]]&gt;3.5,"Average","Poor")))</f>
        <v>Average</v>
      </c>
    </row>
    <row r="784" spans="1:13" x14ac:dyDescent="0.35">
      <c r="A784" t="s">
        <v>475</v>
      </c>
      <c r="B784" s="9" t="s">
        <v>513</v>
      </c>
      <c r="C784" t="s">
        <v>19</v>
      </c>
      <c r="D784" t="s">
        <v>35</v>
      </c>
      <c r="E784" t="s">
        <v>124</v>
      </c>
      <c r="F784">
        <v>4.0999999999999996</v>
      </c>
      <c r="G784">
        <v>15999</v>
      </c>
      <c r="H784">
        <v>15999</v>
      </c>
      <c r="I784">
        <f>FlipkartTable[[#This Row],[Original Price]]-FlipkartTable[[#This Row],[Selling Price]]</f>
        <v>0</v>
      </c>
      <c r="J784" s="4">
        <f>(FlipkartTable[[#This Row],[Original Price]]-FlipkartTable[[#This Row],[Selling Price]])/FlipkartTable[[#This Row],[Original Price]]</f>
        <v>0</v>
      </c>
      <c r="K784">
        <f>(FlipkartTable[[#This Row],[Rating]]/FlipkartTable[[#This Row],[Selling Price]])*1000</f>
        <v>0.25626601662603909</v>
      </c>
      <c r="L784" t="str">
        <f>IF(FlipkartTable[[#This Row],[Selling Price]]&lt;15000,"Budget",IF(FlipkartTable[[#This Row],[Selling Price]]&lt;50000,"Mid Range","Premium"))</f>
        <v>Mid Range</v>
      </c>
      <c r="M784" t="str">
        <f>IF(FlipkartTable[[#This Row],[Rating]]&gt;4.5,"Excellent",IF(FlipkartTable[[#This Row],[Rating]]&gt;4,"Good",IF(FlipkartTable[[#This Row],[Rating]]&gt;3.5,"Average","Poor")))</f>
        <v>Good</v>
      </c>
    </row>
    <row r="785" spans="1:13" x14ac:dyDescent="0.35">
      <c r="A785" t="s">
        <v>475</v>
      </c>
      <c r="B785" s="9" t="s">
        <v>506</v>
      </c>
      <c r="C785" t="s">
        <v>152</v>
      </c>
      <c r="D785" t="s">
        <v>134</v>
      </c>
      <c r="E785" t="s">
        <v>27</v>
      </c>
      <c r="F785">
        <v>3.8</v>
      </c>
      <c r="G785">
        <v>4850</v>
      </c>
      <c r="H785">
        <v>4850</v>
      </c>
      <c r="I785">
        <f>FlipkartTable[[#This Row],[Original Price]]-FlipkartTable[[#This Row],[Selling Price]]</f>
        <v>0</v>
      </c>
      <c r="J785" s="4">
        <f>(FlipkartTable[[#This Row],[Original Price]]-FlipkartTable[[#This Row],[Selling Price]])/FlipkartTable[[#This Row],[Original Price]]</f>
        <v>0</v>
      </c>
      <c r="K785">
        <f>(FlipkartTable[[#This Row],[Rating]]/FlipkartTable[[#This Row],[Selling Price]])*1000</f>
        <v>0.78350515463917525</v>
      </c>
      <c r="L785" t="str">
        <f>IF(FlipkartTable[[#This Row],[Selling Price]]&lt;15000,"Budget",IF(FlipkartTable[[#This Row],[Selling Price]]&lt;50000,"Mid Range","Premium"))</f>
        <v>Budget</v>
      </c>
      <c r="M785" t="str">
        <f>IF(FlipkartTable[[#This Row],[Rating]]&gt;4.5,"Excellent",IF(FlipkartTable[[#This Row],[Rating]]&gt;4,"Good",IF(FlipkartTable[[#This Row],[Rating]]&gt;3.5,"Average","Poor")))</f>
        <v>Average</v>
      </c>
    </row>
    <row r="786" spans="1:13" x14ac:dyDescent="0.35">
      <c r="A786" t="s">
        <v>475</v>
      </c>
      <c r="B786" s="9" t="s">
        <v>495</v>
      </c>
      <c r="C786" t="s">
        <v>329</v>
      </c>
      <c r="D786" t="s">
        <v>134</v>
      </c>
      <c r="E786" t="s">
        <v>124</v>
      </c>
      <c r="F786">
        <v>3.7</v>
      </c>
      <c r="G786">
        <v>3990</v>
      </c>
      <c r="H786">
        <v>7999</v>
      </c>
      <c r="I786">
        <f>FlipkartTable[[#This Row],[Original Price]]-FlipkartTable[[#This Row],[Selling Price]]</f>
        <v>4009</v>
      </c>
      <c r="J786" s="4">
        <f>(FlipkartTable[[#This Row],[Original Price]]-FlipkartTable[[#This Row],[Selling Price]])/FlipkartTable[[#This Row],[Original Price]]</f>
        <v>0.50118764845605701</v>
      </c>
      <c r="K786">
        <f>(FlipkartTable[[#This Row],[Rating]]/FlipkartTable[[#This Row],[Selling Price]])*1000</f>
        <v>0.92731829573934843</v>
      </c>
      <c r="L786" t="str">
        <f>IF(FlipkartTable[[#This Row],[Selling Price]]&lt;15000,"Budget",IF(FlipkartTable[[#This Row],[Selling Price]]&lt;50000,"Mid Range","Premium"))</f>
        <v>Budget</v>
      </c>
      <c r="M786" t="str">
        <f>IF(FlipkartTable[[#This Row],[Rating]]&gt;4.5,"Excellent",IF(FlipkartTable[[#This Row],[Rating]]&gt;4,"Good",IF(FlipkartTable[[#This Row],[Rating]]&gt;3.5,"Average","Poor")))</f>
        <v>Average</v>
      </c>
    </row>
    <row r="787" spans="1:13" x14ac:dyDescent="0.35">
      <c r="A787" t="s">
        <v>475</v>
      </c>
      <c r="B787" s="9" t="s">
        <v>501</v>
      </c>
      <c r="C787" t="s">
        <v>116</v>
      </c>
      <c r="D787" t="s">
        <v>35</v>
      </c>
      <c r="E787" t="s">
        <v>124</v>
      </c>
      <c r="F787">
        <v>4</v>
      </c>
      <c r="G787">
        <v>5149</v>
      </c>
      <c r="H787">
        <v>5149</v>
      </c>
      <c r="I787">
        <f>FlipkartTable[[#This Row],[Original Price]]-FlipkartTable[[#This Row],[Selling Price]]</f>
        <v>0</v>
      </c>
      <c r="J787" s="4">
        <f>(FlipkartTable[[#This Row],[Original Price]]-FlipkartTable[[#This Row],[Selling Price]])/FlipkartTable[[#This Row],[Original Price]]</f>
        <v>0</v>
      </c>
      <c r="K787">
        <f>(FlipkartTable[[#This Row],[Rating]]/FlipkartTable[[#This Row],[Selling Price]])*1000</f>
        <v>0.77684987376189552</v>
      </c>
      <c r="L787" t="str">
        <f>IF(FlipkartTable[[#This Row],[Selling Price]]&lt;15000,"Budget",IF(FlipkartTable[[#This Row],[Selling Price]]&lt;50000,"Mid Range","Premium"))</f>
        <v>Budget</v>
      </c>
      <c r="M787" t="str">
        <f>IF(FlipkartTable[[#This Row],[Rating]]&gt;4.5,"Excellent",IF(FlipkartTable[[#This Row],[Rating]]&gt;4,"Good",IF(FlipkartTable[[#This Row],[Rating]]&gt;3.5,"Average","Poor")))</f>
        <v>Average</v>
      </c>
    </row>
    <row r="788" spans="1:13" x14ac:dyDescent="0.35">
      <c r="A788" t="s">
        <v>475</v>
      </c>
      <c r="B788" s="9" t="s">
        <v>514</v>
      </c>
      <c r="C788" t="s">
        <v>116</v>
      </c>
      <c r="D788" t="s">
        <v>20</v>
      </c>
      <c r="E788" t="s">
        <v>21</v>
      </c>
      <c r="F788">
        <v>3.9</v>
      </c>
      <c r="G788">
        <v>13649</v>
      </c>
      <c r="H788">
        <v>13649</v>
      </c>
      <c r="I788">
        <f>FlipkartTable[[#This Row],[Original Price]]-FlipkartTable[[#This Row],[Selling Price]]</f>
        <v>0</v>
      </c>
      <c r="J788" s="4">
        <f>(FlipkartTable[[#This Row],[Original Price]]-FlipkartTable[[#This Row],[Selling Price]])/FlipkartTable[[#This Row],[Original Price]]</f>
        <v>0</v>
      </c>
      <c r="K788">
        <f>(FlipkartTable[[#This Row],[Rating]]/FlipkartTable[[#This Row],[Selling Price]])*1000</f>
        <v>0.28573521869734048</v>
      </c>
      <c r="L788" t="str">
        <f>IF(FlipkartTable[[#This Row],[Selling Price]]&lt;15000,"Budget",IF(FlipkartTable[[#This Row],[Selling Price]]&lt;50000,"Mid Range","Premium"))</f>
        <v>Budget</v>
      </c>
      <c r="M788" t="str">
        <f>IF(FlipkartTable[[#This Row],[Rating]]&gt;4.5,"Excellent",IF(FlipkartTable[[#This Row],[Rating]]&gt;4,"Good",IF(FlipkartTable[[#This Row],[Rating]]&gt;3.5,"Average","Poor")))</f>
        <v>Average</v>
      </c>
    </row>
    <row r="789" spans="1:13" x14ac:dyDescent="0.35">
      <c r="A789" t="s">
        <v>475</v>
      </c>
      <c r="B789" s="9" t="s">
        <v>515</v>
      </c>
      <c r="C789" t="s">
        <v>141</v>
      </c>
      <c r="D789" t="s">
        <v>35</v>
      </c>
      <c r="E789" t="s">
        <v>124</v>
      </c>
      <c r="F789">
        <v>4.4000000000000004</v>
      </c>
      <c r="G789">
        <v>11999</v>
      </c>
      <c r="H789">
        <v>11999</v>
      </c>
      <c r="I789">
        <f>FlipkartTable[[#This Row],[Original Price]]-FlipkartTable[[#This Row],[Selling Price]]</f>
        <v>0</v>
      </c>
      <c r="J789" s="4">
        <f>(FlipkartTable[[#This Row],[Original Price]]-FlipkartTable[[#This Row],[Selling Price]])/FlipkartTable[[#This Row],[Original Price]]</f>
        <v>0</v>
      </c>
      <c r="K789">
        <f>(FlipkartTable[[#This Row],[Rating]]/FlipkartTable[[#This Row],[Selling Price]])*1000</f>
        <v>0.36669722476873073</v>
      </c>
      <c r="L789" t="str">
        <f>IF(FlipkartTable[[#This Row],[Selling Price]]&lt;15000,"Budget",IF(FlipkartTable[[#This Row],[Selling Price]]&lt;50000,"Mid Range","Premium"))</f>
        <v>Budget</v>
      </c>
      <c r="M789" t="str">
        <f>IF(FlipkartTable[[#This Row],[Rating]]&gt;4.5,"Excellent",IF(FlipkartTable[[#This Row],[Rating]]&gt;4,"Good",IF(FlipkartTable[[#This Row],[Rating]]&gt;3.5,"Average","Poor")))</f>
        <v>Good</v>
      </c>
    </row>
    <row r="790" spans="1:13" x14ac:dyDescent="0.35">
      <c r="A790" t="s">
        <v>475</v>
      </c>
      <c r="B790" s="9" t="s">
        <v>516</v>
      </c>
      <c r="C790" t="s">
        <v>152</v>
      </c>
      <c r="D790" t="s">
        <v>134</v>
      </c>
      <c r="E790" t="s">
        <v>27</v>
      </c>
      <c r="F790">
        <v>3.8</v>
      </c>
      <c r="G790">
        <v>9599</v>
      </c>
      <c r="H790">
        <v>9599</v>
      </c>
      <c r="I790">
        <f>FlipkartTable[[#This Row],[Original Price]]-FlipkartTable[[#This Row],[Selling Price]]</f>
        <v>0</v>
      </c>
      <c r="J790" s="4">
        <f>(FlipkartTable[[#This Row],[Original Price]]-FlipkartTable[[#This Row],[Selling Price]])/FlipkartTable[[#This Row],[Original Price]]</f>
        <v>0</v>
      </c>
      <c r="K790">
        <f>(FlipkartTable[[#This Row],[Rating]]/FlipkartTable[[#This Row],[Selling Price]])*1000</f>
        <v>0.3958745702677362</v>
      </c>
      <c r="L790" t="str">
        <f>IF(FlipkartTable[[#This Row],[Selling Price]]&lt;15000,"Budget",IF(FlipkartTable[[#This Row],[Selling Price]]&lt;50000,"Mid Range","Premium"))</f>
        <v>Budget</v>
      </c>
      <c r="M790" t="str">
        <f>IF(FlipkartTable[[#This Row],[Rating]]&gt;4.5,"Excellent",IF(FlipkartTable[[#This Row],[Rating]]&gt;4,"Good",IF(FlipkartTable[[#This Row],[Rating]]&gt;3.5,"Average","Poor")))</f>
        <v>Average</v>
      </c>
    </row>
    <row r="791" spans="1:13" x14ac:dyDescent="0.35">
      <c r="A791" t="s">
        <v>475</v>
      </c>
      <c r="B791" s="9" t="s">
        <v>517</v>
      </c>
      <c r="C791" t="s">
        <v>116</v>
      </c>
      <c r="D791" t="s">
        <v>11</v>
      </c>
      <c r="E791" t="s">
        <v>12</v>
      </c>
      <c r="F791">
        <v>4.0999999999999996</v>
      </c>
      <c r="G791">
        <v>15399</v>
      </c>
      <c r="H791">
        <v>15399</v>
      </c>
      <c r="I791">
        <f>FlipkartTable[[#This Row],[Original Price]]-FlipkartTable[[#This Row],[Selling Price]]</f>
        <v>0</v>
      </c>
      <c r="J791" s="4">
        <f>(FlipkartTable[[#This Row],[Original Price]]-FlipkartTable[[#This Row],[Selling Price]])/FlipkartTable[[#This Row],[Original Price]]</f>
        <v>0</v>
      </c>
      <c r="K791">
        <f>(FlipkartTable[[#This Row],[Rating]]/FlipkartTable[[#This Row],[Selling Price]])*1000</f>
        <v>0.26625105526332876</v>
      </c>
      <c r="L791" t="str">
        <f>IF(FlipkartTable[[#This Row],[Selling Price]]&lt;15000,"Budget",IF(FlipkartTable[[#This Row],[Selling Price]]&lt;50000,"Mid Range","Premium"))</f>
        <v>Mid Range</v>
      </c>
      <c r="M791" t="str">
        <f>IF(FlipkartTable[[#This Row],[Rating]]&gt;4.5,"Excellent",IF(FlipkartTable[[#This Row],[Rating]]&gt;4,"Good",IF(FlipkartTable[[#This Row],[Rating]]&gt;3.5,"Average","Poor")))</f>
        <v>Good</v>
      </c>
    </row>
    <row r="792" spans="1:13" x14ac:dyDescent="0.35">
      <c r="A792" t="s">
        <v>475</v>
      </c>
      <c r="B792" s="9" t="s">
        <v>518</v>
      </c>
      <c r="C792" t="s">
        <v>116</v>
      </c>
      <c r="D792" t="s">
        <v>11</v>
      </c>
      <c r="E792" t="s">
        <v>21</v>
      </c>
      <c r="F792">
        <v>3.9</v>
      </c>
      <c r="G792">
        <v>6399</v>
      </c>
      <c r="H792">
        <v>6399</v>
      </c>
      <c r="I792">
        <f>FlipkartTable[[#This Row],[Original Price]]-FlipkartTable[[#This Row],[Selling Price]]</f>
        <v>0</v>
      </c>
      <c r="J792" s="4">
        <f>(FlipkartTable[[#This Row],[Original Price]]-FlipkartTable[[#This Row],[Selling Price]])/FlipkartTable[[#This Row],[Original Price]]</f>
        <v>0</v>
      </c>
      <c r="K792">
        <f>(FlipkartTable[[#This Row],[Rating]]/FlipkartTable[[#This Row],[Selling Price]])*1000</f>
        <v>0.60947022972339426</v>
      </c>
      <c r="L792" t="str">
        <f>IF(FlipkartTable[[#This Row],[Selling Price]]&lt;15000,"Budget",IF(FlipkartTable[[#This Row],[Selling Price]]&lt;50000,"Mid Range","Premium"))</f>
        <v>Budget</v>
      </c>
      <c r="M792" t="str">
        <f>IF(FlipkartTable[[#This Row],[Rating]]&gt;4.5,"Excellent",IF(FlipkartTable[[#This Row],[Rating]]&gt;4,"Good",IF(FlipkartTable[[#This Row],[Rating]]&gt;3.5,"Average","Poor")))</f>
        <v>Average</v>
      </c>
    </row>
    <row r="793" spans="1:13" x14ac:dyDescent="0.35">
      <c r="A793" t="s">
        <v>475</v>
      </c>
      <c r="B793" s="9" t="s">
        <v>519</v>
      </c>
      <c r="C793" t="s">
        <v>505</v>
      </c>
      <c r="D793" t="s">
        <v>20</v>
      </c>
      <c r="E793" t="s">
        <v>21</v>
      </c>
      <c r="F793">
        <v>4</v>
      </c>
      <c r="G793">
        <v>15999</v>
      </c>
      <c r="H793">
        <v>15999</v>
      </c>
      <c r="I793">
        <f>FlipkartTable[[#This Row],[Original Price]]-FlipkartTable[[#This Row],[Selling Price]]</f>
        <v>0</v>
      </c>
      <c r="J793" s="4">
        <f>(FlipkartTable[[#This Row],[Original Price]]-FlipkartTable[[#This Row],[Selling Price]])/FlipkartTable[[#This Row],[Original Price]]</f>
        <v>0</v>
      </c>
      <c r="K793">
        <f>(FlipkartTable[[#This Row],[Rating]]/FlipkartTable[[#This Row],[Selling Price]])*1000</f>
        <v>0.25001562597662352</v>
      </c>
      <c r="L793" t="str">
        <f>IF(FlipkartTable[[#This Row],[Selling Price]]&lt;15000,"Budget",IF(FlipkartTable[[#This Row],[Selling Price]]&lt;50000,"Mid Range","Premium"))</f>
        <v>Mid Range</v>
      </c>
      <c r="M793" t="str">
        <f>IF(FlipkartTable[[#This Row],[Rating]]&gt;4.5,"Excellent",IF(FlipkartTable[[#This Row],[Rating]]&gt;4,"Good",IF(FlipkartTable[[#This Row],[Rating]]&gt;3.5,"Average","Poor")))</f>
        <v>Average</v>
      </c>
    </row>
    <row r="794" spans="1:13" x14ac:dyDescent="0.35">
      <c r="A794" t="s">
        <v>475</v>
      </c>
      <c r="B794" s="9" t="s">
        <v>520</v>
      </c>
      <c r="C794" t="s">
        <v>19</v>
      </c>
      <c r="D794" t="s">
        <v>134</v>
      </c>
      <c r="E794" t="s">
        <v>27</v>
      </c>
      <c r="F794">
        <v>4.0999999999999996</v>
      </c>
      <c r="G794">
        <v>9599</v>
      </c>
      <c r="H794">
        <v>9599</v>
      </c>
      <c r="I794">
        <f>FlipkartTable[[#This Row],[Original Price]]-FlipkartTable[[#This Row],[Selling Price]]</f>
        <v>0</v>
      </c>
      <c r="J794" s="4">
        <f>(FlipkartTable[[#This Row],[Original Price]]-FlipkartTable[[#This Row],[Selling Price]])/FlipkartTable[[#This Row],[Original Price]]</f>
        <v>0</v>
      </c>
      <c r="K794">
        <f>(FlipkartTable[[#This Row],[Rating]]/FlipkartTable[[#This Row],[Selling Price]])*1000</f>
        <v>0.42712782581518904</v>
      </c>
      <c r="L794" t="str">
        <f>IF(FlipkartTable[[#This Row],[Selling Price]]&lt;15000,"Budget",IF(FlipkartTable[[#This Row],[Selling Price]]&lt;50000,"Mid Range","Premium"))</f>
        <v>Budget</v>
      </c>
      <c r="M794" t="str">
        <f>IF(FlipkartTable[[#This Row],[Rating]]&gt;4.5,"Excellent",IF(FlipkartTable[[#This Row],[Rating]]&gt;4,"Good",IF(FlipkartTable[[#This Row],[Rating]]&gt;3.5,"Average","Poor")))</f>
        <v>Good</v>
      </c>
    </row>
    <row r="795" spans="1:13" x14ac:dyDescent="0.35">
      <c r="A795" t="s">
        <v>475</v>
      </c>
      <c r="B795" s="9" t="s">
        <v>519</v>
      </c>
      <c r="C795" t="s">
        <v>521</v>
      </c>
      <c r="D795" t="s">
        <v>20</v>
      </c>
      <c r="E795" t="s">
        <v>21</v>
      </c>
      <c r="F795">
        <v>4</v>
      </c>
      <c r="G795">
        <v>15999</v>
      </c>
      <c r="H795">
        <v>15999</v>
      </c>
      <c r="I795">
        <f>FlipkartTable[[#This Row],[Original Price]]-FlipkartTable[[#This Row],[Selling Price]]</f>
        <v>0</v>
      </c>
      <c r="J795" s="4">
        <f>(FlipkartTable[[#This Row],[Original Price]]-FlipkartTable[[#This Row],[Selling Price]])/FlipkartTable[[#This Row],[Original Price]]</f>
        <v>0</v>
      </c>
      <c r="K795">
        <f>(FlipkartTable[[#This Row],[Rating]]/FlipkartTable[[#This Row],[Selling Price]])*1000</f>
        <v>0.25001562597662352</v>
      </c>
      <c r="L795" t="str">
        <f>IF(FlipkartTable[[#This Row],[Selling Price]]&lt;15000,"Budget",IF(FlipkartTable[[#This Row],[Selling Price]]&lt;50000,"Mid Range","Premium"))</f>
        <v>Mid Range</v>
      </c>
      <c r="M795" t="str">
        <f>IF(FlipkartTable[[#This Row],[Rating]]&gt;4.5,"Excellent",IF(FlipkartTable[[#This Row],[Rating]]&gt;4,"Good",IF(FlipkartTable[[#This Row],[Rating]]&gt;3.5,"Average","Poor")))</f>
        <v>Average</v>
      </c>
    </row>
    <row r="796" spans="1:13" x14ac:dyDescent="0.35">
      <c r="A796" t="s">
        <v>475</v>
      </c>
      <c r="B796" s="9" t="s">
        <v>522</v>
      </c>
      <c r="C796" t="s">
        <v>116</v>
      </c>
      <c r="D796" t="s">
        <v>20</v>
      </c>
      <c r="E796" t="s">
        <v>124</v>
      </c>
      <c r="F796">
        <v>3.7</v>
      </c>
      <c r="G796">
        <v>7350</v>
      </c>
      <c r="H796">
        <v>18279</v>
      </c>
      <c r="I796">
        <f>FlipkartTable[[#This Row],[Original Price]]-FlipkartTable[[#This Row],[Selling Price]]</f>
        <v>10929</v>
      </c>
      <c r="J796" s="4">
        <f>(FlipkartTable[[#This Row],[Original Price]]-FlipkartTable[[#This Row],[Selling Price]])/FlipkartTable[[#This Row],[Original Price]]</f>
        <v>0.59789922862301004</v>
      </c>
      <c r="K796">
        <f>(FlipkartTable[[#This Row],[Rating]]/FlipkartTable[[#This Row],[Selling Price]])*1000</f>
        <v>0.50340136054421769</v>
      </c>
      <c r="L796" t="str">
        <f>IF(FlipkartTable[[#This Row],[Selling Price]]&lt;15000,"Budget",IF(FlipkartTable[[#This Row],[Selling Price]]&lt;50000,"Mid Range","Premium"))</f>
        <v>Budget</v>
      </c>
      <c r="M796" t="str">
        <f>IF(FlipkartTable[[#This Row],[Rating]]&gt;4.5,"Excellent",IF(FlipkartTable[[#This Row],[Rating]]&gt;4,"Good",IF(FlipkartTable[[#This Row],[Rating]]&gt;3.5,"Average","Poor")))</f>
        <v>Average</v>
      </c>
    </row>
    <row r="797" spans="1:13" x14ac:dyDescent="0.35">
      <c r="A797" t="s">
        <v>475</v>
      </c>
      <c r="B797" s="9" t="s">
        <v>523</v>
      </c>
      <c r="C797" t="s">
        <v>116</v>
      </c>
      <c r="D797" t="s">
        <v>20</v>
      </c>
      <c r="E797" t="s">
        <v>12</v>
      </c>
      <c r="F797">
        <v>3.9</v>
      </c>
      <c r="G797">
        <v>8990</v>
      </c>
      <c r="H797">
        <v>8990</v>
      </c>
      <c r="I797">
        <f>FlipkartTable[[#This Row],[Original Price]]-FlipkartTable[[#This Row],[Selling Price]]</f>
        <v>0</v>
      </c>
      <c r="J797" s="4">
        <f>(FlipkartTable[[#This Row],[Original Price]]-FlipkartTable[[#This Row],[Selling Price]])/FlipkartTable[[#This Row],[Original Price]]</f>
        <v>0</v>
      </c>
      <c r="K797">
        <f>(FlipkartTable[[#This Row],[Rating]]/FlipkartTable[[#This Row],[Selling Price]])*1000</f>
        <v>0.43381535038932145</v>
      </c>
      <c r="L797" t="str">
        <f>IF(FlipkartTable[[#This Row],[Selling Price]]&lt;15000,"Budget",IF(FlipkartTable[[#This Row],[Selling Price]]&lt;50000,"Mid Range","Premium"))</f>
        <v>Budget</v>
      </c>
      <c r="M797" t="str">
        <f>IF(FlipkartTable[[#This Row],[Rating]]&gt;4.5,"Excellent",IF(FlipkartTable[[#This Row],[Rating]]&gt;4,"Good",IF(FlipkartTable[[#This Row],[Rating]]&gt;3.5,"Average","Poor")))</f>
        <v>Average</v>
      </c>
    </row>
    <row r="798" spans="1:13" x14ac:dyDescent="0.35">
      <c r="A798" t="s">
        <v>475</v>
      </c>
      <c r="B798" s="9" t="s">
        <v>524</v>
      </c>
      <c r="C798" t="s">
        <v>22</v>
      </c>
      <c r="D798" t="s">
        <v>20</v>
      </c>
      <c r="E798" t="s">
        <v>21</v>
      </c>
      <c r="F798">
        <v>4.0999999999999996</v>
      </c>
      <c r="G798">
        <v>9490</v>
      </c>
      <c r="H798">
        <v>9490</v>
      </c>
      <c r="I798">
        <f>FlipkartTable[[#This Row],[Original Price]]-FlipkartTable[[#This Row],[Selling Price]]</f>
        <v>0</v>
      </c>
      <c r="J798" s="4">
        <f>(FlipkartTable[[#This Row],[Original Price]]-FlipkartTable[[#This Row],[Selling Price]])/FlipkartTable[[#This Row],[Original Price]]</f>
        <v>0</v>
      </c>
      <c r="K798">
        <f>(FlipkartTable[[#This Row],[Rating]]/FlipkartTable[[#This Row],[Selling Price]])*1000</f>
        <v>0.43203371970495252</v>
      </c>
      <c r="L798" t="str">
        <f>IF(FlipkartTable[[#This Row],[Selling Price]]&lt;15000,"Budget",IF(FlipkartTable[[#This Row],[Selling Price]]&lt;50000,"Mid Range","Premium"))</f>
        <v>Budget</v>
      </c>
      <c r="M798" t="str">
        <f>IF(FlipkartTable[[#This Row],[Rating]]&gt;4.5,"Excellent",IF(FlipkartTable[[#This Row],[Rating]]&gt;4,"Good",IF(FlipkartTable[[#This Row],[Rating]]&gt;3.5,"Average","Poor")))</f>
        <v>Good</v>
      </c>
    </row>
    <row r="799" spans="1:13" x14ac:dyDescent="0.35">
      <c r="A799" t="s">
        <v>475</v>
      </c>
      <c r="B799" s="9" t="s">
        <v>524</v>
      </c>
      <c r="C799" t="s">
        <v>19</v>
      </c>
      <c r="D799" t="s">
        <v>20</v>
      </c>
      <c r="E799" t="s">
        <v>21</v>
      </c>
      <c r="F799">
        <v>4.0999999999999996</v>
      </c>
      <c r="G799">
        <v>9490</v>
      </c>
      <c r="H799">
        <v>9490</v>
      </c>
      <c r="I799">
        <f>FlipkartTable[[#This Row],[Original Price]]-FlipkartTable[[#This Row],[Selling Price]]</f>
        <v>0</v>
      </c>
      <c r="J799" s="4">
        <f>(FlipkartTable[[#This Row],[Original Price]]-FlipkartTable[[#This Row],[Selling Price]])/FlipkartTable[[#This Row],[Original Price]]</f>
        <v>0</v>
      </c>
      <c r="K799">
        <f>(FlipkartTable[[#This Row],[Rating]]/FlipkartTable[[#This Row],[Selling Price]])*1000</f>
        <v>0.43203371970495252</v>
      </c>
      <c r="L799" t="str">
        <f>IF(FlipkartTable[[#This Row],[Selling Price]]&lt;15000,"Budget",IF(FlipkartTable[[#This Row],[Selling Price]]&lt;50000,"Mid Range","Premium"))</f>
        <v>Budget</v>
      </c>
      <c r="M799" t="str">
        <f>IF(FlipkartTable[[#This Row],[Rating]]&gt;4.5,"Excellent",IF(FlipkartTable[[#This Row],[Rating]]&gt;4,"Good",IF(FlipkartTable[[#This Row],[Rating]]&gt;3.5,"Average","Poor")))</f>
        <v>Good</v>
      </c>
    </row>
    <row r="800" spans="1:13" x14ac:dyDescent="0.35">
      <c r="A800" t="s">
        <v>475</v>
      </c>
      <c r="B800" s="9" t="s">
        <v>517</v>
      </c>
      <c r="C800" t="s">
        <v>19</v>
      </c>
      <c r="D800" t="s">
        <v>11</v>
      </c>
      <c r="E800" t="s">
        <v>12</v>
      </c>
      <c r="F800">
        <v>4.0999999999999996</v>
      </c>
      <c r="G800">
        <v>7899</v>
      </c>
      <c r="H800">
        <v>7899</v>
      </c>
      <c r="I800">
        <f>FlipkartTable[[#This Row],[Original Price]]-FlipkartTable[[#This Row],[Selling Price]]</f>
        <v>0</v>
      </c>
      <c r="J800" s="4">
        <f>(FlipkartTable[[#This Row],[Original Price]]-FlipkartTable[[#This Row],[Selling Price]])/FlipkartTable[[#This Row],[Original Price]]</f>
        <v>0</v>
      </c>
      <c r="K800">
        <f>(FlipkartTable[[#This Row],[Rating]]/FlipkartTable[[#This Row],[Selling Price]])*1000</f>
        <v>0.5190530446892011</v>
      </c>
      <c r="L800" t="str">
        <f>IF(FlipkartTable[[#This Row],[Selling Price]]&lt;15000,"Budget",IF(FlipkartTable[[#This Row],[Selling Price]]&lt;50000,"Mid Range","Premium"))</f>
        <v>Budget</v>
      </c>
      <c r="M800" t="str">
        <f>IF(FlipkartTable[[#This Row],[Rating]]&gt;4.5,"Excellent",IF(FlipkartTable[[#This Row],[Rating]]&gt;4,"Good",IF(FlipkartTable[[#This Row],[Rating]]&gt;3.5,"Average","Poor")))</f>
        <v>Good</v>
      </c>
    </row>
    <row r="801" spans="1:13" x14ac:dyDescent="0.35">
      <c r="A801" t="s">
        <v>475</v>
      </c>
      <c r="B801" s="9" t="s">
        <v>525</v>
      </c>
      <c r="C801" t="s">
        <v>19</v>
      </c>
      <c r="D801" t="s">
        <v>134</v>
      </c>
      <c r="E801" t="s">
        <v>27</v>
      </c>
      <c r="F801">
        <v>3.5</v>
      </c>
      <c r="G801">
        <v>3999</v>
      </c>
      <c r="H801">
        <v>3999</v>
      </c>
      <c r="I801">
        <f>FlipkartTable[[#This Row],[Original Price]]-FlipkartTable[[#This Row],[Selling Price]]</f>
        <v>0</v>
      </c>
      <c r="J801" s="4">
        <f>(FlipkartTable[[#This Row],[Original Price]]-FlipkartTable[[#This Row],[Selling Price]])/FlipkartTable[[#This Row],[Original Price]]</f>
        <v>0</v>
      </c>
      <c r="K801">
        <f>(FlipkartTable[[#This Row],[Rating]]/FlipkartTable[[#This Row],[Selling Price]])*1000</f>
        <v>0.8752188047011753</v>
      </c>
      <c r="L801" t="str">
        <f>IF(FlipkartTable[[#This Row],[Selling Price]]&lt;15000,"Budget",IF(FlipkartTable[[#This Row],[Selling Price]]&lt;50000,"Mid Range","Premium"))</f>
        <v>Budget</v>
      </c>
      <c r="M801" t="str">
        <f>IF(FlipkartTable[[#This Row],[Rating]]&gt;4.5,"Excellent",IF(FlipkartTable[[#This Row],[Rating]]&gt;4,"Good",IF(FlipkartTable[[#This Row],[Rating]]&gt;3.5,"Average","Poor")))</f>
        <v>Poor</v>
      </c>
    </row>
    <row r="802" spans="1:13" x14ac:dyDescent="0.35">
      <c r="A802" t="s">
        <v>475</v>
      </c>
      <c r="B802" s="9" t="s">
        <v>526</v>
      </c>
      <c r="C802" t="s">
        <v>116</v>
      </c>
      <c r="D802" t="s">
        <v>20</v>
      </c>
      <c r="E802" t="s">
        <v>21</v>
      </c>
      <c r="F802">
        <v>3.8</v>
      </c>
      <c r="G802">
        <v>5990</v>
      </c>
      <c r="H802">
        <v>5990</v>
      </c>
      <c r="I802">
        <f>FlipkartTable[[#This Row],[Original Price]]-FlipkartTable[[#This Row],[Selling Price]]</f>
        <v>0</v>
      </c>
      <c r="J802" s="4">
        <f>(FlipkartTable[[#This Row],[Original Price]]-FlipkartTable[[#This Row],[Selling Price]])/FlipkartTable[[#This Row],[Original Price]]</f>
        <v>0</v>
      </c>
      <c r="K802">
        <f>(FlipkartTable[[#This Row],[Rating]]/FlipkartTable[[#This Row],[Selling Price]])*1000</f>
        <v>0.63439065108514181</v>
      </c>
      <c r="L802" t="str">
        <f>IF(FlipkartTable[[#This Row],[Selling Price]]&lt;15000,"Budget",IF(FlipkartTable[[#This Row],[Selling Price]]&lt;50000,"Mid Range","Premium"))</f>
        <v>Budget</v>
      </c>
      <c r="M802" t="str">
        <f>IF(FlipkartTable[[#This Row],[Rating]]&gt;4.5,"Excellent",IF(FlipkartTable[[#This Row],[Rating]]&gt;4,"Good",IF(FlipkartTable[[#This Row],[Rating]]&gt;3.5,"Average","Poor")))</f>
        <v>Average</v>
      </c>
    </row>
    <row r="803" spans="1:13" x14ac:dyDescent="0.35">
      <c r="A803" t="s">
        <v>475</v>
      </c>
      <c r="B803" s="9" t="s">
        <v>517</v>
      </c>
      <c r="C803" t="s">
        <v>22</v>
      </c>
      <c r="D803" t="s">
        <v>11</v>
      </c>
      <c r="E803" t="s">
        <v>12</v>
      </c>
      <c r="F803">
        <v>4.0999999999999996</v>
      </c>
      <c r="G803">
        <v>9250</v>
      </c>
      <c r="H803">
        <v>9250</v>
      </c>
      <c r="I803">
        <f>FlipkartTable[[#This Row],[Original Price]]-FlipkartTable[[#This Row],[Selling Price]]</f>
        <v>0</v>
      </c>
      <c r="J803" s="4">
        <f>(FlipkartTable[[#This Row],[Original Price]]-FlipkartTable[[#This Row],[Selling Price]])/FlipkartTable[[#This Row],[Original Price]]</f>
        <v>0</v>
      </c>
      <c r="K803">
        <f>(FlipkartTable[[#This Row],[Rating]]/FlipkartTable[[#This Row],[Selling Price]])*1000</f>
        <v>0.44324324324324321</v>
      </c>
      <c r="L803" t="str">
        <f>IF(FlipkartTable[[#This Row],[Selling Price]]&lt;15000,"Budget",IF(FlipkartTable[[#This Row],[Selling Price]]&lt;50000,"Mid Range","Premium"))</f>
        <v>Budget</v>
      </c>
      <c r="M803" t="str">
        <f>IF(FlipkartTable[[#This Row],[Rating]]&gt;4.5,"Excellent",IF(FlipkartTable[[#This Row],[Rating]]&gt;4,"Good",IF(FlipkartTable[[#This Row],[Rating]]&gt;3.5,"Average","Poor")))</f>
        <v>Good</v>
      </c>
    </row>
    <row r="804" spans="1:13" x14ac:dyDescent="0.35">
      <c r="A804" t="s">
        <v>475</v>
      </c>
      <c r="B804" s="9" t="s">
        <v>500</v>
      </c>
      <c r="C804" t="s">
        <v>22</v>
      </c>
      <c r="D804" t="s">
        <v>20</v>
      </c>
      <c r="E804" t="s">
        <v>21</v>
      </c>
      <c r="F804">
        <v>4.2</v>
      </c>
      <c r="G804">
        <v>7900</v>
      </c>
      <c r="H804">
        <v>7900</v>
      </c>
      <c r="I804">
        <f>FlipkartTable[[#This Row],[Original Price]]-FlipkartTable[[#This Row],[Selling Price]]</f>
        <v>0</v>
      </c>
      <c r="J804" s="4">
        <f>(FlipkartTable[[#This Row],[Original Price]]-FlipkartTable[[#This Row],[Selling Price]])/FlipkartTable[[#This Row],[Original Price]]</f>
        <v>0</v>
      </c>
      <c r="K804">
        <f>(FlipkartTable[[#This Row],[Rating]]/FlipkartTable[[#This Row],[Selling Price]])*1000</f>
        <v>0.53164556962025322</v>
      </c>
      <c r="L804" t="str">
        <f>IF(FlipkartTable[[#This Row],[Selling Price]]&lt;15000,"Budget",IF(FlipkartTable[[#This Row],[Selling Price]]&lt;50000,"Mid Range","Premium"))</f>
        <v>Budget</v>
      </c>
      <c r="M804" t="str">
        <f>IF(FlipkartTable[[#This Row],[Rating]]&gt;4.5,"Excellent",IF(FlipkartTable[[#This Row],[Rating]]&gt;4,"Good",IF(FlipkartTable[[#This Row],[Rating]]&gt;3.5,"Average","Poor")))</f>
        <v>Good</v>
      </c>
    </row>
    <row r="805" spans="1:13" x14ac:dyDescent="0.35">
      <c r="A805" t="s">
        <v>475</v>
      </c>
      <c r="B805" s="9" t="s">
        <v>527</v>
      </c>
      <c r="C805" t="s">
        <v>116</v>
      </c>
      <c r="D805" t="s">
        <v>20</v>
      </c>
      <c r="E805" t="s">
        <v>21</v>
      </c>
      <c r="F805">
        <v>3.9</v>
      </c>
      <c r="G805">
        <v>5999</v>
      </c>
      <c r="H805">
        <v>5999</v>
      </c>
      <c r="I805">
        <f>FlipkartTable[[#This Row],[Original Price]]-FlipkartTable[[#This Row],[Selling Price]]</f>
        <v>0</v>
      </c>
      <c r="J805" s="4">
        <f>(FlipkartTable[[#This Row],[Original Price]]-FlipkartTable[[#This Row],[Selling Price]])/FlipkartTable[[#This Row],[Original Price]]</f>
        <v>0</v>
      </c>
      <c r="K805">
        <f>(FlipkartTable[[#This Row],[Rating]]/FlipkartTable[[#This Row],[Selling Price]])*1000</f>
        <v>0.6501083513918986</v>
      </c>
      <c r="L805" t="str">
        <f>IF(FlipkartTable[[#This Row],[Selling Price]]&lt;15000,"Budget",IF(FlipkartTable[[#This Row],[Selling Price]]&lt;50000,"Mid Range","Premium"))</f>
        <v>Budget</v>
      </c>
      <c r="M805" t="str">
        <f>IF(FlipkartTable[[#This Row],[Rating]]&gt;4.5,"Excellent",IF(FlipkartTable[[#This Row],[Rating]]&gt;4,"Good",IF(FlipkartTable[[#This Row],[Rating]]&gt;3.5,"Average","Poor")))</f>
        <v>Average</v>
      </c>
    </row>
    <row r="806" spans="1:13" x14ac:dyDescent="0.35">
      <c r="A806" t="s">
        <v>475</v>
      </c>
      <c r="B806" s="9" t="s">
        <v>504</v>
      </c>
      <c r="C806" t="s">
        <v>116</v>
      </c>
      <c r="D806" t="s">
        <v>11</v>
      </c>
      <c r="E806" t="s">
        <v>12</v>
      </c>
      <c r="F806">
        <v>4.0999999999999996</v>
      </c>
      <c r="G806">
        <v>10499</v>
      </c>
      <c r="H806">
        <v>10499</v>
      </c>
      <c r="I806">
        <f>FlipkartTable[[#This Row],[Original Price]]-FlipkartTable[[#This Row],[Selling Price]]</f>
        <v>0</v>
      </c>
      <c r="J806" s="4">
        <f>(FlipkartTable[[#This Row],[Original Price]]-FlipkartTable[[#This Row],[Selling Price]])/FlipkartTable[[#This Row],[Original Price]]</f>
        <v>0</v>
      </c>
      <c r="K806">
        <f>(FlipkartTable[[#This Row],[Rating]]/FlipkartTable[[#This Row],[Selling Price]])*1000</f>
        <v>0.3905133822268787</v>
      </c>
      <c r="L806" t="str">
        <f>IF(FlipkartTable[[#This Row],[Selling Price]]&lt;15000,"Budget",IF(FlipkartTable[[#This Row],[Selling Price]]&lt;50000,"Mid Range","Premium"))</f>
        <v>Budget</v>
      </c>
      <c r="M806" t="str">
        <f>IF(FlipkartTable[[#This Row],[Rating]]&gt;4.5,"Excellent",IF(FlipkartTable[[#This Row],[Rating]]&gt;4,"Good",IF(FlipkartTable[[#This Row],[Rating]]&gt;3.5,"Average","Poor")))</f>
        <v>Good</v>
      </c>
    </row>
    <row r="807" spans="1:13" x14ac:dyDescent="0.35">
      <c r="A807" t="s">
        <v>475</v>
      </c>
      <c r="B807" s="9" t="s">
        <v>522</v>
      </c>
      <c r="C807" t="s">
        <v>152</v>
      </c>
      <c r="D807" t="s">
        <v>20</v>
      </c>
      <c r="E807" t="s">
        <v>124</v>
      </c>
      <c r="F807">
        <v>3.7</v>
      </c>
      <c r="G807">
        <v>5555</v>
      </c>
      <c r="H807">
        <v>5555</v>
      </c>
      <c r="I807">
        <f>FlipkartTable[[#This Row],[Original Price]]-FlipkartTable[[#This Row],[Selling Price]]</f>
        <v>0</v>
      </c>
      <c r="J807" s="4">
        <f>(FlipkartTable[[#This Row],[Original Price]]-FlipkartTable[[#This Row],[Selling Price]])/FlipkartTable[[#This Row],[Original Price]]</f>
        <v>0</v>
      </c>
      <c r="K807">
        <f>(FlipkartTable[[#This Row],[Rating]]/FlipkartTable[[#This Row],[Selling Price]])*1000</f>
        <v>0.66606660666066608</v>
      </c>
      <c r="L807" t="str">
        <f>IF(FlipkartTable[[#This Row],[Selling Price]]&lt;15000,"Budget",IF(FlipkartTable[[#This Row],[Selling Price]]&lt;50000,"Mid Range","Premium"))</f>
        <v>Budget</v>
      </c>
      <c r="M807" t="str">
        <f>IF(FlipkartTable[[#This Row],[Rating]]&gt;4.5,"Excellent",IF(FlipkartTable[[#This Row],[Rating]]&gt;4,"Good",IF(FlipkartTable[[#This Row],[Rating]]&gt;3.5,"Average","Poor")))</f>
        <v>Average</v>
      </c>
    </row>
    <row r="808" spans="1:13" x14ac:dyDescent="0.35">
      <c r="A808" t="s">
        <v>475</v>
      </c>
      <c r="B808" s="9" t="s">
        <v>482</v>
      </c>
      <c r="C808" t="s">
        <v>116</v>
      </c>
      <c r="D808" t="s">
        <v>11</v>
      </c>
      <c r="E808" t="s">
        <v>12</v>
      </c>
      <c r="F808">
        <v>4</v>
      </c>
      <c r="G808">
        <v>7675</v>
      </c>
      <c r="H808">
        <v>8999</v>
      </c>
      <c r="I808">
        <f>FlipkartTable[[#This Row],[Original Price]]-FlipkartTable[[#This Row],[Selling Price]]</f>
        <v>1324</v>
      </c>
      <c r="J808" s="4">
        <f>(FlipkartTable[[#This Row],[Original Price]]-FlipkartTable[[#This Row],[Selling Price]])/FlipkartTable[[#This Row],[Original Price]]</f>
        <v>0.14712745860651183</v>
      </c>
      <c r="K808">
        <f>(FlipkartTable[[#This Row],[Rating]]/FlipkartTable[[#This Row],[Selling Price]])*1000</f>
        <v>0.52117263843648209</v>
      </c>
      <c r="L808" t="str">
        <f>IF(FlipkartTable[[#This Row],[Selling Price]]&lt;15000,"Budget",IF(FlipkartTable[[#This Row],[Selling Price]]&lt;50000,"Mid Range","Premium"))</f>
        <v>Budget</v>
      </c>
      <c r="M808" t="str">
        <f>IF(FlipkartTable[[#This Row],[Rating]]&gt;4.5,"Excellent",IF(FlipkartTable[[#This Row],[Rating]]&gt;4,"Good",IF(FlipkartTable[[#This Row],[Rating]]&gt;3.5,"Average","Poor")))</f>
        <v>Average</v>
      </c>
    </row>
    <row r="809" spans="1:13" x14ac:dyDescent="0.35">
      <c r="A809" t="s">
        <v>475</v>
      </c>
      <c r="B809" s="9" t="s">
        <v>482</v>
      </c>
      <c r="C809" t="s">
        <v>19</v>
      </c>
      <c r="D809" t="s">
        <v>11</v>
      </c>
      <c r="E809" t="s">
        <v>12</v>
      </c>
      <c r="F809">
        <v>4</v>
      </c>
      <c r="G809">
        <v>7899</v>
      </c>
      <c r="H809">
        <v>7899</v>
      </c>
      <c r="I809">
        <f>FlipkartTable[[#This Row],[Original Price]]-FlipkartTable[[#This Row],[Selling Price]]</f>
        <v>0</v>
      </c>
      <c r="J809" s="4">
        <f>(FlipkartTable[[#This Row],[Original Price]]-FlipkartTable[[#This Row],[Selling Price]])/FlipkartTable[[#This Row],[Original Price]]</f>
        <v>0</v>
      </c>
      <c r="K809">
        <f>(FlipkartTable[[#This Row],[Rating]]/FlipkartTable[[#This Row],[Selling Price]])*1000</f>
        <v>0.50639321433092799</v>
      </c>
      <c r="L809" t="str">
        <f>IF(FlipkartTable[[#This Row],[Selling Price]]&lt;15000,"Budget",IF(FlipkartTable[[#This Row],[Selling Price]]&lt;50000,"Mid Range","Premium"))</f>
        <v>Budget</v>
      </c>
      <c r="M809" t="str">
        <f>IF(FlipkartTable[[#This Row],[Rating]]&gt;4.5,"Excellent",IF(FlipkartTable[[#This Row],[Rating]]&gt;4,"Good",IF(FlipkartTable[[#This Row],[Rating]]&gt;3.5,"Average","Poor")))</f>
        <v>Average</v>
      </c>
    </row>
    <row r="810" spans="1:13" x14ac:dyDescent="0.35">
      <c r="A810" t="s">
        <v>475</v>
      </c>
      <c r="B810" s="9" t="s">
        <v>528</v>
      </c>
      <c r="C810" t="s">
        <v>116</v>
      </c>
      <c r="D810" t="s">
        <v>14</v>
      </c>
      <c r="E810" t="s">
        <v>12</v>
      </c>
      <c r="F810">
        <v>2.7</v>
      </c>
      <c r="G810">
        <v>9290</v>
      </c>
      <c r="H810">
        <v>9290</v>
      </c>
      <c r="I810">
        <f>FlipkartTable[[#This Row],[Original Price]]-FlipkartTable[[#This Row],[Selling Price]]</f>
        <v>0</v>
      </c>
      <c r="J810" s="4">
        <f>(FlipkartTable[[#This Row],[Original Price]]-FlipkartTable[[#This Row],[Selling Price]])/FlipkartTable[[#This Row],[Original Price]]</f>
        <v>0</v>
      </c>
      <c r="K810">
        <f>(FlipkartTable[[#This Row],[Rating]]/FlipkartTable[[#This Row],[Selling Price]])*1000</f>
        <v>0.29063509149623257</v>
      </c>
      <c r="L810" t="str">
        <f>IF(FlipkartTable[[#This Row],[Selling Price]]&lt;15000,"Budget",IF(FlipkartTable[[#This Row],[Selling Price]]&lt;50000,"Mid Range","Premium"))</f>
        <v>Budget</v>
      </c>
      <c r="M810" t="str">
        <f>IF(FlipkartTable[[#This Row],[Rating]]&gt;4.5,"Excellent",IF(FlipkartTable[[#This Row],[Rating]]&gt;4,"Good",IF(FlipkartTable[[#This Row],[Rating]]&gt;3.5,"Average","Poor")))</f>
        <v>Poor</v>
      </c>
    </row>
    <row r="811" spans="1:13" x14ac:dyDescent="0.35">
      <c r="A811" t="s">
        <v>475</v>
      </c>
      <c r="B811" s="9" t="s">
        <v>527</v>
      </c>
      <c r="C811" t="s">
        <v>141</v>
      </c>
      <c r="D811" t="s">
        <v>20</v>
      </c>
      <c r="E811" t="s">
        <v>21</v>
      </c>
      <c r="F811">
        <v>3.9</v>
      </c>
      <c r="G811">
        <v>5950</v>
      </c>
      <c r="H811">
        <v>5950</v>
      </c>
      <c r="I811">
        <f>FlipkartTable[[#This Row],[Original Price]]-FlipkartTable[[#This Row],[Selling Price]]</f>
        <v>0</v>
      </c>
      <c r="J811" s="4">
        <f>(FlipkartTable[[#This Row],[Original Price]]-FlipkartTable[[#This Row],[Selling Price]])/FlipkartTable[[#This Row],[Original Price]]</f>
        <v>0</v>
      </c>
      <c r="K811">
        <f>(FlipkartTable[[#This Row],[Rating]]/FlipkartTable[[#This Row],[Selling Price]])*1000</f>
        <v>0.65546218487394958</v>
      </c>
      <c r="L811" t="str">
        <f>IF(FlipkartTable[[#This Row],[Selling Price]]&lt;15000,"Budget",IF(FlipkartTable[[#This Row],[Selling Price]]&lt;50000,"Mid Range","Premium"))</f>
        <v>Budget</v>
      </c>
      <c r="M811" t="str">
        <f>IF(FlipkartTable[[#This Row],[Rating]]&gt;4.5,"Excellent",IF(FlipkartTable[[#This Row],[Rating]]&gt;4,"Good",IF(FlipkartTable[[#This Row],[Rating]]&gt;3.5,"Average","Poor")))</f>
        <v>Average</v>
      </c>
    </row>
    <row r="812" spans="1:13" x14ac:dyDescent="0.35">
      <c r="A812" t="s">
        <v>475</v>
      </c>
      <c r="B812" s="9" t="s">
        <v>529</v>
      </c>
      <c r="C812" t="s">
        <v>152</v>
      </c>
      <c r="D812" t="s">
        <v>20</v>
      </c>
      <c r="E812" t="s">
        <v>124</v>
      </c>
      <c r="F812">
        <v>3.5</v>
      </c>
      <c r="G812">
        <v>6598</v>
      </c>
      <c r="H812">
        <v>6598</v>
      </c>
      <c r="I812">
        <f>FlipkartTable[[#This Row],[Original Price]]-FlipkartTable[[#This Row],[Selling Price]]</f>
        <v>0</v>
      </c>
      <c r="J812" s="4">
        <f>(FlipkartTable[[#This Row],[Original Price]]-FlipkartTable[[#This Row],[Selling Price]])/FlipkartTable[[#This Row],[Original Price]]</f>
        <v>0</v>
      </c>
      <c r="K812">
        <f>(FlipkartTable[[#This Row],[Rating]]/FlipkartTable[[#This Row],[Selling Price]])*1000</f>
        <v>0.53046377690209146</v>
      </c>
      <c r="L812" t="str">
        <f>IF(FlipkartTable[[#This Row],[Selling Price]]&lt;15000,"Budget",IF(FlipkartTable[[#This Row],[Selling Price]]&lt;50000,"Mid Range","Premium"))</f>
        <v>Budget</v>
      </c>
      <c r="M812" t="str">
        <f>IF(FlipkartTable[[#This Row],[Rating]]&gt;4.5,"Excellent",IF(FlipkartTable[[#This Row],[Rating]]&gt;4,"Good",IF(FlipkartTable[[#This Row],[Rating]]&gt;3.5,"Average","Poor")))</f>
        <v>Poor</v>
      </c>
    </row>
    <row r="813" spans="1:13" x14ac:dyDescent="0.35">
      <c r="A813" t="s">
        <v>475</v>
      </c>
      <c r="B813" s="9" t="s">
        <v>530</v>
      </c>
      <c r="C813" t="s">
        <v>170</v>
      </c>
      <c r="D813" t="s">
        <v>20</v>
      </c>
      <c r="E813" t="s">
        <v>21</v>
      </c>
      <c r="F813">
        <v>3.8</v>
      </c>
      <c r="G813">
        <v>7999</v>
      </c>
      <c r="H813">
        <v>7999</v>
      </c>
      <c r="I813">
        <f>FlipkartTable[[#This Row],[Original Price]]-FlipkartTable[[#This Row],[Selling Price]]</f>
        <v>0</v>
      </c>
      <c r="J813" s="4">
        <f>(FlipkartTable[[#This Row],[Original Price]]-FlipkartTable[[#This Row],[Selling Price]])/FlipkartTable[[#This Row],[Original Price]]</f>
        <v>0</v>
      </c>
      <c r="K813">
        <f>(FlipkartTable[[#This Row],[Rating]]/FlipkartTable[[#This Row],[Selling Price]])*1000</f>
        <v>0.47505938242280282</v>
      </c>
      <c r="L813" t="str">
        <f>IF(FlipkartTable[[#This Row],[Selling Price]]&lt;15000,"Budget",IF(FlipkartTable[[#This Row],[Selling Price]]&lt;50000,"Mid Range","Premium"))</f>
        <v>Budget</v>
      </c>
      <c r="M813" t="str">
        <f>IF(FlipkartTable[[#This Row],[Rating]]&gt;4.5,"Excellent",IF(FlipkartTable[[#This Row],[Rating]]&gt;4,"Good",IF(FlipkartTable[[#This Row],[Rating]]&gt;3.5,"Average","Poor")))</f>
        <v>Average</v>
      </c>
    </row>
    <row r="814" spans="1:13" x14ac:dyDescent="0.35">
      <c r="A814" t="s">
        <v>475</v>
      </c>
      <c r="B814" s="9" t="s">
        <v>531</v>
      </c>
      <c r="C814" t="s">
        <v>116</v>
      </c>
      <c r="D814" t="s">
        <v>11</v>
      </c>
      <c r="E814" t="s">
        <v>12</v>
      </c>
      <c r="F814">
        <v>3.6</v>
      </c>
      <c r="G814">
        <v>7997</v>
      </c>
      <c r="H814">
        <v>7997</v>
      </c>
      <c r="I814">
        <f>FlipkartTable[[#This Row],[Original Price]]-FlipkartTable[[#This Row],[Selling Price]]</f>
        <v>0</v>
      </c>
      <c r="J814" s="4">
        <f>(FlipkartTable[[#This Row],[Original Price]]-FlipkartTable[[#This Row],[Selling Price]])/FlipkartTable[[#This Row],[Original Price]]</f>
        <v>0</v>
      </c>
      <c r="K814">
        <f>(FlipkartTable[[#This Row],[Rating]]/FlipkartTable[[#This Row],[Selling Price]])*1000</f>
        <v>0.45016881330498937</v>
      </c>
      <c r="L814" t="str">
        <f>IF(FlipkartTable[[#This Row],[Selling Price]]&lt;15000,"Budget",IF(FlipkartTable[[#This Row],[Selling Price]]&lt;50000,"Mid Range","Premium"))</f>
        <v>Budget</v>
      </c>
      <c r="M814" t="str">
        <f>IF(FlipkartTable[[#This Row],[Rating]]&gt;4.5,"Excellent",IF(FlipkartTable[[#This Row],[Rating]]&gt;4,"Good",IF(FlipkartTable[[#This Row],[Rating]]&gt;3.5,"Average","Poor")))</f>
        <v>Average</v>
      </c>
    </row>
    <row r="815" spans="1:13" x14ac:dyDescent="0.35">
      <c r="A815" t="s">
        <v>475</v>
      </c>
      <c r="B815" s="9" t="s">
        <v>532</v>
      </c>
      <c r="C815" t="s">
        <v>405</v>
      </c>
      <c r="D815" t="s">
        <v>35</v>
      </c>
      <c r="E815" t="s">
        <v>124</v>
      </c>
      <c r="F815">
        <v>4</v>
      </c>
      <c r="G815">
        <v>4489</v>
      </c>
      <c r="H815">
        <v>9999</v>
      </c>
      <c r="I815">
        <f>FlipkartTable[[#This Row],[Original Price]]-FlipkartTable[[#This Row],[Selling Price]]</f>
        <v>5510</v>
      </c>
      <c r="J815" s="4">
        <f>(FlipkartTable[[#This Row],[Original Price]]-FlipkartTable[[#This Row],[Selling Price]])/FlipkartTable[[#This Row],[Original Price]]</f>
        <v>0.55105510551055104</v>
      </c>
      <c r="K815">
        <f>(FlipkartTable[[#This Row],[Rating]]/FlipkartTable[[#This Row],[Selling Price]])*1000</f>
        <v>0.89106705279572296</v>
      </c>
      <c r="L815" t="str">
        <f>IF(FlipkartTable[[#This Row],[Selling Price]]&lt;15000,"Budget",IF(FlipkartTable[[#This Row],[Selling Price]]&lt;50000,"Mid Range","Premium"))</f>
        <v>Budget</v>
      </c>
      <c r="M815" t="str">
        <f>IF(FlipkartTable[[#This Row],[Rating]]&gt;4.5,"Excellent",IF(FlipkartTable[[#This Row],[Rating]]&gt;4,"Good",IF(FlipkartTable[[#This Row],[Rating]]&gt;3.5,"Average","Poor")))</f>
        <v>Average</v>
      </c>
    </row>
    <row r="816" spans="1:13" x14ac:dyDescent="0.35">
      <c r="A816" t="s">
        <v>475</v>
      </c>
      <c r="B816" s="9" t="s">
        <v>533</v>
      </c>
      <c r="C816" t="s">
        <v>477</v>
      </c>
      <c r="D816" t="s">
        <v>11</v>
      </c>
      <c r="E816" t="s">
        <v>12</v>
      </c>
      <c r="F816">
        <v>2.8</v>
      </c>
      <c r="G816">
        <v>8539</v>
      </c>
      <c r="H816">
        <v>8549</v>
      </c>
      <c r="I816">
        <f>FlipkartTable[[#This Row],[Original Price]]-FlipkartTable[[#This Row],[Selling Price]]</f>
        <v>10</v>
      </c>
      <c r="J816" s="4">
        <f>(FlipkartTable[[#This Row],[Original Price]]-FlipkartTable[[#This Row],[Selling Price]])/FlipkartTable[[#This Row],[Original Price]]</f>
        <v>1.1697274535033338E-3</v>
      </c>
      <c r="K816">
        <f>(FlipkartTable[[#This Row],[Rating]]/FlipkartTable[[#This Row],[Selling Price]])*1000</f>
        <v>0.32790724909239954</v>
      </c>
      <c r="L816" t="str">
        <f>IF(FlipkartTable[[#This Row],[Selling Price]]&lt;15000,"Budget",IF(FlipkartTable[[#This Row],[Selling Price]]&lt;50000,"Mid Range","Premium"))</f>
        <v>Budget</v>
      </c>
      <c r="M816" t="str">
        <f>IF(FlipkartTable[[#This Row],[Rating]]&gt;4.5,"Excellent",IF(FlipkartTable[[#This Row],[Rating]]&gt;4,"Good",IF(FlipkartTable[[#This Row],[Rating]]&gt;3.5,"Average","Poor")))</f>
        <v>Poor</v>
      </c>
    </row>
    <row r="817" spans="1:13" x14ac:dyDescent="0.35">
      <c r="A817" t="s">
        <v>475</v>
      </c>
      <c r="B817" s="9" t="s">
        <v>533</v>
      </c>
      <c r="C817" t="s">
        <v>116</v>
      </c>
      <c r="D817" t="s">
        <v>11</v>
      </c>
      <c r="E817" t="s">
        <v>12</v>
      </c>
      <c r="F817">
        <v>2.8</v>
      </c>
      <c r="G817">
        <v>8389</v>
      </c>
      <c r="H817">
        <v>8389</v>
      </c>
      <c r="I817">
        <f>FlipkartTable[[#This Row],[Original Price]]-FlipkartTable[[#This Row],[Selling Price]]</f>
        <v>0</v>
      </c>
      <c r="J817" s="4">
        <f>(FlipkartTable[[#This Row],[Original Price]]-FlipkartTable[[#This Row],[Selling Price]])/FlipkartTable[[#This Row],[Original Price]]</f>
        <v>0</v>
      </c>
      <c r="K817">
        <f>(FlipkartTable[[#This Row],[Rating]]/FlipkartTable[[#This Row],[Selling Price]])*1000</f>
        <v>0.33377041363690541</v>
      </c>
      <c r="L817" t="str">
        <f>IF(FlipkartTable[[#This Row],[Selling Price]]&lt;15000,"Budget",IF(FlipkartTable[[#This Row],[Selling Price]]&lt;50000,"Mid Range","Premium"))</f>
        <v>Budget</v>
      </c>
      <c r="M817" t="str">
        <f>IF(FlipkartTable[[#This Row],[Rating]]&gt;4.5,"Excellent",IF(FlipkartTable[[#This Row],[Rating]]&gt;4,"Good",IF(FlipkartTable[[#This Row],[Rating]]&gt;3.5,"Average","Poor")))</f>
        <v>Poor</v>
      </c>
    </row>
    <row r="818" spans="1:13" x14ac:dyDescent="0.35">
      <c r="A818" t="s">
        <v>475</v>
      </c>
      <c r="B818" s="9" t="s">
        <v>534</v>
      </c>
      <c r="C818" t="s">
        <v>19</v>
      </c>
      <c r="D818" t="s">
        <v>134</v>
      </c>
      <c r="E818" t="s">
        <v>27</v>
      </c>
      <c r="F818">
        <v>3.5</v>
      </c>
      <c r="G818">
        <v>3499</v>
      </c>
      <c r="H818">
        <v>3499</v>
      </c>
      <c r="I818">
        <f>FlipkartTable[[#This Row],[Original Price]]-FlipkartTable[[#This Row],[Selling Price]]</f>
        <v>0</v>
      </c>
      <c r="J818" s="4">
        <f>(FlipkartTable[[#This Row],[Original Price]]-FlipkartTable[[#This Row],[Selling Price]])/FlipkartTable[[#This Row],[Original Price]]</f>
        <v>0</v>
      </c>
      <c r="K818">
        <f>(FlipkartTable[[#This Row],[Rating]]/FlipkartTable[[#This Row],[Selling Price]])*1000</f>
        <v>1.0002857959416975</v>
      </c>
      <c r="L818" t="str">
        <f>IF(FlipkartTable[[#This Row],[Selling Price]]&lt;15000,"Budget",IF(FlipkartTable[[#This Row],[Selling Price]]&lt;50000,"Mid Range","Premium"))</f>
        <v>Budget</v>
      </c>
      <c r="M818" t="str">
        <f>IF(FlipkartTable[[#This Row],[Rating]]&gt;4.5,"Excellent",IF(FlipkartTable[[#This Row],[Rating]]&gt;4,"Good",IF(FlipkartTable[[#This Row],[Rating]]&gt;3.5,"Average","Poor")))</f>
        <v>Poor</v>
      </c>
    </row>
    <row r="819" spans="1:13" x14ac:dyDescent="0.35">
      <c r="A819" t="s">
        <v>475</v>
      </c>
      <c r="B819" s="9" t="s">
        <v>531</v>
      </c>
      <c r="C819" t="s">
        <v>114</v>
      </c>
      <c r="D819" t="s">
        <v>11</v>
      </c>
      <c r="E819" t="s">
        <v>21</v>
      </c>
      <c r="F819">
        <v>3.6</v>
      </c>
      <c r="G819">
        <v>8000</v>
      </c>
      <c r="H819">
        <v>8000</v>
      </c>
      <c r="I819">
        <f>FlipkartTable[[#This Row],[Original Price]]-FlipkartTable[[#This Row],[Selling Price]]</f>
        <v>0</v>
      </c>
      <c r="J819" s="4">
        <f>(FlipkartTable[[#This Row],[Original Price]]-FlipkartTable[[#This Row],[Selling Price]])/FlipkartTable[[#This Row],[Original Price]]</f>
        <v>0</v>
      </c>
      <c r="K819">
        <f>(FlipkartTable[[#This Row],[Rating]]/FlipkartTable[[#This Row],[Selling Price]])*1000</f>
        <v>0.45</v>
      </c>
      <c r="L819" t="str">
        <f>IF(FlipkartTable[[#This Row],[Selling Price]]&lt;15000,"Budget",IF(FlipkartTable[[#This Row],[Selling Price]]&lt;50000,"Mid Range","Premium"))</f>
        <v>Budget</v>
      </c>
      <c r="M819" t="str">
        <f>IF(FlipkartTable[[#This Row],[Rating]]&gt;4.5,"Excellent",IF(FlipkartTable[[#This Row],[Rating]]&gt;4,"Good",IF(FlipkartTable[[#This Row],[Rating]]&gt;3.5,"Average","Poor")))</f>
        <v>Average</v>
      </c>
    </row>
    <row r="820" spans="1:13" x14ac:dyDescent="0.35">
      <c r="A820" t="s">
        <v>475</v>
      </c>
      <c r="B820" s="9" t="s">
        <v>508</v>
      </c>
      <c r="C820" t="s">
        <v>22</v>
      </c>
      <c r="D820" t="s">
        <v>20</v>
      </c>
      <c r="E820" t="s">
        <v>124</v>
      </c>
      <c r="F820">
        <v>4</v>
      </c>
      <c r="G820">
        <v>6999</v>
      </c>
      <c r="H820">
        <v>6999</v>
      </c>
      <c r="I820">
        <f>FlipkartTable[[#This Row],[Original Price]]-FlipkartTable[[#This Row],[Selling Price]]</f>
        <v>0</v>
      </c>
      <c r="J820" s="4">
        <f>(FlipkartTable[[#This Row],[Original Price]]-FlipkartTable[[#This Row],[Selling Price]])/FlipkartTable[[#This Row],[Original Price]]</f>
        <v>0</v>
      </c>
      <c r="K820">
        <f>(FlipkartTable[[#This Row],[Rating]]/FlipkartTable[[#This Row],[Selling Price]])*1000</f>
        <v>0.57151021574510652</v>
      </c>
      <c r="L820" t="str">
        <f>IF(FlipkartTable[[#This Row],[Selling Price]]&lt;15000,"Budget",IF(FlipkartTable[[#This Row],[Selling Price]]&lt;50000,"Mid Range","Premium"))</f>
        <v>Budget</v>
      </c>
      <c r="M820" t="str">
        <f>IF(FlipkartTable[[#This Row],[Rating]]&gt;4.5,"Excellent",IF(FlipkartTable[[#This Row],[Rating]]&gt;4,"Good",IF(FlipkartTable[[#This Row],[Rating]]&gt;3.5,"Average","Poor")))</f>
        <v>Average</v>
      </c>
    </row>
    <row r="821" spans="1:13" x14ac:dyDescent="0.35">
      <c r="A821" t="s">
        <v>475</v>
      </c>
      <c r="B821" s="9" t="s">
        <v>535</v>
      </c>
      <c r="C821" t="s">
        <v>536</v>
      </c>
      <c r="D821" t="s">
        <v>20</v>
      </c>
      <c r="E821" t="s">
        <v>12</v>
      </c>
      <c r="F821">
        <v>4.0999999999999996</v>
      </c>
      <c r="G821">
        <v>14999</v>
      </c>
      <c r="H821">
        <v>14999</v>
      </c>
      <c r="I821">
        <f>FlipkartTable[[#This Row],[Original Price]]-FlipkartTable[[#This Row],[Selling Price]]</f>
        <v>0</v>
      </c>
      <c r="J821" s="4">
        <f>(FlipkartTable[[#This Row],[Original Price]]-FlipkartTable[[#This Row],[Selling Price]])/FlipkartTable[[#This Row],[Original Price]]</f>
        <v>0</v>
      </c>
      <c r="K821">
        <f>(FlipkartTable[[#This Row],[Rating]]/FlipkartTable[[#This Row],[Selling Price]])*1000</f>
        <v>0.27335155677045131</v>
      </c>
      <c r="L821" t="str">
        <f>IF(FlipkartTable[[#This Row],[Selling Price]]&lt;15000,"Budget",IF(FlipkartTable[[#This Row],[Selling Price]]&lt;50000,"Mid Range","Premium"))</f>
        <v>Budget</v>
      </c>
      <c r="M821" t="str">
        <f>IF(FlipkartTable[[#This Row],[Rating]]&gt;4.5,"Excellent",IF(FlipkartTable[[#This Row],[Rating]]&gt;4,"Good",IF(FlipkartTable[[#This Row],[Rating]]&gt;3.5,"Average","Poor")))</f>
        <v>Good</v>
      </c>
    </row>
    <row r="822" spans="1:13" x14ac:dyDescent="0.35">
      <c r="A822" t="s">
        <v>475</v>
      </c>
      <c r="B822" s="9" t="s">
        <v>509</v>
      </c>
      <c r="C822" t="s">
        <v>19</v>
      </c>
      <c r="D822" t="s">
        <v>20</v>
      </c>
      <c r="E822" t="s">
        <v>21</v>
      </c>
      <c r="F822">
        <v>4.0999999999999996</v>
      </c>
      <c r="G822">
        <v>6660</v>
      </c>
      <c r="H822">
        <v>7990</v>
      </c>
      <c r="I822">
        <f>FlipkartTable[[#This Row],[Original Price]]-FlipkartTable[[#This Row],[Selling Price]]</f>
        <v>1330</v>
      </c>
      <c r="J822" s="4">
        <f>(FlipkartTable[[#This Row],[Original Price]]-FlipkartTable[[#This Row],[Selling Price]])/FlipkartTable[[#This Row],[Original Price]]</f>
        <v>0.16645807259073842</v>
      </c>
      <c r="K822">
        <f>(FlipkartTable[[#This Row],[Rating]]/FlipkartTable[[#This Row],[Selling Price]])*1000</f>
        <v>0.61561561561561562</v>
      </c>
      <c r="L822" t="str">
        <f>IF(FlipkartTable[[#This Row],[Selling Price]]&lt;15000,"Budget",IF(FlipkartTable[[#This Row],[Selling Price]]&lt;50000,"Mid Range","Premium"))</f>
        <v>Budget</v>
      </c>
      <c r="M822" t="str">
        <f>IF(FlipkartTable[[#This Row],[Rating]]&gt;4.5,"Excellent",IF(FlipkartTable[[#This Row],[Rating]]&gt;4,"Good",IF(FlipkartTable[[#This Row],[Rating]]&gt;3.5,"Average","Poor")))</f>
        <v>Good</v>
      </c>
    </row>
    <row r="823" spans="1:13" x14ac:dyDescent="0.35">
      <c r="A823" t="s">
        <v>475</v>
      </c>
      <c r="B823" s="9" t="s">
        <v>535</v>
      </c>
      <c r="C823" t="s">
        <v>537</v>
      </c>
      <c r="D823" t="s">
        <v>20</v>
      </c>
      <c r="E823" t="s">
        <v>12</v>
      </c>
      <c r="F823">
        <v>4.0999999999999996</v>
      </c>
      <c r="G823">
        <v>8499</v>
      </c>
      <c r="H823">
        <v>28099</v>
      </c>
      <c r="I823">
        <f>FlipkartTable[[#This Row],[Original Price]]-FlipkartTable[[#This Row],[Selling Price]]</f>
        <v>19600</v>
      </c>
      <c r="J823" s="4">
        <f>(FlipkartTable[[#This Row],[Original Price]]-FlipkartTable[[#This Row],[Selling Price]])/FlipkartTable[[#This Row],[Original Price]]</f>
        <v>0.69753372006121217</v>
      </c>
      <c r="K823">
        <f>(FlipkartTable[[#This Row],[Rating]]/FlipkartTable[[#This Row],[Selling Price]])*1000</f>
        <v>0.4824096952582656</v>
      </c>
      <c r="L823" t="str">
        <f>IF(FlipkartTable[[#This Row],[Selling Price]]&lt;15000,"Budget",IF(FlipkartTable[[#This Row],[Selling Price]]&lt;50000,"Mid Range","Premium"))</f>
        <v>Budget</v>
      </c>
      <c r="M823" t="str">
        <f>IF(FlipkartTable[[#This Row],[Rating]]&gt;4.5,"Excellent",IF(FlipkartTable[[#This Row],[Rating]]&gt;4,"Good",IF(FlipkartTable[[#This Row],[Rating]]&gt;3.5,"Average","Poor")))</f>
        <v>Good</v>
      </c>
    </row>
    <row r="824" spans="1:13" x14ac:dyDescent="0.35">
      <c r="A824" t="s">
        <v>475</v>
      </c>
      <c r="B824" s="9" t="s">
        <v>538</v>
      </c>
      <c r="C824" t="s">
        <v>152</v>
      </c>
      <c r="D824" t="s">
        <v>27</v>
      </c>
      <c r="E824" t="s">
        <v>539</v>
      </c>
      <c r="F824">
        <v>3.8</v>
      </c>
      <c r="G824">
        <v>4790</v>
      </c>
      <c r="H824">
        <v>4790</v>
      </c>
      <c r="I824">
        <f>FlipkartTable[[#This Row],[Original Price]]-FlipkartTable[[#This Row],[Selling Price]]</f>
        <v>0</v>
      </c>
      <c r="J824" s="4">
        <f>(FlipkartTable[[#This Row],[Original Price]]-FlipkartTable[[#This Row],[Selling Price]])/FlipkartTable[[#This Row],[Original Price]]</f>
        <v>0</v>
      </c>
      <c r="K824">
        <f>(FlipkartTable[[#This Row],[Rating]]/FlipkartTable[[#This Row],[Selling Price]])*1000</f>
        <v>0.79331941544885176</v>
      </c>
      <c r="L824" t="str">
        <f>IF(FlipkartTable[[#This Row],[Selling Price]]&lt;15000,"Budget",IF(FlipkartTable[[#This Row],[Selling Price]]&lt;50000,"Mid Range","Premium"))</f>
        <v>Budget</v>
      </c>
      <c r="M824" t="str">
        <f>IF(FlipkartTable[[#This Row],[Rating]]&gt;4.5,"Excellent",IF(FlipkartTable[[#This Row],[Rating]]&gt;4,"Good",IF(FlipkartTable[[#This Row],[Rating]]&gt;3.5,"Average","Poor")))</f>
        <v>Average</v>
      </c>
    </row>
    <row r="825" spans="1:13" x14ac:dyDescent="0.35">
      <c r="A825" t="s">
        <v>475</v>
      </c>
      <c r="B825" s="9" t="s">
        <v>495</v>
      </c>
      <c r="C825" t="s">
        <v>22</v>
      </c>
      <c r="D825" t="s">
        <v>134</v>
      </c>
      <c r="E825" t="s">
        <v>124</v>
      </c>
      <c r="F825">
        <v>3.7</v>
      </c>
      <c r="G825">
        <v>4899</v>
      </c>
      <c r="H825">
        <v>8999</v>
      </c>
      <c r="I825">
        <f>FlipkartTable[[#This Row],[Original Price]]-FlipkartTable[[#This Row],[Selling Price]]</f>
        <v>4100</v>
      </c>
      <c r="J825" s="4">
        <f>(FlipkartTable[[#This Row],[Original Price]]-FlipkartTable[[#This Row],[Selling Price]])/FlipkartTable[[#This Row],[Original Price]]</f>
        <v>0.45560617846427381</v>
      </c>
      <c r="K825">
        <f>(FlipkartTable[[#This Row],[Rating]]/FlipkartTable[[#This Row],[Selling Price]])*1000</f>
        <v>0.75525617472953666</v>
      </c>
      <c r="L825" t="str">
        <f>IF(FlipkartTable[[#This Row],[Selling Price]]&lt;15000,"Budget",IF(FlipkartTable[[#This Row],[Selling Price]]&lt;50000,"Mid Range","Premium"))</f>
        <v>Budget</v>
      </c>
      <c r="M825" t="str">
        <f>IF(FlipkartTable[[#This Row],[Rating]]&gt;4.5,"Excellent",IF(FlipkartTable[[#This Row],[Rating]]&gt;4,"Good",IF(FlipkartTable[[#This Row],[Rating]]&gt;3.5,"Average","Poor")))</f>
        <v>Average</v>
      </c>
    </row>
    <row r="826" spans="1:13" x14ac:dyDescent="0.35">
      <c r="A826" t="s">
        <v>475</v>
      </c>
      <c r="B826" s="9" t="s">
        <v>532</v>
      </c>
      <c r="C826" t="s">
        <v>19</v>
      </c>
      <c r="D826" t="s">
        <v>35</v>
      </c>
      <c r="E826" t="s">
        <v>124</v>
      </c>
      <c r="F826">
        <v>4</v>
      </c>
      <c r="G826">
        <v>4599</v>
      </c>
      <c r="H826">
        <v>4599</v>
      </c>
      <c r="I826">
        <f>FlipkartTable[[#This Row],[Original Price]]-FlipkartTable[[#This Row],[Selling Price]]</f>
        <v>0</v>
      </c>
      <c r="J826" s="4">
        <f>(FlipkartTable[[#This Row],[Original Price]]-FlipkartTable[[#This Row],[Selling Price]])/FlipkartTable[[#This Row],[Original Price]]</f>
        <v>0</v>
      </c>
      <c r="K826">
        <f>(FlipkartTable[[#This Row],[Rating]]/FlipkartTable[[#This Row],[Selling Price]])*1000</f>
        <v>0.86975429441182861</v>
      </c>
      <c r="L826" t="str">
        <f>IF(FlipkartTable[[#This Row],[Selling Price]]&lt;15000,"Budget",IF(FlipkartTable[[#This Row],[Selling Price]]&lt;50000,"Mid Range","Premium"))</f>
        <v>Budget</v>
      </c>
      <c r="M826" t="str">
        <f>IF(FlipkartTable[[#This Row],[Rating]]&gt;4.5,"Excellent",IF(FlipkartTable[[#This Row],[Rating]]&gt;4,"Good",IF(FlipkartTable[[#This Row],[Rating]]&gt;3.5,"Average","Poor")))</f>
        <v>Average</v>
      </c>
    </row>
    <row r="827" spans="1:13" x14ac:dyDescent="0.35">
      <c r="A827" t="s">
        <v>475</v>
      </c>
      <c r="B827" s="9" t="s">
        <v>498</v>
      </c>
      <c r="C827" t="s">
        <v>116</v>
      </c>
      <c r="D827" t="s">
        <v>134</v>
      </c>
      <c r="E827" t="s">
        <v>27</v>
      </c>
      <c r="F827">
        <v>3.8</v>
      </c>
      <c r="G827">
        <v>3599</v>
      </c>
      <c r="H827">
        <v>3599</v>
      </c>
      <c r="I827">
        <f>FlipkartTable[[#This Row],[Original Price]]-FlipkartTable[[#This Row],[Selling Price]]</f>
        <v>0</v>
      </c>
      <c r="J827" s="4">
        <f>(FlipkartTable[[#This Row],[Original Price]]-FlipkartTable[[#This Row],[Selling Price]])/FlipkartTable[[#This Row],[Original Price]]</f>
        <v>0</v>
      </c>
      <c r="K827">
        <f>(FlipkartTable[[#This Row],[Rating]]/FlipkartTable[[#This Row],[Selling Price]])*1000</f>
        <v>1.0558488469019172</v>
      </c>
      <c r="L827" t="str">
        <f>IF(FlipkartTable[[#This Row],[Selling Price]]&lt;15000,"Budget",IF(FlipkartTable[[#This Row],[Selling Price]]&lt;50000,"Mid Range","Premium"))</f>
        <v>Budget</v>
      </c>
      <c r="M827" t="str">
        <f>IF(FlipkartTable[[#This Row],[Rating]]&gt;4.5,"Excellent",IF(FlipkartTable[[#This Row],[Rating]]&gt;4,"Good",IF(FlipkartTable[[#This Row],[Rating]]&gt;3.5,"Average","Poor")))</f>
        <v>Average</v>
      </c>
    </row>
    <row r="828" spans="1:13" x14ac:dyDescent="0.35">
      <c r="A828" t="s">
        <v>475</v>
      </c>
      <c r="B828" s="9" t="s">
        <v>498</v>
      </c>
      <c r="C828" t="s">
        <v>22</v>
      </c>
      <c r="D828" t="s">
        <v>134</v>
      </c>
      <c r="E828" t="s">
        <v>27</v>
      </c>
      <c r="F828">
        <v>3.8</v>
      </c>
      <c r="G828">
        <v>3599</v>
      </c>
      <c r="H828">
        <v>3599</v>
      </c>
      <c r="I828">
        <f>FlipkartTable[[#This Row],[Original Price]]-FlipkartTable[[#This Row],[Selling Price]]</f>
        <v>0</v>
      </c>
      <c r="J828" s="4">
        <f>(FlipkartTable[[#This Row],[Original Price]]-FlipkartTable[[#This Row],[Selling Price]])/FlipkartTable[[#This Row],[Original Price]]</f>
        <v>0</v>
      </c>
      <c r="K828">
        <f>(FlipkartTable[[#This Row],[Rating]]/FlipkartTable[[#This Row],[Selling Price]])*1000</f>
        <v>1.0558488469019172</v>
      </c>
      <c r="L828" t="str">
        <f>IF(FlipkartTable[[#This Row],[Selling Price]]&lt;15000,"Budget",IF(FlipkartTable[[#This Row],[Selling Price]]&lt;50000,"Mid Range","Premium"))</f>
        <v>Budget</v>
      </c>
      <c r="M828" t="str">
        <f>IF(FlipkartTable[[#This Row],[Rating]]&gt;4.5,"Excellent",IF(FlipkartTable[[#This Row],[Rating]]&gt;4,"Good",IF(FlipkartTable[[#This Row],[Rating]]&gt;3.5,"Average","Poor")))</f>
        <v>Average</v>
      </c>
    </row>
    <row r="829" spans="1:13" x14ac:dyDescent="0.35">
      <c r="A829" t="s">
        <v>475</v>
      </c>
      <c r="B829" s="9" t="s">
        <v>528</v>
      </c>
      <c r="C829" t="s">
        <v>22</v>
      </c>
      <c r="D829" t="s">
        <v>14</v>
      </c>
      <c r="E829" t="s">
        <v>12</v>
      </c>
      <c r="F829">
        <v>2.7</v>
      </c>
      <c r="G829">
        <v>9964</v>
      </c>
      <c r="H829">
        <v>9974</v>
      </c>
      <c r="I829">
        <f>FlipkartTable[[#This Row],[Original Price]]-FlipkartTable[[#This Row],[Selling Price]]</f>
        <v>10</v>
      </c>
      <c r="J829" s="4">
        <f>(FlipkartTable[[#This Row],[Original Price]]-FlipkartTable[[#This Row],[Selling Price]])/FlipkartTable[[#This Row],[Original Price]]</f>
        <v>1.0026067776218166E-3</v>
      </c>
      <c r="K829">
        <f>(FlipkartTable[[#This Row],[Rating]]/FlipkartTable[[#This Row],[Selling Price]])*1000</f>
        <v>0.27097551184263352</v>
      </c>
      <c r="L829" t="str">
        <f>IF(FlipkartTable[[#This Row],[Selling Price]]&lt;15000,"Budget",IF(FlipkartTable[[#This Row],[Selling Price]]&lt;50000,"Mid Range","Premium"))</f>
        <v>Budget</v>
      </c>
      <c r="M829" t="str">
        <f>IF(FlipkartTable[[#This Row],[Rating]]&gt;4.5,"Excellent",IF(FlipkartTable[[#This Row],[Rating]]&gt;4,"Good",IF(FlipkartTable[[#This Row],[Rating]]&gt;3.5,"Average","Poor")))</f>
        <v>Poor</v>
      </c>
    </row>
    <row r="830" spans="1:13" x14ac:dyDescent="0.35">
      <c r="A830" t="s">
        <v>475</v>
      </c>
      <c r="B830" s="9" t="s">
        <v>495</v>
      </c>
      <c r="C830" t="s">
        <v>84</v>
      </c>
      <c r="D830" t="s">
        <v>134</v>
      </c>
      <c r="E830" t="s">
        <v>124</v>
      </c>
      <c r="F830">
        <v>3.7</v>
      </c>
      <c r="G830">
        <v>9199</v>
      </c>
      <c r="H830">
        <v>9199</v>
      </c>
      <c r="I830">
        <f>FlipkartTable[[#This Row],[Original Price]]-FlipkartTable[[#This Row],[Selling Price]]</f>
        <v>0</v>
      </c>
      <c r="J830" s="4">
        <f>(FlipkartTable[[#This Row],[Original Price]]-FlipkartTable[[#This Row],[Selling Price]])/FlipkartTable[[#This Row],[Original Price]]</f>
        <v>0</v>
      </c>
      <c r="K830">
        <f>(FlipkartTable[[#This Row],[Rating]]/FlipkartTable[[#This Row],[Selling Price]])*1000</f>
        <v>0.40221763235134256</v>
      </c>
      <c r="L830" t="str">
        <f>IF(FlipkartTable[[#This Row],[Selling Price]]&lt;15000,"Budget",IF(FlipkartTable[[#This Row],[Selling Price]]&lt;50000,"Mid Range","Premium"))</f>
        <v>Budget</v>
      </c>
      <c r="M830" t="str">
        <f>IF(FlipkartTable[[#This Row],[Rating]]&gt;4.5,"Excellent",IF(FlipkartTable[[#This Row],[Rating]]&gt;4,"Good",IF(FlipkartTable[[#This Row],[Rating]]&gt;3.5,"Average","Poor")))</f>
        <v>Average</v>
      </c>
    </row>
    <row r="831" spans="1:13" x14ac:dyDescent="0.35">
      <c r="A831" t="s">
        <v>475</v>
      </c>
      <c r="B831" s="9" t="s">
        <v>517</v>
      </c>
      <c r="C831" t="s">
        <v>22</v>
      </c>
      <c r="D831" t="s">
        <v>11</v>
      </c>
      <c r="E831" t="s">
        <v>12</v>
      </c>
      <c r="F831">
        <v>4.0999999999999996</v>
      </c>
      <c r="G831">
        <v>7999</v>
      </c>
      <c r="H831">
        <v>7999</v>
      </c>
      <c r="I831">
        <f>FlipkartTable[[#This Row],[Original Price]]-FlipkartTable[[#This Row],[Selling Price]]</f>
        <v>0</v>
      </c>
      <c r="J831" s="4">
        <f>(FlipkartTable[[#This Row],[Original Price]]-FlipkartTable[[#This Row],[Selling Price]])/FlipkartTable[[#This Row],[Original Price]]</f>
        <v>0</v>
      </c>
      <c r="K831">
        <f>(FlipkartTable[[#This Row],[Rating]]/FlipkartTable[[#This Row],[Selling Price]])*1000</f>
        <v>0.51256407050881359</v>
      </c>
      <c r="L831" t="str">
        <f>IF(FlipkartTable[[#This Row],[Selling Price]]&lt;15000,"Budget",IF(FlipkartTable[[#This Row],[Selling Price]]&lt;50000,"Mid Range","Premium"))</f>
        <v>Budget</v>
      </c>
      <c r="M831" t="str">
        <f>IF(FlipkartTable[[#This Row],[Rating]]&gt;4.5,"Excellent",IF(FlipkartTable[[#This Row],[Rating]]&gt;4,"Good",IF(FlipkartTable[[#This Row],[Rating]]&gt;3.5,"Average","Poor")))</f>
        <v>Good</v>
      </c>
    </row>
    <row r="832" spans="1:13" x14ac:dyDescent="0.35">
      <c r="A832" t="s">
        <v>475</v>
      </c>
      <c r="B832" s="9" t="s">
        <v>498</v>
      </c>
      <c r="C832" t="s">
        <v>329</v>
      </c>
      <c r="D832" t="s">
        <v>134</v>
      </c>
      <c r="E832" t="s">
        <v>27</v>
      </c>
      <c r="F832">
        <v>3.8</v>
      </c>
      <c r="G832">
        <v>3490</v>
      </c>
      <c r="H832">
        <v>5999</v>
      </c>
      <c r="I832">
        <f>FlipkartTable[[#This Row],[Original Price]]-FlipkartTable[[#This Row],[Selling Price]]</f>
        <v>2509</v>
      </c>
      <c r="J832" s="4">
        <f>(FlipkartTable[[#This Row],[Original Price]]-FlipkartTable[[#This Row],[Selling Price]])/FlipkartTable[[#This Row],[Original Price]]</f>
        <v>0.41823637272878811</v>
      </c>
      <c r="K832">
        <f>(FlipkartTable[[#This Row],[Rating]]/FlipkartTable[[#This Row],[Selling Price]])*1000</f>
        <v>1.0888252148997133</v>
      </c>
      <c r="L832" t="str">
        <f>IF(FlipkartTable[[#This Row],[Selling Price]]&lt;15000,"Budget",IF(FlipkartTable[[#This Row],[Selling Price]]&lt;50000,"Mid Range","Premium"))</f>
        <v>Budget</v>
      </c>
      <c r="M832" t="str">
        <f>IF(FlipkartTable[[#This Row],[Rating]]&gt;4.5,"Excellent",IF(FlipkartTable[[#This Row],[Rating]]&gt;4,"Good",IF(FlipkartTable[[#This Row],[Rating]]&gt;3.5,"Average","Poor")))</f>
        <v>Average</v>
      </c>
    </row>
    <row r="833" spans="1:13" x14ac:dyDescent="0.35">
      <c r="A833" t="s">
        <v>475</v>
      </c>
      <c r="B833" s="9" t="s">
        <v>535</v>
      </c>
      <c r="C833" t="s">
        <v>540</v>
      </c>
      <c r="D833" t="s">
        <v>20</v>
      </c>
      <c r="E833" t="s">
        <v>12</v>
      </c>
      <c r="F833">
        <v>4.0999999999999996</v>
      </c>
      <c r="G833">
        <v>11999</v>
      </c>
      <c r="H833">
        <v>11999</v>
      </c>
      <c r="I833">
        <f>FlipkartTable[[#This Row],[Original Price]]-FlipkartTable[[#This Row],[Selling Price]]</f>
        <v>0</v>
      </c>
      <c r="J833" s="4">
        <f>(FlipkartTable[[#This Row],[Original Price]]-FlipkartTable[[#This Row],[Selling Price]])/FlipkartTable[[#This Row],[Original Price]]</f>
        <v>0</v>
      </c>
      <c r="K833">
        <f>(FlipkartTable[[#This Row],[Rating]]/FlipkartTable[[#This Row],[Selling Price]])*1000</f>
        <v>0.34169514126177181</v>
      </c>
      <c r="L833" t="str">
        <f>IF(FlipkartTable[[#This Row],[Selling Price]]&lt;15000,"Budget",IF(FlipkartTable[[#This Row],[Selling Price]]&lt;50000,"Mid Range","Premium"))</f>
        <v>Budget</v>
      </c>
      <c r="M833" t="str">
        <f>IF(FlipkartTable[[#This Row],[Rating]]&gt;4.5,"Excellent",IF(FlipkartTable[[#This Row],[Rating]]&gt;4,"Good",IF(FlipkartTable[[#This Row],[Rating]]&gt;3.5,"Average","Poor")))</f>
        <v>Good</v>
      </c>
    </row>
    <row r="834" spans="1:13" x14ac:dyDescent="0.35">
      <c r="A834" t="s">
        <v>475</v>
      </c>
      <c r="B834" s="9" t="s">
        <v>541</v>
      </c>
      <c r="C834" t="s">
        <v>19</v>
      </c>
      <c r="D834" t="s">
        <v>134</v>
      </c>
      <c r="E834" t="s">
        <v>11</v>
      </c>
      <c r="F834">
        <v>2.8</v>
      </c>
      <c r="G834">
        <v>10990</v>
      </c>
      <c r="H834">
        <v>10990</v>
      </c>
      <c r="I834">
        <f>FlipkartTable[[#This Row],[Original Price]]-FlipkartTable[[#This Row],[Selling Price]]</f>
        <v>0</v>
      </c>
      <c r="J834" s="4">
        <f>(FlipkartTable[[#This Row],[Original Price]]-FlipkartTable[[#This Row],[Selling Price]])/FlipkartTable[[#This Row],[Original Price]]</f>
        <v>0</v>
      </c>
      <c r="K834">
        <f>(FlipkartTable[[#This Row],[Rating]]/FlipkartTable[[#This Row],[Selling Price]])*1000</f>
        <v>0.25477707006369427</v>
      </c>
      <c r="L834" t="str">
        <f>IF(FlipkartTable[[#This Row],[Selling Price]]&lt;15000,"Budget",IF(FlipkartTable[[#This Row],[Selling Price]]&lt;50000,"Mid Range","Premium"))</f>
        <v>Budget</v>
      </c>
      <c r="M834" t="str">
        <f>IF(FlipkartTable[[#This Row],[Rating]]&gt;4.5,"Excellent",IF(FlipkartTable[[#This Row],[Rating]]&gt;4,"Good",IF(FlipkartTable[[#This Row],[Rating]]&gt;3.5,"Average","Poor")))</f>
        <v>Poor</v>
      </c>
    </row>
    <row r="835" spans="1:13" x14ac:dyDescent="0.35">
      <c r="A835" t="s">
        <v>475</v>
      </c>
      <c r="B835" s="9" t="s">
        <v>499</v>
      </c>
      <c r="C835" t="s">
        <v>152</v>
      </c>
      <c r="D835" t="s">
        <v>134</v>
      </c>
      <c r="E835" t="s">
        <v>124</v>
      </c>
      <c r="F835">
        <v>3.8</v>
      </c>
      <c r="G835">
        <v>2799</v>
      </c>
      <c r="H835">
        <v>2799</v>
      </c>
      <c r="I835">
        <f>FlipkartTable[[#This Row],[Original Price]]-FlipkartTable[[#This Row],[Selling Price]]</f>
        <v>0</v>
      </c>
      <c r="J835" s="4">
        <f>(FlipkartTable[[#This Row],[Original Price]]-FlipkartTable[[#This Row],[Selling Price]])/FlipkartTable[[#This Row],[Original Price]]</f>
        <v>0</v>
      </c>
      <c r="K835">
        <f>(FlipkartTable[[#This Row],[Rating]]/FlipkartTable[[#This Row],[Selling Price]])*1000</f>
        <v>1.3576277241872097</v>
      </c>
      <c r="L835" t="str">
        <f>IF(FlipkartTable[[#This Row],[Selling Price]]&lt;15000,"Budget",IF(FlipkartTable[[#This Row],[Selling Price]]&lt;50000,"Mid Range","Premium"))</f>
        <v>Budget</v>
      </c>
      <c r="M835" t="str">
        <f>IF(FlipkartTable[[#This Row],[Rating]]&gt;4.5,"Excellent",IF(FlipkartTable[[#This Row],[Rating]]&gt;4,"Good",IF(FlipkartTable[[#This Row],[Rating]]&gt;3.5,"Average","Poor")))</f>
        <v>Average</v>
      </c>
    </row>
    <row r="836" spans="1:13" x14ac:dyDescent="0.35">
      <c r="A836" t="s">
        <v>475</v>
      </c>
      <c r="B836" s="9" t="s">
        <v>542</v>
      </c>
      <c r="C836" t="s">
        <v>19</v>
      </c>
      <c r="D836" t="s">
        <v>20</v>
      </c>
      <c r="E836" t="s">
        <v>124</v>
      </c>
      <c r="F836">
        <v>3.5</v>
      </c>
      <c r="G836">
        <v>7999</v>
      </c>
      <c r="H836">
        <v>7999</v>
      </c>
      <c r="I836">
        <f>FlipkartTable[[#This Row],[Original Price]]-FlipkartTable[[#This Row],[Selling Price]]</f>
        <v>0</v>
      </c>
      <c r="J836" s="4">
        <f>(FlipkartTable[[#This Row],[Original Price]]-FlipkartTable[[#This Row],[Selling Price]])/FlipkartTable[[#This Row],[Original Price]]</f>
        <v>0</v>
      </c>
      <c r="K836">
        <f>(FlipkartTable[[#This Row],[Rating]]/FlipkartTable[[#This Row],[Selling Price]])*1000</f>
        <v>0.43755469433679212</v>
      </c>
      <c r="L836" t="str">
        <f>IF(FlipkartTable[[#This Row],[Selling Price]]&lt;15000,"Budget",IF(FlipkartTable[[#This Row],[Selling Price]]&lt;50000,"Mid Range","Premium"))</f>
        <v>Budget</v>
      </c>
      <c r="M836" t="str">
        <f>IF(FlipkartTable[[#This Row],[Rating]]&gt;4.5,"Excellent",IF(FlipkartTable[[#This Row],[Rating]]&gt;4,"Good",IF(FlipkartTable[[#This Row],[Rating]]&gt;3.5,"Average","Poor")))</f>
        <v>Poor</v>
      </c>
    </row>
    <row r="837" spans="1:13" x14ac:dyDescent="0.35">
      <c r="A837" t="s">
        <v>475</v>
      </c>
      <c r="B837" s="9" t="s">
        <v>543</v>
      </c>
      <c r="C837" t="s">
        <v>152</v>
      </c>
      <c r="D837" t="s">
        <v>134</v>
      </c>
      <c r="E837" t="s">
        <v>124</v>
      </c>
      <c r="F837">
        <v>3.8</v>
      </c>
      <c r="G837">
        <v>9999</v>
      </c>
      <c r="H837">
        <v>9999</v>
      </c>
      <c r="I837">
        <f>FlipkartTable[[#This Row],[Original Price]]-FlipkartTable[[#This Row],[Selling Price]]</f>
        <v>0</v>
      </c>
      <c r="J837" s="4">
        <f>(FlipkartTable[[#This Row],[Original Price]]-FlipkartTable[[#This Row],[Selling Price]])/FlipkartTable[[#This Row],[Original Price]]</f>
        <v>0</v>
      </c>
      <c r="K837">
        <f>(FlipkartTable[[#This Row],[Rating]]/FlipkartTable[[#This Row],[Selling Price]])*1000</f>
        <v>0.38003800380038</v>
      </c>
      <c r="L837" t="str">
        <f>IF(FlipkartTable[[#This Row],[Selling Price]]&lt;15000,"Budget",IF(FlipkartTable[[#This Row],[Selling Price]]&lt;50000,"Mid Range","Premium"))</f>
        <v>Budget</v>
      </c>
      <c r="M837" t="str">
        <f>IF(FlipkartTable[[#This Row],[Rating]]&gt;4.5,"Excellent",IF(FlipkartTable[[#This Row],[Rating]]&gt;4,"Good",IF(FlipkartTable[[#This Row],[Rating]]&gt;3.5,"Average","Poor")))</f>
        <v>Average</v>
      </c>
    </row>
    <row r="838" spans="1:13" x14ac:dyDescent="0.35">
      <c r="A838" t="s">
        <v>475</v>
      </c>
      <c r="B838" s="9" t="s">
        <v>544</v>
      </c>
      <c r="C838" t="s">
        <v>152</v>
      </c>
      <c r="D838" t="s">
        <v>134</v>
      </c>
      <c r="E838" t="s">
        <v>27</v>
      </c>
      <c r="F838">
        <v>3.6</v>
      </c>
      <c r="G838">
        <v>3999</v>
      </c>
      <c r="H838">
        <v>3999</v>
      </c>
      <c r="I838">
        <f>FlipkartTable[[#This Row],[Original Price]]-FlipkartTable[[#This Row],[Selling Price]]</f>
        <v>0</v>
      </c>
      <c r="J838" s="4">
        <f>(FlipkartTable[[#This Row],[Original Price]]-FlipkartTable[[#This Row],[Selling Price]])/FlipkartTable[[#This Row],[Original Price]]</f>
        <v>0</v>
      </c>
      <c r="K838">
        <f>(FlipkartTable[[#This Row],[Rating]]/FlipkartTable[[#This Row],[Selling Price]])*1000</f>
        <v>0.90022505626406601</v>
      </c>
      <c r="L838" t="str">
        <f>IF(FlipkartTable[[#This Row],[Selling Price]]&lt;15000,"Budget",IF(FlipkartTable[[#This Row],[Selling Price]]&lt;50000,"Mid Range","Premium"))</f>
        <v>Budget</v>
      </c>
      <c r="M838" t="str">
        <f>IF(FlipkartTable[[#This Row],[Rating]]&gt;4.5,"Excellent",IF(FlipkartTable[[#This Row],[Rating]]&gt;4,"Good",IF(FlipkartTable[[#This Row],[Rating]]&gt;3.5,"Average","Poor")))</f>
        <v>Average</v>
      </c>
    </row>
    <row r="839" spans="1:13" x14ac:dyDescent="0.35">
      <c r="A839" t="s">
        <v>475</v>
      </c>
      <c r="B839" s="9" t="s">
        <v>545</v>
      </c>
      <c r="C839" t="s">
        <v>152</v>
      </c>
      <c r="D839" t="s">
        <v>134</v>
      </c>
      <c r="E839" t="s">
        <v>11</v>
      </c>
      <c r="F839">
        <v>4.2</v>
      </c>
      <c r="G839">
        <v>11500</v>
      </c>
      <c r="H839">
        <v>11500</v>
      </c>
      <c r="I839">
        <f>FlipkartTable[[#This Row],[Original Price]]-FlipkartTable[[#This Row],[Selling Price]]</f>
        <v>0</v>
      </c>
      <c r="J839" s="4">
        <f>(FlipkartTable[[#This Row],[Original Price]]-FlipkartTable[[#This Row],[Selling Price]])/FlipkartTable[[#This Row],[Original Price]]</f>
        <v>0</v>
      </c>
      <c r="K839">
        <f>(FlipkartTable[[#This Row],[Rating]]/FlipkartTable[[#This Row],[Selling Price]])*1000</f>
        <v>0.36521739130434783</v>
      </c>
      <c r="L839" t="str">
        <f>IF(FlipkartTable[[#This Row],[Selling Price]]&lt;15000,"Budget",IF(FlipkartTable[[#This Row],[Selling Price]]&lt;50000,"Mid Range","Premium"))</f>
        <v>Budget</v>
      </c>
      <c r="M839" t="str">
        <f>IF(FlipkartTable[[#This Row],[Rating]]&gt;4.5,"Excellent",IF(FlipkartTable[[#This Row],[Rating]]&gt;4,"Good",IF(FlipkartTable[[#This Row],[Rating]]&gt;3.5,"Average","Poor")))</f>
        <v>Good</v>
      </c>
    </row>
    <row r="840" spans="1:13" x14ac:dyDescent="0.35">
      <c r="A840" t="s">
        <v>475</v>
      </c>
      <c r="B840" s="9" t="s">
        <v>546</v>
      </c>
      <c r="C840" t="s">
        <v>22</v>
      </c>
      <c r="D840" t="s">
        <v>134</v>
      </c>
      <c r="E840" t="s">
        <v>124</v>
      </c>
      <c r="F840">
        <v>4.0999999999999996</v>
      </c>
      <c r="G840">
        <v>9999</v>
      </c>
      <c r="H840">
        <v>9999</v>
      </c>
      <c r="I840">
        <f>FlipkartTable[[#This Row],[Original Price]]-FlipkartTable[[#This Row],[Selling Price]]</f>
        <v>0</v>
      </c>
      <c r="J840" s="4">
        <f>(FlipkartTable[[#This Row],[Original Price]]-FlipkartTable[[#This Row],[Selling Price]])/FlipkartTable[[#This Row],[Original Price]]</f>
        <v>0</v>
      </c>
      <c r="K840">
        <f>(FlipkartTable[[#This Row],[Rating]]/FlipkartTable[[#This Row],[Selling Price]])*1000</f>
        <v>0.41004100410041</v>
      </c>
      <c r="L840" t="str">
        <f>IF(FlipkartTable[[#This Row],[Selling Price]]&lt;15000,"Budget",IF(FlipkartTable[[#This Row],[Selling Price]]&lt;50000,"Mid Range","Premium"))</f>
        <v>Budget</v>
      </c>
      <c r="M840" t="str">
        <f>IF(FlipkartTable[[#This Row],[Rating]]&gt;4.5,"Excellent",IF(FlipkartTable[[#This Row],[Rating]]&gt;4,"Good",IF(FlipkartTable[[#This Row],[Rating]]&gt;3.5,"Average","Poor")))</f>
        <v>Good</v>
      </c>
    </row>
    <row r="841" spans="1:13" x14ac:dyDescent="0.35">
      <c r="A841" t="s">
        <v>475</v>
      </c>
      <c r="B841" s="9" t="s">
        <v>507</v>
      </c>
      <c r="C841" t="s">
        <v>141</v>
      </c>
      <c r="D841" t="s">
        <v>134</v>
      </c>
      <c r="E841" t="s">
        <v>124</v>
      </c>
      <c r="F841">
        <v>3.8</v>
      </c>
      <c r="G841">
        <v>3990</v>
      </c>
      <c r="H841">
        <v>3990</v>
      </c>
      <c r="I841">
        <f>FlipkartTable[[#This Row],[Original Price]]-FlipkartTable[[#This Row],[Selling Price]]</f>
        <v>0</v>
      </c>
      <c r="J841" s="4">
        <f>(FlipkartTable[[#This Row],[Original Price]]-FlipkartTable[[#This Row],[Selling Price]])/FlipkartTable[[#This Row],[Original Price]]</f>
        <v>0</v>
      </c>
      <c r="K841">
        <f>(FlipkartTable[[#This Row],[Rating]]/FlipkartTable[[#This Row],[Selling Price]])*1000</f>
        <v>0.95238095238095233</v>
      </c>
      <c r="L841" t="str">
        <f>IF(FlipkartTable[[#This Row],[Selling Price]]&lt;15000,"Budget",IF(FlipkartTable[[#This Row],[Selling Price]]&lt;50000,"Mid Range","Premium"))</f>
        <v>Budget</v>
      </c>
      <c r="M841" t="str">
        <f>IF(FlipkartTable[[#This Row],[Rating]]&gt;4.5,"Excellent",IF(FlipkartTable[[#This Row],[Rating]]&gt;4,"Good",IF(FlipkartTable[[#This Row],[Rating]]&gt;3.5,"Average","Poor")))</f>
        <v>Average</v>
      </c>
    </row>
    <row r="842" spans="1:13" x14ac:dyDescent="0.35">
      <c r="A842" t="s">
        <v>475</v>
      </c>
      <c r="B842" s="9" t="s">
        <v>547</v>
      </c>
      <c r="C842" t="s">
        <v>22</v>
      </c>
      <c r="D842" t="s">
        <v>134</v>
      </c>
      <c r="E842" t="s">
        <v>124</v>
      </c>
      <c r="F842">
        <v>4.3</v>
      </c>
      <c r="G842">
        <v>6500</v>
      </c>
      <c r="H842">
        <v>6500</v>
      </c>
      <c r="I842">
        <f>FlipkartTable[[#This Row],[Original Price]]-FlipkartTable[[#This Row],[Selling Price]]</f>
        <v>0</v>
      </c>
      <c r="J842" s="4">
        <f>(FlipkartTable[[#This Row],[Original Price]]-FlipkartTable[[#This Row],[Selling Price]])/FlipkartTable[[#This Row],[Original Price]]</f>
        <v>0</v>
      </c>
      <c r="K842">
        <f>(FlipkartTable[[#This Row],[Rating]]/FlipkartTable[[#This Row],[Selling Price]])*1000</f>
        <v>0.66153846153846152</v>
      </c>
      <c r="L842" t="str">
        <f>IF(FlipkartTable[[#This Row],[Selling Price]]&lt;15000,"Budget",IF(FlipkartTable[[#This Row],[Selling Price]]&lt;50000,"Mid Range","Premium"))</f>
        <v>Budget</v>
      </c>
      <c r="M842" t="str">
        <f>IF(FlipkartTable[[#This Row],[Rating]]&gt;4.5,"Excellent",IF(FlipkartTable[[#This Row],[Rating]]&gt;4,"Good",IF(FlipkartTable[[#This Row],[Rating]]&gt;3.5,"Average","Poor")))</f>
        <v>Good</v>
      </c>
    </row>
    <row r="843" spans="1:13" x14ac:dyDescent="0.35">
      <c r="A843" t="s">
        <v>475</v>
      </c>
      <c r="B843" s="9" t="s">
        <v>547</v>
      </c>
      <c r="C843" t="s">
        <v>152</v>
      </c>
      <c r="D843" t="s">
        <v>134</v>
      </c>
      <c r="E843" t="s">
        <v>124</v>
      </c>
      <c r="F843">
        <v>4.3</v>
      </c>
      <c r="G843">
        <v>4200</v>
      </c>
      <c r="H843">
        <v>4200</v>
      </c>
      <c r="I843">
        <f>FlipkartTable[[#This Row],[Original Price]]-FlipkartTable[[#This Row],[Selling Price]]</f>
        <v>0</v>
      </c>
      <c r="J843" s="4">
        <f>(FlipkartTable[[#This Row],[Original Price]]-FlipkartTable[[#This Row],[Selling Price]])/FlipkartTable[[#This Row],[Original Price]]</f>
        <v>0</v>
      </c>
      <c r="K843">
        <f>(FlipkartTable[[#This Row],[Rating]]/FlipkartTable[[#This Row],[Selling Price]])*1000</f>
        <v>1.0238095238095239</v>
      </c>
      <c r="L843" t="str">
        <f>IF(FlipkartTable[[#This Row],[Selling Price]]&lt;15000,"Budget",IF(FlipkartTable[[#This Row],[Selling Price]]&lt;50000,"Mid Range","Premium"))</f>
        <v>Budget</v>
      </c>
      <c r="M843" t="str">
        <f>IF(FlipkartTable[[#This Row],[Rating]]&gt;4.5,"Excellent",IF(FlipkartTable[[#This Row],[Rating]]&gt;4,"Good",IF(FlipkartTable[[#This Row],[Rating]]&gt;3.5,"Average","Poor")))</f>
        <v>Good</v>
      </c>
    </row>
    <row r="844" spans="1:13" x14ac:dyDescent="0.35">
      <c r="A844" t="s">
        <v>475</v>
      </c>
      <c r="B844" s="9" t="s">
        <v>525</v>
      </c>
      <c r="C844" t="s">
        <v>152</v>
      </c>
      <c r="D844" t="s">
        <v>134</v>
      </c>
      <c r="E844" t="s">
        <v>27</v>
      </c>
      <c r="F844">
        <v>3.5</v>
      </c>
      <c r="G844">
        <v>3499</v>
      </c>
      <c r="H844">
        <v>3499</v>
      </c>
      <c r="I844">
        <f>FlipkartTable[[#This Row],[Original Price]]-FlipkartTable[[#This Row],[Selling Price]]</f>
        <v>0</v>
      </c>
      <c r="J844" s="4">
        <f>(FlipkartTable[[#This Row],[Original Price]]-FlipkartTable[[#This Row],[Selling Price]])/FlipkartTable[[#This Row],[Original Price]]</f>
        <v>0</v>
      </c>
      <c r="K844">
        <f>(FlipkartTable[[#This Row],[Rating]]/FlipkartTable[[#This Row],[Selling Price]])*1000</f>
        <v>1.0002857959416975</v>
      </c>
      <c r="L844" t="str">
        <f>IF(FlipkartTable[[#This Row],[Selling Price]]&lt;15000,"Budget",IF(FlipkartTable[[#This Row],[Selling Price]]&lt;50000,"Mid Range","Premium"))</f>
        <v>Budget</v>
      </c>
      <c r="M844" t="str">
        <f>IF(FlipkartTable[[#This Row],[Rating]]&gt;4.5,"Excellent",IF(FlipkartTable[[#This Row],[Rating]]&gt;4,"Good",IF(FlipkartTable[[#This Row],[Rating]]&gt;3.5,"Average","Poor")))</f>
        <v>Poor</v>
      </c>
    </row>
    <row r="845" spans="1:13" x14ac:dyDescent="0.35">
      <c r="A845" t="s">
        <v>475</v>
      </c>
      <c r="B845" s="9" t="s">
        <v>548</v>
      </c>
      <c r="C845" t="s">
        <v>19</v>
      </c>
      <c r="D845" t="s">
        <v>263</v>
      </c>
      <c r="E845" t="s">
        <v>11</v>
      </c>
      <c r="F845">
        <v>3.6</v>
      </c>
      <c r="G845">
        <v>2290</v>
      </c>
      <c r="H845">
        <v>2290</v>
      </c>
      <c r="I845">
        <f>FlipkartTable[[#This Row],[Original Price]]-FlipkartTable[[#This Row],[Selling Price]]</f>
        <v>0</v>
      </c>
      <c r="J845" s="4">
        <f>(FlipkartTable[[#This Row],[Original Price]]-FlipkartTable[[#This Row],[Selling Price]])/FlipkartTable[[#This Row],[Original Price]]</f>
        <v>0</v>
      </c>
      <c r="K845">
        <f>(FlipkartTable[[#This Row],[Rating]]/FlipkartTable[[#This Row],[Selling Price]])*1000</f>
        <v>1.5720524017467248</v>
      </c>
      <c r="L845" t="str">
        <f>IF(FlipkartTable[[#This Row],[Selling Price]]&lt;15000,"Budget",IF(FlipkartTable[[#This Row],[Selling Price]]&lt;50000,"Mid Range","Premium"))</f>
        <v>Budget</v>
      </c>
      <c r="M845" t="str">
        <f>IF(FlipkartTable[[#This Row],[Rating]]&gt;4.5,"Excellent",IF(FlipkartTable[[#This Row],[Rating]]&gt;4,"Good",IF(FlipkartTable[[#This Row],[Rating]]&gt;3.5,"Average","Poor")))</f>
        <v>Average</v>
      </c>
    </row>
    <row r="846" spans="1:13" x14ac:dyDescent="0.35">
      <c r="A846" t="s">
        <v>475</v>
      </c>
      <c r="B846" s="9" t="s">
        <v>513</v>
      </c>
      <c r="C846" t="s">
        <v>152</v>
      </c>
      <c r="D846" t="s">
        <v>35</v>
      </c>
      <c r="E846" t="s">
        <v>124</v>
      </c>
      <c r="F846">
        <v>4.0999999999999996</v>
      </c>
      <c r="G846">
        <v>15999</v>
      </c>
      <c r="H846">
        <v>15999</v>
      </c>
      <c r="I846">
        <f>FlipkartTable[[#This Row],[Original Price]]-FlipkartTable[[#This Row],[Selling Price]]</f>
        <v>0</v>
      </c>
      <c r="J846" s="4">
        <f>(FlipkartTable[[#This Row],[Original Price]]-FlipkartTable[[#This Row],[Selling Price]])/FlipkartTable[[#This Row],[Original Price]]</f>
        <v>0</v>
      </c>
      <c r="K846">
        <f>(FlipkartTable[[#This Row],[Rating]]/FlipkartTable[[#This Row],[Selling Price]])*1000</f>
        <v>0.25626601662603909</v>
      </c>
      <c r="L846" t="str">
        <f>IF(FlipkartTable[[#This Row],[Selling Price]]&lt;15000,"Budget",IF(FlipkartTable[[#This Row],[Selling Price]]&lt;50000,"Mid Range","Premium"))</f>
        <v>Mid Range</v>
      </c>
      <c r="M846" t="str">
        <f>IF(FlipkartTable[[#This Row],[Rating]]&gt;4.5,"Excellent",IF(FlipkartTable[[#This Row],[Rating]]&gt;4,"Good",IF(FlipkartTable[[#This Row],[Rating]]&gt;3.5,"Average","Poor")))</f>
        <v>Good</v>
      </c>
    </row>
    <row r="847" spans="1:13" x14ac:dyDescent="0.35">
      <c r="A847" t="s">
        <v>475</v>
      </c>
      <c r="B847" s="9" t="s">
        <v>530</v>
      </c>
      <c r="C847" t="s">
        <v>116</v>
      </c>
      <c r="D847" t="s">
        <v>20</v>
      </c>
      <c r="E847" t="s">
        <v>21</v>
      </c>
      <c r="F847">
        <v>3.8</v>
      </c>
      <c r="G847">
        <v>7999</v>
      </c>
      <c r="H847">
        <v>20924</v>
      </c>
      <c r="I847">
        <f>FlipkartTable[[#This Row],[Original Price]]-FlipkartTable[[#This Row],[Selling Price]]</f>
        <v>12925</v>
      </c>
      <c r="J847" s="4">
        <f>(FlipkartTable[[#This Row],[Original Price]]-FlipkartTable[[#This Row],[Selling Price]])/FlipkartTable[[#This Row],[Original Price]]</f>
        <v>0.61771171860064999</v>
      </c>
      <c r="K847">
        <f>(FlipkartTable[[#This Row],[Rating]]/FlipkartTable[[#This Row],[Selling Price]])*1000</f>
        <v>0.47505938242280282</v>
      </c>
      <c r="L847" t="str">
        <f>IF(FlipkartTable[[#This Row],[Selling Price]]&lt;15000,"Budget",IF(FlipkartTable[[#This Row],[Selling Price]]&lt;50000,"Mid Range","Premium"))</f>
        <v>Budget</v>
      </c>
      <c r="M847" t="str">
        <f>IF(FlipkartTable[[#This Row],[Rating]]&gt;4.5,"Excellent",IF(FlipkartTable[[#This Row],[Rating]]&gt;4,"Good",IF(FlipkartTable[[#This Row],[Rating]]&gt;3.5,"Average","Poor")))</f>
        <v>Average</v>
      </c>
    </row>
    <row r="848" spans="1:13" x14ac:dyDescent="0.35">
      <c r="A848" t="s">
        <v>475</v>
      </c>
      <c r="B848" s="9" t="s">
        <v>522</v>
      </c>
      <c r="C848" t="s">
        <v>484</v>
      </c>
      <c r="D848" t="s">
        <v>20</v>
      </c>
      <c r="E848" t="s">
        <v>124</v>
      </c>
      <c r="F848">
        <v>3.7</v>
      </c>
      <c r="G848">
        <v>8950</v>
      </c>
      <c r="H848">
        <v>8950</v>
      </c>
      <c r="I848">
        <f>FlipkartTable[[#This Row],[Original Price]]-FlipkartTable[[#This Row],[Selling Price]]</f>
        <v>0</v>
      </c>
      <c r="J848" s="4">
        <f>(FlipkartTable[[#This Row],[Original Price]]-FlipkartTable[[#This Row],[Selling Price]])/FlipkartTable[[#This Row],[Original Price]]</f>
        <v>0</v>
      </c>
      <c r="K848">
        <f>(FlipkartTable[[#This Row],[Rating]]/FlipkartTable[[#This Row],[Selling Price]])*1000</f>
        <v>0.41340782122905029</v>
      </c>
      <c r="L848" t="str">
        <f>IF(FlipkartTable[[#This Row],[Selling Price]]&lt;15000,"Budget",IF(FlipkartTable[[#This Row],[Selling Price]]&lt;50000,"Mid Range","Premium"))</f>
        <v>Budget</v>
      </c>
      <c r="M848" t="str">
        <f>IF(FlipkartTable[[#This Row],[Rating]]&gt;4.5,"Excellent",IF(FlipkartTable[[#This Row],[Rating]]&gt;4,"Good",IF(FlipkartTable[[#This Row],[Rating]]&gt;3.5,"Average","Poor")))</f>
        <v>Average</v>
      </c>
    </row>
    <row r="849" spans="1:13" x14ac:dyDescent="0.35">
      <c r="A849" t="s">
        <v>475</v>
      </c>
      <c r="B849" s="9" t="s">
        <v>549</v>
      </c>
      <c r="C849" t="s">
        <v>141</v>
      </c>
      <c r="D849" t="s">
        <v>134</v>
      </c>
      <c r="E849" t="s">
        <v>27</v>
      </c>
      <c r="F849">
        <v>3.7</v>
      </c>
      <c r="G849">
        <v>4150</v>
      </c>
      <c r="H849">
        <v>4150</v>
      </c>
      <c r="I849">
        <f>FlipkartTable[[#This Row],[Original Price]]-FlipkartTable[[#This Row],[Selling Price]]</f>
        <v>0</v>
      </c>
      <c r="J849" s="4">
        <f>(FlipkartTable[[#This Row],[Original Price]]-FlipkartTable[[#This Row],[Selling Price]])/FlipkartTable[[#This Row],[Original Price]]</f>
        <v>0</v>
      </c>
      <c r="K849">
        <f>(FlipkartTable[[#This Row],[Rating]]/FlipkartTable[[#This Row],[Selling Price]])*1000</f>
        <v>0.89156626506024095</v>
      </c>
      <c r="L849" t="str">
        <f>IF(FlipkartTable[[#This Row],[Selling Price]]&lt;15000,"Budget",IF(FlipkartTable[[#This Row],[Selling Price]]&lt;50000,"Mid Range","Premium"))</f>
        <v>Budget</v>
      </c>
      <c r="M849" t="str">
        <f>IF(FlipkartTable[[#This Row],[Rating]]&gt;4.5,"Excellent",IF(FlipkartTable[[#This Row],[Rating]]&gt;4,"Good",IF(FlipkartTable[[#This Row],[Rating]]&gt;3.5,"Average","Poor")))</f>
        <v>Average</v>
      </c>
    </row>
    <row r="850" spans="1:13" x14ac:dyDescent="0.35">
      <c r="A850" t="s">
        <v>475</v>
      </c>
      <c r="B850" s="9" t="s">
        <v>548</v>
      </c>
      <c r="C850" t="s">
        <v>152</v>
      </c>
      <c r="D850" t="s">
        <v>263</v>
      </c>
      <c r="E850" t="s">
        <v>11</v>
      </c>
      <c r="F850">
        <v>3.6</v>
      </c>
      <c r="G850">
        <v>3490</v>
      </c>
      <c r="H850">
        <v>3490</v>
      </c>
      <c r="I850">
        <f>FlipkartTable[[#This Row],[Original Price]]-FlipkartTable[[#This Row],[Selling Price]]</f>
        <v>0</v>
      </c>
      <c r="J850" s="4">
        <f>(FlipkartTable[[#This Row],[Original Price]]-FlipkartTable[[#This Row],[Selling Price]])/FlipkartTable[[#This Row],[Original Price]]</f>
        <v>0</v>
      </c>
      <c r="K850">
        <f>(FlipkartTable[[#This Row],[Rating]]/FlipkartTable[[#This Row],[Selling Price]])*1000</f>
        <v>1.0315186246418337</v>
      </c>
      <c r="L850" t="str">
        <f>IF(FlipkartTable[[#This Row],[Selling Price]]&lt;15000,"Budget",IF(FlipkartTable[[#This Row],[Selling Price]]&lt;50000,"Mid Range","Premium"))</f>
        <v>Budget</v>
      </c>
      <c r="M850" t="str">
        <f>IF(FlipkartTable[[#This Row],[Rating]]&gt;4.5,"Excellent",IF(FlipkartTable[[#This Row],[Rating]]&gt;4,"Good",IF(FlipkartTable[[#This Row],[Rating]]&gt;3.5,"Average","Poor")))</f>
        <v>Average</v>
      </c>
    </row>
    <row r="851" spans="1:13" x14ac:dyDescent="0.35">
      <c r="A851" t="s">
        <v>475</v>
      </c>
      <c r="B851" s="9" t="s">
        <v>530</v>
      </c>
      <c r="C851" t="s">
        <v>114</v>
      </c>
      <c r="D851" t="s">
        <v>20</v>
      </c>
      <c r="E851" t="s">
        <v>21</v>
      </c>
      <c r="F851">
        <v>3.8</v>
      </c>
      <c r="G851">
        <v>6600</v>
      </c>
      <c r="H851">
        <v>6600</v>
      </c>
      <c r="I851">
        <f>FlipkartTable[[#This Row],[Original Price]]-FlipkartTable[[#This Row],[Selling Price]]</f>
        <v>0</v>
      </c>
      <c r="J851" s="4">
        <f>(FlipkartTable[[#This Row],[Original Price]]-FlipkartTable[[#This Row],[Selling Price]])/FlipkartTable[[#This Row],[Original Price]]</f>
        <v>0</v>
      </c>
      <c r="K851">
        <f>(FlipkartTable[[#This Row],[Rating]]/FlipkartTable[[#This Row],[Selling Price]])*1000</f>
        <v>0.57575757575757569</v>
      </c>
      <c r="L851" t="str">
        <f>IF(FlipkartTable[[#This Row],[Selling Price]]&lt;15000,"Budget",IF(FlipkartTable[[#This Row],[Selling Price]]&lt;50000,"Mid Range","Premium"))</f>
        <v>Budget</v>
      </c>
      <c r="M851" t="str">
        <f>IF(FlipkartTable[[#This Row],[Rating]]&gt;4.5,"Excellent",IF(FlipkartTable[[#This Row],[Rating]]&gt;4,"Good",IF(FlipkartTable[[#This Row],[Rating]]&gt;3.5,"Average","Poor")))</f>
        <v>Average</v>
      </c>
    </row>
    <row r="852" spans="1:13" x14ac:dyDescent="0.35">
      <c r="A852" t="s">
        <v>550</v>
      </c>
      <c r="B852" s="9" t="s">
        <v>551</v>
      </c>
      <c r="C852" t="s">
        <v>19</v>
      </c>
      <c r="D852" t="s">
        <v>552</v>
      </c>
      <c r="E852" t="s">
        <v>552</v>
      </c>
      <c r="F852">
        <v>4.2</v>
      </c>
      <c r="G852">
        <v>1349</v>
      </c>
      <c r="H852">
        <v>1599</v>
      </c>
      <c r="I852">
        <f>FlipkartTable[[#This Row],[Original Price]]-FlipkartTable[[#This Row],[Selling Price]]</f>
        <v>250</v>
      </c>
      <c r="J852" s="4">
        <f>(FlipkartTable[[#This Row],[Original Price]]-FlipkartTable[[#This Row],[Selling Price]])/FlipkartTable[[#This Row],[Original Price]]</f>
        <v>0.15634771732332708</v>
      </c>
      <c r="K852">
        <f>(FlipkartTable[[#This Row],[Rating]]/FlipkartTable[[#This Row],[Selling Price]])*1000</f>
        <v>3.1134173461823575</v>
      </c>
      <c r="L852" t="str">
        <f>IF(FlipkartTable[[#This Row],[Selling Price]]&lt;15000,"Budget",IF(FlipkartTable[[#This Row],[Selling Price]]&lt;50000,"Mid Range","Premium"))</f>
        <v>Budget</v>
      </c>
      <c r="M852" t="str">
        <f>IF(FlipkartTable[[#This Row],[Rating]]&gt;4.5,"Excellent",IF(FlipkartTable[[#This Row],[Rating]]&gt;4,"Good",IF(FlipkartTable[[#This Row],[Rating]]&gt;3.5,"Average","Poor")))</f>
        <v>Good</v>
      </c>
    </row>
    <row r="853" spans="1:13" x14ac:dyDescent="0.35">
      <c r="A853" t="s">
        <v>550</v>
      </c>
      <c r="B853" s="9" t="s">
        <v>553</v>
      </c>
      <c r="C853" t="s">
        <v>19</v>
      </c>
      <c r="D853" t="s">
        <v>552</v>
      </c>
      <c r="E853" t="s">
        <v>552</v>
      </c>
      <c r="F853">
        <v>4.2</v>
      </c>
      <c r="G853">
        <v>1340</v>
      </c>
      <c r="H853">
        <v>1340</v>
      </c>
      <c r="I853">
        <f>FlipkartTable[[#This Row],[Original Price]]-FlipkartTable[[#This Row],[Selling Price]]</f>
        <v>0</v>
      </c>
      <c r="J853" s="4">
        <f>(FlipkartTable[[#This Row],[Original Price]]-FlipkartTable[[#This Row],[Selling Price]])/FlipkartTable[[#This Row],[Original Price]]</f>
        <v>0</v>
      </c>
      <c r="K853">
        <f>(FlipkartTable[[#This Row],[Rating]]/FlipkartTable[[#This Row],[Selling Price]])*1000</f>
        <v>3.1343283582089549</v>
      </c>
      <c r="L853" t="str">
        <f>IF(FlipkartTable[[#This Row],[Selling Price]]&lt;15000,"Budget",IF(FlipkartTable[[#This Row],[Selling Price]]&lt;50000,"Mid Range","Premium"))</f>
        <v>Budget</v>
      </c>
      <c r="M853" t="str">
        <f>IF(FlipkartTable[[#This Row],[Rating]]&gt;4.5,"Excellent",IF(FlipkartTable[[#This Row],[Rating]]&gt;4,"Good",IF(FlipkartTable[[#This Row],[Rating]]&gt;3.5,"Average","Poor")))</f>
        <v>Good</v>
      </c>
    </row>
    <row r="854" spans="1:13" x14ac:dyDescent="0.35">
      <c r="A854" t="s">
        <v>550</v>
      </c>
      <c r="B854" s="9" t="s">
        <v>553</v>
      </c>
      <c r="C854" t="s">
        <v>19</v>
      </c>
      <c r="D854" t="s">
        <v>552</v>
      </c>
      <c r="E854" t="s">
        <v>552</v>
      </c>
      <c r="F854">
        <v>4.2</v>
      </c>
      <c r="G854">
        <v>1332</v>
      </c>
      <c r="H854">
        <v>1332</v>
      </c>
      <c r="I854">
        <f>FlipkartTable[[#This Row],[Original Price]]-FlipkartTable[[#This Row],[Selling Price]]</f>
        <v>0</v>
      </c>
      <c r="J854" s="4">
        <f>(FlipkartTable[[#This Row],[Original Price]]-FlipkartTable[[#This Row],[Selling Price]])/FlipkartTable[[#This Row],[Original Price]]</f>
        <v>0</v>
      </c>
      <c r="K854">
        <f>(FlipkartTable[[#This Row],[Rating]]/FlipkartTable[[#This Row],[Selling Price]])*1000</f>
        <v>3.1531531531531534</v>
      </c>
      <c r="L854" t="str">
        <f>IF(FlipkartTable[[#This Row],[Selling Price]]&lt;15000,"Budget",IF(FlipkartTable[[#This Row],[Selling Price]]&lt;50000,"Mid Range","Premium"))</f>
        <v>Budget</v>
      </c>
      <c r="M854" t="str">
        <f>IF(FlipkartTable[[#This Row],[Rating]]&gt;4.5,"Excellent",IF(FlipkartTable[[#This Row],[Rating]]&gt;4,"Good",IF(FlipkartTable[[#This Row],[Rating]]&gt;3.5,"Average","Poor")))</f>
        <v>Good</v>
      </c>
    </row>
    <row r="855" spans="1:13" x14ac:dyDescent="0.35">
      <c r="A855" t="s">
        <v>550</v>
      </c>
      <c r="B855" s="9">
        <v>105</v>
      </c>
      <c r="C855" t="s">
        <v>19</v>
      </c>
      <c r="D855" t="s">
        <v>554</v>
      </c>
      <c r="E855" t="s">
        <v>539</v>
      </c>
      <c r="F855">
        <v>4.0999999999999996</v>
      </c>
      <c r="G855">
        <v>1344</v>
      </c>
      <c r="H855">
        <v>1344</v>
      </c>
      <c r="I855">
        <f>FlipkartTable[[#This Row],[Original Price]]-FlipkartTable[[#This Row],[Selling Price]]</f>
        <v>0</v>
      </c>
      <c r="J855" s="4">
        <f>(FlipkartTable[[#This Row],[Original Price]]-FlipkartTable[[#This Row],[Selling Price]])/FlipkartTable[[#This Row],[Original Price]]</f>
        <v>0</v>
      </c>
      <c r="K855">
        <f>(FlipkartTable[[#This Row],[Rating]]/FlipkartTable[[#This Row],[Selling Price]])*1000</f>
        <v>3.0505952380952377</v>
      </c>
      <c r="L855" t="str">
        <f>IF(FlipkartTable[[#This Row],[Selling Price]]&lt;15000,"Budget",IF(FlipkartTable[[#This Row],[Selling Price]]&lt;50000,"Mid Range","Premium"))</f>
        <v>Budget</v>
      </c>
      <c r="M855" t="str">
        <f>IF(FlipkartTable[[#This Row],[Rating]]&gt;4.5,"Excellent",IF(FlipkartTable[[#This Row],[Rating]]&gt;4,"Good",IF(FlipkartTable[[#This Row],[Rating]]&gt;3.5,"Average","Poor")))</f>
        <v>Good</v>
      </c>
    </row>
    <row r="856" spans="1:13" x14ac:dyDescent="0.35">
      <c r="A856" t="s">
        <v>550</v>
      </c>
      <c r="B856" s="9" t="s">
        <v>551</v>
      </c>
      <c r="C856" t="s">
        <v>19</v>
      </c>
      <c r="D856" t="s">
        <v>552</v>
      </c>
      <c r="E856" t="s">
        <v>552</v>
      </c>
      <c r="F856">
        <v>4.2</v>
      </c>
      <c r="G856">
        <v>1399</v>
      </c>
      <c r="H856">
        <v>1599</v>
      </c>
      <c r="I856">
        <f>FlipkartTable[[#This Row],[Original Price]]-FlipkartTable[[#This Row],[Selling Price]]</f>
        <v>200</v>
      </c>
      <c r="J856" s="4">
        <f>(FlipkartTable[[#This Row],[Original Price]]-FlipkartTable[[#This Row],[Selling Price]])/FlipkartTable[[#This Row],[Original Price]]</f>
        <v>0.12507817385866166</v>
      </c>
      <c r="K856">
        <f>(FlipkartTable[[#This Row],[Rating]]/FlipkartTable[[#This Row],[Selling Price]])*1000</f>
        <v>3.0021443888491781</v>
      </c>
      <c r="L856" t="str">
        <f>IF(FlipkartTable[[#This Row],[Selling Price]]&lt;15000,"Budget",IF(FlipkartTable[[#This Row],[Selling Price]]&lt;50000,"Mid Range","Premium"))</f>
        <v>Budget</v>
      </c>
      <c r="M856" t="str">
        <f>IF(FlipkartTable[[#This Row],[Rating]]&gt;4.5,"Excellent",IF(FlipkartTable[[#This Row],[Rating]]&gt;4,"Good",IF(FlipkartTable[[#This Row],[Rating]]&gt;3.5,"Average","Poor")))</f>
        <v>Good</v>
      </c>
    </row>
    <row r="857" spans="1:13" x14ac:dyDescent="0.35">
      <c r="A857" t="s">
        <v>550</v>
      </c>
      <c r="B857" s="9" t="s">
        <v>555</v>
      </c>
      <c r="C857" t="s">
        <v>19</v>
      </c>
      <c r="D857" t="s">
        <v>552</v>
      </c>
      <c r="E857" t="s">
        <v>552</v>
      </c>
      <c r="F857">
        <v>4.0999999999999996</v>
      </c>
      <c r="G857">
        <v>1695</v>
      </c>
      <c r="H857">
        <v>1695</v>
      </c>
      <c r="I857">
        <f>FlipkartTable[[#This Row],[Original Price]]-FlipkartTable[[#This Row],[Selling Price]]</f>
        <v>0</v>
      </c>
      <c r="J857" s="4">
        <f>(FlipkartTable[[#This Row],[Original Price]]-FlipkartTable[[#This Row],[Selling Price]])/FlipkartTable[[#This Row],[Original Price]]</f>
        <v>0</v>
      </c>
      <c r="K857">
        <f>(FlipkartTable[[#This Row],[Rating]]/FlipkartTable[[#This Row],[Selling Price]])*1000</f>
        <v>2.4188790560471976</v>
      </c>
      <c r="L857" t="str">
        <f>IF(FlipkartTable[[#This Row],[Selling Price]]&lt;15000,"Budget",IF(FlipkartTable[[#This Row],[Selling Price]]&lt;50000,"Mid Range","Premium"))</f>
        <v>Budget</v>
      </c>
      <c r="M857" t="str">
        <f>IF(FlipkartTable[[#This Row],[Rating]]&gt;4.5,"Excellent",IF(FlipkartTable[[#This Row],[Rating]]&gt;4,"Good",IF(FlipkartTable[[#This Row],[Rating]]&gt;3.5,"Average","Poor")))</f>
        <v>Good</v>
      </c>
    </row>
    <row r="858" spans="1:13" x14ac:dyDescent="0.35">
      <c r="A858" t="s">
        <v>550</v>
      </c>
      <c r="B858" s="9" t="s">
        <v>556</v>
      </c>
      <c r="C858" t="s">
        <v>19</v>
      </c>
      <c r="D858" t="s">
        <v>489</v>
      </c>
      <c r="E858" t="s">
        <v>539</v>
      </c>
      <c r="F858">
        <v>4.2</v>
      </c>
      <c r="G858">
        <v>2875</v>
      </c>
      <c r="H858">
        <v>2999</v>
      </c>
      <c r="I858">
        <f>FlipkartTable[[#This Row],[Original Price]]-FlipkartTable[[#This Row],[Selling Price]]</f>
        <v>124</v>
      </c>
      <c r="J858" s="4">
        <f>(FlipkartTable[[#This Row],[Original Price]]-FlipkartTable[[#This Row],[Selling Price]])/FlipkartTable[[#This Row],[Original Price]]</f>
        <v>4.1347115705235075E-2</v>
      </c>
      <c r="K858">
        <f>(FlipkartTable[[#This Row],[Rating]]/FlipkartTable[[#This Row],[Selling Price]])*1000</f>
        <v>1.4608695652173913</v>
      </c>
      <c r="L858" t="str">
        <f>IF(FlipkartTable[[#This Row],[Selling Price]]&lt;15000,"Budget",IF(FlipkartTable[[#This Row],[Selling Price]]&lt;50000,"Mid Range","Premium"))</f>
        <v>Budget</v>
      </c>
      <c r="M858" t="str">
        <f>IF(FlipkartTable[[#This Row],[Rating]]&gt;4.5,"Excellent",IF(FlipkartTable[[#This Row],[Rating]]&gt;4,"Good",IF(FlipkartTable[[#This Row],[Rating]]&gt;3.5,"Average","Poor")))</f>
        <v>Good</v>
      </c>
    </row>
    <row r="859" spans="1:13" x14ac:dyDescent="0.35">
      <c r="A859" t="s">
        <v>550</v>
      </c>
      <c r="B859" s="9" t="s">
        <v>557</v>
      </c>
      <c r="C859" t="s">
        <v>19</v>
      </c>
      <c r="D859" t="s">
        <v>552</v>
      </c>
      <c r="E859" t="s">
        <v>552</v>
      </c>
      <c r="F859">
        <v>4.0999999999999996</v>
      </c>
      <c r="G859">
        <v>2440</v>
      </c>
      <c r="H859">
        <v>2510</v>
      </c>
      <c r="I859">
        <f>FlipkartTable[[#This Row],[Original Price]]-FlipkartTable[[#This Row],[Selling Price]]</f>
        <v>70</v>
      </c>
      <c r="J859" s="4">
        <f>(FlipkartTable[[#This Row],[Original Price]]-FlipkartTable[[#This Row],[Selling Price]])/FlipkartTable[[#This Row],[Original Price]]</f>
        <v>2.7888446215139442E-2</v>
      </c>
      <c r="K859">
        <f>(FlipkartTable[[#This Row],[Rating]]/FlipkartTable[[#This Row],[Selling Price]])*1000</f>
        <v>1.6803278688524588</v>
      </c>
      <c r="L859" t="str">
        <f>IF(FlipkartTable[[#This Row],[Selling Price]]&lt;15000,"Budget",IF(FlipkartTable[[#This Row],[Selling Price]]&lt;50000,"Mid Range","Premium"))</f>
        <v>Budget</v>
      </c>
      <c r="M859" t="str">
        <f>IF(FlipkartTable[[#This Row],[Rating]]&gt;4.5,"Excellent",IF(FlipkartTable[[#This Row],[Rating]]&gt;4,"Good",IF(FlipkartTable[[#This Row],[Rating]]&gt;3.5,"Average","Poor")))</f>
        <v>Good</v>
      </c>
    </row>
    <row r="860" spans="1:13" x14ac:dyDescent="0.35">
      <c r="A860" t="s">
        <v>550</v>
      </c>
      <c r="B860" s="9" t="s">
        <v>555</v>
      </c>
      <c r="C860" t="s">
        <v>19</v>
      </c>
      <c r="D860" t="s">
        <v>552</v>
      </c>
      <c r="E860" t="s">
        <v>552</v>
      </c>
      <c r="F860">
        <v>4.0999999999999996</v>
      </c>
      <c r="G860">
        <v>1680</v>
      </c>
      <c r="H860">
        <v>1762</v>
      </c>
      <c r="I860">
        <f>FlipkartTable[[#This Row],[Original Price]]-FlipkartTable[[#This Row],[Selling Price]]</f>
        <v>82</v>
      </c>
      <c r="J860" s="4">
        <f>(FlipkartTable[[#This Row],[Original Price]]-FlipkartTable[[#This Row],[Selling Price]])/FlipkartTable[[#This Row],[Original Price]]</f>
        <v>4.6538024971623154E-2</v>
      </c>
      <c r="K860">
        <f>(FlipkartTable[[#This Row],[Rating]]/FlipkartTable[[#This Row],[Selling Price]])*1000</f>
        <v>2.4404761904761902</v>
      </c>
      <c r="L860" t="str">
        <f>IF(FlipkartTable[[#This Row],[Selling Price]]&lt;15000,"Budget",IF(FlipkartTable[[#This Row],[Selling Price]]&lt;50000,"Mid Range","Premium"))</f>
        <v>Budget</v>
      </c>
      <c r="M860" t="str">
        <f>IF(FlipkartTable[[#This Row],[Rating]]&gt;4.5,"Excellent",IF(FlipkartTable[[#This Row],[Rating]]&gt;4,"Good",IF(FlipkartTable[[#This Row],[Rating]]&gt;3.5,"Average","Poor")))</f>
        <v>Good</v>
      </c>
    </row>
    <row r="861" spans="1:13" x14ac:dyDescent="0.35">
      <c r="A861" t="s">
        <v>550</v>
      </c>
      <c r="B861" s="9" t="s">
        <v>558</v>
      </c>
      <c r="C861" t="s">
        <v>19</v>
      </c>
      <c r="D861" t="s">
        <v>552</v>
      </c>
      <c r="E861" t="s">
        <v>552</v>
      </c>
      <c r="F861">
        <v>4.0999999999999996</v>
      </c>
      <c r="G861">
        <v>2480</v>
      </c>
      <c r="H861">
        <v>2599</v>
      </c>
      <c r="I861">
        <f>FlipkartTable[[#This Row],[Original Price]]-FlipkartTable[[#This Row],[Selling Price]]</f>
        <v>119</v>
      </c>
      <c r="J861" s="4">
        <f>(FlipkartTable[[#This Row],[Original Price]]-FlipkartTable[[#This Row],[Selling Price]])/FlipkartTable[[#This Row],[Original Price]]</f>
        <v>4.5786841092727973E-2</v>
      </c>
      <c r="K861">
        <f>(FlipkartTable[[#This Row],[Rating]]/FlipkartTable[[#This Row],[Selling Price]])*1000</f>
        <v>1.6532258064516128</v>
      </c>
      <c r="L861" t="str">
        <f>IF(FlipkartTable[[#This Row],[Selling Price]]&lt;15000,"Budget",IF(FlipkartTable[[#This Row],[Selling Price]]&lt;50000,"Mid Range","Premium"))</f>
        <v>Budget</v>
      </c>
      <c r="M861" t="str">
        <f>IF(FlipkartTable[[#This Row],[Rating]]&gt;4.5,"Excellent",IF(FlipkartTable[[#This Row],[Rating]]&gt;4,"Good",IF(FlipkartTable[[#This Row],[Rating]]&gt;3.5,"Average","Poor")))</f>
        <v>Good</v>
      </c>
    </row>
    <row r="862" spans="1:13" x14ac:dyDescent="0.35">
      <c r="A862" t="s">
        <v>550</v>
      </c>
      <c r="B862" s="9" t="s">
        <v>551</v>
      </c>
      <c r="C862" t="s">
        <v>19</v>
      </c>
      <c r="D862" t="s">
        <v>552</v>
      </c>
      <c r="E862" t="s">
        <v>552</v>
      </c>
      <c r="F862">
        <v>4.2</v>
      </c>
      <c r="G862">
        <v>1490</v>
      </c>
      <c r="H862">
        <v>1490</v>
      </c>
      <c r="I862">
        <f>FlipkartTable[[#This Row],[Original Price]]-FlipkartTable[[#This Row],[Selling Price]]</f>
        <v>0</v>
      </c>
      <c r="J862" s="4">
        <f>(FlipkartTable[[#This Row],[Original Price]]-FlipkartTable[[#This Row],[Selling Price]])/FlipkartTable[[#This Row],[Original Price]]</f>
        <v>0</v>
      </c>
      <c r="K862">
        <f>(FlipkartTable[[#This Row],[Rating]]/FlipkartTable[[#This Row],[Selling Price]])*1000</f>
        <v>2.8187919463087252</v>
      </c>
      <c r="L862" t="str">
        <f>IF(FlipkartTable[[#This Row],[Selling Price]]&lt;15000,"Budget",IF(FlipkartTable[[#This Row],[Selling Price]]&lt;50000,"Mid Range","Premium"))</f>
        <v>Budget</v>
      </c>
      <c r="M862" t="str">
        <f>IF(FlipkartTable[[#This Row],[Rating]]&gt;4.5,"Excellent",IF(FlipkartTable[[#This Row],[Rating]]&gt;4,"Good",IF(FlipkartTable[[#This Row],[Rating]]&gt;3.5,"Average","Poor")))</f>
        <v>Good</v>
      </c>
    </row>
    <row r="863" spans="1:13" x14ac:dyDescent="0.35">
      <c r="A863" t="s">
        <v>550</v>
      </c>
      <c r="B863" s="9" t="s">
        <v>559</v>
      </c>
      <c r="C863" t="s">
        <v>19</v>
      </c>
      <c r="D863" t="s">
        <v>552</v>
      </c>
      <c r="E863" t="s">
        <v>552</v>
      </c>
      <c r="F863">
        <v>4.2</v>
      </c>
      <c r="G863">
        <v>1349</v>
      </c>
      <c r="H863">
        <v>1349</v>
      </c>
      <c r="I863">
        <f>FlipkartTable[[#This Row],[Original Price]]-FlipkartTable[[#This Row],[Selling Price]]</f>
        <v>0</v>
      </c>
      <c r="J863" s="4">
        <f>(FlipkartTable[[#This Row],[Original Price]]-FlipkartTable[[#This Row],[Selling Price]])/FlipkartTable[[#This Row],[Original Price]]</f>
        <v>0</v>
      </c>
      <c r="K863">
        <f>(FlipkartTable[[#This Row],[Rating]]/FlipkartTable[[#This Row],[Selling Price]])*1000</f>
        <v>3.1134173461823575</v>
      </c>
      <c r="L863" t="str">
        <f>IF(FlipkartTable[[#This Row],[Selling Price]]&lt;15000,"Budget",IF(FlipkartTable[[#This Row],[Selling Price]]&lt;50000,"Mid Range","Premium"))</f>
        <v>Budget</v>
      </c>
      <c r="M863" t="str">
        <f>IF(FlipkartTable[[#This Row],[Rating]]&gt;4.5,"Excellent",IF(FlipkartTable[[#This Row],[Rating]]&gt;4,"Good",IF(FlipkartTable[[#This Row],[Rating]]&gt;3.5,"Average","Poor")))</f>
        <v>Good</v>
      </c>
    </row>
    <row r="864" spans="1:13" x14ac:dyDescent="0.35">
      <c r="A864" t="s">
        <v>550</v>
      </c>
      <c r="B864" s="9" t="s">
        <v>560</v>
      </c>
      <c r="C864" t="s">
        <v>19</v>
      </c>
      <c r="D864" t="s">
        <v>552</v>
      </c>
      <c r="E864" t="s">
        <v>552</v>
      </c>
      <c r="F864">
        <v>3.8</v>
      </c>
      <c r="G864">
        <v>2249</v>
      </c>
      <c r="H864">
        <v>2249</v>
      </c>
      <c r="I864">
        <f>FlipkartTable[[#This Row],[Original Price]]-FlipkartTable[[#This Row],[Selling Price]]</f>
        <v>0</v>
      </c>
      <c r="J864" s="4">
        <f>(FlipkartTable[[#This Row],[Original Price]]-FlipkartTable[[#This Row],[Selling Price]])/FlipkartTable[[#This Row],[Original Price]]</f>
        <v>0</v>
      </c>
      <c r="K864">
        <f>(FlipkartTable[[#This Row],[Rating]]/FlipkartTable[[#This Row],[Selling Price]])*1000</f>
        <v>1.689639839928857</v>
      </c>
      <c r="L864" t="str">
        <f>IF(FlipkartTable[[#This Row],[Selling Price]]&lt;15000,"Budget",IF(FlipkartTable[[#This Row],[Selling Price]]&lt;50000,"Mid Range","Premium"))</f>
        <v>Budget</v>
      </c>
      <c r="M864" t="str">
        <f>IF(FlipkartTable[[#This Row],[Rating]]&gt;4.5,"Excellent",IF(FlipkartTable[[#This Row],[Rating]]&gt;4,"Good",IF(FlipkartTable[[#This Row],[Rating]]&gt;3.5,"Average","Poor")))</f>
        <v>Average</v>
      </c>
    </row>
    <row r="865" spans="1:13" x14ac:dyDescent="0.35">
      <c r="A865" t="s">
        <v>550</v>
      </c>
      <c r="B865" s="9" t="s">
        <v>561</v>
      </c>
      <c r="C865" t="s">
        <v>19</v>
      </c>
      <c r="D865" t="s">
        <v>488</v>
      </c>
      <c r="E865" t="s">
        <v>489</v>
      </c>
      <c r="F865">
        <v>4.0999999999999996</v>
      </c>
      <c r="G865">
        <v>3429</v>
      </c>
      <c r="H865">
        <v>3445</v>
      </c>
      <c r="I865">
        <f>FlipkartTable[[#This Row],[Original Price]]-FlipkartTable[[#This Row],[Selling Price]]</f>
        <v>16</v>
      </c>
      <c r="J865" s="4">
        <f>(FlipkartTable[[#This Row],[Original Price]]-FlipkartTable[[#This Row],[Selling Price]])/FlipkartTable[[#This Row],[Original Price]]</f>
        <v>4.6444121915820025E-3</v>
      </c>
      <c r="K865">
        <f>(FlipkartTable[[#This Row],[Rating]]/FlipkartTable[[#This Row],[Selling Price]])*1000</f>
        <v>1.1956838728492269</v>
      </c>
      <c r="L865" t="str">
        <f>IF(FlipkartTable[[#This Row],[Selling Price]]&lt;15000,"Budget",IF(FlipkartTable[[#This Row],[Selling Price]]&lt;50000,"Mid Range","Premium"))</f>
        <v>Budget</v>
      </c>
      <c r="M865" t="str">
        <f>IF(FlipkartTable[[#This Row],[Rating]]&gt;4.5,"Excellent",IF(FlipkartTable[[#This Row],[Rating]]&gt;4,"Good",IF(FlipkartTable[[#This Row],[Rating]]&gt;3.5,"Average","Poor")))</f>
        <v>Good</v>
      </c>
    </row>
    <row r="866" spans="1:13" x14ac:dyDescent="0.35">
      <c r="A866" t="s">
        <v>550</v>
      </c>
      <c r="B866" s="9" t="s">
        <v>562</v>
      </c>
      <c r="C866" t="s">
        <v>19</v>
      </c>
      <c r="D866" t="s">
        <v>489</v>
      </c>
      <c r="E866" t="s">
        <v>563</v>
      </c>
      <c r="F866">
        <v>3.8</v>
      </c>
      <c r="G866">
        <v>3886</v>
      </c>
      <c r="H866">
        <v>3886</v>
      </c>
      <c r="I866">
        <f>FlipkartTable[[#This Row],[Original Price]]-FlipkartTable[[#This Row],[Selling Price]]</f>
        <v>0</v>
      </c>
      <c r="J866" s="4">
        <f>(FlipkartTable[[#This Row],[Original Price]]-FlipkartTable[[#This Row],[Selling Price]])/FlipkartTable[[#This Row],[Original Price]]</f>
        <v>0</v>
      </c>
      <c r="K866">
        <f>(FlipkartTable[[#This Row],[Rating]]/FlipkartTable[[#This Row],[Selling Price]])*1000</f>
        <v>0.9778692743180647</v>
      </c>
      <c r="L866" t="str">
        <f>IF(FlipkartTable[[#This Row],[Selling Price]]&lt;15000,"Budget",IF(FlipkartTable[[#This Row],[Selling Price]]&lt;50000,"Mid Range","Premium"))</f>
        <v>Budget</v>
      </c>
      <c r="M866" t="str">
        <f>IF(FlipkartTable[[#This Row],[Rating]]&gt;4.5,"Excellent",IF(FlipkartTable[[#This Row],[Rating]]&gt;4,"Good",IF(FlipkartTable[[#This Row],[Rating]]&gt;3.5,"Average","Poor")))</f>
        <v>Average</v>
      </c>
    </row>
    <row r="867" spans="1:13" x14ac:dyDescent="0.35">
      <c r="A867" t="s">
        <v>550</v>
      </c>
      <c r="B867" s="9">
        <v>3.4</v>
      </c>
      <c r="C867" t="s">
        <v>564</v>
      </c>
      <c r="D867" t="s">
        <v>11</v>
      </c>
      <c r="E867" t="s">
        <v>12</v>
      </c>
      <c r="F867">
        <v>3.9</v>
      </c>
      <c r="G867">
        <v>11999</v>
      </c>
      <c r="H867">
        <v>13999</v>
      </c>
      <c r="I867">
        <f>FlipkartTable[[#This Row],[Original Price]]-FlipkartTable[[#This Row],[Selling Price]]</f>
        <v>2000</v>
      </c>
      <c r="J867" s="4">
        <f>(FlipkartTable[[#This Row],[Original Price]]-FlipkartTable[[#This Row],[Selling Price]])/FlipkartTable[[#This Row],[Original Price]]</f>
        <v>0.14286734766769055</v>
      </c>
      <c r="K867">
        <f>(FlipkartTable[[#This Row],[Rating]]/FlipkartTable[[#This Row],[Selling Price]])*1000</f>
        <v>0.32502708559046584</v>
      </c>
      <c r="L867" t="str">
        <f>IF(FlipkartTable[[#This Row],[Selling Price]]&lt;15000,"Budget",IF(FlipkartTable[[#This Row],[Selling Price]]&lt;50000,"Mid Range","Premium"))</f>
        <v>Budget</v>
      </c>
      <c r="M867" t="str">
        <f>IF(FlipkartTable[[#This Row],[Rating]]&gt;4.5,"Excellent",IF(FlipkartTable[[#This Row],[Rating]]&gt;4,"Good",IF(FlipkartTable[[#This Row],[Rating]]&gt;3.5,"Average","Poor")))</f>
        <v>Average</v>
      </c>
    </row>
    <row r="868" spans="1:13" x14ac:dyDescent="0.35">
      <c r="A868" t="s">
        <v>550</v>
      </c>
      <c r="B868" s="9" t="s">
        <v>565</v>
      </c>
      <c r="C868" t="s">
        <v>19</v>
      </c>
      <c r="D868" t="s">
        <v>552</v>
      </c>
      <c r="E868" t="s">
        <v>552</v>
      </c>
      <c r="F868">
        <v>3.9</v>
      </c>
      <c r="G868">
        <v>2142</v>
      </c>
      <c r="H868">
        <v>2192</v>
      </c>
      <c r="I868">
        <f>FlipkartTable[[#This Row],[Original Price]]-FlipkartTable[[#This Row],[Selling Price]]</f>
        <v>50</v>
      </c>
      <c r="J868" s="4">
        <f>(FlipkartTable[[#This Row],[Original Price]]-FlipkartTable[[#This Row],[Selling Price]])/FlipkartTable[[#This Row],[Original Price]]</f>
        <v>2.281021897810219E-2</v>
      </c>
      <c r="K868">
        <f>(FlipkartTable[[#This Row],[Rating]]/FlipkartTable[[#This Row],[Selling Price]])*1000</f>
        <v>1.8207282913165266</v>
      </c>
      <c r="L868" t="str">
        <f>IF(FlipkartTable[[#This Row],[Selling Price]]&lt;15000,"Budget",IF(FlipkartTable[[#This Row],[Selling Price]]&lt;50000,"Mid Range","Premium"))</f>
        <v>Budget</v>
      </c>
      <c r="M868" t="str">
        <f>IF(FlipkartTable[[#This Row],[Rating]]&gt;4.5,"Excellent",IF(FlipkartTable[[#This Row],[Rating]]&gt;4,"Good",IF(FlipkartTable[[#This Row],[Rating]]&gt;3.5,"Average","Poor")))</f>
        <v>Average</v>
      </c>
    </row>
    <row r="869" spans="1:13" x14ac:dyDescent="0.35">
      <c r="A869" t="s">
        <v>550</v>
      </c>
      <c r="B869" s="9" t="s">
        <v>557</v>
      </c>
      <c r="C869" t="s">
        <v>19</v>
      </c>
      <c r="D869" t="s">
        <v>552</v>
      </c>
      <c r="E869" t="s">
        <v>552</v>
      </c>
      <c r="F869">
        <v>4.0999999999999996</v>
      </c>
      <c r="G869">
        <v>2533</v>
      </c>
      <c r="H869">
        <v>2643</v>
      </c>
      <c r="I869">
        <f>FlipkartTable[[#This Row],[Original Price]]-FlipkartTable[[#This Row],[Selling Price]]</f>
        <v>110</v>
      </c>
      <c r="J869" s="4">
        <f>(FlipkartTable[[#This Row],[Original Price]]-FlipkartTable[[#This Row],[Selling Price]])/FlipkartTable[[#This Row],[Original Price]]</f>
        <v>4.161937192584185E-2</v>
      </c>
      <c r="K869">
        <f>(FlipkartTable[[#This Row],[Rating]]/FlipkartTable[[#This Row],[Selling Price]])*1000</f>
        <v>1.6186340307935254</v>
      </c>
      <c r="L869" t="str">
        <f>IF(FlipkartTable[[#This Row],[Selling Price]]&lt;15000,"Budget",IF(FlipkartTable[[#This Row],[Selling Price]]&lt;50000,"Mid Range","Premium"))</f>
        <v>Budget</v>
      </c>
      <c r="M869" t="str">
        <f>IF(FlipkartTable[[#This Row],[Rating]]&gt;4.5,"Excellent",IF(FlipkartTable[[#This Row],[Rating]]&gt;4,"Good",IF(FlipkartTable[[#This Row],[Rating]]&gt;3.5,"Average","Poor")))</f>
        <v>Good</v>
      </c>
    </row>
    <row r="870" spans="1:13" x14ac:dyDescent="0.35">
      <c r="A870" t="s">
        <v>550</v>
      </c>
      <c r="B870" s="9" t="s">
        <v>555</v>
      </c>
      <c r="C870" t="s">
        <v>19</v>
      </c>
      <c r="D870" t="s">
        <v>552</v>
      </c>
      <c r="E870" t="s">
        <v>552</v>
      </c>
      <c r="F870">
        <v>4.0999999999999996</v>
      </c>
      <c r="G870">
        <v>1680</v>
      </c>
      <c r="H870">
        <v>1680</v>
      </c>
      <c r="I870">
        <f>FlipkartTable[[#This Row],[Original Price]]-FlipkartTable[[#This Row],[Selling Price]]</f>
        <v>0</v>
      </c>
      <c r="J870" s="4">
        <f>(FlipkartTable[[#This Row],[Original Price]]-FlipkartTable[[#This Row],[Selling Price]])/FlipkartTable[[#This Row],[Original Price]]</f>
        <v>0</v>
      </c>
      <c r="K870">
        <f>(FlipkartTable[[#This Row],[Rating]]/FlipkartTable[[#This Row],[Selling Price]])*1000</f>
        <v>2.4404761904761902</v>
      </c>
      <c r="L870" t="str">
        <f>IF(FlipkartTable[[#This Row],[Selling Price]]&lt;15000,"Budget",IF(FlipkartTable[[#This Row],[Selling Price]]&lt;50000,"Mid Range","Premium"))</f>
        <v>Budget</v>
      </c>
      <c r="M870" t="str">
        <f>IF(FlipkartTable[[#This Row],[Rating]]&gt;4.5,"Excellent",IF(FlipkartTable[[#This Row],[Rating]]&gt;4,"Good",IF(FlipkartTable[[#This Row],[Rating]]&gt;3.5,"Average","Poor")))</f>
        <v>Good</v>
      </c>
    </row>
    <row r="871" spans="1:13" x14ac:dyDescent="0.35">
      <c r="A871" t="s">
        <v>550</v>
      </c>
      <c r="B871" s="9" t="s">
        <v>562</v>
      </c>
      <c r="C871" t="s">
        <v>19</v>
      </c>
      <c r="D871" t="s">
        <v>489</v>
      </c>
      <c r="E871" t="s">
        <v>563</v>
      </c>
      <c r="F871">
        <v>3.8</v>
      </c>
      <c r="G871">
        <v>3999</v>
      </c>
      <c r="H871">
        <v>3999</v>
      </c>
      <c r="I871">
        <f>FlipkartTable[[#This Row],[Original Price]]-FlipkartTable[[#This Row],[Selling Price]]</f>
        <v>0</v>
      </c>
      <c r="J871" s="4">
        <f>(FlipkartTable[[#This Row],[Original Price]]-FlipkartTable[[#This Row],[Selling Price]])/FlipkartTable[[#This Row],[Original Price]]</f>
        <v>0</v>
      </c>
      <c r="K871">
        <f>(FlipkartTable[[#This Row],[Rating]]/FlipkartTable[[#This Row],[Selling Price]])*1000</f>
        <v>0.95023755938984744</v>
      </c>
      <c r="L871" t="str">
        <f>IF(FlipkartTable[[#This Row],[Selling Price]]&lt;15000,"Budget",IF(FlipkartTable[[#This Row],[Selling Price]]&lt;50000,"Mid Range","Premium"))</f>
        <v>Budget</v>
      </c>
      <c r="M871" t="str">
        <f>IF(FlipkartTable[[#This Row],[Rating]]&gt;4.5,"Excellent",IF(FlipkartTable[[#This Row],[Rating]]&gt;4,"Good",IF(FlipkartTable[[#This Row],[Rating]]&gt;3.5,"Average","Poor")))</f>
        <v>Average</v>
      </c>
    </row>
    <row r="872" spans="1:13" x14ac:dyDescent="0.35">
      <c r="A872" t="s">
        <v>550</v>
      </c>
      <c r="B872" s="9" t="s">
        <v>566</v>
      </c>
      <c r="C872" t="s">
        <v>141</v>
      </c>
      <c r="D872" t="s">
        <v>20</v>
      </c>
      <c r="E872" t="s">
        <v>21</v>
      </c>
      <c r="F872">
        <v>3.8</v>
      </c>
      <c r="G872">
        <v>9999</v>
      </c>
      <c r="H872">
        <v>11099</v>
      </c>
      <c r="I872">
        <f>FlipkartTable[[#This Row],[Original Price]]-FlipkartTable[[#This Row],[Selling Price]]</f>
        <v>1100</v>
      </c>
      <c r="J872" s="4">
        <f>(FlipkartTable[[#This Row],[Original Price]]-FlipkartTable[[#This Row],[Selling Price]])/FlipkartTable[[#This Row],[Original Price]]</f>
        <v>9.9108027750247768E-2</v>
      </c>
      <c r="K872">
        <f>(FlipkartTable[[#This Row],[Rating]]/FlipkartTable[[#This Row],[Selling Price]])*1000</f>
        <v>0.38003800380038</v>
      </c>
      <c r="L872" t="str">
        <f>IF(FlipkartTable[[#This Row],[Selling Price]]&lt;15000,"Budget",IF(FlipkartTable[[#This Row],[Selling Price]]&lt;50000,"Mid Range","Premium"))</f>
        <v>Budget</v>
      </c>
      <c r="M872" t="str">
        <f>IF(FlipkartTable[[#This Row],[Rating]]&gt;4.5,"Excellent",IF(FlipkartTable[[#This Row],[Rating]]&gt;4,"Good",IF(FlipkartTable[[#This Row],[Rating]]&gt;3.5,"Average","Poor")))</f>
        <v>Average</v>
      </c>
    </row>
    <row r="873" spans="1:13" x14ac:dyDescent="0.35">
      <c r="A873" t="s">
        <v>550</v>
      </c>
      <c r="B873" s="9">
        <v>5.4</v>
      </c>
      <c r="C873" t="s">
        <v>567</v>
      </c>
      <c r="D873" t="s">
        <v>14</v>
      </c>
      <c r="E873" t="s">
        <v>12</v>
      </c>
      <c r="F873">
        <v>3.9</v>
      </c>
      <c r="G873">
        <v>14499</v>
      </c>
      <c r="H873">
        <v>14499</v>
      </c>
      <c r="I873">
        <f>FlipkartTable[[#This Row],[Original Price]]-FlipkartTable[[#This Row],[Selling Price]]</f>
        <v>0</v>
      </c>
      <c r="J873" s="4">
        <f>(FlipkartTable[[#This Row],[Original Price]]-FlipkartTable[[#This Row],[Selling Price]])/FlipkartTable[[#This Row],[Original Price]]</f>
        <v>0</v>
      </c>
      <c r="K873">
        <f>(FlipkartTable[[#This Row],[Rating]]/FlipkartTable[[#This Row],[Selling Price]])*1000</f>
        <v>0.26898406786674944</v>
      </c>
      <c r="L873" t="str">
        <f>IF(FlipkartTable[[#This Row],[Selling Price]]&lt;15000,"Budget",IF(FlipkartTable[[#This Row],[Selling Price]]&lt;50000,"Mid Range","Premium"))</f>
        <v>Budget</v>
      </c>
      <c r="M873" t="str">
        <f>IF(FlipkartTable[[#This Row],[Rating]]&gt;4.5,"Excellent",IF(FlipkartTable[[#This Row],[Rating]]&gt;4,"Good",IF(FlipkartTable[[#This Row],[Rating]]&gt;3.5,"Average","Poor")))</f>
        <v>Average</v>
      </c>
    </row>
    <row r="874" spans="1:13" x14ac:dyDescent="0.35">
      <c r="A874" t="s">
        <v>550</v>
      </c>
      <c r="B874" s="9" t="s">
        <v>562</v>
      </c>
      <c r="C874" t="s">
        <v>19</v>
      </c>
      <c r="D874" t="s">
        <v>489</v>
      </c>
      <c r="E874" t="s">
        <v>563</v>
      </c>
      <c r="F874">
        <v>3.8</v>
      </c>
      <c r="G874">
        <v>3974</v>
      </c>
      <c r="H874">
        <v>4179</v>
      </c>
      <c r="I874">
        <f>FlipkartTable[[#This Row],[Original Price]]-FlipkartTable[[#This Row],[Selling Price]]</f>
        <v>205</v>
      </c>
      <c r="J874" s="4">
        <f>(FlipkartTable[[#This Row],[Original Price]]-FlipkartTable[[#This Row],[Selling Price]])/FlipkartTable[[#This Row],[Original Price]]</f>
        <v>4.9054797798516389E-2</v>
      </c>
      <c r="K874">
        <f>(FlipkartTable[[#This Row],[Rating]]/FlipkartTable[[#This Row],[Selling Price]])*1000</f>
        <v>0.9562154001006542</v>
      </c>
      <c r="L874" t="str">
        <f>IF(FlipkartTable[[#This Row],[Selling Price]]&lt;15000,"Budget",IF(FlipkartTable[[#This Row],[Selling Price]]&lt;50000,"Mid Range","Premium"))</f>
        <v>Budget</v>
      </c>
      <c r="M874" t="str">
        <f>IF(FlipkartTable[[#This Row],[Rating]]&gt;4.5,"Excellent",IF(FlipkartTable[[#This Row],[Rating]]&gt;4,"Good",IF(FlipkartTable[[#This Row],[Rating]]&gt;3.5,"Average","Poor")))</f>
        <v>Average</v>
      </c>
    </row>
    <row r="875" spans="1:13" x14ac:dyDescent="0.35">
      <c r="A875" t="s">
        <v>550</v>
      </c>
      <c r="B875" s="9" t="s">
        <v>568</v>
      </c>
      <c r="C875" t="s">
        <v>19</v>
      </c>
      <c r="D875" t="s">
        <v>552</v>
      </c>
      <c r="E875" t="s">
        <v>552</v>
      </c>
      <c r="F875">
        <v>4.2</v>
      </c>
      <c r="G875">
        <v>1149</v>
      </c>
      <c r="H875">
        <v>1149</v>
      </c>
      <c r="I875">
        <f>FlipkartTable[[#This Row],[Original Price]]-FlipkartTable[[#This Row],[Selling Price]]</f>
        <v>0</v>
      </c>
      <c r="J875" s="4">
        <f>(FlipkartTable[[#This Row],[Original Price]]-FlipkartTable[[#This Row],[Selling Price]])/FlipkartTable[[#This Row],[Original Price]]</f>
        <v>0</v>
      </c>
      <c r="K875">
        <f>(FlipkartTable[[#This Row],[Rating]]/FlipkartTable[[#This Row],[Selling Price]])*1000</f>
        <v>3.6553524804177546</v>
      </c>
      <c r="L875" t="str">
        <f>IF(FlipkartTable[[#This Row],[Selling Price]]&lt;15000,"Budget",IF(FlipkartTable[[#This Row],[Selling Price]]&lt;50000,"Mid Range","Premium"))</f>
        <v>Budget</v>
      </c>
      <c r="M875" t="str">
        <f>IF(FlipkartTable[[#This Row],[Rating]]&gt;4.5,"Excellent",IF(FlipkartTable[[#This Row],[Rating]]&gt;4,"Good",IF(FlipkartTable[[#This Row],[Rating]]&gt;3.5,"Average","Poor")))</f>
        <v>Good</v>
      </c>
    </row>
    <row r="876" spans="1:13" x14ac:dyDescent="0.35">
      <c r="A876" t="s">
        <v>550</v>
      </c>
      <c r="B876" s="9">
        <v>2.4</v>
      </c>
      <c r="C876" t="s">
        <v>569</v>
      </c>
      <c r="D876" t="s">
        <v>20</v>
      </c>
      <c r="E876" t="s">
        <v>12</v>
      </c>
      <c r="F876">
        <v>4</v>
      </c>
      <c r="G876">
        <v>10399</v>
      </c>
      <c r="H876">
        <v>11499</v>
      </c>
      <c r="I876">
        <f>FlipkartTable[[#This Row],[Original Price]]-FlipkartTable[[#This Row],[Selling Price]]</f>
        <v>1100</v>
      </c>
      <c r="J876" s="4">
        <f>(FlipkartTable[[#This Row],[Original Price]]-FlipkartTable[[#This Row],[Selling Price]])/FlipkartTable[[#This Row],[Original Price]]</f>
        <v>9.5660492216714493E-2</v>
      </c>
      <c r="K876">
        <f>(FlipkartTable[[#This Row],[Rating]]/FlipkartTable[[#This Row],[Selling Price]])*1000</f>
        <v>0.3846523704202327</v>
      </c>
      <c r="L876" t="str">
        <f>IF(FlipkartTable[[#This Row],[Selling Price]]&lt;15000,"Budget",IF(FlipkartTable[[#This Row],[Selling Price]]&lt;50000,"Mid Range","Premium"))</f>
        <v>Budget</v>
      </c>
      <c r="M876" t="str">
        <f>IF(FlipkartTable[[#This Row],[Rating]]&gt;4.5,"Excellent",IF(FlipkartTable[[#This Row],[Rating]]&gt;4,"Good",IF(FlipkartTable[[#This Row],[Rating]]&gt;3.5,"Average","Poor")))</f>
        <v>Average</v>
      </c>
    </row>
    <row r="877" spans="1:13" x14ac:dyDescent="0.35">
      <c r="A877" t="s">
        <v>550</v>
      </c>
      <c r="B877" s="9" t="s">
        <v>388</v>
      </c>
      <c r="C877" t="s">
        <v>570</v>
      </c>
      <c r="D877" t="s">
        <v>35</v>
      </c>
      <c r="E877" t="s">
        <v>124</v>
      </c>
      <c r="F877">
        <v>3.7</v>
      </c>
      <c r="G877">
        <v>7290</v>
      </c>
      <c r="H877">
        <v>7290</v>
      </c>
      <c r="I877">
        <f>FlipkartTable[[#This Row],[Original Price]]-FlipkartTable[[#This Row],[Selling Price]]</f>
        <v>0</v>
      </c>
      <c r="J877" s="4">
        <f>(FlipkartTable[[#This Row],[Original Price]]-FlipkartTable[[#This Row],[Selling Price]])/FlipkartTable[[#This Row],[Original Price]]</f>
        <v>0</v>
      </c>
      <c r="K877">
        <f>(FlipkartTable[[#This Row],[Rating]]/FlipkartTable[[#This Row],[Selling Price]])*1000</f>
        <v>0.50754458161865579</v>
      </c>
      <c r="L877" t="str">
        <f>IF(FlipkartTable[[#This Row],[Selling Price]]&lt;15000,"Budget",IF(FlipkartTable[[#This Row],[Selling Price]]&lt;50000,"Mid Range","Premium"))</f>
        <v>Budget</v>
      </c>
      <c r="M877" t="str">
        <f>IF(FlipkartTable[[#This Row],[Rating]]&gt;4.5,"Excellent",IF(FlipkartTable[[#This Row],[Rating]]&gt;4,"Good",IF(FlipkartTable[[#This Row],[Rating]]&gt;3.5,"Average","Poor")))</f>
        <v>Average</v>
      </c>
    </row>
    <row r="878" spans="1:13" x14ac:dyDescent="0.35">
      <c r="A878" t="s">
        <v>550</v>
      </c>
      <c r="B878" s="9" t="s">
        <v>566</v>
      </c>
      <c r="C878" t="s">
        <v>141</v>
      </c>
      <c r="D878" t="s">
        <v>35</v>
      </c>
      <c r="E878" t="s">
        <v>21</v>
      </c>
      <c r="F878">
        <v>4.4000000000000004</v>
      </c>
      <c r="G878">
        <v>8999</v>
      </c>
      <c r="H878">
        <v>10499</v>
      </c>
      <c r="I878">
        <f>FlipkartTable[[#This Row],[Original Price]]-FlipkartTable[[#This Row],[Selling Price]]</f>
        <v>1500</v>
      </c>
      <c r="J878" s="4">
        <f>(FlipkartTable[[#This Row],[Original Price]]-FlipkartTable[[#This Row],[Selling Price]])/FlipkartTable[[#This Row],[Original Price]]</f>
        <v>0.14287074959519955</v>
      </c>
      <c r="K878">
        <f>(FlipkartTable[[#This Row],[Rating]]/FlipkartTable[[#This Row],[Selling Price]])*1000</f>
        <v>0.48894321591287931</v>
      </c>
      <c r="L878" t="str">
        <f>IF(FlipkartTable[[#This Row],[Selling Price]]&lt;15000,"Budget",IF(FlipkartTable[[#This Row],[Selling Price]]&lt;50000,"Mid Range","Premium"))</f>
        <v>Budget</v>
      </c>
      <c r="M878" t="str">
        <f>IF(FlipkartTable[[#This Row],[Rating]]&gt;4.5,"Excellent",IF(FlipkartTable[[#This Row],[Rating]]&gt;4,"Good",IF(FlipkartTable[[#This Row],[Rating]]&gt;3.5,"Average","Poor")))</f>
        <v>Good</v>
      </c>
    </row>
    <row r="879" spans="1:13" x14ac:dyDescent="0.35">
      <c r="A879" t="s">
        <v>550</v>
      </c>
      <c r="B879" s="9" t="s">
        <v>566</v>
      </c>
      <c r="C879" t="s">
        <v>22</v>
      </c>
      <c r="D879" t="s">
        <v>20</v>
      </c>
      <c r="E879" t="s">
        <v>21</v>
      </c>
      <c r="F879">
        <v>3.8</v>
      </c>
      <c r="G879">
        <v>9999</v>
      </c>
      <c r="H879">
        <v>11099</v>
      </c>
      <c r="I879">
        <f>FlipkartTable[[#This Row],[Original Price]]-FlipkartTable[[#This Row],[Selling Price]]</f>
        <v>1100</v>
      </c>
      <c r="J879" s="4">
        <f>(FlipkartTable[[#This Row],[Original Price]]-FlipkartTable[[#This Row],[Selling Price]])/FlipkartTable[[#This Row],[Original Price]]</f>
        <v>9.9108027750247768E-2</v>
      </c>
      <c r="K879">
        <f>(FlipkartTable[[#This Row],[Rating]]/FlipkartTable[[#This Row],[Selling Price]])*1000</f>
        <v>0.38003800380038</v>
      </c>
      <c r="L879" t="str">
        <f>IF(FlipkartTable[[#This Row],[Selling Price]]&lt;15000,"Budget",IF(FlipkartTable[[#This Row],[Selling Price]]&lt;50000,"Mid Range","Premium"))</f>
        <v>Budget</v>
      </c>
      <c r="M879" t="str">
        <f>IF(FlipkartTable[[#This Row],[Rating]]&gt;4.5,"Excellent",IF(FlipkartTable[[#This Row],[Rating]]&gt;4,"Good",IF(FlipkartTable[[#This Row],[Rating]]&gt;3.5,"Average","Poor")))</f>
        <v>Average</v>
      </c>
    </row>
    <row r="880" spans="1:13" x14ac:dyDescent="0.35">
      <c r="A880" t="s">
        <v>550</v>
      </c>
      <c r="B880" s="9" t="s">
        <v>571</v>
      </c>
      <c r="C880" t="s">
        <v>19</v>
      </c>
      <c r="D880" t="s">
        <v>552</v>
      </c>
      <c r="E880" t="s">
        <v>552</v>
      </c>
      <c r="F880">
        <v>3.9</v>
      </c>
      <c r="G880">
        <v>2349</v>
      </c>
      <c r="H880">
        <v>2349</v>
      </c>
      <c r="I880">
        <f>FlipkartTable[[#This Row],[Original Price]]-FlipkartTable[[#This Row],[Selling Price]]</f>
        <v>0</v>
      </c>
      <c r="J880" s="4">
        <f>(FlipkartTable[[#This Row],[Original Price]]-FlipkartTable[[#This Row],[Selling Price]])/FlipkartTable[[#This Row],[Original Price]]</f>
        <v>0</v>
      </c>
      <c r="K880">
        <f>(FlipkartTable[[#This Row],[Rating]]/FlipkartTable[[#This Row],[Selling Price]])*1000</f>
        <v>1.6602809706257982</v>
      </c>
      <c r="L880" t="str">
        <f>IF(FlipkartTable[[#This Row],[Selling Price]]&lt;15000,"Budget",IF(FlipkartTable[[#This Row],[Selling Price]]&lt;50000,"Mid Range","Premium"))</f>
        <v>Budget</v>
      </c>
      <c r="M880" t="str">
        <f>IF(FlipkartTable[[#This Row],[Rating]]&gt;4.5,"Excellent",IF(FlipkartTable[[#This Row],[Rating]]&gt;4,"Good",IF(FlipkartTable[[#This Row],[Rating]]&gt;3.5,"Average","Poor")))</f>
        <v>Average</v>
      </c>
    </row>
    <row r="881" spans="1:13" x14ac:dyDescent="0.35">
      <c r="A881" t="s">
        <v>550</v>
      </c>
      <c r="B881" s="9" t="s">
        <v>566</v>
      </c>
      <c r="C881" t="s">
        <v>22</v>
      </c>
      <c r="D881" t="s">
        <v>35</v>
      </c>
      <c r="E881" t="s">
        <v>21</v>
      </c>
      <c r="F881">
        <v>4.4000000000000004</v>
      </c>
      <c r="G881">
        <v>8999</v>
      </c>
      <c r="H881">
        <v>10499</v>
      </c>
      <c r="I881">
        <f>FlipkartTable[[#This Row],[Original Price]]-FlipkartTable[[#This Row],[Selling Price]]</f>
        <v>1500</v>
      </c>
      <c r="J881" s="4">
        <f>(FlipkartTable[[#This Row],[Original Price]]-FlipkartTable[[#This Row],[Selling Price]])/FlipkartTable[[#This Row],[Original Price]]</f>
        <v>0.14287074959519955</v>
      </c>
      <c r="K881">
        <f>(FlipkartTable[[#This Row],[Rating]]/FlipkartTable[[#This Row],[Selling Price]])*1000</f>
        <v>0.48894321591287931</v>
      </c>
      <c r="L881" t="str">
        <f>IF(FlipkartTable[[#This Row],[Selling Price]]&lt;15000,"Budget",IF(FlipkartTable[[#This Row],[Selling Price]]&lt;50000,"Mid Range","Premium"))</f>
        <v>Budget</v>
      </c>
      <c r="M881" t="str">
        <f>IF(FlipkartTable[[#This Row],[Rating]]&gt;4.5,"Excellent",IF(FlipkartTable[[#This Row],[Rating]]&gt;4,"Good",IF(FlipkartTable[[#This Row],[Rating]]&gt;3.5,"Average","Poor")))</f>
        <v>Good</v>
      </c>
    </row>
    <row r="882" spans="1:13" x14ac:dyDescent="0.35">
      <c r="A882" t="s">
        <v>550</v>
      </c>
      <c r="B882" s="9" t="s">
        <v>572</v>
      </c>
      <c r="C882" t="s">
        <v>19</v>
      </c>
      <c r="D882" t="s">
        <v>488</v>
      </c>
      <c r="E882" t="s">
        <v>489</v>
      </c>
      <c r="F882">
        <v>4.2</v>
      </c>
      <c r="G882">
        <v>3740</v>
      </c>
      <c r="H882">
        <v>3740</v>
      </c>
      <c r="I882">
        <f>FlipkartTable[[#This Row],[Original Price]]-FlipkartTable[[#This Row],[Selling Price]]</f>
        <v>0</v>
      </c>
      <c r="J882" s="4">
        <f>(FlipkartTable[[#This Row],[Original Price]]-FlipkartTable[[#This Row],[Selling Price]])/FlipkartTable[[#This Row],[Original Price]]</f>
        <v>0</v>
      </c>
      <c r="K882">
        <f>(FlipkartTable[[#This Row],[Rating]]/FlipkartTable[[#This Row],[Selling Price]])*1000</f>
        <v>1.1229946524064172</v>
      </c>
      <c r="L882" t="str">
        <f>IF(FlipkartTable[[#This Row],[Selling Price]]&lt;15000,"Budget",IF(FlipkartTable[[#This Row],[Selling Price]]&lt;50000,"Mid Range","Premium"))</f>
        <v>Budget</v>
      </c>
      <c r="M882" t="str">
        <f>IF(FlipkartTable[[#This Row],[Rating]]&gt;4.5,"Excellent",IF(FlipkartTable[[#This Row],[Rating]]&gt;4,"Good",IF(FlipkartTable[[#This Row],[Rating]]&gt;3.5,"Average","Poor")))</f>
        <v>Good</v>
      </c>
    </row>
    <row r="883" spans="1:13" x14ac:dyDescent="0.35">
      <c r="A883" t="s">
        <v>550</v>
      </c>
      <c r="B883" s="9" t="s">
        <v>388</v>
      </c>
      <c r="C883" t="s">
        <v>573</v>
      </c>
      <c r="D883" t="s">
        <v>20</v>
      </c>
      <c r="E883" t="s">
        <v>21</v>
      </c>
      <c r="F883">
        <v>3.8</v>
      </c>
      <c r="G883">
        <v>9999</v>
      </c>
      <c r="H883">
        <v>9999</v>
      </c>
      <c r="I883">
        <f>FlipkartTable[[#This Row],[Original Price]]-FlipkartTable[[#This Row],[Selling Price]]</f>
        <v>0</v>
      </c>
      <c r="J883" s="4">
        <f>(FlipkartTable[[#This Row],[Original Price]]-FlipkartTable[[#This Row],[Selling Price]])/FlipkartTable[[#This Row],[Original Price]]</f>
        <v>0</v>
      </c>
      <c r="K883">
        <f>(FlipkartTable[[#This Row],[Rating]]/FlipkartTable[[#This Row],[Selling Price]])*1000</f>
        <v>0.38003800380038</v>
      </c>
      <c r="L883" t="str">
        <f>IF(FlipkartTable[[#This Row],[Selling Price]]&lt;15000,"Budget",IF(FlipkartTable[[#This Row],[Selling Price]]&lt;50000,"Mid Range","Premium"))</f>
        <v>Budget</v>
      </c>
      <c r="M883" t="str">
        <f>IF(FlipkartTable[[#This Row],[Rating]]&gt;4.5,"Excellent",IF(FlipkartTable[[#This Row],[Rating]]&gt;4,"Good",IF(FlipkartTable[[#This Row],[Rating]]&gt;3.5,"Average","Poor")))</f>
        <v>Average</v>
      </c>
    </row>
    <row r="884" spans="1:13" x14ac:dyDescent="0.35">
      <c r="A884" t="s">
        <v>550</v>
      </c>
      <c r="B884" s="9">
        <v>3.4</v>
      </c>
      <c r="C884" t="s">
        <v>574</v>
      </c>
      <c r="D884" t="s">
        <v>11</v>
      </c>
      <c r="E884" t="s">
        <v>12</v>
      </c>
      <c r="F884">
        <v>3.9</v>
      </c>
      <c r="G884">
        <v>11999</v>
      </c>
      <c r="H884">
        <v>13999</v>
      </c>
      <c r="I884">
        <f>FlipkartTable[[#This Row],[Original Price]]-FlipkartTable[[#This Row],[Selling Price]]</f>
        <v>2000</v>
      </c>
      <c r="J884" s="4">
        <f>(FlipkartTable[[#This Row],[Original Price]]-FlipkartTable[[#This Row],[Selling Price]])/FlipkartTable[[#This Row],[Original Price]]</f>
        <v>0.14286734766769055</v>
      </c>
      <c r="K884">
        <f>(FlipkartTable[[#This Row],[Rating]]/FlipkartTable[[#This Row],[Selling Price]])*1000</f>
        <v>0.32502708559046584</v>
      </c>
      <c r="L884" t="str">
        <f>IF(FlipkartTable[[#This Row],[Selling Price]]&lt;15000,"Budget",IF(FlipkartTable[[#This Row],[Selling Price]]&lt;50000,"Mid Range","Premium"))</f>
        <v>Budget</v>
      </c>
      <c r="M884" t="str">
        <f>IF(FlipkartTable[[#This Row],[Rating]]&gt;4.5,"Excellent",IF(FlipkartTable[[#This Row],[Rating]]&gt;4,"Good",IF(FlipkartTable[[#This Row],[Rating]]&gt;3.5,"Average","Poor")))</f>
        <v>Average</v>
      </c>
    </row>
    <row r="885" spans="1:13" x14ac:dyDescent="0.35">
      <c r="A885" t="s">
        <v>550</v>
      </c>
      <c r="B885" s="9">
        <v>3.4</v>
      </c>
      <c r="C885" t="s">
        <v>575</v>
      </c>
      <c r="D885" t="s">
        <v>11</v>
      </c>
      <c r="E885" t="s">
        <v>12</v>
      </c>
      <c r="F885">
        <v>3.9</v>
      </c>
      <c r="G885">
        <v>11999</v>
      </c>
      <c r="H885">
        <v>13999</v>
      </c>
      <c r="I885">
        <f>FlipkartTable[[#This Row],[Original Price]]-FlipkartTable[[#This Row],[Selling Price]]</f>
        <v>2000</v>
      </c>
      <c r="J885" s="4">
        <f>(FlipkartTable[[#This Row],[Original Price]]-FlipkartTable[[#This Row],[Selling Price]])/FlipkartTable[[#This Row],[Original Price]]</f>
        <v>0.14286734766769055</v>
      </c>
      <c r="K885">
        <f>(FlipkartTable[[#This Row],[Rating]]/FlipkartTable[[#This Row],[Selling Price]])*1000</f>
        <v>0.32502708559046584</v>
      </c>
      <c r="L885" t="str">
        <f>IF(FlipkartTable[[#This Row],[Selling Price]]&lt;15000,"Budget",IF(FlipkartTable[[#This Row],[Selling Price]]&lt;50000,"Mid Range","Premium"))</f>
        <v>Budget</v>
      </c>
      <c r="M885" t="str">
        <f>IF(FlipkartTable[[#This Row],[Rating]]&gt;4.5,"Excellent",IF(FlipkartTable[[#This Row],[Rating]]&gt;4,"Good",IF(FlipkartTable[[#This Row],[Rating]]&gt;3.5,"Average","Poor")))</f>
        <v>Average</v>
      </c>
    </row>
    <row r="886" spans="1:13" x14ac:dyDescent="0.35">
      <c r="A886" t="s">
        <v>550</v>
      </c>
      <c r="B886" s="9" t="s">
        <v>576</v>
      </c>
      <c r="C886" t="s">
        <v>19</v>
      </c>
      <c r="D886" t="s">
        <v>489</v>
      </c>
      <c r="E886" t="s">
        <v>489</v>
      </c>
      <c r="F886">
        <v>4.2</v>
      </c>
      <c r="G886">
        <v>2499</v>
      </c>
      <c r="H886">
        <v>2499</v>
      </c>
      <c r="I886">
        <f>FlipkartTable[[#This Row],[Original Price]]-FlipkartTable[[#This Row],[Selling Price]]</f>
        <v>0</v>
      </c>
      <c r="J886" s="4">
        <f>(FlipkartTable[[#This Row],[Original Price]]-FlipkartTable[[#This Row],[Selling Price]])/FlipkartTable[[#This Row],[Original Price]]</f>
        <v>0</v>
      </c>
      <c r="K886">
        <f>(FlipkartTable[[#This Row],[Rating]]/FlipkartTable[[#This Row],[Selling Price]])*1000</f>
        <v>1.680672268907563</v>
      </c>
      <c r="L886" t="str">
        <f>IF(FlipkartTable[[#This Row],[Selling Price]]&lt;15000,"Budget",IF(FlipkartTable[[#This Row],[Selling Price]]&lt;50000,"Mid Range","Premium"))</f>
        <v>Budget</v>
      </c>
      <c r="M886" t="str">
        <f>IF(FlipkartTable[[#This Row],[Rating]]&gt;4.5,"Excellent",IF(FlipkartTable[[#This Row],[Rating]]&gt;4,"Good",IF(FlipkartTable[[#This Row],[Rating]]&gt;3.5,"Average","Poor")))</f>
        <v>Good</v>
      </c>
    </row>
    <row r="887" spans="1:13" x14ac:dyDescent="0.35">
      <c r="A887" t="s">
        <v>550</v>
      </c>
      <c r="B887" s="9" t="s">
        <v>577</v>
      </c>
      <c r="C887" t="s">
        <v>19</v>
      </c>
      <c r="D887" t="s">
        <v>492</v>
      </c>
      <c r="E887" t="s">
        <v>493</v>
      </c>
      <c r="F887">
        <v>3.7</v>
      </c>
      <c r="G887">
        <v>3162</v>
      </c>
      <c r="H887">
        <v>3299</v>
      </c>
      <c r="I887">
        <f>FlipkartTable[[#This Row],[Original Price]]-FlipkartTable[[#This Row],[Selling Price]]</f>
        <v>137</v>
      </c>
      <c r="J887" s="4">
        <f>(FlipkartTable[[#This Row],[Original Price]]-FlipkartTable[[#This Row],[Selling Price]])/FlipkartTable[[#This Row],[Original Price]]</f>
        <v>4.1527735677478021E-2</v>
      </c>
      <c r="K887">
        <f>(FlipkartTable[[#This Row],[Rating]]/FlipkartTable[[#This Row],[Selling Price]])*1000</f>
        <v>1.1701454775458571</v>
      </c>
      <c r="L887" t="str">
        <f>IF(FlipkartTable[[#This Row],[Selling Price]]&lt;15000,"Budget",IF(FlipkartTable[[#This Row],[Selling Price]]&lt;50000,"Mid Range","Premium"))</f>
        <v>Budget</v>
      </c>
      <c r="M887" t="str">
        <f>IF(FlipkartTable[[#This Row],[Rating]]&gt;4.5,"Excellent",IF(FlipkartTable[[#This Row],[Rating]]&gt;4,"Good",IF(FlipkartTable[[#This Row],[Rating]]&gt;3.5,"Average","Poor")))</f>
        <v>Average</v>
      </c>
    </row>
    <row r="888" spans="1:13" x14ac:dyDescent="0.35">
      <c r="A888" t="s">
        <v>550</v>
      </c>
      <c r="B888" s="9" t="s">
        <v>578</v>
      </c>
      <c r="C888" t="s">
        <v>19</v>
      </c>
      <c r="D888" t="s">
        <v>492</v>
      </c>
      <c r="E888" t="s">
        <v>493</v>
      </c>
      <c r="F888">
        <v>3.7</v>
      </c>
      <c r="G888">
        <v>3896</v>
      </c>
      <c r="H888">
        <v>3999</v>
      </c>
      <c r="I888">
        <f>FlipkartTable[[#This Row],[Original Price]]-FlipkartTable[[#This Row],[Selling Price]]</f>
        <v>103</v>
      </c>
      <c r="J888" s="4">
        <f>(FlipkartTable[[#This Row],[Original Price]]-FlipkartTable[[#This Row],[Selling Price]])/FlipkartTable[[#This Row],[Original Price]]</f>
        <v>2.5756439109777443E-2</v>
      </c>
      <c r="K888">
        <f>(FlipkartTable[[#This Row],[Rating]]/FlipkartTable[[#This Row],[Selling Price]])*1000</f>
        <v>0.9496919917864477</v>
      </c>
      <c r="L888" t="str">
        <f>IF(FlipkartTable[[#This Row],[Selling Price]]&lt;15000,"Budget",IF(FlipkartTable[[#This Row],[Selling Price]]&lt;50000,"Mid Range","Premium"))</f>
        <v>Budget</v>
      </c>
      <c r="M888" t="str">
        <f>IF(FlipkartTable[[#This Row],[Rating]]&gt;4.5,"Excellent",IF(FlipkartTable[[#This Row],[Rating]]&gt;4,"Good",IF(FlipkartTable[[#This Row],[Rating]]&gt;3.5,"Average","Poor")))</f>
        <v>Average</v>
      </c>
    </row>
    <row r="889" spans="1:13" x14ac:dyDescent="0.35">
      <c r="A889" t="s">
        <v>550</v>
      </c>
      <c r="B889" s="9" t="s">
        <v>579</v>
      </c>
      <c r="C889" t="s">
        <v>19</v>
      </c>
      <c r="D889" t="s">
        <v>492</v>
      </c>
      <c r="E889" t="s">
        <v>493</v>
      </c>
      <c r="F889">
        <v>3.7</v>
      </c>
      <c r="G889">
        <v>4399</v>
      </c>
      <c r="H889">
        <v>4399</v>
      </c>
      <c r="I889">
        <f>FlipkartTable[[#This Row],[Original Price]]-FlipkartTable[[#This Row],[Selling Price]]</f>
        <v>0</v>
      </c>
      <c r="J889" s="4">
        <f>(FlipkartTable[[#This Row],[Original Price]]-FlipkartTable[[#This Row],[Selling Price]])/FlipkartTable[[#This Row],[Original Price]]</f>
        <v>0</v>
      </c>
      <c r="K889">
        <f>(FlipkartTable[[#This Row],[Rating]]/FlipkartTable[[#This Row],[Selling Price]])*1000</f>
        <v>0.8411002500568312</v>
      </c>
      <c r="L889" t="str">
        <f>IF(FlipkartTable[[#This Row],[Selling Price]]&lt;15000,"Budget",IF(FlipkartTable[[#This Row],[Selling Price]]&lt;50000,"Mid Range","Premium"))</f>
        <v>Budget</v>
      </c>
      <c r="M889" t="str">
        <f>IF(FlipkartTable[[#This Row],[Rating]]&gt;4.5,"Excellent",IF(FlipkartTable[[#This Row],[Rating]]&gt;4,"Good",IF(FlipkartTable[[#This Row],[Rating]]&gt;3.5,"Average","Poor")))</f>
        <v>Average</v>
      </c>
    </row>
    <row r="890" spans="1:13" x14ac:dyDescent="0.35">
      <c r="A890" t="s">
        <v>550</v>
      </c>
      <c r="B890" s="9" t="s">
        <v>576</v>
      </c>
      <c r="C890" t="s">
        <v>19</v>
      </c>
      <c r="D890" t="s">
        <v>489</v>
      </c>
      <c r="E890" t="s">
        <v>489</v>
      </c>
      <c r="F890">
        <v>4.2</v>
      </c>
      <c r="G890">
        <v>2450</v>
      </c>
      <c r="H890">
        <v>2450</v>
      </c>
      <c r="I890">
        <f>FlipkartTable[[#This Row],[Original Price]]-FlipkartTable[[#This Row],[Selling Price]]</f>
        <v>0</v>
      </c>
      <c r="J890" s="4">
        <f>(FlipkartTable[[#This Row],[Original Price]]-FlipkartTable[[#This Row],[Selling Price]])/FlipkartTable[[#This Row],[Original Price]]</f>
        <v>0</v>
      </c>
      <c r="K890">
        <f>(FlipkartTable[[#This Row],[Rating]]/FlipkartTable[[#This Row],[Selling Price]])*1000</f>
        <v>1.7142857142857144</v>
      </c>
      <c r="L890" t="str">
        <f>IF(FlipkartTable[[#This Row],[Selling Price]]&lt;15000,"Budget",IF(FlipkartTable[[#This Row],[Selling Price]]&lt;50000,"Mid Range","Premium"))</f>
        <v>Budget</v>
      </c>
      <c r="M890" t="str">
        <f>IF(FlipkartTable[[#This Row],[Rating]]&gt;4.5,"Excellent",IF(FlipkartTable[[#This Row],[Rating]]&gt;4,"Good",IF(FlipkartTable[[#This Row],[Rating]]&gt;3.5,"Average","Poor")))</f>
        <v>Good</v>
      </c>
    </row>
    <row r="891" spans="1:13" x14ac:dyDescent="0.35">
      <c r="A891" t="s">
        <v>550</v>
      </c>
      <c r="B891" s="9">
        <v>5.4</v>
      </c>
      <c r="C891" t="s">
        <v>574</v>
      </c>
      <c r="D891" t="s">
        <v>14</v>
      </c>
      <c r="E891" t="s">
        <v>12</v>
      </c>
      <c r="F891">
        <v>3.9</v>
      </c>
      <c r="G891">
        <v>14499</v>
      </c>
      <c r="H891">
        <v>18499</v>
      </c>
      <c r="I891">
        <f>FlipkartTable[[#This Row],[Original Price]]-FlipkartTable[[#This Row],[Selling Price]]</f>
        <v>4000</v>
      </c>
      <c r="J891" s="4">
        <f>(FlipkartTable[[#This Row],[Original Price]]-FlipkartTable[[#This Row],[Selling Price]])/FlipkartTable[[#This Row],[Original Price]]</f>
        <v>0.21622790421103844</v>
      </c>
      <c r="K891">
        <f>(FlipkartTable[[#This Row],[Rating]]/FlipkartTable[[#This Row],[Selling Price]])*1000</f>
        <v>0.26898406786674944</v>
      </c>
      <c r="L891" t="str">
        <f>IF(FlipkartTable[[#This Row],[Selling Price]]&lt;15000,"Budget",IF(FlipkartTable[[#This Row],[Selling Price]]&lt;50000,"Mid Range","Premium"))</f>
        <v>Budget</v>
      </c>
      <c r="M891" t="str">
        <f>IF(FlipkartTable[[#This Row],[Rating]]&gt;4.5,"Excellent",IF(FlipkartTable[[#This Row],[Rating]]&gt;4,"Good",IF(FlipkartTable[[#This Row],[Rating]]&gt;3.5,"Average","Poor")))</f>
        <v>Average</v>
      </c>
    </row>
    <row r="892" spans="1:13" x14ac:dyDescent="0.35">
      <c r="A892" t="s">
        <v>550</v>
      </c>
      <c r="B892" s="9">
        <v>2.2999999999999998</v>
      </c>
      <c r="C892" t="s">
        <v>575</v>
      </c>
      <c r="D892" t="s">
        <v>35</v>
      </c>
      <c r="E892" t="s">
        <v>21</v>
      </c>
      <c r="F892">
        <v>4</v>
      </c>
      <c r="G892">
        <v>9999</v>
      </c>
      <c r="H892">
        <v>9999</v>
      </c>
      <c r="I892">
        <f>FlipkartTable[[#This Row],[Original Price]]-FlipkartTable[[#This Row],[Selling Price]]</f>
        <v>0</v>
      </c>
      <c r="J892" s="4">
        <f>(FlipkartTable[[#This Row],[Original Price]]-FlipkartTable[[#This Row],[Selling Price]])/FlipkartTable[[#This Row],[Original Price]]</f>
        <v>0</v>
      </c>
      <c r="K892">
        <f>(FlipkartTable[[#This Row],[Rating]]/FlipkartTable[[#This Row],[Selling Price]])*1000</f>
        <v>0.40004000400040007</v>
      </c>
      <c r="L892" t="str">
        <f>IF(FlipkartTable[[#This Row],[Selling Price]]&lt;15000,"Budget",IF(FlipkartTable[[#This Row],[Selling Price]]&lt;50000,"Mid Range","Premium"))</f>
        <v>Budget</v>
      </c>
      <c r="M892" t="str">
        <f>IF(FlipkartTable[[#This Row],[Rating]]&gt;4.5,"Excellent",IF(FlipkartTable[[#This Row],[Rating]]&gt;4,"Good",IF(FlipkartTable[[#This Row],[Rating]]&gt;3.5,"Average","Poor")))</f>
        <v>Average</v>
      </c>
    </row>
    <row r="893" spans="1:13" x14ac:dyDescent="0.35">
      <c r="A893" t="s">
        <v>550</v>
      </c>
      <c r="B893" s="9" t="s">
        <v>580</v>
      </c>
      <c r="C893" t="s">
        <v>19</v>
      </c>
      <c r="D893" t="s">
        <v>492</v>
      </c>
      <c r="E893" t="s">
        <v>493</v>
      </c>
      <c r="F893">
        <v>3.6</v>
      </c>
      <c r="G893">
        <v>3220</v>
      </c>
      <c r="H893">
        <v>3220</v>
      </c>
      <c r="I893">
        <f>FlipkartTable[[#This Row],[Original Price]]-FlipkartTable[[#This Row],[Selling Price]]</f>
        <v>0</v>
      </c>
      <c r="J893" s="4">
        <f>(FlipkartTable[[#This Row],[Original Price]]-FlipkartTable[[#This Row],[Selling Price]])/FlipkartTable[[#This Row],[Original Price]]</f>
        <v>0</v>
      </c>
      <c r="K893">
        <f>(FlipkartTable[[#This Row],[Rating]]/FlipkartTable[[#This Row],[Selling Price]])*1000</f>
        <v>1.1180124223602483</v>
      </c>
      <c r="L893" t="str">
        <f>IF(FlipkartTable[[#This Row],[Selling Price]]&lt;15000,"Budget",IF(FlipkartTable[[#This Row],[Selling Price]]&lt;50000,"Mid Range","Premium"))</f>
        <v>Budget</v>
      </c>
      <c r="M893" t="str">
        <f>IF(FlipkartTable[[#This Row],[Rating]]&gt;4.5,"Excellent",IF(FlipkartTable[[#This Row],[Rating]]&gt;4,"Good",IF(FlipkartTable[[#This Row],[Rating]]&gt;3.5,"Average","Poor")))</f>
        <v>Average</v>
      </c>
    </row>
    <row r="894" spans="1:13" x14ac:dyDescent="0.35">
      <c r="A894" t="s">
        <v>550</v>
      </c>
      <c r="B894" s="9">
        <v>9</v>
      </c>
      <c r="C894" t="s">
        <v>22</v>
      </c>
      <c r="D894" t="s">
        <v>14</v>
      </c>
      <c r="E894" t="s">
        <v>15</v>
      </c>
      <c r="F894">
        <v>3.8</v>
      </c>
      <c r="G894">
        <v>56299</v>
      </c>
      <c r="H894">
        <v>56299</v>
      </c>
      <c r="I894">
        <f>FlipkartTable[[#This Row],[Original Price]]-FlipkartTable[[#This Row],[Selling Price]]</f>
        <v>0</v>
      </c>
      <c r="J894" s="4">
        <f>(FlipkartTable[[#This Row],[Original Price]]-FlipkartTable[[#This Row],[Selling Price]])/FlipkartTable[[#This Row],[Original Price]]</f>
        <v>0</v>
      </c>
      <c r="K894">
        <f>(FlipkartTable[[#This Row],[Rating]]/FlipkartTable[[#This Row],[Selling Price]])*1000</f>
        <v>6.7496758379367305E-2</v>
      </c>
      <c r="L894" t="str">
        <f>IF(FlipkartTable[[#This Row],[Selling Price]]&lt;15000,"Budget",IF(FlipkartTable[[#This Row],[Selling Price]]&lt;50000,"Mid Range","Premium"))</f>
        <v>Premium</v>
      </c>
      <c r="M894" t="str">
        <f>IF(FlipkartTable[[#This Row],[Rating]]&gt;4.5,"Excellent",IF(FlipkartTable[[#This Row],[Rating]]&gt;4,"Good",IF(FlipkartTable[[#This Row],[Rating]]&gt;3.5,"Average","Poor")))</f>
        <v>Average</v>
      </c>
    </row>
    <row r="895" spans="1:13" x14ac:dyDescent="0.35">
      <c r="A895" t="s">
        <v>550</v>
      </c>
      <c r="B895" s="9">
        <v>5.4</v>
      </c>
      <c r="C895" t="s">
        <v>574</v>
      </c>
      <c r="D895" t="s">
        <v>11</v>
      </c>
      <c r="E895" t="s">
        <v>12</v>
      </c>
      <c r="F895">
        <v>3.9</v>
      </c>
      <c r="G895">
        <v>12999</v>
      </c>
      <c r="H895">
        <v>16799</v>
      </c>
      <c r="I895">
        <f>FlipkartTable[[#This Row],[Original Price]]-FlipkartTable[[#This Row],[Selling Price]]</f>
        <v>3800</v>
      </c>
      <c r="J895" s="4">
        <f>(FlipkartTable[[#This Row],[Original Price]]-FlipkartTable[[#This Row],[Selling Price]])/FlipkartTable[[#This Row],[Original Price]]</f>
        <v>0.22620394071075658</v>
      </c>
      <c r="K895">
        <f>(FlipkartTable[[#This Row],[Rating]]/FlipkartTable[[#This Row],[Selling Price]])*1000</f>
        <v>0.30002307869836142</v>
      </c>
      <c r="L895" t="str">
        <f>IF(FlipkartTable[[#This Row],[Selling Price]]&lt;15000,"Budget",IF(FlipkartTable[[#This Row],[Selling Price]]&lt;50000,"Mid Range","Premium"))</f>
        <v>Budget</v>
      </c>
      <c r="M895" t="str">
        <f>IF(FlipkartTable[[#This Row],[Rating]]&gt;4.5,"Excellent",IF(FlipkartTable[[#This Row],[Rating]]&gt;4,"Good",IF(FlipkartTable[[#This Row],[Rating]]&gt;3.5,"Average","Poor")))</f>
        <v>Average</v>
      </c>
    </row>
    <row r="896" spans="1:13" x14ac:dyDescent="0.35">
      <c r="A896" t="s">
        <v>550</v>
      </c>
      <c r="B896" s="9">
        <v>5.4</v>
      </c>
      <c r="C896" t="s">
        <v>567</v>
      </c>
      <c r="D896" t="s">
        <v>11</v>
      </c>
      <c r="E896" t="s">
        <v>12</v>
      </c>
      <c r="F896">
        <v>3.9</v>
      </c>
      <c r="G896">
        <v>12999</v>
      </c>
      <c r="H896">
        <v>16799</v>
      </c>
      <c r="I896">
        <f>FlipkartTable[[#This Row],[Original Price]]-FlipkartTable[[#This Row],[Selling Price]]</f>
        <v>3800</v>
      </c>
      <c r="J896" s="4">
        <f>(FlipkartTable[[#This Row],[Original Price]]-FlipkartTable[[#This Row],[Selling Price]])/FlipkartTable[[#This Row],[Original Price]]</f>
        <v>0.22620394071075658</v>
      </c>
      <c r="K896">
        <f>(FlipkartTable[[#This Row],[Rating]]/FlipkartTable[[#This Row],[Selling Price]])*1000</f>
        <v>0.30002307869836142</v>
      </c>
      <c r="L896" t="str">
        <f>IF(FlipkartTable[[#This Row],[Selling Price]]&lt;15000,"Budget",IF(FlipkartTable[[#This Row],[Selling Price]]&lt;50000,"Mid Range","Premium"))</f>
        <v>Budget</v>
      </c>
      <c r="M896" t="str">
        <f>IF(FlipkartTable[[#This Row],[Rating]]&gt;4.5,"Excellent",IF(FlipkartTable[[#This Row],[Rating]]&gt;4,"Good",IF(FlipkartTable[[#This Row],[Rating]]&gt;3.5,"Average","Poor")))</f>
        <v>Average</v>
      </c>
    </row>
    <row r="897" spans="1:13" x14ac:dyDescent="0.35">
      <c r="A897" t="s">
        <v>550</v>
      </c>
      <c r="B897" s="9" t="s">
        <v>559</v>
      </c>
      <c r="C897" t="s">
        <v>19</v>
      </c>
      <c r="D897" t="s">
        <v>552</v>
      </c>
      <c r="E897" t="s">
        <v>552</v>
      </c>
      <c r="F897">
        <v>4.2</v>
      </c>
      <c r="G897">
        <v>1399</v>
      </c>
      <c r="H897">
        <v>1399</v>
      </c>
      <c r="I897">
        <f>FlipkartTable[[#This Row],[Original Price]]-FlipkartTable[[#This Row],[Selling Price]]</f>
        <v>0</v>
      </c>
      <c r="J897" s="4">
        <f>(FlipkartTable[[#This Row],[Original Price]]-FlipkartTable[[#This Row],[Selling Price]])/FlipkartTable[[#This Row],[Original Price]]</f>
        <v>0</v>
      </c>
      <c r="K897">
        <f>(FlipkartTable[[#This Row],[Rating]]/FlipkartTable[[#This Row],[Selling Price]])*1000</f>
        <v>3.0021443888491781</v>
      </c>
      <c r="L897" t="str">
        <f>IF(FlipkartTable[[#This Row],[Selling Price]]&lt;15000,"Budget",IF(FlipkartTable[[#This Row],[Selling Price]]&lt;50000,"Mid Range","Premium"))</f>
        <v>Budget</v>
      </c>
      <c r="M897" t="str">
        <f>IF(FlipkartTable[[#This Row],[Rating]]&gt;4.5,"Excellent",IF(FlipkartTable[[#This Row],[Rating]]&gt;4,"Good",IF(FlipkartTable[[#This Row],[Rating]]&gt;3.5,"Average","Poor")))</f>
        <v>Good</v>
      </c>
    </row>
    <row r="898" spans="1:13" x14ac:dyDescent="0.35">
      <c r="A898" t="s">
        <v>550</v>
      </c>
      <c r="B898" s="9">
        <v>2.4</v>
      </c>
      <c r="C898" t="s">
        <v>581</v>
      </c>
      <c r="D898" t="s">
        <v>20</v>
      </c>
      <c r="E898" t="s">
        <v>12</v>
      </c>
      <c r="F898">
        <v>4</v>
      </c>
      <c r="G898">
        <v>10399</v>
      </c>
      <c r="H898">
        <v>11499</v>
      </c>
      <c r="I898">
        <f>FlipkartTable[[#This Row],[Original Price]]-FlipkartTable[[#This Row],[Selling Price]]</f>
        <v>1100</v>
      </c>
      <c r="J898" s="4">
        <f>(FlipkartTable[[#This Row],[Original Price]]-FlipkartTable[[#This Row],[Selling Price]])/FlipkartTable[[#This Row],[Original Price]]</f>
        <v>9.5660492216714493E-2</v>
      </c>
      <c r="K898">
        <f>(FlipkartTable[[#This Row],[Rating]]/FlipkartTable[[#This Row],[Selling Price]])*1000</f>
        <v>0.3846523704202327</v>
      </c>
      <c r="L898" t="str">
        <f>IF(FlipkartTable[[#This Row],[Selling Price]]&lt;15000,"Budget",IF(FlipkartTable[[#This Row],[Selling Price]]&lt;50000,"Mid Range","Premium"))</f>
        <v>Budget</v>
      </c>
      <c r="M898" t="str">
        <f>IF(FlipkartTable[[#This Row],[Rating]]&gt;4.5,"Excellent",IF(FlipkartTable[[#This Row],[Rating]]&gt;4,"Good",IF(FlipkartTable[[#This Row],[Rating]]&gt;3.5,"Average","Poor")))</f>
        <v>Average</v>
      </c>
    </row>
    <row r="899" spans="1:13" x14ac:dyDescent="0.35">
      <c r="A899" t="s">
        <v>550</v>
      </c>
      <c r="B899" s="9">
        <v>2.4</v>
      </c>
      <c r="C899" t="s">
        <v>582</v>
      </c>
      <c r="D899" t="s">
        <v>20</v>
      </c>
      <c r="E899" t="s">
        <v>12</v>
      </c>
      <c r="F899">
        <v>4</v>
      </c>
      <c r="G899">
        <v>10399</v>
      </c>
      <c r="H899">
        <v>11499</v>
      </c>
      <c r="I899">
        <f>FlipkartTable[[#This Row],[Original Price]]-FlipkartTable[[#This Row],[Selling Price]]</f>
        <v>1100</v>
      </c>
      <c r="J899" s="4">
        <f>(FlipkartTable[[#This Row],[Original Price]]-FlipkartTable[[#This Row],[Selling Price]])/FlipkartTable[[#This Row],[Original Price]]</f>
        <v>9.5660492216714493E-2</v>
      </c>
      <c r="K899">
        <f>(FlipkartTable[[#This Row],[Rating]]/FlipkartTable[[#This Row],[Selling Price]])*1000</f>
        <v>0.3846523704202327</v>
      </c>
      <c r="L899" t="str">
        <f>IF(FlipkartTable[[#This Row],[Selling Price]]&lt;15000,"Budget",IF(FlipkartTable[[#This Row],[Selling Price]]&lt;50000,"Mid Range","Premium"))</f>
        <v>Budget</v>
      </c>
      <c r="M899" t="str">
        <f>IF(FlipkartTable[[#This Row],[Rating]]&gt;4.5,"Excellent",IF(FlipkartTable[[#This Row],[Rating]]&gt;4,"Good",IF(FlipkartTable[[#This Row],[Rating]]&gt;3.5,"Average","Poor")))</f>
        <v>Average</v>
      </c>
    </row>
    <row r="900" spans="1:13" x14ac:dyDescent="0.35">
      <c r="A900" t="s">
        <v>550</v>
      </c>
      <c r="B900" s="9" t="s">
        <v>388</v>
      </c>
      <c r="C900" t="s">
        <v>570</v>
      </c>
      <c r="D900" t="s">
        <v>20</v>
      </c>
      <c r="E900" t="s">
        <v>21</v>
      </c>
      <c r="F900">
        <v>3.8</v>
      </c>
      <c r="G900">
        <v>7499</v>
      </c>
      <c r="H900">
        <v>9999</v>
      </c>
      <c r="I900">
        <f>FlipkartTable[[#This Row],[Original Price]]-FlipkartTable[[#This Row],[Selling Price]]</f>
        <v>2500</v>
      </c>
      <c r="J900" s="4">
        <f>(FlipkartTable[[#This Row],[Original Price]]-FlipkartTable[[#This Row],[Selling Price]])/FlipkartTable[[#This Row],[Original Price]]</f>
        <v>0.25002500250025</v>
      </c>
      <c r="K900">
        <f>(FlipkartTable[[#This Row],[Rating]]/FlipkartTable[[#This Row],[Selling Price]])*1000</f>
        <v>0.50673423123083072</v>
      </c>
      <c r="L900" t="str">
        <f>IF(FlipkartTable[[#This Row],[Selling Price]]&lt;15000,"Budget",IF(FlipkartTable[[#This Row],[Selling Price]]&lt;50000,"Mid Range","Premium"))</f>
        <v>Budget</v>
      </c>
      <c r="M900" t="str">
        <f>IF(FlipkartTable[[#This Row],[Rating]]&gt;4.5,"Excellent",IF(FlipkartTable[[#This Row],[Rating]]&gt;4,"Good",IF(FlipkartTable[[#This Row],[Rating]]&gt;3.5,"Average","Poor")))</f>
        <v>Average</v>
      </c>
    </row>
    <row r="901" spans="1:13" x14ac:dyDescent="0.35">
      <c r="A901" t="s">
        <v>550</v>
      </c>
      <c r="B901" s="9">
        <v>150</v>
      </c>
      <c r="C901" t="s">
        <v>19</v>
      </c>
      <c r="D901" t="s">
        <v>552</v>
      </c>
      <c r="E901" t="s">
        <v>552</v>
      </c>
      <c r="F901">
        <v>4.2</v>
      </c>
      <c r="G901">
        <v>2000</v>
      </c>
      <c r="H901">
        <v>2000</v>
      </c>
      <c r="I901">
        <f>FlipkartTable[[#This Row],[Original Price]]-FlipkartTable[[#This Row],[Selling Price]]</f>
        <v>0</v>
      </c>
      <c r="J901" s="4">
        <f>(FlipkartTable[[#This Row],[Original Price]]-FlipkartTable[[#This Row],[Selling Price]])/FlipkartTable[[#This Row],[Original Price]]</f>
        <v>0</v>
      </c>
      <c r="K901">
        <f>(FlipkartTable[[#This Row],[Rating]]/FlipkartTable[[#This Row],[Selling Price]])*1000</f>
        <v>2.1</v>
      </c>
      <c r="L901" t="str">
        <f>IF(FlipkartTable[[#This Row],[Selling Price]]&lt;15000,"Budget",IF(FlipkartTable[[#This Row],[Selling Price]]&lt;50000,"Mid Range","Premium"))</f>
        <v>Budget</v>
      </c>
      <c r="M901" t="str">
        <f>IF(FlipkartTable[[#This Row],[Rating]]&gt;4.5,"Excellent",IF(FlipkartTable[[#This Row],[Rating]]&gt;4,"Good",IF(FlipkartTable[[#This Row],[Rating]]&gt;3.5,"Average","Poor")))</f>
        <v>Good</v>
      </c>
    </row>
    <row r="902" spans="1:13" x14ac:dyDescent="0.35">
      <c r="A902" t="s">
        <v>550</v>
      </c>
      <c r="B902" s="9" t="s">
        <v>583</v>
      </c>
      <c r="C902" t="s">
        <v>19</v>
      </c>
      <c r="D902" t="s">
        <v>552</v>
      </c>
      <c r="E902" t="s">
        <v>552</v>
      </c>
      <c r="F902">
        <v>4.2</v>
      </c>
      <c r="G902">
        <v>1400</v>
      </c>
      <c r="H902">
        <v>1400</v>
      </c>
      <c r="I902">
        <f>FlipkartTable[[#This Row],[Original Price]]-FlipkartTable[[#This Row],[Selling Price]]</f>
        <v>0</v>
      </c>
      <c r="J902" s="4">
        <f>(FlipkartTable[[#This Row],[Original Price]]-FlipkartTable[[#This Row],[Selling Price]])/FlipkartTable[[#This Row],[Original Price]]</f>
        <v>0</v>
      </c>
      <c r="K902">
        <f>(FlipkartTable[[#This Row],[Rating]]/FlipkartTable[[#This Row],[Selling Price]])*1000</f>
        <v>3</v>
      </c>
      <c r="L902" t="str">
        <f>IF(FlipkartTable[[#This Row],[Selling Price]]&lt;15000,"Budget",IF(FlipkartTable[[#This Row],[Selling Price]]&lt;50000,"Mid Range","Premium"))</f>
        <v>Budget</v>
      </c>
      <c r="M902" t="str">
        <f>IF(FlipkartTable[[#This Row],[Rating]]&gt;4.5,"Excellent",IF(FlipkartTable[[#This Row],[Rating]]&gt;4,"Good",IF(FlipkartTable[[#This Row],[Rating]]&gt;3.5,"Average","Poor")))</f>
        <v>Good</v>
      </c>
    </row>
    <row r="903" spans="1:13" x14ac:dyDescent="0.35">
      <c r="A903" t="s">
        <v>550</v>
      </c>
      <c r="B903" s="9">
        <v>215</v>
      </c>
      <c r="C903" t="s">
        <v>19</v>
      </c>
      <c r="D903" t="s">
        <v>488</v>
      </c>
      <c r="E903" t="s">
        <v>563</v>
      </c>
      <c r="F903">
        <v>4.0999999999999996</v>
      </c>
      <c r="G903">
        <v>2200</v>
      </c>
      <c r="H903">
        <v>2200</v>
      </c>
      <c r="I903">
        <f>FlipkartTable[[#This Row],[Original Price]]-FlipkartTable[[#This Row],[Selling Price]]</f>
        <v>0</v>
      </c>
      <c r="J903" s="4">
        <f>(FlipkartTable[[#This Row],[Original Price]]-FlipkartTable[[#This Row],[Selling Price]])/FlipkartTable[[#This Row],[Original Price]]</f>
        <v>0</v>
      </c>
      <c r="K903">
        <f>(FlipkartTable[[#This Row],[Rating]]/FlipkartTable[[#This Row],[Selling Price]])*1000</f>
        <v>1.8636363636363635</v>
      </c>
      <c r="L903" t="str">
        <f>IF(FlipkartTable[[#This Row],[Selling Price]]&lt;15000,"Budget",IF(FlipkartTable[[#This Row],[Selling Price]]&lt;50000,"Mid Range","Premium"))</f>
        <v>Budget</v>
      </c>
      <c r="M903" t="str">
        <f>IF(FlipkartTable[[#This Row],[Rating]]&gt;4.5,"Excellent",IF(FlipkartTable[[#This Row],[Rating]]&gt;4,"Good",IF(FlipkartTable[[#This Row],[Rating]]&gt;3.5,"Average","Poor")))</f>
        <v>Good</v>
      </c>
    </row>
    <row r="904" spans="1:13" x14ac:dyDescent="0.35">
      <c r="A904" t="s">
        <v>550</v>
      </c>
      <c r="B904" s="9">
        <v>130</v>
      </c>
      <c r="C904" t="s">
        <v>19</v>
      </c>
      <c r="D904" t="s">
        <v>552</v>
      </c>
      <c r="E904" t="s">
        <v>488</v>
      </c>
      <c r="F904">
        <v>4.2</v>
      </c>
      <c r="G904">
        <v>1600</v>
      </c>
      <c r="H904">
        <v>1600</v>
      </c>
      <c r="I904">
        <f>FlipkartTable[[#This Row],[Original Price]]-FlipkartTable[[#This Row],[Selling Price]]</f>
        <v>0</v>
      </c>
      <c r="J904" s="4">
        <f>(FlipkartTable[[#This Row],[Original Price]]-FlipkartTable[[#This Row],[Selling Price]])/FlipkartTable[[#This Row],[Original Price]]</f>
        <v>0</v>
      </c>
      <c r="K904">
        <f>(FlipkartTable[[#This Row],[Rating]]/FlipkartTable[[#This Row],[Selling Price]])*1000</f>
        <v>2.625</v>
      </c>
      <c r="L904" t="str">
        <f>IF(FlipkartTable[[#This Row],[Selling Price]]&lt;15000,"Budget",IF(FlipkartTable[[#This Row],[Selling Price]]&lt;50000,"Mid Range","Premium"))</f>
        <v>Budget</v>
      </c>
      <c r="M904" t="str">
        <f>IF(FlipkartTable[[#This Row],[Rating]]&gt;4.5,"Excellent",IF(FlipkartTable[[#This Row],[Rating]]&gt;4,"Good",IF(FlipkartTable[[#This Row],[Rating]]&gt;3.5,"Average","Poor")))</f>
        <v>Good</v>
      </c>
    </row>
    <row r="905" spans="1:13" x14ac:dyDescent="0.35">
      <c r="A905" t="s">
        <v>550</v>
      </c>
      <c r="B905" s="9">
        <v>130</v>
      </c>
      <c r="C905" t="s">
        <v>19</v>
      </c>
      <c r="D905" t="s">
        <v>552</v>
      </c>
      <c r="E905" t="s">
        <v>539</v>
      </c>
      <c r="F905">
        <v>4.2</v>
      </c>
      <c r="G905">
        <v>1600</v>
      </c>
      <c r="H905">
        <v>1600</v>
      </c>
      <c r="I905">
        <f>FlipkartTable[[#This Row],[Original Price]]-FlipkartTable[[#This Row],[Selling Price]]</f>
        <v>0</v>
      </c>
      <c r="J905" s="4">
        <f>(FlipkartTable[[#This Row],[Original Price]]-FlipkartTable[[#This Row],[Selling Price]])/FlipkartTable[[#This Row],[Original Price]]</f>
        <v>0</v>
      </c>
      <c r="K905">
        <f>(FlipkartTable[[#This Row],[Rating]]/FlipkartTable[[#This Row],[Selling Price]])*1000</f>
        <v>2.625</v>
      </c>
      <c r="L905" t="str">
        <f>IF(FlipkartTable[[#This Row],[Selling Price]]&lt;15000,"Budget",IF(FlipkartTable[[#This Row],[Selling Price]]&lt;50000,"Mid Range","Premium"))</f>
        <v>Budget</v>
      </c>
      <c r="M905" t="str">
        <f>IF(FlipkartTable[[#This Row],[Rating]]&gt;4.5,"Excellent",IF(FlipkartTable[[#This Row],[Rating]]&gt;4,"Good",IF(FlipkartTable[[#This Row],[Rating]]&gt;3.5,"Average","Poor")))</f>
        <v>Good</v>
      </c>
    </row>
    <row r="906" spans="1:13" x14ac:dyDescent="0.35">
      <c r="A906" t="s">
        <v>550</v>
      </c>
      <c r="B906" s="9" t="s">
        <v>584</v>
      </c>
      <c r="C906" t="s">
        <v>19</v>
      </c>
      <c r="D906" t="s">
        <v>552</v>
      </c>
      <c r="E906" t="s">
        <v>552</v>
      </c>
      <c r="F906">
        <v>4.2</v>
      </c>
      <c r="G906">
        <v>1900</v>
      </c>
      <c r="H906">
        <v>1900</v>
      </c>
      <c r="I906">
        <f>FlipkartTable[[#This Row],[Original Price]]-FlipkartTable[[#This Row],[Selling Price]]</f>
        <v>0</v>
      </c>
      <c r="J906" s="4">
        <f>(FlipkartTable[[#This Row],[Original Price]]-FlipkartTable[[#This Row],[Selling Price]])/FlipkartTable[[#This Row],[Original Price]]</f>
        <v>0</v>
      </c>
      <c r="K906">
        <f>(FlipkartTable[[#This Row],[Rating]]/FlipkartTable[[#This Row],[Selling Price]])*1000</f>
        <v>2.2105263157894739</v>
      </c>
      <c r="L906" t="str">
        <f>IF(FlipkartTable[[#This Row],[Selling Price]]&lt;15000,"Budget",IF(FlipkartTable[[#This Row],[Selling Price]]&lt;50000,"Mid Range","Premium"))</f>
        <v>Budget</v>
      </c>
      <c r="M906" t="str">
        <f>IF(FlipkartTable[[#This Row],[Rating]]&gt;4.5,"Excellent",IF(FlipkartTable[[#This Row],[Rating]]&gt;4,"Good",IF(FlipkartTable[[#This Row],[Rating]]&gt;3.5,"Average","Poor")))</f>
        <v>Good</v>
      </c>
    </row>
    <row r="907" spans="1:13" x14ac:dyDescent="0.35">
      <c r="A907" t="s">
        <v>550</v>
      </c>
      <c r="B907" s="9" t="s">
        <v>585</v>
      </c>
      <c r="C907" t="s">
        <v>19</v>
      </c>
      <c r="D907" t="s">
        <v>552</v>
      </c>
      <c r="E907" t="s">
        <v>586</v>
      </c>
      <c r="F907">
        <v>4.2</v>
      </c>
      <c r="G907">
        <v>1900</v>
      </c>
      <c r="H907">
        <v>1900</v>
      </c>
      <c r="I907">
        <f>FlipkartTable[[#This Row],[Original Price]]-FlipkartTable[[#This Row],[Selling Price]]</f>
        <v>0</v>
      </c>
      <c r="J907" s="4">
        <f>(FlipkartTable[[#This Row],[Original Price]]-FlipkartTable[[#This Row],[Selling Price]])/FlipkartTable[[#This Row],[Original Price]]</f>
        <v>0</v>
      </c>
      <c r="K907">
        <f>(FlipkartTable[[#This Row],[Rating]]/FlipkartTable[[#This Row],[Selling Price]])*1000</f>
        <v>2.2105263157894739</v>
      </c>
      <c r="L907" t="str">
        <f>IF(FlipkartTable[[#This Row],[Selling Price]]&lt;15000,"Budget",IF(FlipkartTable[[#This Row],[Selling Price]]&lt;50000,"Mid Range","Premium"))</f>
        <v>Budget</v>
      </c>
      <c r="M907" t="str">
        <f>IF(FlipkartTable[[#This Row],[Rating]]&gt;4.5,"Excellent",IF(FlipkartTable[[#This Row],[Rating]]&gt;4,"Good",IF(FlipkartTable[[#This Row],[Rating]]&gt;3.5,"Average","Poor")))</f>
        <v>Good</v>
      </c>
    </row>
    <row r="908" spans="1:13" x14ac:dyDescent="0.35">
      <c r="A908" t="s">
        <v>550</v>
      </c>
      <c r="B908" s="9" t="s">
        <v>583</v>
      </c>
      <c r="C908" t="s">
        <v>19</v>
      </c>
      <c r="D908" t="s">
        <v>552</v>
      </c>
      <c r="E908" t="s">
        <v>552</v>
      </c>
      <c r="F908">
        <v>4.2</v>
      </c>
      <c r="G908">
        <v>1660</v>
      </c>
      <c r="H908">
        <v>1700</v>
      </c>
      <c r="I908">
        <f>FlipkartTable[[#This Row],[Original Price]]-FlipkartTable[[#This Row],[Selling Price]]</f>
        <v>40</v>
      </c>
      <c r="J908" s="4">
        <f>(FlipkartTable[[#This Row],[Original Price]]-FlipkartTable[[#This Row],[Selling Price]])/FlipkartTable[[#This Row],[Original Price]]</f>
        <v>2.3529411764705882E-2</v>
      </c>
      <c r="K908">
        <f>(FlipkartTable[[#This Row],[Rating]]/FlipkartTable[[#This Row],[Selling Price]])*1000</f>
        <v>2.5301204819277112</v>
      </c>
      <c r="L908" t="str">
        <f>IF(FlipkartTable[[#This Row],[Selling Price]]&lt;15000,"Budget",IF(FlipkartTable[[#This Row],[Selling Price]]&lt;50000,"Mid Range","Premium"))</f>
        <v>Budget</v>
      </c>
      <c r="M908" t="str">
        <f>IF(FlipkartTable[[#This Row],[Rating]]&gt;4.5,"Excellent",IF(FlipkartTable[[#This Row],[Rating]]&gt;4,"Good",IF(FlipkartTable[[#This Row],[Rating]]&gt;3.5,"Average","Poor")))</f>
        <v>Good</v>
      </c>
    </row>
    <row r="909" spans="1:13" x14ac:dyDescent="0.35">
      <c r="A909" t="s">
        <v>550</v>
      </c>
      <c r="B909" s="9" t="s">
        <v>388</v>
      </c>
      <c r="C909" t="s">
        <v>573</v>
      </c>
      <c r="D909" t="s">
        <v>35</v>
      </c>
      <c r="E909" t="s">
        <v>124</v>
      </c>
      <c r="F909">
        <v>3.7</v>
      </c>
      <c r="G909">
        <v>7299</v>
      </c>
      <c r="H909">
        <v>7299</v>
      </c>
      <c r="I909">
        <f>FlipkartTable[[#This Row],[Original Price]]-FlipkartTable[[#This Row],[Selling Price]]</f>
        <v>0</v>
      </c>
      <c r="J909" s="4">
        <f>(FlipkartTable[[#This Row],[Original Price]]-FlipkartTable[[#This Row],[Selling Price]])/FlipkartTable[[#This Row],[Original Price]]</f>
        <v>0</v>
      </c>
      <c r="K909">
        <f>(FlipkartTable[[#This Row],[Rating]]/FlipkartTable[[#This Row],[Selling Price]])*1000</f>
        <v>0.50691875599397185</v>
      </c>
      <c r="L909" t="str">
        <f>IF(FlipkartTable[[#This Row],[Selling Price]]&lt;15000,"Budget",IF(FlipkartTable[[#This Row],[Selling Price]]&lt;50000,"Mid Range","Premium"))</f>
        <v>Budget</v>
      </c>
      <c r="M909" t="str">
        <f>IF(FlipkartTable[[#This Row],[Rating]]&gt;4.5,"Excellent",IF(FlipkartTable[[#This Row],[Rating]]&gt;4,"Good",IF(FlipkartTable[[#This Row],[Rating]]&gt;3.5,"Average","Poor")))</f>
        <v>Average</v>
      </c>
    </row>
    <row r="910" spans="1:13" x14ac:dyDescent="0.35">
      <c r="A910" t="s">
        <v>550</v>
      </c>
      <c r="B910" s="9" t="s">
        <v>587</v>
      </c>
      <c r="C910" t="s">
        <v>19</v>
      </c>
      <c r="D910" t="s">
        <v>552</v>
      </c>
      <c r="E910" t="s">
        <v>552</v>
      </c>
      <c r="F910">
        <v>4.2</v>
      </c>
      <c r="G910">
        <v>1500</v>
      </c>
      <c r="H910">
        <v>1500</v>
      </c>
      <c r="I910">
        <f>FlipkartTable[[#This Row],[Original Price]]-FlipkartTable[[#This Row],[Selling Price]]</f>
        <v>0</v>
      </c>
      <c r="J910" s="4">
        <f>(FlipkartTable[[#This Row],[Original Price]]-FlipkartTable[[#This Row],[Selling Price]])/FlipkartTable[[#This Row],[Original Price]]</f>
        <v>0</v>
      </c>
      <c r="K910">
        <f>(FlipkartTable[[#This Row],[Rating]]/FlipkartTable[[#This Row],[Selling Price]])*1000</f>
        <v>2.8</v>
      </c>
      <c r="L910" t="str">
        <f>IF(FlipkartTable[[#This Row],[Selling Price]]&lt;15000,"Budget",IF(FlipkartTable[[#This Row],[Selling Price]]&lt;50000,"Mid Range","Premium"))</f>
        <v>Budget</v>
      </c>
      <c r="M910" t="str">
        <f>IF(FlipkartTable[[#This Row],[Rating]]&gt;4.5,"Excellent",IF(FlipkartTable[[#This Row],[Rating]]&gt;4,"Good",IF(FlipkartTable[[#This Row],[Rating]]&gt;3.5,"Average","Poor")))</f>
        <v>Good</v>
      </c>
    </row>
    <row r="911" spans="1:13" x14ac:dyDescent="0.35">
      <c r="A911" t="s">
        <v>550</v>
      </c>
      <c r="B911" s="9" t="s">
        <v>579</v>
      </c>
      <c r="C911" t="s">
        <v>19</v>
      </c>
      <c r="D911" t="s">
        <v>492</v>
      </c>
      <c r="E911" t="s">
        <v>493</v>
      </c>
      <c r="F911">
        <v>3.7</v>
      </c>
      <c r="G911">
        <v>3899</v>
      </c>
      <c r="H911">
        <v>4399</v>
      </c>
      <c r="I911">
        <f>FlipkartTable[[#This Row],[Original Price]]-FlipkartTable[[#This Row],[Selling Price]]</f>
        <v>500</v>
      </c>
      <c r="J911" s="4">
        <f>(FlipkartTable[[#This Row],[Original Price]]-FlipkartTable[[#This Row],[Selling Price]])/FlipkartTable[[#This Row],[Original Price]]</f>
        <v>0.11366219595362582</v>
      </c>
      <c r="K911">
        <f>(FlipkartTable[[#This Row],[Rating]]/FlipkartTable[[#This Row],[Selling Price]])*1000</f>
        <v>0.94896127212105674</v>
      </c>
      <c r="L911" t="str">
        <f>IF(FlipkartTable[[#This Row],[Selling Price]]&lt;15000,"Budget",IF(FlipkartTable[[#This Row],[Selling Price]]&lt;50000,"Mid Range","Premium"))</f>
        <v>Budget</v>
      </c>
      <c r="M911" t="str">
        <f>IF(FlipkartTable[[#This Row],[Rating]]&gt;4.5,"Excellent",IF(FlipkartTable[[#This Row],[Rating]]&gt;4,"Good",IF(FlipkartTable[[#This Row],[Rating]]&gt;3.5,"Average","Poor")))</f>
        <v>Average</v>
      </c>
    </row>
    <row r="912" spans="1:13" x14ac:dyDescent="0.35">
      <c r="A912" t="s">
        <v>550</v>
      </c>
      <c r="B912" s="9">
        <v>3.2</v>
      </c>
      <c r="C912" t="s">
        <v>19</v>
      </c>
      <c r="D912" t="s">
        <v>20</v>
      </c>
      <c r="E912" t="s">
        <v>21</v>
      </c>
      <c r="F912">
        <v>4.0999999999999996</v>
      </c>
      <c r="G912">
        <v>10499</v>
      </c>
      <c r="H912">
        <v>10999</v>
      </c>
      <c r="I912">
        <f>FlipkartTable[[#This Row],[Original Price]]-FlipkartTable[[#This Row],[Selling Price]]</f>
        <v>500</v>
      </c>
      <c r="J912" s="4">
        <f>(FlipkartTable[[#This Row],[Original Price]]-FlipkartTable[[#This Row],[Selling Price]])/FlipkartTable[[#This Row],[Original Price]]</f>
        <v>4.5458678061641965E-2</v>
      </c>
      <c r="K912">
        <f>(FlipkartTable[[#This Row],[Rating]]/FlipkartTable[[#This Row],[Selling Price]])*1000</f>
        <v>0.3905133822268787</v>
      </c>
      <c r="L912" t="str">
        <f>IF(FlipkartTable[[#This Row],[Selling Price]]&lt;15000,"Budget",IF(FlipkartTable[[#This Row],[Selling Price]]&lt;50000,"Mid Range","Premium"))</f>
        <v>Budget</v>
      </c>
      <c r="M912" t="str">
        <f>IF(FlipkartTable[[#This Row],[Rating]]&gt;4.5,"Excellent",IF(FlipkartTable[[#This Row],[Rating]]&gt;4,"Good",IF(FlipkartTable[[#This Row],[Rating]]&gt;3.5,"Average","Poor")))</f>
        <v>Good</v>
      </c>
    </row>
    <row r="913" spans="1:13" x14ac:dyDescent="0.35">
      <c r="A913" t="s">
        <v>550</v>
      </c>
      <c r="B913" s="9" t="s">
        <v>562</v>
      </c>
      <c r="C913" t="s">
        <v>19</v>
      </c>
      <c r="D913" t="s">
        <v>489</v>
      </c>
      <c r="E913" t="s">
        <v>563</v>
      </c>
      <c r="F913">
        <v>3.8</v>
      </c>
      <c r="G913">
        <v>3499</v>
      </c>
      <c r="H913">
        <v>3499</v>
      </c>
      <c r="I913">
        <f>FlipkartTable[[#This Row],[Original Price]]-FlipkartTable[[#This Row],[Selling Price]]</f>
        <v>0</v>
      </c>
      <c r="J913" s="4">
        <f>(FlipkartTable[[#This Row],[Original Price]]-FlipkartTable[[#This Row],[Selling Price]])/FlipkartTable[[#This Row],[Original Price]]</f>
        <v>0</v>
      </c>
      <c r="K913">
        <f>(FlipkartTable[[#This Row],[Rating]]/FlipkartTable[[#This Row],[Selling Price]])*1000</f>
        <v>1.0860245784509861</v>
      </c>
      <c r="L913" t="str">
        <f>IF(FlipkartTable[[#This Row],[Selling Price]]&lt;15000,"Budget",IF(FlipkartTable[[#This Row],[Selling Price]]&lt;50000,"Mid Range","Premium"))</f>
        <v>Budget</v>
      </c>
      <c r="M913" t="str">
        <f>IF(FlipkartTable[[#This Row],[Rating]]&gt;4.5,"Excellent",IF(FlipkartTable[[#This Row],[Rating]]&gt;4,"Good",IF(FlipkartTable[[#This Row],[Rating]]&gt;3.5,"Average","Poor")))</f>
        <v>Average</v>
      </c>
    </row>
    <row r="914" spans="1:13" x14ac:dyDescent="0.35">
      <c r="A914" t="s">
        <v>550</v>
      </c>
      <c r="B914" s="9" t="s">
        <v>588</v>
      </c>
      <c r="C914" t="s">
        <v>19</v>
      </c>
      <c r="D914" t="s">
        <v>20</v>
      </c>
      <c r="E914" t="s">
        <v>21</v>
      </c>
      <c r="F914">
        <v>4.3</v>
      </c>
      <c r="G914">
        <v>13199</v>
      </c>
      <c r="H914">
        <v>13199</v>
      </c>
      <c r="I914">
        <f>FlipkartTable[[#This Row],[Original Price]]-FlipkartTable[[#This Row],[Selling Price]]</f>
        <v>0</v>
      </c>
      <c r="J914" s="4">
        <f>(FlipkartTable[[#This Row],[Original Price]]-FlipkartTable[[#This Row],[Selling Price]])/FlipkartTable[[#This Row],[Original Price]]</f>
        <v>0</v>
      </c>
      <c r="K914">
        <f>(FlipkartTable[[#This Row],[Rating]]/FlipkartTable[[#This Row],[Selling Price]])*1000</f>
        <v>0.32578225623153267</v>
      </c>
      <c r="L914" t="str">
        <f>IF(FlipkartTable[[#This Row],[Selling Price]]&lt;15000,"Budget",IF(FlipkartTable[[#This Row],[Selling Price]]&lt;50000,"Mid Range","Premium"))</f>
        <v>Budget</v>
      </c>
      <c r="M914" t="str">
        <f>IF(FlipkartTable[[#This Row],[Rating]]&gt;4.5,"Excellent",IF(FlipkartTable[[#This Row],[Rating]]&gt;4,"Good",IF(FlipkartTable[[#This Row],[Rating]]&gt;3.5,"Average","Poor")))</f>
        <v>Good</v>
      </c>
    </row>
    <row r="915" spans="1:13" x14ac:dyDescent="0.35">
      <c r="A915" t="s">
        <v>550</v>
      </c>
      <c r="B915" s="9">
        <v>130</v>
      </c>
      <c r="C915" t="s">
        <v>19</v>
      </c>
      <c r="D915" t="s">
        <v>552</v>
      </c>
      <c r="E915" t="s">
        <v>488</v>
      </c>
      <c r="F915">
        <v>4.2</v>
      </c>
      <c r="G915">
        <v>1625</v>
      </c>
      <c r="H915">
        <v>1625</v>
      </c>
      <c r="I915">
        <f>FlipkartTable[[#This Row],[Original Price]]-FlipkartTable[[#This Row],[Selling Price]]</f>
        <v>0</v>
      </c>
      <c r="J915" s="4">
        <f>(FlipkartTable[[#This Row],[Original Price]]-FlipkartTable[[#This Row],[Selling Price]])/FlipkartTable[[#This Row],[Original Price]]</f>
        <v>0</v>
      </c>
      <c r="K915">
        <f>(FlipkartTable[[#This Row],[Rating]]/FlipkartTable[[#This Row],[Selling Price]])*1000</f>
        <v>2.5846153846153848</v>
      </c>
      <c r="L915" t="str">
        <f>IF(FlipkartTable[[#This Row],[Selling Price]]&lt;15000,"Budget",IF(FlipkartTable[[#This Row],[Selling Price]]&lt;50000,"Mid Range","Premium"))</f>
        <v>Budget</v>
      </c>
      <c r="M915" t="str">
        <f>IF(FlipkartTable[[#This Row],[Rating]]&gt;4.5,"Excellent",IF(FlipkartTable[[#This Row],[Rating]]&gt;4,"Good",IF(FlipkartTable[[#This Row],[Rating]]&gt;3.5,"Average","Poor")))</f>
        <v>Good</v>
      </c>
    </row>
    <row r="916" spans="1:13" x14ac:dyDescent="0.35">
      <c r="A916" t="s">
        <v>550</v>
      </c>
      <c r="B916" s="9" t="s">
        <v>589</v>
      </c>
      <c r="C916" t="s">
        <v>19</v>
      </c>
      <c r="D916" t="s">
        <v>552</v>
      </c>
      <c r="E916" t="s">
        <v>552</v>
      </c>
      <c r="F916">
        <v>4.2</v>
      </c>
      <c r="G916">
        <v>1000</v>
      </c>
      <c r="H916">
        <v>1000</v>
      </c>
      <c r="I916">
        <f>FlipkartTable[[#This Row],[Original Price]]-FlipkartTable[[#This Row],[Selling Price]]</f>
        <v>0</v>
      </c>
      <c r="J916" s="4">
        <f>(FlipkartTable[[#This Row],[Original Price]]-FlipkartTable[[#This Row],[Selling Price]])/FlipkartTable[[#This Row],[Original Price]]</f>
        <v>0</v>
      </c>
      <c r="K916">
        <f>(FlipkartTable[[#This Row],[Rating]]/FlipkartTable[[#This Row],[Selling Price]])*1000</f>
        <v>4.2</v>
      </c>
      <c r="L916" t="str">
        <f>IF(FlipkartTable[[#This Row],[Selling Price]]&lt;15000,"Budget",IF(FlipkartTable[[#This Row],[Selling Price]]&lt;50000,"Mid Range","Premium"))</f>
        <v>Budget</v>
      </c>
      <c r="M916" t="str">
        <f>IF(FlipkartTable[[#This Row],[Rating]]&gt;4.5,"Excellent",IF(FlipkartTable[[#This Row],[Rating]]&gt;4,"Good",IF(FlipkartTable[[#This Row],[Rating]]&gt;3.5,"Average","Poor")))</f>
        <v>Good</v>
      </c>
    </row>
    <row r="917" spans="1:13" x14ac:dyDescent="0.35">
      <c r="A917" t="s">
        <v>550</v>
      </c>
      <c r="B917" s="9">
        <v>105</v>
      </c>
      <c r="C917" t="s">
        <v>19</v>
      </c>
      <c r="D917" t="s">
        <v>552</v>
      </c>
      <c r="E917" t="s">
        <v>552</v>
      </c>
      <c r="F917">
        <v>4.3</v>
      </c>
      <c r="G917">
        <v>1000</v>
      </c>
      <c r="H917">
        <v>1000</v>
      </c>
      <c r="I917">
        <f>FlipkartTable[[#This Row],[Original Price]]-FlipkartTable[[#This Row],[Selling Price]]</f>
        <v>0</v>
      </c>
      <c r="J917" s="4">
        <f>(FlipkartTable[[#This Row],[Original Price]]-FlipkartTable[[#This Row],[Selling Price]])/FlipkartTable[[#This Row],[Original Price]]</f>
        <v>0</v>
      </c>
      <c r="K917">
        <f>(FlipkartTable[[#This Row],[Rating]]/FlipkartTable[[#This Row],[Selling Price]])*1000</f>
        <v>4.3</v>
      </c>
      <c r="L917" t="str">
        <f>IF(FlipkartTable[[#This Row],[Selling Price]]&lt;15000,"Budget",IF(FlipkartTable[[#This Row],[Selling Price]]&lt;50000,"Mid Range","Premium"))</f>
        <v>Budget</v>
      </c>
      <c r="M917" t="str">
        <f>IF(FlipkartTable[[#This Row],[Rating]]&gt;4.5,"Excellent",IF(FlipkartTable[[#This Row],[Rating]]&gt;4,"Good",IF(FlipkartTable[[#This Row],[Rating]]&gt;3.5,"Average","Poor")))</f>
        <v>Good</v>
      </c>
    </row>
    <row r="918" spans="1:13" x14ac:dyDescent="0.35">
      <c r="A918" t="s">
        <v>550</v>
      </c>
      <c r="B918" s="9" t="s">
        <v>585</v>
      </c>
      <c r="C918" t="s">
        <v>19</v>
      </c>
      <c r="D918" t="s">
        <v>552</v>
      </c>
      <c r="E918" t="s">
        <v>586</v>
      </c>
      <c r="F918">
        <v>4.2</v>
      </c>
      <c r="G918">
        <v>1860</v>
      </c>
      <c r="H918">
        <v>1860</v>
      </c>
      <c r="I918">
        <f>FlipkartTable[[#This Row],[Original Price]]-FlipkartTable[[#This Row],[Selling Price]]</f>
        <v>0</v>
      </c>
      <c r="J918" s="4">
        <f>(FlipkartTable[[#This Row],[Original Price]]-FlipkartTable[[#This Row],[Selling Price]])/FlipkartTable[[#This Row],[Original Price]]</f>
        <v>0</v>
      </c>
      <c r="K918">
        <f>(FlipkartTable[[#This Row],[Rating]]/FlipkartTable[[#This Row],[Selling Price]])*1000</f>
        <v>2.2580645161290325</v>
      </c>
      <c r="L918" t="str">
        <f>IF(FlipkartTable[[#This Row],[Selling Price]]&lt;15000,"Budget",IF(FlipkartTable[[#This Row],[Selling Price]]&lt;50000,"Mid Range","Premium"))</f>
        <v>Budget</v>
      </c>
      <c r="M918" t="str">
        <f>IF(FlipkartTable[[#This Row],[Rating]]&gt;4.5,"Excellent",IF(FlipkartTable[[#This Row],[Rating]]&gt;4,"Good",IF(FlipkartTable[[#This Row],[Rating]]&gt;3.5,"Average","Poor")))</f>
        <v>Good</v>
      </c>
    </row>
    <row r="919" spans="1:13" x14ac:dyDescent="0.35">
      <c r="A919" t="s">
        <v>550</v>
      </c>
      <c r="B919" s="9">
        <v>3.2</v>
      </c>
      <c r="C919" t="s">
        <v>19</v>
      </c>
      <c r="D919" t="s">
        <v>35</v>
      </c>
      <c r="E919" t="s">
        <v>124</v>
      </c>
      <c r="F919">
        <v>3.8</v>
      </c>
      <c r="G919">
        <v>9999</v>
      </c>
      <c r="H919">
        <v>9999</v>
      </c>
      <c r="I919">
        <f>FlipkartTable[[#This Row],[Original Price]]-FlipkartTable[[#This Row],[Selling Price]]</f>
        <v>0</v>
      </c>
      <c r="J919" s="4">
        <f>(FlipkartTable[[#This Row],[Original Price]]-FlipkartTable[[#This Row],[Selling Price]])/FlipkartTable[[#This Row],[Original Price]]</f>
        <v>0</v>
      </c>
      <c r="K919">
        <f>(FlipkartTable[[#This Row],[Rating]]/FlipkartTable[[#This Row],[Selling Price]])*1000</f>
        <v>0.38003800380038</v>
      </c>
      <c r="L919" t="str">
        <f>IF(FlipkartTable[[#This Row],[Selling Price]]&lt;15000,"Budget",IF(FlipkartTable[[#This Row],[Selling Price]]&lt;50000,"Mid Range","Premium"))</f>
        <v>Budget</v>
      </c>
      <c r="M919" t="str">
        <f>IF(FlipkartTable[[#This Row],[Rating]]&gt;4.5,"Excellent",IF(FlipkartTable[[#This Row],[Rating]]&gt;4,"Good",IF(FlipkartTable[[#This Row],[Rating]]&gt;3.5,"Average","Poor")))</f>
        <v>Average</v>
      </c>
    </row>
    <row r="920" spans="1:13" x14ac:dyDescent="0.35">
      <c r="A920" t="s">
        <v>550</v>
      </c>
      <c r="B920" s="9">
        <v>3.2</v>
      </c>
      <c r="C920" t="s">
        <v>19</v>
      </c>
      <c r="D920" t="s">
        <v>20</v>
      </c>
      <c r="E920" t="s">
        <v>21</v>
      </c>
      <c r="F920">
        <v>4.0999999999999996</v>
      </c>
      <c r="G920">
        <v>11999</v>
      </c>
      <c r="H920">
        <v>11999</v>
      </c>
      <c r="I920">
        <f>FlipkartTable[[#This Row],[Original Price]]-FlipkartTable[[#This Row],[Selling Price]]</f>
        <v>0</v>
      </c>
      <c r="J920" s="4">
        <f>(FlipkartTable[[#This Row],[Original Price]]-FlipkartTable[[#This Row],[Selling Price]])/FlipkartTable[[#This Row],[Original Price]]</f>
        <v>0</v>
      </c>
      <c r="K920">
        <f>(FlipkartTable[[#This Row],[Rating]]/FlipkartTable[[#This Row],[Selling Price]])*1000</f>
        <v>0.34169514126177181</v>
      </c>
      <c r="L920" t="str">
        <f>IF(FlipkartTable[[#This Row],[Selling Price]]&lt;15000,"Budget",IF(FlipkartTable[[#This Row],[Selling Price]]&lt;50000,"Mid Range","Premium"))</f>
        <v>Budget</v>
      </c>
      <c r="M920" t="str">
        <f>IF(FlipkartTable[[#This Row],[Rating]]&gt;4.5,"Excellent",IF(FlipkartTable[[#This Row],[Rating]]&gt;4,"Good",IF(FlipkartTable[[#This Row],[Rating]]&gt;3.5,"Average","Poor")))</f>
        <v>Good</v>
      </c>
    </row>
    <row r="921" spans="1:13" x14ac:dyDescent="0.35">
      <c r="A921" t="s">
        <v>550</v>
      </c>
      <c r="B921" s="9">
        <v>6.1</v>
      </c>
      <c r="C921" t="s">
        <v>590</v>
      </c>
      <c r="D921" t="s">
        <v>20</v>
      </c>
      <c r="E921" t="s">
        <v>21</v>
      </c>
      <c r="F921">
        <v>4.2</v>
      </c>
      <c r="G921">
        <v>14927</v>
      </c>
      <c r="H921">
        <v>14927</v>
      </c>
      <c r="I921">
        <f>FlipkartTable[[#This Row],[Original Price]]-FlipkartTable[[#This Row],[Selling Price]]</f>
        <v>0</v>
      </c>
      <c r="J921" s="4">
        <f>(FlipkartTable[[#This Row],[Original Price]]-FlipkartTable[[#This Row],[Selling Price]])/FlipkartTable[[#This Row],[Original Price]]</f>
        <v>0</v>
      </c>
      <c r="K921">
        <f>(FlipkartTable[[#This Row],[Rating]]/FlipkartTable[[#This Row],[Selling Price]])*1000</f>
        <v>0.28136933074294906</v>
      </c>
      <c r="L921" t="str">
        <f>IF(FlipkartTable[[#This Row],[Selling Price]]&lt;15000,"Budget",IF(FlipkartTable[[#This Row],[Selling Price]]&lt;50000,"Mid Range","Premium"))</f>
        <v>Budget</v>
      </c>
      <c r="M921" t="str">
        <f>IF(FlipkartTable[[#This Row],[Rating]]&gt;4.5,"Excellent",IF(FlipkartTable[[#This Row],[Rating]]&gt;4,"Good",IF(FlipkartTable[[#This Row],[Rating]]&gt;3.5,"Average","Poor")))</f>
        <v>Good</v>
      </c>
    </row>
    <row r="922" spans="1:13" x14ac:dyDescent="0.35">
      <c r="A922" t="s">
        <v>550</v>
      </c>
      <c r="B922" s="9">
        <v>2.1</v>
      </c>
      <c r="C922" t="s">
        <v>19</v>
      </c>
      <c r="D922" t="s">
        <v>134</v>
      </c>
      <c r="E922" t="s">
        <v>27</v>
      </c>
      <c r="F922">
        <v>4</v>
      </c>
      <c r="G922">
        <v>6500</v>
      </c>
      <c r="H922">
        <v>6500</v>
      </c>
      <c r="I922">
        <f>FlipkartTable[[#This Row],[Original Price]]-FlipkartTable[[#This Row],[Selling Price]]</f>
        <v>0</v>
      </c>
      <c r="J922" s="4">
        <f>(FlipkartTable[[#This Row],[Original Price]]-FlipkartTable[[#This Row],[Selling Price]])/FlipkartTable[[#This Row],[Original Price]]</f>
        <v>0</v>
      </c>
      <c r="K922">
        <f>(FlipkartTable[[#This Row],[Rating]]/FlipkartTable[[#This Row],[Selling Price]])*1000</f>
        <v>0.61538461538461542</v>
      </c>
      <c r="L922" t="str">
        <f>IF(FlipkartTable[[#This Row],[Selling Price]]&lt;15000,"Budget",IF(FlipkartTable[[#This Row],[Selling Price]]&lt;50000,"Mid Range","Premium"))</f>
        <v>Budget</v>
      </c>
      <c r="M922" t="str">
        <f>IF(FlipkartTable[[#This Row],[Rating]]&gt;4.5,"Excellent",IF(FlipkartTable[[#This Row],[Rating]]&gt;4,"Good",IF(FlipkartTable[[#This Row],[Rating]]&gt;3.5,"Average","Poor")))</f>
        <v>Average</v>
      </c>
    </row>
    <row r="923" spans="1:13" x14ac:dyDescent="0.35">
      <c r="A923" t="s">
        <v>550</v>
      </c>
      <c r="B923" s="9">
        <v>5</v>
      </c>
      <c r="C923" t="s">
        <v>37</v>
      </c>
      <c r="D923" t="s">
        <v>20</v>
      </c>
      <c r="E923" t="s">
        <v>124</v>
      </c>
      <c r="F923">
        <v>4.0999999999999996</v>
      </c>
      <c r="G923">
        <v>12499</v>
      </c>
      <c r="H923">
        <v>12499</v>
      </c>
      <c r="I923">
        <f>FlipkartTable[[#This Row],[Original Price]]-FlipkartTable[[#This Row],[Selling Price]]</f>
        <v>0</v>
      </c>
      <c r="J923" s="4">
        <f>(FlipkartTable[[#This Row],[Original Price]]-FlipkartTable[[#This Row],[Selling Price]])/FlipkartTable[[#This Row],[Original Price]]</f>
        <v>0</v>
      </c>
      <c r="K923">
        <f>(FlipkartTable[[#This Row],[Rating]]/FlipkartTable[[#This Row],[Selling Price]])*1000</f>
        <v>0.32802624209936793</v>
      </c>
      <c r="L923" t="str">
        <f>IF(FlipkartTable[[#This Row],[Selling Price]]&lt;15000,"Budget",IF(FlipkartTable[[#This Row],[Selling Price]]&lt;50000,"Mid Range","Premium"))</f>
        <v>Budget</v>
      </c>
      <c r="M923" t="str">
        <f>IF(FlipkartTable[[#This Row],[Rating]]&gt;4.5,"Excellent",IF(FlipkartTable[[#This Row],[Rating]]&gt;4,"Good",IF(FlipkartTable[[#This Row],[Rating]]&gt;3.5,"Average","Poor")))</f>
        <v>Good</v>
      </c>
    </row>
    <row r="924" spans="1:13" x14ac:dyDescent="0.35">
      <c r="A924" t="s">
        <v>550</v>
      </c>
      <c r="B924" s="9">
        <v>1</v>
      </c>
      <c r="C924" t="s">
        <v>484</v>
      </c>
      <c r="D924" t="s">
        <v>134</v>
      </c>
      <c r="E924" t="s">
        <v>27</v>
      </c>
      <c r="F924">
        <v>3.9</v>
      </c>
      <c r="G924">
        <v>4800</v>
      </c>
      <c r="H924">
        <v>4800</v>
      </c>
      <c r="I924">
        <f>FlipkartTable[[#This Row],[Original Price]]-FlipkartTable[[#This Row],[Selling Price]]</f>
        <v>0</v>
      </c>
      <c r="J924" s="4">
        <f>(FlipkartTable[[#This Row],[Original Price]]-FlipkartTable[[#This Row],[Selling Price]])/FlipkartTable[[#This Row],[Original Price]]</f>
        <v>0</v>
      </c>
      <c r="K924">
        <f>(FlipkartTable[[#This Row],[Rating]]/FlipkartTable[[#This Row],[Selling Price]])*1000</f>
        <v>0.8125</v>
      </c>
      <c r="L924" t="str">
        <f>IF(FlipkartTable[[#This Row],[Selling Price]]&lt;15000,"Budget",IF(FlipkartTable[[#This Row],[Selling Price]]&lt;50000,"Mid Range","Premium"))</f>
        <v>Budget</v>
      </c>
      <c r="M924" t="str">
        <f>IF(FlipkartTable[[#This Row],[Rating]]&gt;4.5,"Excellent",IF(FlipkartTable[[#This Row],[Rating]]&gt;4,"Good",IF(FlipkartTable[[#This Row],[Rating]]&gt;3.5,"Average","Poor")))</f>
        <v>Average</v>
      </c>
    </row>
    <row r="925" spans="1:13" x14ac:dyDescent="0.35">
      <c r="A925" t="s">
        <v>550</v>
      </c>
      <c r="B925" s="9">
        <v>2.1</v>
      </c>
      <c r="C925" t="s">
        <v>591</v>
      </c>
      <c r="D925" t="s">
        <v>134</v>
      </c>
      <c r="E925" t="s">
        <v>27</v>
      </c>
      <c r="F925">
        <v>4</v>
      </c>
      <c r="G925">
        <v>7739</v>
      </c>
      <c r="H925">
        <v>7739</v>
      </c>
      <c r="I925">
        <f>FlipkartTable[[#This Row],[Original Price]]-FlipkartTable[[#This Row],[Selling Price]]</f>
        <v>0</v>
      </c>
      <c r="J925" s="4">
        <f>(FlipkartTable[[#This Row],[Original Price]]-FlipkartTable[[#This Row],[Selling Price]])/FlipkartTable[[#This Row],[Original Price]]</f>
        <v>0</v>
      </c>
      <c r="K925">
        <f>(FlipkartTable[[#This Row],[Rating]]/FlipkartTable[[#This Row],[Selling Price]])*1000</f>
        <v>0.51686264375242275</v>
      </c>
      <c r="L925" t="str">
        <f>IF(FlipkartTable[[#This Row],[Selling Price]]&lt;15000,"Budget",IF(FlipkartTable[[#This Row],[Selling Price]]&lt;50000,"Mid Range","Premium"))</f>
        <v>Budget</v>
      </c>
      <c r="M925" t="str">
        <f>IF(FlipkartTable[[#This Row],[Rating]]&gt;4.5,"Excellent",IF(FlipkartTable[[#This Row],[Rating]]&gt;4,"Good",IF(FlipkartTable[[#This Row],[Rating]]&gt;3.5,"Average","Poor")))</f>
        <v>Average</v>
      </c>
    </row>
    <row r="926" spans="1:13" x14ac:dyDescent="0.35">
      <c r="A926" t="s">
        <v>550</v>
      </c>
      <c r="B926" s="9">
        <v>1</v>
      </c>
      <c r="C926" t="s">
        <v>592</v>
      </c>
      <c r="D926" t="s">
        <v>134</v>
      </c>
      <c r="E926" t="s">
        <v>27</v>
      </c>
      <c r="F926">
        <v>3.9</v>
      </c>
      <c r="G926">
        <v>4672</v>
      </c>
      <c r="H926">
        <v>4672</v>
      </c>
      <c r="I926">
        <f>FlipkartTable[[#This Row],[Original Price]]-FlipkartTable[[#This Row],[Selling Price]]</f>
        <v>0</v>
      </c>
      <c r="J926" s="4">
        <f>(FlipkartTable[[#This Row],[Original Price]]-FlipkartTable[[#This Row],[Selling Price]])/FlipkartTable[[#This Row],[Original Price]]</f>
        <v>0</v>
      </c>
      <c r="K926">
        <f>(FlipkartTable[[#This Row],[Rating]]/FlipkartTable[[#This Row],[Selling Price]])*1000</f>
        <v>0.83476027397260266</v>
      </c>
      <c r="L926" t="str">
        <f>IF(FlipkartTable[[#This Row],[Selling Price]]&lt;15000,"Budget",IF(FlipkartTable[[#This Row],[Selling Price]]&lt;50000,"Mid Range","Premium"))</f>
        <v>Budget</v>
      </c>
      <c r="M926" t="str">
        <f>IF(FlipkartTable[[#This Row],[Rating]]&gt;4.5,"Excellent",IF(FlipkartTable[[#This Row],[Rating]]&gt;4,"Good",IF(FlipkartTable[[#This Row],[Rating]]&gt;3.5,"Average","Poor")))</f>
        <v>Average</v>
      </c>
    </row>
    <row r="927" spans="1:13" x14ac:dyDescent="0.35">
      <c r="A927" t="s">
        <v>550</v>
      </c>
      <c r="B927" s="9">
        <v>6.1</v>
      </c>
      <c r="C927" t="s">
        <v>116</v>
      </c>
      <c r="D927" t="s">
        <v>11</v>
      </c>
      <c r="E927" t="s">
        <v>12</v>
      </c>
      <c r="F927">
        <v>4</v>
      </c>
      <c r="G927">
        <v>18300</v>
      </c>
      <c r="H927">
        <v>18300</v>
      </c>
      <c r="I927">
        <f>FlipkartTable[[#This Row],[Original Price]]-FlipkartTable[[#This Row],[Selling Price]]</f>
        <v>0</v>
      </c>
      <c r="J927" s="4">
        <f>(FlipkartTable[[#This Row],[Original Price]]-FlipkartTable[[#This Row],[Selling Price]])/FlipkartTable[[#This Row],[Original Price]]</f>
        <v>0</v>
      </c>
      <c r="K927">
        <f>(FlipkartTable[[#This Row],[Rating]]/FlipkartTable[[#This Row],[Selling Price]])*1000</f>
        <v>0.21857923497267759</v>
      </c>
      <c r="L927" t="str">
        <f>IF(FlipkartTable[[#This Row],[Selling Price]]&lt;15000,"Budget",IF(FlipkartTable[[#This Row],[Selling Price]]&lt;50000,"Mid Range","Premium"))</f>
        <v>Mid Range</v>
      </c>
      <c r="M927" t="str">
        <f>IF(FlipkartTable[[#This Row],[Rating]]&gt;4.5,"Excellent",IF(FlipkartTable[[#This Row],[Rating]]&gt;4,"Good",IF(FlipkartTable[[#This Row],[Rating]]&gt;3.5,"Average","Poor")))</f>
        <v>Average</v>
      </c>
    </row>
    <row r="928" spans="1:13" x14ac:dyDescent="0.35">
      <c r="A928" t="s">
        <v>550</v>
      </c>
      <c r="B928" s="9">
        <v>112</v>
      </c>
      <c r="C928" t="s">
        <v>19</v>
      </c>
      <c r="D928" t="s">
        <v>489</v>
      </c>
      <c r="E928" t="s">
        <v>489</v>
      </c>
      <c r="F928">
        <v>4.0999999999999996</v>
      </c>
      <c r="G928">
        <v>3100</v>
      </c>
      <c r="H928">
        <v>3100</v>
      </c>
      <c r="I928">
        <f>FlipkartTable[[#This Row],[Original Price]]-FlipkartTable[[#This Row],[Selling Price]]</f>
        <v>0</v>
      </c>
      <c r="J928" s="4">
        <f>(FlipkartTable[[#This Row],[Original Price]]-FlipkartTable[[#This Row],[Selling Price]])/FlipkartTable[[#This Row],[Original Price]]</f>
        <v>0</v>
      </c>
      <c r="K928">
        <f>(FlipkartTable[[#This Row],[Rating]]/FlipkartTable[[#This Row],[Selling Price]])*1000</f>
        <v>1.32258064516129</v>
      </c>
      <c r="L928" t="str">
        <f>IF(FlipkartTable[[#This Row],[Selling Price]]&lt;15000,"Budget",IF(FlipkartTable[[#This Row],[Selling Price]]&lt;50000,"Mid Range","Premium"))</f>
        <v>Budget</v>
      </c>
      <c r="M928" t="str">
        <f>IF(FlipkartTable[[#This Row],[Rating]]&gt;4.5,"Excellent",IF(FlipkartTable[[#This Row],[Rating]]&gt;4,"Good",IF(FlipkartTable[[#This Row],[Rating]]&gt;3.5,"Average","Poor")))</f>
        <v>Good</v>
      </c>
    </row>
    <row r="929" spans="1:13" x14ac:dyDescent="0.35">
      <c r="A929" t="s">
        <v>550</v>
      </c>
      <c r="B929" s="9">
        <v>6</v>
      </c>
      <c r="C929" t="s">
        <v>37</v>
      </c>
      <c r="D929" t="s">
        <v>20</v>
      </c>
      <c r="E929" t="s">
        <v>21</v>
      </c>
      <c r="F929">
        <v>3.9</v>
      </c>
      <c r="G929">
        <v>13999</v>
      </c>
      <c r="H929">
        <v>13999</v>
      </c>
      <c r="I929">
        <f>FlipkartTable[[#This Row],[Original Price]]-FlipkartTable[[#This Row],[Selling Price]]</f>
        <v>0</v>
      </c>
      <c r="J929" s="4">
        <f>(FlipkartTable[[#This Row],[Original Price]]-FlipkartTable[[#This Row],[Selling Price]])/FlipkartTable[[#This Row],[Original Price]]</f>
        <v>0</v>
      </c>
      <c r="K929">
        <f>(FlipkartTable[[#This Row],[Rating]]/FlipkartTable[[#This Row],[Selling Price]])*1000</f>
        <v>0.27859132795199659</v>
      </c>
      <c r="L929" t="str">
        <f>IF(FlipkartTable[[#This Row],[Selling Price]]&lt;15000,"Budget",IF(FlipkartTable[[#This Row],[Selling Price]]&lt;50000,"Mid Range","Premium"))</f>
        <v>Budget</v>
      </c>
      <c r="M929" t="str">
        <f>IF(FlipkartTable[[#This Row],[Rating]]&gt;4.5,"Excellent",IF(FlipkartTable[[#This Row],[Rating]]&gt;4,"Good",IF(FlipkartTable[[#This Row],[Rating]]&gt;3.5,"Average","Poor")))</f>
        <v>Average</v>
      </c>
    </row>
    <row r="930" spans="1:13" x14ac:dyDescent="0.35">
      <c r="A930" t="s">
        <v>550</v>
      </c>
      <c r="B930" s="9">
        <v>2</v>
      </c>
      <c r="C930" t="s">
        <v>593</v>
      </c>
      <c r="D930" t="s">
        <v>134</v>
      </c>
      <c r="E930" t="s">
        <v>27</v>
      </c>
      <c r="F930">
        <v>3.8</v>
      </c>
      <c r="G930">
        <v>7007</v>
      </c>
      <c r="H930">
        <v>7007</v>
      </c>
      <c r="I930">
        <f>FlipkartTable[[#This Row],[Original Price]]-FlipkartTable[[#This Row],[Selling Price]]</f>
        <v>0</v>
      </c>
      <c r="J930" s="4">
        <f>(FlipkartTable[[#This Row],[Original Price]]-FlipkartTable[[#This Row],[Selling Price]])/FlipkartTable[[#This Row],[Original Price]]</f>
        <v>0</v>
      </c>
      <c r="K930">
        <f>(FlipkartTable[[#This Row],[Rating]]/FlipkartTable[[#This Row],[Selling Price]])*1000</f>
        <v>0.54231482802911368</v>
      </c>
      <c r="L930" t="str">
        <f>IF(FlipkartTable[[#This Row],[Selling Price]]&lt;15000,"Budget",IF(FlipkartTable[[#This Row],[Selling Price]]&lt;50000,"Mid Range","Premium"))</f>
        <v>Budget</v>
      </c>
      <c r="M930" t="str">
        <f>IF(FlipkartTable[[#This Row],[Rating]]&gt;4.5,"Excellent",IF(FlipkartTable[[#This Row],[Rating]]&gt;4,"Good",IF(FlipkartTable[[#This Row],[Rating]]&gt;3.5,"Average","Poor")))</f>
        <v>Average</v>
      </c>
    </row>
    <row r="931" spans="1:13" x14ac:dyDescent="0.35">
      <c r="A931" t="s">
        <v>550</v>
      </c>
      <c r="B931" s="9">
        <v>2.1</v>
      </c>
      <c r="C931" t="s">
        <v>594</v>
      </c>
      <c r="D931" t="s">
        <v>134</v>
      </c>
      <c r="E931" t="s">
        <v>27</v>
      </c>
      <c r="F931">
        <v>4</v>
      </c>
      <c r="G931">
        <v>7712</v>
      </c>
      <c r="H931">
        <v>7712</v>
      </c>
      <c r="I931">
        <f>FlipkartTable[[#This Row],[Original Price]]-FlipkartTable[[#This Row],[Selling Price]]</f>
        <v>0</v>
      </c>
      <c r="J931" s="4">
        <f>(FlipkartTable[[#This Row],[Original Price]]-FlipkartTable[[#This Row],[Selling Price]])/FlipkartTable[[#This Row],[Original Price]]</f>
        <v>0</v>
      </c>
      <c r="K931">
        <f>(FlipkartTable[[#This Row],[Rating]]/FlipkartTable[[#This Row],[Selling Price]])*1000</f>
        <v>0.51867219917012453</v>
      </c>
      <c r="L931" t="str">
        <f>IF(FlipkartTable[[#This Row],[Selling Price]]&lt;15000,"Budget",IF(FlipkartTable[[#This Row],[Selling Price]]&lt;50000,"Mid Range","Premium"))</f>
        <v>Budget</v>
      </c>
      <c r="M931" t="str">
        <f>IF(FlipkartTable[[#This Row],[Rating]]&gt;4.5,"Excellent",IF(FlipkartTable[[#This Row],[Rating]]&gt;4,"Good",IF(FlipkartTable[[#This Row],[Rating]]&gt;3.5,"Average","Poor")))</f>
        <v>Average</v>
      </c>
    </row>
    <row r="932" spans="1:13" x14ac:dyDescent="0.35">
      <c r="A932" t="s">
        <v>550</v>
      </c>
      <c r="B932" s="9">
        <v>3.1</v>
      </c>
      <c r="C932" t="s">
        <v>19</v>
      </c>
      <c r="D932" t="s">
        <v>35</v>
      </c>
      <c r="E932" t="s">
        <v>124</v>
      </c>
      <c r="F932">
        <v>3.9</v>
      </c>
      <c r="G932">
        <v>9999</v>
      </c>
      <c r="H932">
        <v>9999</v>
      </c>
      <c r="I932">
        <f>FlipkartTable[[#This Row],[Original Price]]-FlipkartTable[[#This Row],[Selling Price]]</f>
        <v>0</v>
      </c>
      <c r="J932" s="4">
        <f>(FlipkartTable[[#This Row],[Original Price]]-FlipkartTable[[#This Row],[Selling Price]])/FlipkartTable[[#This Row],[Original Price]]</f>
        <v>0</v>
      </c>
      <c r="K932">
        <f>(FlipkartTable[[#This Row],[Rating]]/FlipkartTable[[#This Row],[Selling Price]])*1000</f>
        <v>0.39003900390038998</v>
      </c>
      <c r="L932" t="str">
        <f>IF(FlipkartTable[[#This Row],[Selling Price]]&lt;15000,"Budget",IF(FlipkartTable[[#This Row],[Selling Price]]&lt;50000,"Mid Range","Premium"))</f>
        <v>Budget</v>
      </c>
      <c r="M932" t="str">
        <f>IF(FlipkartTable[[#This Row],[Rating]]&gt;4.5,"Excellent",IF(FlipkartTable[[#This Row],[Rating]]&gt;4,"Good",IF(FlipkartTable[[#This Row],[Rating]]&gt;3.5,"Average","Poor")))</f>
        <v>Average</v>
      </c>
    </row>
    <row r="933" spans="1:13" x14ac:dyDescent="0.35">
      <c r="A933" t="s">
        <v>550</v>
      </c>
      <c r="B933" s="9">
        <v>3.1</v>
      </c>
      <c r="C933" t="s">
        <v>19</v>
      </c>
      <c r="D933" t="s">
        <v>35</v>
      </c>
      <c r="E933" t="s">
        <v>124</v>
      </c>
      <c r="F933">
        <v>3.9</v>
      </c>
      <c r="G933">
        <v>10000</v>
      </c>
      <c r="H933">
        <v>10000</v>
      </c>
      <c r="I933">
        <f>FlipkartTable[[#This Row],[Original Price]]-FlipkartTable[[#This Row],[Selling Price]]</f>
        <v>0</v>
      </c>
      <c r="J933" s="4">
        <f>(FlipkartTable[[#This Row],[Original Price]]-FlipkartTable[[#This Row],[Selling Price]])/FlipkartTable[[#This Row],[Original Price]]</f>
        <v>0</v>
      </c>
      <c r="K933">
        <f>(FlipkartTable[[#This Row],[Rating]]/FlipkartTable[[#This Row],[Selling Price]])*1000</f>
        <v>0.39</v>
      </c>
      <c r="L933" t="str">
        <f>IF(FlipkartTable[[#This Row],[Selling Price]]&lt;15000,"Budget",IF(FlipkartTable[[#This Row],[Selling Price]]&lt;50000,"Mid Range","Premium"))</f>
        <v>Budget</v>
      </c>
      <c r="M933" t="str">
        <f>IF(FlipkartTable[[#This Row],[Rating]]&gt;4.5,"Excellent",IF(FlipkartTable[[#This Row],[Rating]]&gt;4,"Good",IF(FlipkartTable[[#This Row],[Rating]]&gt;3.5,"Average","Poor")))</f>
        <v>Average</v>
      </c>
    </row>
    <row r="934" spans="1:13" x14ac:dyDescent="0.35">
      <c r="A934" t="s">
        <v>550</v>
      </c>
      <c r="B934" s="9">
        <v>3</v>
      </c>
      <c r="C934" t="s">
        <v>595</v>
      </c>
      <c r="D934" t="s">
        <v>35</v>
      </c>
      <c r="E934" t="s">
        <v>124</v>
      </c>
      <c r="F934">
        <v>3.9</v>
      </c>
      <c r="G934">
        <v>8588</v>
      </c>
      <c r="H934">
        <v>8588</v>
      </c>
      <c r="I934">
        <f>FlipkartTable[[#This Row],[Original Price]]-FlipkartTable[[#This Row],[Selling Price]]</f>
        <v>0</v>
      </c>
      <c r="J934" s="4">
        <f>(FlipkartTable[[#This Row],[Original Price]]-FlipkartTable[[#This Row],[Selling Price]])/FlipkartTable[[#This Row],[Original Price]]</f>
        <v>0</v>
      </c>
      <c r="K934">
        <f>(FlipkartTable[[#This Row],[Rating]]/FlipkartTable[[#This Row],[Selling Price]])*1000</f>
        <v>0.45412203074056823</v>
      </c>
      <c r="L934" t="str">
        <f>IF(FlipkartTable[[#This Row],[Selling Price]]&lt;15000,"Budget",IF(FlipkartTable[[#This Row],[Selling Price]]&lt;50000,"Mid Range","Premium"))</f>
        <v>Budget</v>
      </c>
      <c r="M934" t="str">
        <f>IF(FlipkartTable[[#This Row],[Rating]]&gt;4.5,"Excellent",IF(FlipkartTable[[#This Row],[Rating]]&gt;4,"Good",IF(FlipkartTable[[#This Row],[Rating]]&gt;3.5,"Average","Poor")))</f>
        <v>Average</v>
      </c>
    </row>
    <row r="935" spans="1:13" x14ac:dyDescent="0.35">
      <c r="A935" t="s">
        <v>550</v>
      </c>
      <c r="B935" s="9">
        <v>5.0999999999999996</v>
      </c>
      <c r="C935" t="s">
        <v>596</v>
      </c>
      <c r="D935" t="s">
        <v>20</v>
      </c>
      <c r="E935" t="s">
        <v>21</v>
      </c>
      <c r="F935">
        <v>4</v>
      </c>
      <c r="G935">
        <v>16300</v>
      </c>
      <c r="H935">
        <v>16300</v>
      </c>
      <c r="I935">
        <f>FlipkartTable[[#This Row],[Original Price]]-FlipkartTable[[#This Row],[Selling Price]]</f>
        <v>0</v>
      </c>
      <c r="J935" s="4">
        <f>(FlipkartTable[[#This Row],[Original Price]]-FlipkartTable[[#This Row],[Selling Price]])/FlipkartTable[[#This Row],[Original Price]]</f>
        <v>0</v>
      </c>
      <c r="K935">
        <f>(FlipkartTable[[#This Row],[Rating]]/FlipkartTable[[#This Row],[Selling Price]])*1000</f>
        <v>0.245398773006135</v>
      </c>
      <c r="L935" t="str">
        <f>IF(FlipkartTable[[#This Row],[Selling Price]]&lt;15000,"Budget",IF(FlipkartTable[[#This Row],[Selling Price]]&lt;50000,"Mid Range","Premium"))</f>
        <v>Mid Range</v>
      </c>
      <c r="M935" t="str">
        <f>IF(FlipkartTable[[#This Row],[Rating]]&gt;4.5,"Excellent",IF(FlipkartTable[[#This Row],[Rating]]&gt;4,"Good",IF(FlipkartTable[[#This Row],[Rating]]&gt;3.5,"Average","Poor")))</f>
        <v>Average</v>
      </c>
    </row>
    <row r="936" spans="1:13" x14ac:dyDescent="0.35">
      <c r="A936" t="s">
        <v>550</v>
      </c>
      <c r="B936" s="9">
        <v>2.2999999999999998</v>
      </c>
      <c r="C936" t="s">
        <v>573</v>
      </c>
      <c r="D936" t="s">
        <v>35</v>
      </c>
      <c r="E936" t="s">
        <v>21</v>
      </c>
      <c r="F936">
        <v>4</v>
      </c>
      <c r="G936">
        <v>9999</v>
      </c>
      <c r="H936">
        <v>9999</v>
      </c>
      <c r="I936">
        <f>FlipkartTable[[#This Row],[Original Price]]-FlipkartTable[[#This Row],[Selling Price]]</f>
        <v>0</v>
      </c>
      <c r="J936" s="4">
        <f>(FlipkartTable[[#This Row],[Original Price]]-FlipkartTable[[#This Row],[Selling Price]])/FlipkartTable[[#This Row],[Original Price]]</f>
        <v>0</v>
      </c>
      <c r="K936">
        <f>(FlipkartTable[[#This Row],[Rating]]/FlipkartTable[[#This Row],[Selling Price]])*1000</f>
        <v>0.40004000400040007</v>
      </c>
      <c r="L936" t="str">
        <f>IF(FlipkartTable[[#This Row],[Selling Price]]&lt;15000,"Budget",IF(FlipkartTable[[#This Row],[Selling Price]]&lt;50000,"Mid Range","Premium"))</f>
        <v>Budget</v>
      </c>
      <c r="M936" t="str">
        <f>IF(FlipkartTable[[#This Row],[Rating]]&gt;4.5,"Excellent",IF(FlipkartTable[[#This Row],[Rating]]&gt;4,"Good",IF(FlipkartTable[[#This Row],[Rating]]&gt;3.5,"Average","Poor")))</f>
        <v>Average</v>
      </c>
    </row>
    <row r="937" spans="1:13" x14ac:dyDescent="0.35">
      <c r="A937" t="s">
        <v>550</v>
      </c>
      <c r="B937" s="9">
        <v>2.2999999999999998</v>
      </c>
      <c r="C937" t="s">
        <v>597</v>
      </c>
      <c r="D937" t="s">
        <v>35</v>
      </c>
      <c r="E937" t="s">
        <v>21</v>
      </c>
      <c r="F937">
        <v>4</v>
      </c>
      <c r="G937">
        <v>9999</v>
      </c>
      <c r="H937">
        <v>9999</v>
      </c>
      <c r="I937">
        <f>FlipkartTable[[#This Row],[Original Price]]-FlipkartTable[[#This Row],[Selling Price]]</f>
        <v>0</v>
      </c>
      <c r="J937" s="4">
        <f>(FlipkartTable[[#This Row],[Original Price]]-FlipkartTable[[#This Row],[Selling Price]])/FlipkartTable[[#This Row],[Original Price]]</f>
        <v>0</v>
      </c>
      <c r="K937">
        <f>(FlipkartTable[[#This Row],[Rating]]/FlipkartTable[[#This Row],[Selling Price]])*1000</f>
        <v>0.40004000400040007</v>
      </c>
      <c r="L937" t="str">
        <f>IF(FlipkartTable[[#This Row],[Selling Price]]&lt;15000,"Budget",IF(FlipkartTable[[#This Row],[Selling Price]]&lt;50000,"Mid Range","Premium"))</f>
        <v>Budget</v>
      </c>
      <c r="M937" t="str">
        <f>IF(FlipkartTable[[#This Row],[Rating]]&gt;4.5,"Excellent",IF(FlipkartTable[[#This Row],[Rating]]&gt;4,"Good",IF(FlipkartTable[[#This Row],[Rating]]&gt;3.5,"Average","Poor")))</f>
        <v>Average</v>
      </c>
    </row>
    <row r="938" spans="1:13" x14ac:dyDescent="0.35">
      <c r="A938" t="s">
        <v>550</v>
      </c>
      <c r="B938" s="9" t="s">
        <v>584</v>
      </c>
      <c r="C938" t="s">
        <v>19</v>
      </c>
      <c r="D938" t="s">
        <v>552</v>
      </c>
      <c r="E938" t="s">
        <v>552</v>
      </c>
      <c r="F938">
        <v>4.2</v>
      </c>
      <c r="G938">
        <v>2149</v>
      </c>
      <c r="H938">
        <v>2149</v>
      </c>
      <c r="I938">
        <f>FlipkartTable[[#This Row],[Original Price]]-FlipkartTable[[#This Row],[Selling Price]]</f>
        <v>0</v>
      </c>
      <c r="J938" s="4">
        <f>(FlipkartTable[[#This Row],[Original Price]]-FlipkartTable[[#This Row],[Selling Price]])/FlipkartTable[[#This Row],[Original Price]]</f>
        <v>0</v>
      </c>
      <c r="K938">
        <f>(FlipkartTable[[#This Row],[Rating]]/FlipkartTable[[#This Row],[Selling Price]])*1000</f>
        <v>1.9543973941368078</v>
      </c>
      <c r="L938" t="str">
        <f>IF(FlipkartTable[[#This Row],[Selling Price]]&lt;15000,"Budget",IF(FlipkartTable[[#This Row],[Selling Price]]&lt;50000,"Mid Range","Premium"))</f>
        <v>Budget</v>
      </c>
      <c r="M938" t="str">
        <f>IF(FlipkartTable[[#This Row],[Rating]]&gt;4.5,"Excellent",IF(FlipkartTable[[#This Row],[Rating]]&gt;4,"Good",IF(FlipkartTable[[#This Row],[Rating]]&gt;3.5,"Average","Poor")))</f>
        <v>Good</v>
      </c>
    </row>
    <row r="939" spans="1:13" x14ac:dyDescent="0.35">
      <c r="A939" t="s">
        <v>550</v>
      </c>
      <c r="B939" s="9" t="s">
        <v>577</v>
      </c>
      <c r="C939" t="s">
        <v>19</v>
      </c>
      <c r="D939" t="s">
        <v>492</v>
      </c>
      <c r="E939" t="s">
        <v>493</v>
      </c>
      <c r="F939">
        <v>3.7</v>
      </c>
      <c r="G939">
        <v>3599</v>
      </c>
      <c r="H939">
        <v>3599</v>
      </c>
      <c r="I939">
        <f>FlipkartTable[[#This Row],[Original Price]]-FlipkartTable[[#This Row],[Selling Price]]</f>
        <v>0</v>
      </c>
      <c r="J939" s="4">
        <f>(FlipkartTable[[#This Row],[Original Price]]-FlipkartTable[[#This Row],[Selling Price]])/FlipkartTable[[#This Row],[Original Price]]</f>
        <v>0</v>
      </c>
      <c r="K939">
        <f>(FlipkartTable[[#This Row],[Rating]]/FlipkartTable[[#This Row],[Selling Price]])*1000</f>
        <v>1.0280633509308141</v>
      </c>
      <c r="L939" t="str">
        <f>IF(FlipkartTable[[#This Row],[Selling Price]]&lt;15000,"Budget",IF(FlipkartTable[[#This Row],[Selling Price]]&lt;50000,"Mid Range","Premium"))</f>
        <v>Budget</v>
      </c>
      <c r="M939" t="str">
        <f>IF(FlipkartTable[[#This Row],[Rating]]&gt;4.5,"Excellent",IF(FlipkartTable[[#This Row],[Rating]]&gt;4,"Good",IF(FlipkartTable[[#This Row],[Rating]]&gt;3.5,"Average","Poor")))</f>
        <v>Average</v>
      </c>
    </row>
    <row r="940" spans="1:13" x14ac:dyDescent="0.35">
      <c r="A940" t="s">
        <v>550</v>
      </c>
      <c r="B940" s="9" t="s">
        <v>587</v>
      </c>
      <c r="C940" t="s">
        <v>19</v>
      </c>
      <c r="D940" t="s">
        <v>552</v>
      </c>
      <c r="E940" t="s">
        <v>552</v>
      </c>
      <c r="F940">
        <v>4.2</v>
      </c>
      <c r="G940">
        <v>2540</v>
      </c>
      <c r="H940">
        <v>2540</v>
      </c>
      <c r="I940">
        <f>FlipkartTable[[#This Row],[Original Price]]-FlipkartTable[[#This Row],[Selling Price]]</f>
        <v>0</v>
      </c>
      <c r="J940" s="4">
        <f>(FlipkartTable[[#This Row],[Original Price]]-FlipkartTable[[#This Row],[Selling Price]])/FlipkartTable[[#This Row],[Original Price]]</f>
        <v>0</v>
      </c>
      <c r="K940">
        <f>(FlipkartTable[[#This Row],[Rating]]/FlipkartTable[[#This Row],[Selling Price]])*1000</f>
        <v>1.6535433070866143</v>
      </c>
      <c r="L940" t="str">
        <f>IF(FlipkartTable[[#This Row],[Selling Price]]&lt;15000,"Budget",IF(FlipkartTable[[#This Row],[Selling Price]]&lt;50000,"Mid Range","Premium"))</f>
        <v>Budget</v>
      </c>
      <c r="M940" t="str">
        <f>IF(FlipkartTable[[#This Row],[Rating]]&gt;4.5,"Excellent",IF(FlipkartTable[[#This Row],[Rating]]&gt;4,"Good",IF(FlipkartTable[[#This Row],[Rating]]&gt;3.5,"Average","Poor")))</f>
        <v>Good</v>
      </c>
    </row>
    <row r="941" spans="1:13" x14ac:dyDescent="0.35">
      <c r="A941" t="s">
        <v>550</v>
      </c>
      <c r="B941" s="9">
        <v>2.2999999999999998</v>
      </c>
      <c r="C941" t="s">
        <v>597</v>
      </c>
      <c r="D941" t="s">
        <v>35</v>
      </c>
      <c r="E941" t="s">
        <v>21</v>
      </c>
      <c r="F941">
        <v>4</v>
      </c>
      <c r="G941">
        <v>8449</v>
      </c>
      <c r="H941">
        <v>8449</v>
      </c>
      <c r="I941">
        <f>FlipkartTable[[#This Row],[Original Price]]-FlipkartTable[[#This Row],[Selling Price]]</f>
        <v>0</v>
      </c>
      <c r="J941" s="4">
        <f>(FlipkartTable[[#This Row],[Original Price]]-FlipkartTable[[#This Row],[Selling Price]])/FlipkartTable[[#This Row],[Original Price]]</f>
        <v>0</v>
      </c>
      <c r="K941">
        <f>(FlipkartTable[[#This Row],[Rating]]/FlipkartTable[[#This Row],[Selling Price]])*1000</f>
        <v>0.4734288081429755</v>
      </c>
      <c r="L941" t="str">
        <f>IF(FlipkartTable[[#This Row],[Selling Price]]&lt;15000,"Budget",IF(FlipkartTable[[#This Row],[Selling Price]]&lt;50000,"Mid Range","Premium"))</f>
        <v>Budget</v>
      </c>
      <c r="M941" t="str">
        <f>IF(FlipkartTable[[#This Row],[Rating]]&gt;4.5,"Excellent",IF(FlipkartTable[[#This Row],[Rating]]&gt;4,"Good",IF(FlipkartTable[[#This Row],[Rating]]&gt;3.5,"Average","Poor")))</f>
        <v>Average</v>
      </c>
    </row>
    <row r="942" spans="1:13" x14ac:dyDescent="0.35">
      <c r="A942" t="s">
        <v>550</v>
      </c>
      <c r="B942" s="9">
        <v>220</v>
      </c>
      <c r="C942" t="s">
        <v>19</v>
      </c>
      <c r="D942" t="s">
        <v>488</v>
      </c>
      <c r="E942" t="s">
        <v>539</v>
      </c>
      <c r="F942">
        <v>4</v>
      </c>
      <c r="G942">
        <v>2999</v>
      </c>
      <c r="H942">
        <v>2999</v>
      </c>
      <c r="I942">
        <f>FlipkartTable[[#This Row],[Original Price]]-FlipkartTable[[#This Row],[Selling Price]]</f>
        <v>0</v>
      </c>
      <c r="J942" s="4">
        <f>(FlipkartTable[[#This Row],[Original Price]]-FlipkartTable[[#This Row],[Selling Price]])/FlipkartTable[[#This Row],[Original Price]]</f>
        <v>0</v>
      </c>
      <c r="K942">
        <f>(FlipkartTable[[#This Row],[Rating]]/FlipkartTable[[#This Row],[Selling Price]])*1000</f>
        <v>1.3337779259753251</v>
      </c>
      <c r="L942" t="str">
        <f>IF(FlipkartTable[[#This Row],[Selling Price]]&lt;15000,"Budget",IF(FlipkartTable[[#This Row],[Selling Price]]&lt;50000,"Mid Range","Premium"))</f>
        <v>Budget</v>
      </c>
      <c r="M942" t="str">
        <f>IF(FlipkartTable[[#This Row],[Rating]]&gt;4.5,"Excellent",IF(FlipkartTable[[#This Row],[Rating]]&gt;4,"Good",IF(FlipkartTable[[#This Row],[Rating]]&gt;3.5,"Average","Poor")))</f>
        <v>Average</v>
      </c>
    </row>
    <row r="943" spans="1:13" x14ac:dyDescent="0.35">
      <c r="A943" t="s">
        <v>550</v>
      </c>
      <c r="B943" s="9">
        <v>2.2000000000000002</v>
      </c>
      <c r="C943" t="s">
        <v>19</v>
      </c>
      <c r="D943" t="s">
        <v>35</v>
      </c>
      <c r="E943" t="s">
        <v>124</v>
      </c>
      <c r="F943">
        <v>4</v>
      </c>
      <c r="G943">
        <v>8599</v>
      </c>
      <c r="H943">
        <v>8599</v>
      </c>
      <c r="I943">
        <f>FlipkartTable[[#This Row],[Original Price]]-FlipkartTable[[#This Row],[Selling Price]]</f>
        <v>0</v>
      </c>
      <c r="J943" s="4">
        <f>(FlipkartTable[[#This Row],[Original Price]]-FlipkartTable[[#This Row],[Selling Price]])/FlipkartTable[[#This Row],[Original Price]]</f>
        <v>0</v>
      </c>
      <c r="K943">
        <f>(FlipkartTable[[#This Row],[Rating]]/FlipkartTable[[#This Row],[Selling Price]])*1000</f>
        <v>0.46517036864751715</v>
      </c>
      <c r="L943" t="str">
        <f>IF(FlipkartTable[[#This Row],[Selling Price]]&lt;15000,"Budget",IF(FlipkartTable[[#This Row],[Selling Price]]&lt;50000,"Mid Range","Premium"))</f>
        <v>Budget</v>
      </c>
      <c r="M943" t="str">
        <f>IF(FlipkartTable[[#This Row],[Rating]]&gt;4.5,"Excellent",IF(FlipkartTable[[#This Row],[Rating]]&gt;4,"Good",IF(FlipkartTable[[#This Row],[Rating]]&gt;3.5,"Average","Poor")))</f>
        <v>Average</v>
      </c>
    </row>
    <row r="944" spans="1:13" x14ac:dyDescent="0.35">
      <c r="A944" t="s">
        <v>550</v>
      </c>
      <c r="B944" s="9">
        <v>6.1</v>
      </c>
      <c r="C944" t="s">
        <v>116</v>
      </c>
      <c r="D944" t="s">
        <v>20</v>
      </c>
      <c r="E944" t="s">
        <v>21</v>
      </c>
      <c r="F944">
        <v>4.2</v>
      </c>
      <c r="G944">
        <v>17979</v>
      </c>
      <c r="H944">
        <v>17979</v>
      </c>
      <c r="I944">
        <f>FlipkartTable[[#This Row],[Original Price]]-FlipkartTable[[#This Row],[Selling Price]]</f>
        <v>0</v>
      </c>
      <c r="J944" s="4">
        <f>(FlipkartTable[[#This Row],[Original Price]]-FlipkartTable[[#This Row],[Selling Price]])/FlipkartTable[[#This Row],[Original Price]]</f>
        <v>0</v>
      </c>
      <c r="K944">
        <f>(FlipkartTable[[#This Row],[Rating]]/FlipkartTable[[#This Row],[Selling Price]])*1000</f>
        <v>0.23360587351910564</v>
      </c>
      <c r="L944" t="str">
        <f>IF(FlipkartTable[[#This Row],[Selling Price]]&lt;15000,"Budget",IF(FlipkartTable[[#This Row],[Selling Price]]&lt;50000,"Mid Range","Premium"))</f>
        <v>Mid Range</v>
      </c>
      <c r="M944" t="str">
        <f>IF(FlipkartTable[[#This Row],[Rating]]&gt;4.5,"Excellent",IF(FlipkartTable[[#This Row],[Rating]]&gt;4,"Good",IF(FlipkartTable[[#This Row],[Rating]]&gt;3.5,"Average","Poor")))</f>
        <v>Good</v>
      </c>
    </row>
    <row r="945" spans="1:13" x14ac:dyDescent="0.35">
      <c r="A945" t="s">
        <v>550</v>
      </c>
      <c r="B945" s="9">
        <v>5</v>
      </c>
      <c r="C945" t="s">
        <v>590</v>
      </c>
      <c r="D945" t="s">
        <v>20</v>
      </c>
      <c r="E945" t="s">
        <v>124</v>
      </c>
      <c r="F945">
        <v>4.0999999999999996</v>
      </c>
      <c r="G945">
        <v>15299</v>
      </c>
      <c r="H945">
        <v>15299</v>
      </c>
      <c r="I945">
        <f>FlipkartTable[[#This Row],[Original Price]]-FlipkartTable[[#This Row],[Selling Price]]</f>
        <v>0</v>
      </c>
      <c r="J945" s="4">
        <f>(FlipkartTable[[#This Row],[Original Price]]-FlipkartTable[[#This Row],[Selling Price]])/FlipkartTable[[#This Row],[Original Price]]</f>
        <v>0</v>
      </c>
      <c r="K945">
        <f>(FlipkartTable[[#This Row],[Rating]]/FlipkartTable[[#This Row],[Selling Price]])*1000</f>
        <v>0.26799137198509704</v>
      </c>
      <c r="L945" t="str">
        <f>IF(FlipkartTable[[#This Row],[Selling Price]]&lt;15000,"Budget",IF(FlipkartTable[[#This Row],[Selling Price]]&lt;50000,"Mid Range","Premium"))</f>
        <v>Mid Range</v>
      </c>
      <c r="M945" t="str">
        <f>IF(FlipkartTable[[#This Row],[Rating]]&gt;4.5,"Excellent",IF(FlipkartTable[[#This Row],[Rating]]&gt;4,"Good",IF(FlipkartTable[[#This Row],[Rating]]&gt;3.5,"Average","Poor")))</f>
        <v>Good</v>
      </c>
    </row>
    <row r="946" spans="1:13" x14ac:dyDescent="0.35">
      <c r="A946" t="s">
        <v>550</v>
      </c>
      <c r="B946" s="9" t="s">
        <v>598</v>
      </c>
      <c r="C946" t="s">
        <v>19</v>
      </c>
      <c r="D946" t="s">
        <v>134</v>
      </c>
      <c r="E946" t="s">
        <v>21</v>
      </c>
      <c r="F946">
        <v>4.3</v>
      </c>
      <c r="G946">
        <v>40699</v>
      </c>
      <c r="H946">
        <v>40699</v>
      </c>
      <c r="I946">
        <f>FlipkartTable[[#This Row],[Original Price]]-FlipkartTable[[#This Row],[Selling Price]]</f>
        <v>0</v>
      </c>
      <c r="J946" s="4">
        <f>(FlipkartTable[[#This Row],[Original Price]]-FlipkartTable[[#This Row],[Selling Price]])/FlipkartTable[[#This Row],[Original Price]]</f>
        <v>0</v>
      </c>
      <c r="K946">
        <f>(FlipkartTable[[#This Row],[Rating]]/FlipkartTable[[#This Row],[Selling Price]])*1000</f>
        <v>0.10565370156514901</v>
      </c>
      <c r="L946" t="str">
        <f>IF(FlipkartTable[[#This Row],[Selling Price]]&lt;15000,"Budget",IF(FlipkartTable[[#This Row],[Selling Price]]&lt;50000,"Mid Range","Premium"))</f>
        <v>Mid Range</v>
      </c>
      <c r="M946" t="str">
        <f>IF(FlipkartTable[[#This Row],[Rating]]&gt;4.5,"Excellent",IF(FlipkartTable[[#This Row],[Rating]]&gt;4,"Good",IF(FlipkartTable[[#This Row],[Rating]]&gt;3.5,"Average","Poor")))</f>
        <v>Good</v>
      </c>
    </row>
    <row r="947" spans="1:13" x14ac:dyDescent="0.35">
      <c r="A947" t="s">
        <v>550</v>
      </c>
      <c r="B947" s="9" t="s">
        <v>599</v>
      </c>
      <c r="C947" t="s">
        <v>575</v>
      </c>
      <c r="D947" t="s">
        <v>20</v>
      </c>
      <c r="E947" t="s">
        <v>21</v>
      </c>
      <c r="F947">
        <v>4.2</v>
      </c>
      <c r="G947">
        <v>7088</v>
      </c>
      <c r="H947">
        <v>12799</v>
      </c>
      <c r="I947">
        <f>FlipkartTable[[#This Row],[Original Price]]-FlipkartTable[[#This Row],[Selling Price]]</f>
        <v>5711</v>
      </c>
      <c r="J947" s="4">
        <f>(FlipkartTable[[#This Row],[Original Price]]-FlipkartTable[[#This Row],[Selling Price]])/FlipkartTable[[#This Row],[Original Price]]</f>
        <v>0.44620673490116414</v>
      </c>
      <c r="K947">
        <f>(FlipkartTable[[#This Row],[Rating]]/FlipkartTable[[#This Row],[Selling Price]])*1000</f>
        <v>0.59255079006772005</v>
      </c>
      <c r="L947" t="str">
        <f>IF(FlipkartTable[[#This Row],[Selling Price]]&lt;15000,"Budget",IF(FlipkartTable[[#This Row],[Selling Price]]&lt;50000,"Mid Range","Premium"))</f>
        <v>Budget</v>
      </c>
      <c r="M947" t="str">
        <f>IF(FlipkartTable[[#This Row],[Rating]]&gt;4.5,"Excellent",IF(FlipkartTable[[#This Row],[Rating]]&gt;4,"Good",IF(FlipkartTable[[#This Row],[Rating]]&gt;3.5,"Average","Poor")))</f>
        <v>Good</v>
      </c>
    </row>
    <row r="948" spans="1:13" x14ac:dyDescent="0.35">
      <c r="A948" t="s">
        <v>550</v>
      </c>
      <c r="B948" s="9" t="s">
        <v>599</v>
      </c>
      <c r="C948" t="s">
        <v>600</v>
      </c>
      <c r="D948" t="s">
        <v>20</v>
      </c>
      <c r="E948" t="s">
        <v>21</v>
      </c>
      <c r="F948">
        <v>4.2</v>
      </c>
      <c r="G948">
        <v>10440</v>
      </c>
      <c r="H948">
        <v>10440</v>
      </c>
      <c r="I948">
        <f>FlipkartTable[[#This Row],[Original Price]]-FlipkartTable[[#This Row],[Selling Price]]</f>
        <v>0</v>
      </c>
      <c r="J948" s="4">
        <f>(FlipkartTable[[#This Row],[Original Price]]-FlipkartTable[[#This Row],[Selling Price]])/FlipkartTable[[#This Row],[Original Price]]</f>
        <v>0</v>
      </c>
      <c r="K948">
        <f>(FlipkartTable[[#This Row],[Rating]]/FlipkartTable[[#This Row],[Selling Price]])*1000</f>
        <v>0.40229885057471265</v>
      </c>
      <c r="L948" t="str">
        <f>IF(FlipkartTable[[#This Row],[Selling Price]]&lt;15000,"Budget",IF(FlipkartTable[[#This Row],[Selling Price]]&lt;50000,"Mid Range","Premium"))</f>
        <v>Budget</v>
      </c>
      <c r="M948" t="str">
        <f>IF(FlipkartTable[[#This Row],[Rating]]&gt;4.5,"Excellent",IF(FlipkartTable[[#This Row],[Rating]]&gt;4,"Good",IF(FlipkartTable[[#This Row],[Rating]]&gt;3.5,"Average","Poor")))</f>
        <v>Good</v>
      </c>
    </row>
    <row r="949" spans="1:13" x14ac:dyDescent="0.35">
      <c r="A949" t="s">
        <v>550</v>
      </c>
      <c r="B949" s="9" t="s">
        <v>601</v>
      </c>
      <c r="C949" t="s">
        <v>152</v>
      </c>
      <c r="D949" t="s">
        <v>263</v>
      </c>
      <c r="E949" t="s">
        <v>563</v>
      </c>
      <c r="F949">
        <v>3.8</v>
      </c>
      <c r="G949">
        <v>7399</v>
      </c>
      <c r="H949">
        <v>7399</v>
      </c>
      <c r="I949">
        <f>FlipkartTable[[#This Row],[Original Price]]-FlipkartTable[[#This Row],[Selling Price]]</f>
        <v>0</v>
      </c>
      <c r="J949" s="4">
        <f>(FlipkartTable[[#This Row],[Original Price]]-FlipkartTable[[#This Row],[Selling Price]])/FlipkartTable[[#This Row],[Original Price]]</f>
        <v>0</v>
      </c>
      <c r="K949">
        <f>(FlipkartTable[[#This Row],[Rating]]/FlipkartTable[[#This Row],[Selling Price]])*1000</f>
        <v>0.51358291661035271</v>
      </c>
      <c r="L949" t="str">
        <f>IF(FlipkartTable[[#This Row],[Selling Price]]&lt;15000,"Budget",IF(FlipkartTable[[#This Row],[Selling Price]]&lt;50000,"Mid Range","Premium"))</f>
        <v>Budget</v>
      </c>
      <c r="M949" t="str">
        <f>IF(FlipkartTable[[#This Row],[Rating]]&gt;4.5,"Excellent",IF(FlipkartTable[[#This Row],[Rating]]&gt;4,"Good",IF(FlipkartTable[[#This Row],[Rating]]&gt;3.5,"Average","Poor")))</f>
        <v>Average</v>
      </c>
    </row>
    <row r="950" spans="1:13" x14ac:dyDescent="0.35">
      <c r="A950" t="s">
        <v>550</v>
      </c>
      <c r="B950" s="9">
        <v>110</v>
      </c>
      <c r="C950" t="s">
        <v>19</v>
      </c>
      <c r="D950" t="s">
        <v>489</v>
      </c>
      <c r="E950" t="s">
        <v>602</v>
      </c>
      <c r="F950">
        <v>3.6</v>
      </c>
      <c r="G950">
        <v>1599</v>
      </c>
      <c r="H950">
        <v>1599</v>
      </c>
      <c r="I950">
        <f>FlipkartTable[[#This Row],[Original Price]]-FlipkartTable[[#This Row],[Selling Price]]</f>
        <v>0</v>
      </c>
      <c r="J950" s="4">
        <f>(FlipkartTable[[#This Row],[Original Price]]-FlipkartTable[[#This Row],[Selling Price]])/FlipkartTable[[#This Row],[Original Price]]</f>
        <v>0</v>
      </c>
      <c r="K950">
        <f>(FlipkartTable[[#This Row],[Rating]]/FlipkartTable[[#This Row],[Selling Price]])*1000</f>
        <v>2.2514071294559099</v>
      </c>
      <c r="L950" t="str">
        <f>IF(FlipkartTable[[#This Row],[Selling Price]]&lt;15000,"Budget",IF(FlipkartTable[[#This Row],[Selling Price]]&lt;50000,"Mid Range","Premium"))</f>
        <v>Budget</v>
      </c>
      <c r="M950" t="str">
        <f>IF(FlipkartTable[[#This Row],[Rating]]&gt;4.5,"Excellent",IF(FlipkartTable[[#This Row],[Rating]]&gt;4,"Good",IF(FlipkartTable[[#This Row],[Rating]]&gt;3.5,"Average","Poor")))</f>
        <v>Average</v>
      </c>
    </row>
    <row r="951" spans="1:13" x14ac:dyDescent="0.35">
      <c r="A951" t="s">
        <v>550</v>
      </c>
      <c r="B951" s="9">
        <v>225</v>
      </c>
      <c r="C951" t="s">
        <v>19</v>
      </c>
      <c r="D951" t="s">
        <v>488</v>
      </c>
      <c r="E951" t="s">
        <v>563</v>
      </c>
      <c r="F951">
        <v>4</v>
      </c>
      <c r="G951">
        <v>3499</v>
      </c>
      <c r="H951">
        <v>3499</v>
      </c>
      <c r="I951">
        <f>FlipkartTable[[#This Row],[Original Price]]-FlipkartTable[[#This Row],[Selling Price]]</f>
        <v>0</v>
      </c>
      <c r="J951" s="4">
        <f>(FlipkartTable[[#This Row],[Original Price]]-FlipkartTable[[#This Row],[Selling Price]])/FlipkartTable[[#This Row],[Original Price]]</f>
        <v>0</v>
      </c>
      <c r="K951">
        <f>(FlipkartTable[[#This Row],[Rating]]/FlipkartTable[[#This Row],[Selling Price]])*1000</f>
        <v>1.1431837667905116</v>
      </c>
      <c r="L951" t="str">
        <f>IF(FlipkartTable[[#This Row],[Selling Price]]&lt;15000,"Budget",IF(FlipkartTable[[#This Row],[Selling Price]]&lt;50000,"Mid Range","Premium"))</f>
        <v>Budget</v>
      </c>
      <c r="M951" t="str">
        <f>IF(FlipkartTable[[#This Row],[Rating]]&gt;4.5,"Excellent",IF(FlipkartTable[[#This Row],[Rating]]&gt;4,"Good",IF(FlipkartTable[[#This Row],[Rating]]&gt;3.5,"Average","Poor")))</f>
        <v>Average</v>
      </c>
    </row>
    <row r="952" spans="1:13" x14ac:dyDescent="0.35">
      <c r="A952" t="s">
        <v>550</v>
      </c>
      <c r="B952" s="9">
        <v>2.2000000000000002</v>
      </c>
      <c r="C952" t="s">
        <v>19</v>
      </c>
      <c r="D952" t="s">
        <v>20</v>
      </c>
      <c r="E952" t="s">
        <v>21</v>
      </c>
      <c r="F952">
        <v>4</v>
      </c>
      <c r="G952">
        <v>9599</v>
      </c>
      <c r="H952">
        <v>9599</v>
      </c>
      <c r="I952">
        <f>FlipkartTable[[#This Row],[Original Price]]-FlipkartTable[[#This Row],[Selling Price]]</f>
        <v>0</v>
      </c>
      <c r="J952" s="4">
        <f>(FlipkartTable[[#This Row],[Original Price]]-FlipkartTable[[#This Row],[Selling Price]])/FlipkartTable[[#This Row],[Original Price]]</f>
        <v>0</v>
      </c>
      <c r="K952">
        <f>(FlipkartTable[[#This Row],[Rating]]/FlipkartTable[[#This Row],[Selling Price]])*1000</f>
        <v>0.41671007396603815</v>
      </c>
      <c r="L952" t="str">
        <f>IF(FlipkartTable[[#This Row],[Selling Price]]&lt;15000,"Budget",IF(FlipkartTable[[#This Row],[Selling Price]]&lt;50000,"Mid Range","Premium"))</f>
        <v>Budget</v>
      </c>
      <c r="M952" t="str">
        <f>IF(FlipkartTable[[#This Row],[Rating]]&gt;4.5,"Excellent",IF(FlipkartTable[[#This Row],[Rating]]&gt;4,"Good",IF(FlipkartTable[[#This Row],[Rating]]&gt;3.5,"Average","Poor")))</f>
        <v>Average</v>
      </c>
    </row>
    <row r="953" spans="1:13" x14ac:dyDescent="0.35">
      <c r="A953" t="s">
        <v>550</v>
      </c>
      <c r="B953" s="9">
        <v>6.1</v>
      </c>
      <c r="C953" t="s">
        <v>603</v>
      </c>
      <c r="D953" t="s">
        <v>20</v>
      </c>
      <c r="E953" t="s">
        <v>21</v>
      </c>
      <c r="F953">
        <v>4.2</v>
      </c>
      <c r="G953">
        <v>17979</v>
      </c>
      <c r="H953">
        <v>17979</v>
      </c>
      <c r="I953">
        <f>FlipkartTable[[#This Row],[Original Price]]-FlipkartTable[[#This Row],[Selling Price]]</f>
        <v>0</v>
      </c>
      <c r="J953" s="4">
        <f>(FlipkartTable[[#This Row],[Original Price]]-FlipkartTable[[#This Row],[Selling Price]])/FlipkartTable[[#This Row],[Original Price]]</f>
        <v>0</v>
      </c>
      <c r="K953">
        <f>(FlipkartTable[[#This Row],[Rating]]/FlipkartTable[[#This Row],[Selling Price]])*1000</f>
        <v>0.23360587351910564</v>
      </c>
      <c r="L953" t="str">
        <f>IF(FlipkartTable[[#This Row],[Selling Price]]&lt;15000,"Budget",IF(FlipkartTable[[#This Row],[Selling Price]]&lt;50000,"Mid Range","Premium"))</f>
        <v>Mid Range</v>
      </c>
      <c r="M953" t="str">
        <f>IF(FlipkartTable[[#This Row],[Rating]]&gt;4.5,"Excellent",IF(FlipkartTable[[#This Row],[Rating]]&gt;4,"Good",IF(FlipkartTable[[#This Row],[Rating]]&gt;3.5,"Average","Poor")))</f>
        <v>Good</v>
      </c>
    </row>
    <row r="954" spans="1:13" x14ac:dyDescent="0.35">
      <c r="A954" t="s">
        <v>550</v>
      </c>
      <c r="B954" s="9">
        <v>106</v>
      </c>
      <c r="C954" t="s">
        <v>19</v>
      </c>
      <c r="D954" t="s">
        <v>552</v>
      </c>
      <c r="E954" t="s">
        <v>552</v>
      </c>
      <c r="F954">
        <v>4.2</v>
      </c>
      <c r="G954">
        <v>1560</v>
      </c>
      <c r="H954">
        <v>1560</v>
      </c>
      <c r="I954">
        <f>FlipkartTable[[#This Row],[Original Price]]-FlipkartTable[[#This Row],[Selling Price]]</f>
        <v>0</v>
      </c>
      <c r="J954" s="4">
        <f>(FlipkartTable[[#This Row],[Original Price]]-FlipkartTable[[#This Row],[Selling Price]])/FlipkartTable[[#This Row],[Original Price]]</f>
        <v>0</v>
      </c>
      <c r="K954">
        <f>(FlipkartTable[[#This Row],[Rating]]/FlipkartTable[[#This Row],[Selling Price]])*1000</f>
        <v>2.6923076923076925</v>
      </c>
      <c r="L954" t="str">
        <f>IF(FlipkartTable[[#This Row],[Selling Price]]&lt;15000,"Budget",IF(FlipkartTable[[#This Row],[Selling Price]]&lt;50000,"Mid Range","Premium"))</f>
        <v>Budget</v>
      </c>
      <c r="M954" t="str">
        <f>IF(FlipkartTable[[#This Row],[Rating]]&gt;4.5,"Excellent",IF(FlipkartTable[[#This Row],[Rating]]&gt;4,"Good",IF(FlipkartTable[[#This Row],[Rating]]&gt;3.5,"Average","Poor")))</f>
        <v>Good</v>
      </c>
    </row>
    <row r="955" spans="1:13" x14ac:dyDescent="0.35">
      <c r="A955" t="s">
        <v>550</v>
      </c>
      <c r="B955" s="9">
        <v>2.2000000000000002</v>
      </c>
      <c r="C955" t="s">
        <v>604</v>
      </c>
      <c r="D955" t="s">
        <v>20</v>
      </c>
      <c r="E955" t="s">
        <v>21</v>
      </c>
      <c r="F955">
        <v>4</v>
      </c>
      <c r="G955">
        <v>9599</v>
      </c>
      <c r="H955">
        <v>9599</v>
      </c>
      <c r="I955">
        <f>FlipkartTable[[#This Row],[Original Price]]-FlipkartTable[[#This Row],[Selling Price]]</f>
        <v>0</v>
      </c>
      <c r="J955" s="4">
        <f>(FlipkartTable[[#This Row],[Original Price]]-FlipkartTable[[#This Row],[Selling Price]])/FlipkartTable[[#This Row],[Original Price]]</f>
        <v>0</v>
      </c>
      <c r="K955">
        <f>(FlipkartTable[[#This Row],[Rating]]/FlipkartTable[[#This Row],[Selling Price]])*1000</f>
        <v>0.41671007396603815</v>
      </c>
      <c r="L955" t="str">
        <f>IF(FlipkartTable[[#This Row],[Selling Price]]&lt;15000,"Budget",IF(FlipkartTable[[#This Row],[Selling Price]]&lt;50000,"Mid Range","Premium"))</f>
        <v>Budget</v>
      </c>
      <c r="M955" t="str">
        <f>IF(FlipkartTable[[#This Row],[Rating]]&gt;4.5,"Excellent",IF(FlipkartTable[[#This Row],[Rating]]&gt;4,"Good",IF(FlipkartTable[[#This Row],[Rating]]&gt;3.5,"Average","Poor")))</f>
        <v>Average</v>
      </c>
    </row>
    <row r="956" spans="1:13" x14ac:dyDescent="0.35">
      <c r="A956" t="s">
        <v>550</v>
      </c>
      <c r="B956" s="9">
        <v>8110</v>
      </c>
      <c r="C956" t="s">
        <v>329</v>
      </c>
      <c r="D956" t="s">
        <v>263</v>
      </c>
      <c r="E956" t="s">
        <v>11</v>
      </c>
      <c r="F956">
        <v>3.7</v>
      </c>
      <c r="G956">
        <v>3400</v>
      </c>
      <c r="H956">
        <v>8400</v>
      </c>
      <c r="I956">
        <f>FlipkartTable[[#This Row],[Original Price]]-FlipkartTable[[#This Row],[Selling Price]]</f>
        <v>5000</v>
      </c>
      <c r="J956" s="4">
        <f>(FlipkartTable[[#This Row],[Original Price]]-FlipkartTable[[#This Row],[Selling Price]])/FlipkartTable[[#This Row],[Original Price]]</f>
        <v>0.59523809523809523</v>
      </c>
      <c r="K956">
        <f>(FlipkartTable[[#This Row],[Rating]]/FlipkartTable[[#This Row],[Selling Price]])*1000</f>
        <v>1.088235294117647</v>
      </c>
      <c r="L956" t="str">
        <f>IF(FlipkartTable[[#This Row],[Selling Price]]&lt;15000,"Budget",IF(FlipkartTable[[#This Row],[Selling Price]]&lt;50000,"Mid Range","Premium"))</f>
        <v>Budget</v>
      </c>
      <c r="M956" t="str">
        <f>IF(FlipkartTable[[#This Row],[Rating]]&gt;4.5,"Excellent",IF(FlipkartTable[[#This Row],[Rating]]&gt;4,"Good",IF(FlipkartTable[[#This Row],[Rating]]&gt;3.5,"Average","Poor")))</f>
        <v>Average</v>
      </c>
    </row>
    <row r="957" spans="1:13" x14ac:dyDescent="0.35">
      <c r="A957" t="s">
        <v>550</v>
      </c>
      <c r="B957" s="9">
        <v>3.2</v>
      </c>
      <c r="C957" t="s">
        <v>604</v>
      </c>
      <c r="D957" t="s">
        <v>20</v>
      </c>
      <c r="E957" t="s">
        <v>21</v>
      </c>
      <c r="F957">
        <v>4.0999999999999996</v>
      </c>
      <c r="G957">
        <v>12399</v>
      </c>
      <c r="H957">
        <v>12399</v>
      </c>
      <c r="I957">
        <f>FlipkartTable[[#This Row],[Original Price]]-FlipkartTable[[#This Row],[Selling Price]]</f>
        <v>0</v>
      </c>
      <c r="J957" s="4">
        <f>(FlipkartTable[[#This Row],[Original Price]]-FlipkartTable[[#This Row],[Selling Price]])/FlipkartTable[[#This Row],[Original Price]]</f>
        <v>0</v>
      </c>
      <c r="K957">
        <f>(FlipkartTable[[#This Row],[Rating]]/FlipkartTable[[#This Row],[Selling Price]])*1000</f>
        <v>0.33067182837325587</v>
      </c>
      <c r="L957" t="str">
        <f>IF(FlipkartTable[[#This Row],[Selling Price]]&lt;15000,"Budget",IF(FlipkartTable[[#This Row],[Selling Price]]&lt;50000,"Mid Range","Premium"))</f>
        <v>Budget</v>
      </c>
      <c r="M957" t="str">
        <f>IF(FlipkartTable[[#This Row],[Rating]]&gt;4.5,"Excellent",IF(FlipkartTable[[#This Row],[Rating]]&gt;4,"Good",IF(FlipkartTable[[#This Row],[Rating]]&gt;3.5,"Average","Poor")))</f>
        <v>Good</v>
      </c>
    </row>
    <row r="958" spans="1:13" x14ac:dyDescent="0.35">
      <c r="A958" t="s">
        <v>550</v>
      </c>
      <c r="B958" s="9">
        <v>2</v>
      </c>
      <c r="C958" t="s">
        <v>605</v>
      </c>
      <c r="D958" t="s">
        <v>134</v>
      </c>
      <c r="E958" t="s">
        <v>27</v>
      </c>
      <c r="F958">
        <v>3.8</v>
      </c>
      <c r="G958">
        <v>6295</v>
      </c>
      <c r="H958">
        <v>6295</v>
      </c>
      <c r="I958">
        <f>FlipkartTable[[#This Row],[Original Price]]-FlipkartTable[[#This Row],[Selling Price]]</f>
        <v>0</v>
      </c>
      <c r="J958" s="4">
        <f>(FlipkartTable[[#This Row],[Original Price]]-FlipkartTable[[#This Row],[Selling Price]])/FlipkartTable[[#This Row],[Original Price]]</f>
        <v>0</v>
      </c>
      <c r="K958">
        <f>(FlipkartTable[[#This Row],[Rating]]/FlipkartTable[[#This Row],[Selling Price]])*1000</f>
        <v>0.60365369340746622</v>
      </c>
      <c r="L958" t="str">
        <f>IF(FlipkartTable[[#This Row],[Selling Price]]&lt;15000,"Budget",IF(FlipkartTable[[#This Row],[Selling Price]]&lt;50000,"Mid Range","Premium"))</f>
        <v>Budget</v>
      </c>
      <c r="M958" t="str">
        <f>IF(FlipkartTable[[#This Row],[Rating]]&gt;4.5,"Excellent",IF(FlipkartTable[[#This Row],[Rating]]&gt;4,"Good",IF(FlipkartTable[[#This Row],[Rating]]&gt;3.5,"Average","Poor")))</f>
        <v>Average</v>
      </c>
    </row>
    <row r="959" spans="1:13" x14ac:dyDescent="0.35">
      <c r="A959" t="s">
        <v>550</v>
      </c>
      <c r="B959" s="9" t="s">
        <v>588</v>
      </c>
      <c r="C959" t="s">
        <v>152</v>
      </c>
      <c r="D959" t="s">
        <v>20</v>
      </c>
      <c r="E959" t="s">
        <v>21</v>
      </c>
      <c r="F959">
        <v>4.3</v>
      </c>
      <c r="G959">
        <v>13199</v>
      </c>
      <c r="H959">
        <v>13199</v>
      </c>
      <c r="I959">
        <f>FlipkartTable[[#This Row],[Original Price]]-FlipkartTable[[#This Row],[Selling Price]]</f>
        <v>0</v>
      </c>
      <c r="J959" s="4">
        <f>(FlipkartTable[[#This Row],[Original Price]]-FlipkartTable[[#This Row],[Selling Price]])/FlipkartTable[[#This Row],[Original Price]]</f>
        <v>0</v>
      </c>
      <c r="K959">
        <f>(FlipkartTable[[#This Row],[Rating]]/FlipkartTable[[#This Row],[Selling Price]])*1000</f>
        <v>0.32578225623153267</v>
      </c>
      <c r="L959" t="str">
        <f>IF(FlipkartTable[[#This Row],[Selling Price]]&lt;15000,"Budget",IF(FlipkartTable[[#This Row],[Selling Price]]&lt;50000,"Mid Range","Premium"))</f>
        <v>Budget</v>
      </c>
      <c r="M959" t="str">
        <f>IF(FlipkartTable[[#This Row],[Rating]]&gt;4.5,"Excellent",IF(FlipkartTable[[#This Row],[Rating]]&gt;4,"Good",IF(FlipkartTable[[#This Row],[Rating]]&gt;3.5,"Average","Poor")))</f>
        <v>Good</v>
      </c>
    </row>
    <row r="960" spans="1:13" x14ac:dyDescent="0.35">
      <c r="A960" t="s">
        <v>550</v>
      </c>
      <c r="B960" s="9">
        <v>6.1</v>
      </c>
      <c r="C960" t="s">
        <v>590</v>
      </c>
      <c r="D960" t="s">
        <v>11</v>
      </c>
      <c r="E960" t="s">
        <v>21</v>
      </c>
      <c r="F960">
        <v>4</v>
      </c>
      <c r="G960">
        <v>12999</v>
      </c>
      <c r="H960">
        <v>19999</v>
      </c>
      <c r="I960">
        <f>FlipkartTable[[#This Row],[Original Price]]-FlipkartTable[[#This Row],[Selling Price]]</f>
        <v>7000</v>
      </c>
      <c r="J960" s="4">
        <f>(FlipkartTable[[#This Row],[Original Price]]-FlipkartTable[[#This Row],[Selling Price]])/FlipkartTable[[#This Row],[Original Price]]</f>
        <v>0.35001750087504374</v>
      </c>
      <c r="K960">
        <f>(FlipkartTable[[#This Row],[Rating]]/FlipkartTable[[#This Row],[Selling Price]])*1000</f>
        <v>0.30771597815216556</v>
      </c>
      <c r="L960" t="str">
        <f>IF(FlipkartTable[[#This Row],[Selling Price]]&lt;15000,"Budget",IF(FlipkartTable[[#This Row],[Selling Price]]&lt;50000,"Mid Range","Premium"))</f>
        <v>Budget</v>
      </c>
      <c r="M960" t="str">
        <f>IF(FlipkartTable[[#This Row],[Rating]]&gt;4.5,"Excellent",IF(FlipkartTable[[#This Row],[Rating]]&gt;4,"Good",IF(FlipkartTable[[#This Row],[Rating]]&gt;3.5,"Average","Poor")))</f>
        <v>Average</v>
      </c>
    </row>
    <row r="961" spans="1:13" x14ac:dyDescent="0.35">
      <c r="A961" t="s">
        <v>550</v>
      </c>
      <c r="B961" s="9">
        <v>6.1</v>
      </c>
      <c r="C961" t="s">
        <v>152</v>
      </c>
      <c r="D961" t="s">
        <v>11</v>
      </c>
      <c r="E961" t="s">
        <v>21</v>
      </c>
      <c r="F961">
        <v>4</v>
      </c>
      <c r="G961">
        <v>17000</v>
      </c>
      <c r="H961">
        <v>17000</v>
      </c>
      <c r="I961">
        <f>FlipkartTable[[#This Row],[Original Price]]-FlipkartTable[[#This Row],[Selling Price]]</f>
        <v>0</v>
      </c>
      <c r="J961" s="4">
        <f>(FlipkartTable[[#This Row],[Original Price]]-FlipkartTable[[#This Row],[Selling Price]])/FlipkartTable[[#This Row],[Original Price]]</f>
        <v>0</v>
      </c>
      <c r="K961">
        <f>(FlipkartTable[[#This Row],[Rating]]/FlipkartTable[[#This Row],[Selling Price]])*1000</f>
        <v>0.23529411764705882</v>
      </c>
      <c r="L961" t="str">
        <f>IF(FlipkartTable[[#This Row],[Selling Price]]&lt;15000,"Budget",IF(FlipkartTable[[#This Row],[Selling Price]]&lt;50000,"Mid Range","Premium"))</f>
        <v>Mid Range</v>
      </c>
      <c r="M961" t="str">
        <f>IF(FlipkartTable[[#This Row],[Rating]]&gt;4.5,"Excellent",IF(FlipkartTable[[#This Row],[Rating]]&gt;4,"Good",IF(FlipkartTable[[#This Row],[Rating]]&gt;3.5,"Average","Poor")))</f>
        <v>Average</v>
      </c>
    </row>
    <row r="962" spans="1:13" x14ac:dyDescent="0.35">
      <c r="A962" t="s">
        <v>550</v>
      </c>
      <c r="B962" s="9">
        <v>3</v>
      </c>
      <c r="C962" t="s">
        <v>606</v>
      </c>
      <c r="D962" t="s">
        <v>35</v>
      </c>
      <c r="E962" t="s">
        <v>124</v>
      </c>
      <c r="F962">
        <v>3.9</v>
      </c>
      <c r="G962">
        <v>10899</v>
      </c>
      <c r="H962">
        <v>10899</v>
      </c>
      <c r="I962">
        <f>FlipkartTable[[#This Row],[Original Price]]-FlipkartTable[[#This Row],[Selling Price]]</f>
        <v>0</v>
      </c>
      <c r="J962" s="4">
        <f>(FlipkartTable[[#This Row],[Original Price]]-FlipkartTable[[#This Row],[Selling Price]])/FlipkartTable[[#This Row],[Original Price]]</f>
        <v>0</v>
      </c>
      <c r="K962">
        <f>(FlipkartTable[[#This Row],[Rating]]/FlipkartTable[[#This Row],[Selling Price]])*1000</f>
        <v>0.35783099366914395</v>
      </c>
      <c r="L962" t="str">
        <f>IF(FlipkartTable[[#This Row],[Selling Price]]&lt;15000,"Budget",IF(FlipkartTable[[#This Row],[Selling Price]]&lt;50000,"Mid Range","Premium"))</f>
        <v>Budget</v>
      </c>
      <c r="M962" t="str">
        <f>IF(FlipkartTable[[#This Row],[Rating]]&gt;4.5,"Excellent",IF(FlipkartTable[[#This Row],[Rating]]&gt;4,"Good",IF(FlipkartTable[[#This Row],[Rating]]&gt;3.5,"Average","Poor")))</f>
        <v>Average</v>
      </c>
    </row>
    <row r="963" spans="1:13" x14ac:dyDescent="0.35">
      <c r="A963" t="s">
        <v>550</v>
      </c>
      <c r="B963" s="9">
        <v>3</v>
      </c>
      <c r="C963" t="s">
        <v>37</v>
      </c>
      <c r="D963" t="s">
        <v>35</v>
      </c>
      <c r="E963" t="s">
        <v>124</v>
      </c>
      <c r="F963">
        <v>3.9</v>
      </c>
      <c r="G963">
        <v>5290</v>
      </c>
      <c r="H963">
        <v>5290</v>
      </c>
      <c r="I963">
        <f>FlipkartTable[[#This Row],[Original Price]]-FlipkartTable[[#This Row],[Selling Price]]</f>
        <v>0</v>
      </c>
      <c r="J963" s="4">
        <f>(FlipkartTable[[#This Row],[Original Price]]-FlipkartTable[[#This Row],[Selling Price]])/FlipkartTable[[#This Row],[Original Price]]</f>
        <v>0</v>
      </c>
      <c r="K963">
        <f>(FlipkartTable[[#This Row],[Rating]]/FlipkartTable[[#This Row],[Selling Price]])*1000</f>
        <v>0.73724007561436666</v>
      </c>
      <c r="L963" t="str">
        <f>IF(FlipkartTable[[#This Row],[Selling Price]]&lt;15000,"Budget",IF(FlipkartTable[[#This Row],[Selling Price]]&lt;50000,"Mid Range","Premium"))</f>
        <v>Budget</v>
      </c>
      <c r="M963" t="str">
        <f>IF(FlipkartTable[[#This Row],[Rating]]&gt;4.5,"Excellent",IF(FlipkartTable[[#This Row],[Rating]]&gt;4,"Good",IF(FlipkartTable[[#This Row],[Rating]]&gt;3.5,"Average","Poor")))</f>
        <v>Average</v>
      </c>
    </row>
    <row r="964" spans="1:13" x14ac:dyDescent="0.35">
      <c r="A964" t="s">
        <v>550</v>
      </c>
      <c r="B964" s="9" t="s">
        <v>599</v>
      </c>
      <c r="C964" t="s">
        <v>152</v>
      </c>
      <c r="D964" t="s">
        <v>20</v>
      </c>
      <c r="E964" t="s">
        <v>21</v>
      </c>
      <c r="F964">
        <v>4.2</v>
      </c>
      <c r="G964">
        <v>7399</v>
      </c>
      <c r="H964">
        <v>7399</v>
      </c>
      <c r="I964">
        <f>FlipkartTable[[#This Row],[Original Price]]-FlipkartTable[[#This Row],[Selling Price]]</f>
        <v>0</v>
      </c>
      <c r="J964" s="4">
        <f>(FlipkartTable[[#This Row],[Original Price]]-FlipkartTable[[#This Row],[Selling Price]])/FlipkartTable[[#This Row],[Original Price]]</f>
        <v>0</v>
      </c>
      <c r="K964">
        <f>(FlipkartTable[[#This Row],[Rating]]/FlipkartTable[[#This Row],[Selling Price]])*1000</f>
        <v>0.56764427625354774</v>
      </c>
      <c r="L964" t="str">
        <f>IF(FlipkartTable[[#This Row],[Selling Price]]&lt;15000,"Budget",IF(FlipkartTable[[#This Row],[Selling Price]]&lt;50000,"Mid Range","Premium"))</f>
        <v>Budget</v>
      </c>
      <c r="M964" t="str">
        <f>IF(FlipkartTable[[#This Row],[Rating]]&gt;4.5,"Excellent",IF(FlipkartTable[[#This Row],[Rating]]&gt;4,"Good",IF(FlipkartTable[[#This Row],[Rating]]&gt;3.5,"Average","Poor")))</f>
        <v>Good</v>
      </c>
    </row>
    <row r="965" spans="1:13" x14ac:dyDescent="0.35">
      <c r="A965" t="s">
        <v>550</v>
      </c>
      <c r="B965" s="9" t="s">
        <v>607</v>
      </c>
      <c r="C965" t="s">
        <v>19</v>
      </c>
      <c r="D965" t="s">
        <v>14</v>
      </c>
      <c r="E965" t="s">
        <v>15</v>
      </c>
      <c r="F965">
        <v>4.3</v>
      </c>
      <c r="G965">
        <v>29990</v>
      </c>
      <c r="H965">
        <v>29990</v>
      </c>
      <c r="I965">
        <f>FlipkartTable[[#This Row],[Original Price]]-FlipkartTable[[#This Row],[Selling Price]]</f>
        <v>0</v>
      </c>
      <c r="J965" s="4">
        <f>(FlipkartTable[[#This Row],[Original Price]]-FlipkartTable[[#This Row],[Selling Price]])/FlipkartTable[[#This Row],[Original Price]]</f>
        <v>0</v>
      </c>
      <c r="K965">
        <f>(FlipkartTable[[#This Row],[Rating]]/FlipkartTable[[#This Row],[Selling Price]])*1000</f>
        <v>0.14338112704234743</v>
      </c>
      <c r="L965" t="str">
        <f>IF(FlipkartTable[[#This Row],[Selling Price]]&lt;15000,"Budget",IF(FlipkartTable[[#This Row],[Selling Price]]&lt;50000,"Mid Range","Premium"))</f>
        <v>Mid Range</v>
      </c>
      <c r="M965" t="str">
        <f>IF(FlipkartTable[[#This Row],[Rating]]&gt;4.5,"Excellent",IF(FlipkartTable[[#This Row],[Rating]]&gt;4,"Good",IF(FlipkartTable[[#This Row],[Rating]]&gt;3.5,"Average","Poor")))</f>
        <v>Good</v>
      </c>
    </row>
    <row r="966" spans="1:13" x14ac:dyDescent="0.35">
      <c r="A966" t="s">
        <v>550</v>
      </c>
      <c r="B966" s="9">
        <v>5</v>
      </c>
      <c r="C966" t="s">
        <v>606</v>
      </c>
      <c r="D966" t="s">
        <v>20</v>
      </c>
      <c r="E966" t="s">
        <v>124</v>
      </c>
      <c r="F966">
        <v>4.0999999999999996</v>
      </c>
      <c r="G966">
        <v>16199</v>
      </c>
      <c r="H966">
        <v>16199</v>
      </c>
      <c r="I966">
        <f>FlipkartTable[[#This Row],[Original Price]]-FlipkartTable[[#This Row],[Selling Price]]</f>
        <v>0</v>
      </c>
      <c r="J966" s="4">
        <f>(FlipkartTable[[#This Row],[Original Price]]-FlipkartTable[[#This Row],[Selling Price]])/FlipkartTable[[#This Row],[Original Price]]</f>
        <v>0</v>
      </c>
      <c r="K966">
        <f>(FlipkartTable[[#This Row],[Rating]]/FlipkartTable[[#This Row],[Selling Price]])*1000</f>
        <v>0.25310204333600839</v>
      </c>
      <c r="L966" t="str">
        <f>IF(FlipkartTable[[#This Row],[Selling Price]]&lt;15000,"Budget",IF(FlipkartTable[[#This Row],[Selling Price]]&lt;50000,"Mid Range","Premium"))</f>
        <v>Mid Range</v>
      </c>
      <c r="M966" t="str">
        <f>IF(FlipkartTable[[#This Row],[Rating]]&gt;4.5,"Excellent",IF(FlipkartTable[[#This Row],[Rating]]&gt;4,"Good",IF(FlipkartTable[[#This Row],[Rating]]&gt;3.5,"Average","Poor")))</f>
        <v>Good</v>
      </c>
    </row>
    <row r="967" spans="1:13" x14ac:dyDescent="0.35">
      <c r="A967" t="s">
        <v>550</v>
      </c>
      <c r="B967" s="9" t="s">
        <v>608</v>
      </c>
      <c r="C967" t="s">
        <v>19</v>
      </c>
      <c r="D967" t="s">
        <v>489</v>
      </c>
      <c r="E967" t="s">
        <v>609</v>
      </c>
      <c r="F967">
        <v>4</v>
      </c>
      <c r="G967">
        <v>4196</v>
      </c>
      <c r="H967">
        <v>4196</v>
      </c>
      <c r="I967">
        <f>FlipkartTable[[#This Row],[Original Price]]-FlipkartTable[[#This Row],[Selling Price]]</f>
        <v>0</v>
      </c>
      <c r="J967" s="4">
        <f>(FlipkartTable[[#This Row],[Original Price]]-FlipkartTable[[#This Row],[Selling Price]])/FlipkartTable[[#This Row],[Original Price]]</f>
        <v>0</v>
      </c>
      <c r="K967">
        <f>(FlipkartTable[[#This Row],[Rating]]/FlipkartTable[[#This Row],[Selling Price]])*1000</f>
        <v>0.95328884652049573</v>
      </c>
      <c r="L967" t="str">
        <f>IF(FlipkartTable[[#This Row],[Selling Price]]&lt;15000,"Budget",IF(FlipkartTable[[#This Row],[Selling Price]]&lt;50000,"Mid Range","Premium"))</f>
        <v>Budget</v>
      </c>
      <c r="M967" t="str">
        <f>IF(FlipkartTable[[#This Row],[Rating]]&gt;4.5,"Excellent",IF(FlipkartTable[[#This Row],[Rating]]&gt;4,"Good",IF(FlipkartTable[[#This Row],[Rating]]&gt;3.5,"Average","Poor")))</f>
        <v>Average</v>
      </c>
    </row>
    <row r="968" spans="1:13" x14ac:dyDescent="0.35">
      <c r="A968" t="s">
        <v>550</v>
      </c>
      <c r="B968" s="9">
        <v>6</v>
      </c>
      <c r="C968" t="s">
        <v>170</v>
      </c>
      <c r="D968" t="s">
        <v>20</v>
      </c>
      <c r="E968" t="s">
        <v>21</v>
      </c>
      <c r="F968">
        <v>3.9</v>
      </c>
      <c r="G968">
        <v>7999</v>
      </c>
      <c r="H968">
        <v>7999</v>
      </c>
      <c r="I968">
        <f>FlipkartTable[[#This Row],[Original Price]]-FlipkartTable[[#This Row],[Selling Price]]</f>
        <v>0</v>
      </c>
      <c r="J968" s="4">
        <f>(FlipkartTable[[#This Row],[Original Price]]-FlipkartTable[[#This Row],[Selling Price]])/FlipkartTable[[#This Row],[Original Price]]</f>
        <v>0</v>
      </c>
      <c r="K968">
        <f>(FlipkartTable[[#This Row],[Rating]]/FlipkartTable[[#This Row],[Selling Price]])*1000</f>
        <v>0.48756094511813974</v>
      </c>
      <c r="L968" t="str">
        <f>IF(FlipkartTable[[#This Row],[Selling Price]]&lt;15000,"Budget",IF(FlipkartTable[[#This Row],[Selling Price]]&lt;50000,"Mid Range","Premium"))</f>
        <v>Budget</v>
      </c>
      <c r="M968" t="str">
        <f>IF(FlipkartTable[[#This Row],[Rating]]&gt;4.5,"Excellent",IF(FlipkartTable[[#This Row],[Rating]]&gt;4,"Good",IF(FlipkartTable[[#This Row],[Rating]]&gt;3.5,"Average","Poor")))</f>
        <v>Average</v>
      </c>
    </row>
    <row r="969" spans="1:13" x14ac:dyDescent="0.35">
      <c r="A969" t="s">
        <v>550</v>
      </c>
      <c r="B969" s="9">
        <v>6.1</v>
      </c>
      <c r="C969" t="s">
        <v>116</v>
      </c>
      <c r="D969" t="s">
        <v>11</v>
      </c>
      <c r="E969" t="s">
        <v>21</v>
      </c>
      <c r="F969">
        <v>4</v>
      </c>
      <c r="G969">
        <v>9500</v>
      </c>
      <c r="H969">
        <v>9500</v>
      </c>
      <c r="I969">
        <f>FlipkartTable[[#This Row],[Original Price]]-FlipkartTable[[#This Row],[Selling Price]]</f>
        <v>0</v>
      </c>
      <c r="J969" s="4">
        <f>(FlipkartTable[[#This Row],[Original Price]]-FlipkartTable[[#This Row],[Selling Price]])/FlipkartTable[[#This Row],[Original Price]]</f>
        <v>0</v>
      </c>
      <c r="K969">
        <f>(FlipkartTable[[#This Row],[Rating]]/FlipkartTable[[#This Row],[Selling Price]])*1000</f>
        <v>0.4210526315789474</v>
      </c>
      <c r="L969" t="str">
        <f>IF(FlipkartTable[[#This Row],[Selling Price]]&lt;15000,"Budget",IF(FlipkartTable[[#This Row],[Selling Price]]&lt;50000,"Mid Range","Premium"))</f>
        <v>Budget</v>
      </c>
      <c r="M969" t="str">
        <f>IF(FlipkartTable[[#This Row],[Rating]]&gt;4.5,"Excellent",IF(FlipkartTable[[#This Row],[Rating]]&gt;4,"Good",IF(FlipkartTable[[#This Row],[Rating]]&gt;3.5,"Average","Poor")))</f>
        <v>Average</v>
      </c>
    </row>
    <row r="970" spans="1:13" x14ac:dyDescent="0.35">
      <c r="A970" t="s">
        <v>550</v>
      </c>
      <c r="B970" s="9">
        <v>5.3</v>
      </c>
      <c r="C970" t="s">
        <v>610</v>
      </c>
      <c r="D970" t="s">
        <v>14</v>
      </c>
      <c r="E970" t="s">
        <v>12</v>
      </c>
      <c r="F970">
        <v>3.7</v>
      </c>
      <c r="G970">
        <v>12999</v>
      </c>
      <c r="H970">
        <v>12999</v>
      </c>
      <c r="I970">
        <f>FlipkartTable[[#This Row],[Original Price]]-FlipkartTable[[#This Row],[Selling Price]]</f>
        <v>0</v>
      </c>
      <c r="J970" s="4">
        <f>(FlipkartTable[[#This Row],[Original Price]]-FlipkartTable[[#This Row],[Selling Price]])/FlipkartTable[[#This Row],[Original Price]]</f>
        <v>0</v>
      </c>
      <c r="K970">
        <f>(FlipkartTable[[#This Row],[Rating]]/FlipkartTable[[#This Row],[Selling Price]])*1000</f>
        <v>0.28463727979075315</v>
      </c>
      <c r="L970" t="str">
        <f>IF(FlipkartTable[[#This Row],[Selling Price]]&lt;15000,"Budget",IF(FlipkartTable[[#This Row],[Selling Price]]&lt;50000,"Mid Range","Premium"))</f>
        <v>Budget</v>
      </c>
      <c r="M970" t="str">
        <f>IF(FlipkartTable[[#This Row],[Rating]]&gt;4.5,"Excellent",IF(FlipkartTable[[#This Row],[Rating]]&gt;4,"Good",IF(FlipkartTable[[#This Row],[Rating]]&gt;3.5,"Average","Poor")))</f>
        <v>Average</v>
      </c>
    </row>
    <row r="971" spans="1:13" x14ac:dyDescent="0.35">
      <c r="A971" t="s">
        <v>550</v>
      </c>
      <c r="B971" s="9">
        <v>5.3</v>
      </c>
      <c r="C971" t="s">
        <v>611</v>
      </c>
      <c r="D971" t="s">
        <v>14</v>
      </c>
      <c r="E971" t="s">
        <v>12</v>
      </c>
      <c r="F971">
        <v>3.7</v>
      </c>
      <c r="G971">
        <v>12999</v>
      </c>
      <c r="H971">
        <v>12999</v>
      </c>
      <c r="I971">
        <f>FlipkartTable[[#This Row],[Original Price]]-FlipkartTable[[#This Row],[Selling Price]]</f>
        <v>0</v>
      </c>
      <c r="J971" s="4">
        <f>(FlipkartTable[[#This Row],[Original Price]]-FlipkartTable[[#This Row],[Selling Price]])/FlipkartTable[[#This Row],[Original Price]]</f>
        <v>0</v>
      </c>
      <c r="K971">
        <f>(FlipkartTable[[#This Row],[Rating]]/FlipkartTable[[#This Row],[Selling Price]])*1000</f>
        <v>0.28463727979075315</v>
      </c>
      <c r="L971" t="str">
        <f>IF(FlipkartTable[[#This Row],[Selling Price]]&lt;15000,"Budget",IF(FlipkartTable[[#This Row],[Selling Price]]&lt;50000,"Mid Range","Premium"))</f>
        <v>Budget</v>
      </c>
      <c r="M971" t="str">
        <f>IF(FlipkartTable[[#This Row],[Rating]]&gt;4.5,"Excellent",IF(FlipkartTable[[#This Row],[Rating]]&gt;4,"Good",IF(FlipkartTable[[#This Row],[Rating]]&gt;3.5,"Average","Poor")))</f>
        <v>Average</v>
      </c>
    </row>
    <row r="972" spans="1:13" x14ac:dyDescent="0.35">
      <c r="A972" t="s">
        <v>550</v>
      </c>
      <c r="B972" s="9" t="s">
        <v>612</v>
      </c>
      <c r="C972" t="s">
        <v>152</v>
      </c>
      <c r="D972" t="s">
        <v>263</v>
      </c>
      <c r="E972" t="s">
        <v>27</v>
      </c>
      <c r="F972">
        <v>4.0999999999999996</v>
      </c>
      <c r="G972">
        <v>17599</v>
      </c>
      <c r="H972">
        <v>17599</v>
      </c>
      <c r="I972">
        <f>FlipkartTable[[#This Row],[Original Price]]-FlipkartTable[[#This Row],[Selling Price]]</f>
        <v>0</v>
      </c>
      <c r="J972" s="4">
        <f>(FlipkartTable[[#This Row],[Original Price]]-FlipkartTable[[#This Row],[Selling Price]])/FlipkartTable[[#This Row],[Original Price]]</f>
        <v>0</v>
      </c>
      <c r="K972">
        <f>(FlipkartTable[[#This Row],[Rating]]/FlipkartTable[[#This Row],[Selling Price]])*1000</f>
        <v>0.23296778226035569</v>
      </c>
      <c r="L972" t="str">
        <f>IF(FlipkartTable[[#This Row],[Selling Price]]&lt;15000,"Budget",IF(FlipkartTable[[#This Row],[Selling Price]]&lt;50000,"Mid Range","Premium"))</f>
        <v>Mid Range</v>
      </c>
      <c r="M972" t="str">
        <f>IF(FlipkartTable[[#This Row],[Rating]]&gt;4.5,"Excellent",IF(FlipkartTable[[#This Row],[Rating]]&gt;4,"Good",IF(FlipkartTable[[#This Row],[Rating]]&gt;3.5,"Average","Poor")))</f>
        <v>Good</v>
      </c>
    </row>
    <row r="973" spans="1:13" x14ac:dyDescent="0.35">
      <c r="A973" t="s">
        <v>550</v>
      </c>
      <c r="B973" s="9">
        <v>3.1</v>
      </c>
      <c r="C973" t="s">
        <v>19</v>
      </c>
      <c r="D973" t="s">
        <v>20</v>
      </c>
      <c r="E973" t="s">
        <v>21</v>
      </c>
      <c r="F973">
        <v>4</v>
      </c>
      <c r="G973">
        <v>6990</v>
      </c>
      <c r="H973">
        <v>6990</v>
      </c>
      <c r="I973">
        <f>FlipkartTable[[#This Row],[Original Price]]-FlipkartTable[[#This Row],[Selling Price]]</f>
        <v>0</v>
      </c>
      <c r="J973" s="4">
        <f>(FlipkartTable[[#This Row],[Original Price]]-FlipkartTable[[#This Row],[Selling Price]])/FlipkartTable[[#This Row],[Original Price]]</f>
        <v>0</v>
      </c>
      <c r="K973">
        <f>(FlipkartTable[[#This Row],[Rating]]/FlipkartTable[[#This Row],[Selling Price]])*1000</f>
        <v>0.57224606580829762</v>
      </c>
      <c r="L973" t="str">
        <f>IF(FlipkartTable[[#This Row],[Selling Price]]&lt;15000,"Budget",IF(FlipkartTable[[#This Row],[Selling Price]]&lt;50000,"Mid Range","Premium"))</f>
        <v>Budget</v>
      </c>
      <c r="M973" t="str">
        <f>IF(FlipkartTable[[#This Row],[Rating]]&gt;4.5,"Excellent",IF(FlipkartTable[[#This Row],[Rating]]&gt;4,"Good",IF(FlipkartTable[[#This Row],[Rating]]&gt;3.5,"Average","Poor")))</f>
        <v>Average</v>
      </c>
    </row>
    <row r="974" spans="1:13" x14ac:dyDescent="0.35">
      <c r="A974" t="s">
        <v>550</v>
      </c>
      <c r="B974" s="9">
        <v>3.1</v>
      </c>
      <c r="C974" t="s">
        <v>152</v>
      </c>
      <c r="D974" t="s">
        <v>20</v>
      </c>
      <c r="E974" t="s">
        <v>21</v>
      </c>
      <c r="F974">
        <v>4</v>
      </c>
      <c r="G974">
        <v>7490</v>
      </c>
      <c r="H974">
        <v>13824</v>
      </c>
      <c r="I974">
        <f>FlipkartTable[[#This Row],[Original Price]]-FlipkartTable[[#This Row],[Selling Price]]</f>
        <v>6334</v>
      </c>
      <c r="J974" s="4">
        <f>(FlipkartTable[[#This Row],[Original Price]]-FlipkartTable[[#This Row],[Selling Price]])/FlipkartTable[[#This Row],[Original Price]]</f>
        <v>0.45818865740740738</v>
      </c>
      <c r="K974">
        <f>(FlipkartTable[[#This Row],[Rating]]/FlipkartTable[[#This Row],[Selling Price]])*1000</f>
        <v>0.53404539385847793</v>
      </c>
      <c r="L974" t="str">
        <f>IF(FlipkartTable[[#This Row],[Selling Price]]&lt;15000,"Budget",IF(FlipkartTable[[#This Row],[Selling Price]]&lt;50000,"Mid Range","Premium"))</f>
        <v>Budget</v>
      </c>
      <c r="M974" t="str">
        <f>IF(FlipkartTable[[#This Row],[Rating]]&gt;4.5,"Excellent",IF(FlipkartTable[[#This Row],[Rating]]&gt;4,"Good",IF(FlipkartTable[[#This Row],[Rating]]&gt;3.5,"Average","Poor")))</f>
        <v>Average</v>
      </c>
    </row>
    <row r="975" spans="1:13" x14ac:dyDescent="0.35">
      <c r="A975" t="s">
        <v>550</v>
      </c>
      <c r="B975" s="9" t="s">
        <v>613</v>
      </c>
      <c r="C975" t="s">
        <v>22</v>
      </c>
      <c r="D975" t="s">
        <v>14</v>
      </c>
      <c r="E975" t="s">
        <v>12</v>
      </c>
      <c r="F975">
        <v>4.0999999999999996</v>
      </c>
      <c r="G975">
        <v>11990</v>
      </c>
      <c r="H975">
        <v>16999</v>
      </c>
      <c r="I975">
        <f>FlipkartTable[[#This Row],[Original Price]]-FlipkartTable[[#This Row],[Selling Price]]</f>
        <v>5009</v>
      </c>
      <c r="J975" s="4">
        <f>(FlipkartTable[[#This Row],[Original Price]]-FlipkartTable[[#This Row],[Selling Price]])/FlipkartTable[[#This Row],[Original Price]]</f>
        <v>0.29466439202306016</v>
      </c>
      <c r="K975">
        <f>(FlipkartTable[[#This Row],[Rating]]/FlipkartTable[[#This Row],[Selling Price]])*1000</f>
        <v>0.34195162635529602</v>
      </c>
      <c r="L975" t="str">
        <f>IF(FlipkartTable[[#This Row],[Selling Price]]&lt;15000,"Budget",IF(FlipkartTable[[#This Row],[Selling Price]]&lt;50000,"Mid Range","Premium"))</f>
        <v>Budget</v>
      </c>
      <c r="M975" t="str">
        <f>IF(FlipkartTable[[#This Row],[Rating]]&gt;4.5,"Excellent",IF(FlipkartTable[[#This Row],[Rating]]&gt;4,"Good",IF(FlipkartTable[[#This Row],[Rating]]&gt;3.5,"Average","Poor")))</f>
        <v>Good</v>
      </c>
    </row>
    <row r="976" spans="1:13" x14ac:dyDescent="0.35">
      <c r="A976" t="s">
        <v>550</v>
      </c>
      <c r="B976" s="9" t="s">
        <v>614</v>
      </c>
      <c r="C976" t="s">
        <v>615</v>
      </c>
      <c r="D976" t="s">
        <v>263</v>
      </c>
      <c r="E976" t="s">
        <v>616</v>
      </c>
      <c r="F976">
        <v>4</v>
      </c>
      <c r="G976">
        <v>5999</v>
      </c>
      <c r="H976">
        <v>6879</v>
      </c>
      <c r="I976">
        <f>FlipkartTable[[#This Row],[Original Price]]-FlipkartTable[[#This Row],[Selling Price]]</f>
        <v>880</v>
      </c>
      <c r="J976" s="4">
        <f>(FlipkartTable[[#This Row],[Original Price]]-FlipkartTable[[#This Row],[Selling Price]])/FlipkartTable[[#This Row],[Original Price]]</f>
        <v>0.12792557057711876</v>
      </c>
      <c r="K976">
        <f>(FlipkartTable[[#This Row],[Rating]]/FlipkartTable[[#This Row],[Selling Price]])*1000</f>
        <v>0.66677779629938327</v>
      </c>
      <c r="L976" t="str">
        <f>IF(FlipkartTable[[#This Row],[Selling Price]]&lt;15000,"Budget",IF(FlipkartTable[[#This Row],[Selling Price]]&lt;50000,"Mid Range","Premium"))</f>
        <v>Budget</v>
      </c>
      <c r="M976" t="str">
        <f>IF(FlipkartTable[[#This Row],[Rating]]&gt;4.5,"Excellent",IF(FlipkartTable[[#This Row],[Rating]]&gt;4,"Good",IF(FlipkartTable[[#This Row],[Rating]]&gt;3.5,"Average","Poor")))</f>
        <v>Average</v>
      </c>
    </row>
    <row r="977" spans="1:13" x14ac:dyDescent="0.35">
      <c r="A977" t="s">
        <v>550</v>
      </c>
      <c r="B977" s="9">
        <v>8.1</v>
      </c>
      <c r="C977" t="s">
        <v>22</v>
      </c>
      <c r="D977" t="s">
        <v>11</v>
      </c>
      <c r="E977" t="s">
        <v>12</v>
      </c>
      <c r="F977">
        <v>4.3</v>
      </c>
      <c r="G977">
        <v>28831</v>
      </c>
      <c r="H977">
        <v>28831</v>
      </c>
      <c r="I977">
        <f>FlipkartTable[[#This Row],[Original Price]]-FlipkartTable[[#This Row],[Selling Price]]</f>
        <v>0</v>
      </c>
      <c r="J977" s="4">
        <f>(FlipkartTable[[#This Row],[Original Price]]-FlipkartTable[[#This Row],[Selling Price]])/FlipkartTable[[#This Row],[Original Price]]</f>
        <v>0</v>
      </c>
      <c r="K977">
        <f>(FlipkartTable[[#This Row],[Rating]]/FlipkartTable[[#This Row],[Selling Price]])*1000</f>
        <v>0.14914501751586834</v>
      </c>
      <c r="L977" t="str">
        <f>IF(FlipkartTable[[#This Row],[Selling Price]]&lt;15000,"Budget",IF(FlipkartTable[[#This Row],[Selling Price]]&lt;50000,"Mid Range","Premium"))</f>
        <v>Mid Range</v>
      </c>
      <c r="M977" t="str">
        <f>IF(FlipkartTable[[#This Row],[Rating]]&gt;4.5,"Excellent",IF(FlipkartTable[[#This Row],[Rating]]&gt;4,"Good",IF(FlipkartTable[[#This Row],[Rating]]&gt;3.5,"Average","Poor")))</f>
        <v>Good</v>
      </c>
    </row>
    <row r="978" spans="1:13" x14ac:dyDescent="0.35">
      <c r="A978" t="s">
        <v>550</v>
      </c>
      <c r="B978" s="9">
        <v>7.2</v>
      </c>
      <c r="C978" t="s">
        <v>575</v>
      </c>
      <c r="D978" t="s">
        <v>11</v>
      </c>
      <c r="E978" t="s">
        <v>12</v>
      </c>
      <c r="F978">
        <v>4.0999999999999996</v>
      </c>
      <c r="G978">
        <v>19999</v>
      </c>
      <c r="H978">
        <v>19999</v>
      </c>
      <c r="I978">
        <f>FlipkartTable[[#This Row],[Original Price]]-FlipkartTable[[#This Row],[Selling Price]]</f>
        <v>0</v>
      </c>
      <c r="J978" s="4">
        <f>(FlipkartTable[[#This Row],[Original Price]]-FlipkartTable[[#This Row],[Selling Price]])/FlipkartTable[[#This Row],[Original Price]]</f>
        <v>0</v>
      </c>
      <c r="K978">
        <f>(FlipkartTable[[#This Row],[Rating]]/FlipkartTable[[#This Row],[Selling Price]])*1000</f>
        <v>0.20501025051252561</v>
      </c>
      <c r="L978" t="str">
        <f>IF(FlipkartTable[[#This Row],[Selling Price]]&lt;15000,"Budget",IF(FlipkartTable[[#This Row],[Selling Price]]&lt;50000,"Mid Range","Premium"))</f>
        <v>Mid Range</v>
      </c>
      <c r="M978" t="str">
        <f>IF(FlipkartTable[[#This Row],[Rating]]&gt;4.5,"Excellent",IF(FlipkartTable[[#This Row],[Rating]]&gt;4,"Good",IF(FlipkartTable[[#This Row],[Rating]]&gt;3.5,"Average","Poor")))</f>
        <v>Good</v>
      </c>
    </row>
    <row r="979" spans="1:13" x14ac:dyDescent="0.35">
      <c r="A979" t="s">
        <v>550</v>
      </c>
      <c r="B979" s="9">
        <v>7.2</v>
      </c>
      <c r="C979" t="s">
        <v>575</v>
      </c>
      <c r="D979" t="s">
        <v>14</v>
      </c>
      <c r="E979" t="s">
        <v>12</v>
      </c>
      <c r="F979">
        <v>4.0999999999999996</v>
      </c>
      <c r="G979">
        <v>20999</v>
      </c>
      <c r="H979">
        <v>20999</v>
      </c>
      <c r="I979">
        <f>FlipkartTable[[#This Row],[Original Price]]-FlipkartTable[[#This Row],[Selling Price]]</f>
        <v>0</v>
      </c>
      <c r="J979" s="4">
        <f>(FlipkartTable[[#This Row],[Original Price]]-FlipkartTable[[#This Row],[Selling Price]])/FlipkartTable[[#This Row],[Original Price]]</f>
        <v>0</v>
      </c>
      <c r="K979">
        <f>(FlipkartTable[[#This Row],[Rating]]/FlipkartTable[[#This Row],[Selling Price]])*1000</f>
        <v>0.19524739273298727</v>
      </c>
      <c r="L979" t="str">
        <f>IF(FlipkartTable[[#This Row],[Selling Price]]&lt;15000,"Budget",IF(FlipkartTable[[#This Row],[Selling Price]]&lt;50000,"Mid Range","Premium"))</f>
        <v>Mid Range</v>
      </c>
      <c r="M979" t="str">
        <f>IF(FlipkartTable[[#This Row],[Rating]]&gt;4.5,"Excellent",IF(FlipkartTable[[#This Row],[Rating]]&gt;4,"Good",IF(FlipkartTable[[#This Row],[Rating]]&gt;3.5,"Average","Poor")))</f>
        <v>Good</v>
      </c>
    </row>
    <row r="980" spans="1:13" x14ac:dyDescent="0.35">
      <c r="A980" t="s">
        <v>550</v>
      </c>
      <c r="B980" s="9">
        <v>7.2</v>
      </c>
      <c r="C980" t="s">
        <v>597</v>
      </c>
      <c r="D980" t="s">
        <v>14</v>
      </c>
      <c r="E980" t="s">
        <v>12</v>
      </c>
      <c r="F980">
        <v>4.0999999999999996</v>
      </c>
      <c r="G980">
        <v>20999</v>
      </c>
      <c r="H980">
        <v>20999</v>
      </c>
      <c r="I980">
        <f>FlipkartTable[[#This Row],[Original Price]]-FlipkartTable[[#This Row],[Selling Price]]</f>
        <v>0</v>
      </c>
      <c r="J980" s="4">
        <f>(FlipkartTable[[#This Row],[Original Price]]-FlipkartTable[[#This Row],[Selling Price]])/FlipkartTable[[#This Row],[Original Price]]</f>
        <v>0</v>
      </c>
      <c r="K980">
        <f>(FlipkartTable[[#This Row],[Rating]]/FlipkartTable[[#This Row],[Selling Price]])*1000</f>
        <v>0.19524739273298727</v>
      </c>
      <c r="L980" t="str">
        <f>IF(FlipkartTable[[#This Row],[Selling Price]]&lt;15000,"Budget",IF(FlipkartTable[[#This Row],[Selling Price]]&lt;50000,"Mid Range","Premium"))</f>
        <v>Mid Range</v>
      </c>
      <c r="M980" t="str">
        <f>IF(FlipkartTable[[#This Row],[Rating]]&gt;4.5,"Excellent",IF(FlipkartTable[[#This Row],[Rating]]&gt;4,"Good",IF(FlipkartTable[[#This Row],[Rating]]&gt;3.5,"Average","Poor")))</f>
        <v>Good</v>
      </c>
    </row>
    <row r="981" spans="1:13" x14ac:dyDescent="0.35">
      <c r="A981" t="s">
        <v>550</v>
      </c>
      <c r="B981" s="9">
        <v>7.2</v>
      </c>
      <c r="C981" t="s">
        <v>249</v>
      </c>
      <c r="D981" t="s">
        <v>14</v>
      </c>
      <c r="E981" t="s">
        <v>12</v>
      </c>
      <c r="F981">
        <v>4.0999999999999996</v>
      </c>
      <c r="G981">
        <v>20999</v>
      </c>
      <c r="H981">
        <v>20999</v>
      </c>
      <c r="I981">
        <f>FlipkartTable[[#This Row],[Original Price]]-FlipkartTable[[#This Row],[Selling Price]]</f>
        <v>0</v>
      </c>
      <c r="J981" s="4">
        <f>(FlipkartTable[[#This Row],[Original Price]]-FlipkartTable[[#This Row],[Selling Price]])/FlipkartTable[[#This Row],[Original Price]]</f>
        <v>0</v>
      </c>
      <c r="K981">
        <f>(FlipkartTable[[#This Row],[Rating]]/FlipkartTable[[#This Row],[Selling Price]])*1000</f>
        <v>0.19524739273298727</v>
      </c>
      <c r="L981" t="str">
        <f>IF(FlipkartTable[[#This Row],[Selling Price]]&lt;15000,"Budget",IF(FlipkartTable[[#This Row],[Selling Price]]&lt;50000,"Mid Range","Premium"))</f>
        <v>Mid Range</v>
      </c>
      <c r="M981" t="str">
        <f>IF(FlipkartTable[[#This Row],[Rating]]&gt;4.5,"Excellent",IF(FlipkartTable[[#This Row],[Rating]]&gt;4,"Good",IF(FlipkartTable[[#This Row],[Rating]]&gt;3.5,"Average","Poor")))</f>
        <v>Good</v>
      </c>
    </row>
    <row r="982" spans="1:13" x14ac:dyDescent="0.35">
      <c r="A982" t="s">
        <v>550</v>
      </c>
      <c r="B982" s="9">
        <v>7.2</v>
      </c>
      <c r="C982" t="s">
        <v>249</v>
      </c>
      <c r="D982" t="s">
        <v>11</v>
      </c>
      <c r="E982" t="s">
        <v>12</v>
      </c>
      <c r="F982">
        <v>4.0999999999999996</v>
      </c>
      <c r="G982">
        <v>19999</v>
      </c>
      <c r="H982">
        <v>19999</v>
      </c>
      <c r="I982">
        <f>FlipkartTable[[#This Row],[Original Price]]-FlipkartTable[[#This Row],[Selling Price]]</f>
        <v>0</v>
      </c>
      <c r="J982" s="4">
        <f>(FlipkartTable[[#This Row],[Original Price]]-FlipkartTable[[#This Row],[Selling Price]])/FlipkartTable[[#This Row],[Original Price]]</f>
        <v>0</v>
      </c>
      <c r="K982">
        <f>(FlipkartTable[[#This Row],[Rating]]/FlipkartTable[[#This Row],[Selling Price]])*1000</f>
        <v>0.20501025051252561</v>
      </c>
      <c r="L982" t="str">
        <f>IF(FlipkartTable[[#This Row],[Selling Price]]&lt;15000,"Budget",IF(FlipkartTable[[#This Row],[Selling Price]]&lt;50000,"Mid Range","Premium"))</f>
        <v>Mid Range</v>
      </c>
      <c r="M982" t="str">
        <f>IF(FlipkartTable[[#This Row],[Rating]]&gt;4.5,"Excellent",IF(FlipkartTable[[#This Row],[Rating]]&gt;4,"Good",IF(FlipkartTable[[#This Row],[Rating]]&gt;3.5,"Average","Poor")))</f>
        <v>Good</v>
      </c>
    </row>
    <row r="983" spans="1:13" x14ac:dyDescent="0.35">
      <c r="A983" t="s">
        <v>550</v>
      </c>
      <c r="B983" s="9">
        <v>7.2</v>
      </c>
      <c r="C983" t="s">
        <v>597</v>
      </c>
      <c r="D983" t="s">
        <v>11</v>
      </c>
      <c r="E983" t="s">
        <v>12</v>
      </c>
      <c r="F983">
        <v>4.0999999999999996</v>
      </c>
      <c r="G983">
        <v>19999</v>
      </c>
      <c r="H983">
        <v>19999</v>
      </c>
      <c r="I983">
        <f>FlipkartTable[[#This Row],[Original Price]]-FlipkartTable[[#This Row],[Selling Price]]</f>
        <v>0</v>
      </c>
      <c r="J983" s="4">
        <f>(FlipkartTable[[#This Row],[Original Price]]-FlipkartTable[[#This Row],[Selling Price]])/FlipkartTable[[#This Row],[Original Price]]</f>
        <v>0</v>
      </c>
      <c r="K983">
        <f>(FlipkartTable[[#This Row],[Rating]]/FlipkartTable[[#This Row],[Selling Price]])*1000</f>
        <v>0.20501025051252561</v>
      </c>
      <c r="L983" t="str">
        <f>IF(FlipkartTable[[#This Row],[Selling Price]]&lt;15000,"Budget",IF(FlipkartTable[[#This Row],[Selling Price]]&lt;50000,"Mid Range","Premium"))</f>
        <v>Mid Range</v>
      </c>
      <c r="M983" t="str">
        <f>IF(FlipkartTable[[#This Row],[Rating]]&gt;4.5,"Excellent",IF(FlipkartTable[[#This Row],[Rating]]&gt;4,"Good",IF(FlipkartTable[[#This Row],[Rating]]&gt;3.5,"Average","Poor")))</f>
        <v>Good</v>
      </c>
    </row>
    <row r="984" spans="1:13" x14ac:dyDescent="0.35">
      <c r="A984" t="s">
        <v>550</v>
      </c>
      <c r="B984" s="9">
        <v>8110</v>
      </c>
      <c r="C984" t="s">
        <v>19</v>
      </c>
      <c r="D984" t="s">
        <v>263</v>
      </c>
      <c r="E984" t="s">
        <v>11</v>
      </c>
      <c r="F984">
        <v>3.7</v>
      </c>
      <c r="G984">
        <v>3000</v>
      </c>
      <c r="H984">
        <v>8400</v>
      </c>
      <c r="I984">
        <f>FlipkartTable[[#This Row],[Original Price]]-FlipkartTable[[#This Row],[Selling Price]]</f>
        <v>5400</v>
      </c>
      <c r="J984" s="4">
        <f>(FlipkartTable[[#This Row],[Original Price]]-FlipkartTable[[#This Row],[Selling Price]])/FlipkartTable[[#This Row],[Original Price]]</f>
        <v>0.6428571428571429</v>
      </c>
      <c r="K984">
        <f>(FlipkartTable[[#This Row],[Rating]]/FlipkartTable[[#This Row],[Selling Price]])*1000</f>
        <v>1.2333333333333334</v>
      </c>
      <c r="L984" t="str">
        <f>IF(FlipkartTable[[#This Row],[Selling Price]]&lt;15000,"Budget",IF(FlipkartTable[[#This Row],[Selling Price]]&lt;50000,"Mid Range","Premium"))</f>
        <v>Budget</v>
      </c>
      <c r="M984" t="str">
        <f>IF(FlipkartTable[[#This Row],[Rating]]&gt;4.5,"Excellent",IF(FlipkartTable[[#This Row],[Rating]]&gt;4,"Good",IF(FlipkartTable[[#This Row],[Rating]]&gt;3.5,"Average","Poor")))</f>
        <v>Average</v>
      </c>
    </row>
    <row r="985" spans="1:13" x14ac:dyDescent="0.35">
      <c r="A985" t="s">
        <v>550</v>
      </c>
      <c r="B985" s="9">
        <v>5</v>
      </c>
      <c r="C985" t="s">
        <v>170</v>
      </c>
      <c r="D985" t="s">
        <v>20</v>
      </c>
      <c r="E985" t="s">
        <v>124</v>
      </c>
      <c r="F985">
        <v>4.0999999999999996</v>
      </c>
      <c r="G985">
        <v>7139</v>
      </c>
      <c r="H985">
        <v>7139</v>
      </c>
      <c r="I985">
        <f>FlipkartTable[[#This Row],[Original Price]]-FlipkartTable[[#This Row],[Selling Price]]</f>
        <v>0</v>
      </c>
      <c r="J985" s="4">
        <f>(FlipkartTable[[#This Row],[Original Price]]-FlipkartTable[[#This Row],[Selling Price]])/FlipkartTable[[#This Row],[Original Price]]</f>
        <v>0</v>
      </c>
      <c r="K985">
        <f>(FlipkartTable[[#This Row],[Rating]]/FlipkartTable[[#This Row],[Selling Price]])*1000</f>
        <v>0.57431012746883314</v>
      </c>
      <c r="L985" t="str">
        <f>IF(FlipkartTable[[#This Row],[Selling Price]]&lt;15000,"Budget",IF(FlipkartTable[[#This Row],[Selling Price]]&lt;50000,"Mid Range","Premium"))</f>
        <v>Budget</v>
      </c>
      <c r="M985" t="str">
        <f>IF(FlipkartTable[[#This Row],[Rating]]&gt;4.5,"Excellent",IF(FlipkartTable[[#This Row],[Rating]]&gt;4,"Good",IF(FlipkartTable[[#This Row],[Rating]]&gt;3.5,"Average","Poor")))</f>
        <v>Good</v>
      </c>
    </row>
    <row r="986" spans="1:13" x14ac:dyDescent="0.35">
      <c r="A986" t="s">
        <v>550</v>
      </c>
      <c r="B986" s="9">
        <v>5.0999999999999996</v>
      </c>
      <c r="C986" t="s">
        <v>116</v>
      </c>
      <c r="D986" t="s">
        <v>20</v>
      </c>
      <c r="E986" t="s">
        <v>21</v>
      </c>
      <c r="F986">
        <v>4</v>
      </c>
      <c r="G986">
        <v>7890</v>
      </c>
      <c r="H986">
        <v>15999</v>
      </c>
      <c r="I986">
        <f>FlipkartTable[[#This Row],[Original Price]]-FlipkartTable[[#This Row],[Selling Price]]</f>
        <v>8109</v>
      </c>
      <c r="J986" s="4">
        <f>(FlipkartTable[[#This Row],[Original Price]]-FlipkartTable[[#This Row],[Selling Price]])/FlipkartTable[[#This Row],[Original Price]]</f>
        <v>0.50684417776111002</v>
      </c>
      <c r="K986">
        <f>(FlipkartTable[[#This Row],[Rating]]/FlipkartTable[[#This Row],[Selling Price]])*1000</f>
        <v>0.5069708491761723</v>
      </c>
      <c r="L986" t="str">
        <f>IF(FlipkartTable[[#This Row],[Selling Price]]&lt;15000,"Budget",IF(FlipkartTable[[#This Row],[Selling Price]]&lt;50000,"Mid Range","Premium"))</f>
        <v>Budget</v>
      </c>
      <c r="M986" t="str">
        <f>IF(FlipkartTable[[#This Row],[Rating]]&gt;4.5,"Excellent",IF(FlipkartTable[[#This Row],[Rating]]&gt;4,"Good",IF(FlipkartTable[[#This Row],[Rating]]&gt;3.5,"Average","Poor")))</f>
        <v>Average</v>
      </c>
    </row>
    <row r="987" spans="1:13" x14ac:dyDescent="0.35">
      <c r="A987" t="s">
        <v>550</v>
      </c>
      <c r="B987" s="9">
        <v>5.3</v>
      </c>
      <c r="C987" t="s">
        <v>617</v>
      </c>
      <c r="D987" t="s">
        <v>11</v>
      </c>
      <c r="E987" t="s">
        <v>12</v>
      </c>
      <c r="F987">
        <v>3.5</v>
      </c>
      <c r="G987">
        <v>10999</v>
      </c>
      <c r="H987">
        <v>10999</v>
      </c>
      <c r="I987">
        <f>FlipkartTable[[#This Row],[Original Price]]-FlipkartTable[[#This Row],[Selling Price]]</f>
        <v>0</v>
      </c>
      <c r="J987" s="4">
        <f>(FlipkartTable[[#This Row],[Original Price]]-FlipkartTable[[#This Row],[Selling Price]])/FlipkartTable[[#This Row],[Original Price]]</f>
        <v>0</v>
      </c>
      <c r="K987">
        <f>(FlipkartTable[[#This Row],[Rating]]/FlipkartTable[[#This Row],[Selling Price]])*1000</f>
        <v>0.31821074643149377</v>
      </c>
      <c r="L987" t="str">
        <f>IF(FlipkartTable[[#This Row],[Selling Price]]&lt;15000,"Budget",IF(FlipkartTable[[#This Row],[Selling Price]]&lt;50000,"Mid Range","Premium"))</f>
        <v>Budget</v>
      </c>
      <c r="M987" t="str">
        <f>IF(FlipkartTable[[#This Row],[Rating]]&gt;4.5,"Excellent",IF(FlipkartTable[[#This Row],[Rating]]&gt;4,"Good",IF(FlipkartTable[[#This Row],[Rating]]&gt;3.5,"Average","Poor")))</f>
        <v>Poor</v>
      </c>
    </row>
    <row r="988" spans="1:13" x14ac:dyDescent="0.35">
      <c r="A988" t="s">
        <v>550</v>
      </c>
      <c r="B988" s="9">
        <v>7.1</v>
      </c>
      <c r="C988" t="s">
        <v>22</v>
      </c>
      <c r="D988" t="s">
        <v>11</v>
      </c>
      <c r="E988" t="s">
        <v>12</v>
      </c>
      <c r="F988">
        <v>4.0999999999999996</v>
      </c>
      <c r="G988">
        <v>11199</v>
      </c>
      <c r="H988">
        <v>11199</v>
      </c>
      <c r="I988">
        <f>FlipkartTable[[#This Row],[Original Price]]-FlipkartTable[[#This Row],[Selling Price]]</f>
        <v>0</v>
      </c>
      <c r="J988" s="4">
        <f>(FlipkartTable[[#This Row],[Original Price]]-FlipkartTable[[#This Row],[Selling Price]])/FlipkartTable[[#This Row],[Original Price]]</f>
        <v>0</v>
      </c>
      <c r="K988">
        <f>(FlipkartTable[[#This Row],[Rating]]/FlipkartTable[[#This Row],[Selling Price]])*1000</f>
        <v>0.36610411643896773</v>
      </c>
      <c r="L988" t="str">
        <f>IF(FlipkartTable[[#This Row],[Selling Price]]&lt;15000,"Budget",IF(FlipkartTable[[#This Row],[Selling Price]]&lt;50000,"Mid Range","Premium"))</f>
        <v>Budget</v>
      </c>
      <c r="M988" t="str">
        <f>IF(FlipkartTable[[#This Row],[Rating]]&gt;4.5,"Excellent",IF(FlipkartTable[[#This Row],[Rating]]&gt;4,"Good",IF(FlipkartTable[[#This Row],[Rating]]&gt;3.5,"Average","Poor")))</f>
        <v>Good</v>
      </c>
    </row>
    <row r="989" spans="1:13" x14ac:dyDescent="0.35">
      <c r="A989" t="s">
        <v>550</v>
      </c>
      <c r="B989" s="9">
        <v>5</v>
      </c>
      <c r="C989" t="s">
        <v>170</v>
      </c>
      <c r="D989" t="s">
        <v>35</v>
      </c>
      <c r="E989" t="s">
        <v>124</v>
      </c>
      <c r="F989">
        <v>4</v>
      </c>
      <c r="G989">
        <v>6741</v>
      </c>
      <c r="H989">
        <v>6741</v>
      </c>
      <c r="I989">
        <f>FlipkartTable[[#This Row],[Original Price]]-FlipkartTable[[#This Row],[Selling Price]]</f>
        <v>0</v>
      </c>
      <c r="J989" s="4">
        <f>(FlipkartTable[[#This Row],[Original Price]]-FlipkartTable[[#This Row],[Selling Price]])/FlipkartTable[[#This Row],[Original Price]]</f>
        <v>0</v>
      </c>
      <c r="K989">
        <f>(FlipkartTable[[#This Row],[Rating]]/FlipkartTable[[#This Row],[Selling Price]])*1000</f>
        <v>0.59338377095386441</v>
      </c>
      <c r="L989" t="str">
        <f>IF(FlipkartTable[[#This Row],[Selling Price]]&lt;15000,"Budget",IF(FlipkartTable[[#This Row],[Selling Price]]&lt;50000,"Mid Range","Premium"))</f>
        <v>Budget</v>
      </c>
      <c r="M989" t="str">
        <f>IF(FlipkartTable[[#This Row],[Rating]]&gt;4.5,"Excellent",IF(FlipkartTable[[#This Row],[Rating]]&gt;4,"Good",IF(FlipkartTable[[#This Row],[Rating]]&gt;3.5,"Average","Poor")))</f>
        <v>Average</v>
      </c>
    </row>
    <row r="990" spans="1:13" x14ac:dyDescent="0.35">
      <c r="A990" t="s">
        <v>550</v>
      </c>
      <c r="B990" s="9">
        <v>5</v>
      </c>
      <c r="C990" t="s">
        <v>606</v>
      </c>
      <c r="D990" t="s">
        <v>35</v>
      </c>
      <c r="E990" t="s">
        <v>124</v>
      </c>
      <c r="F990">
        <v>4</v>
      </c>
      <c r="G990">
        <v>6400</v>
      </c>
      <c r="H990">
        <v>6400</v>
      </c>
      <c r="I990">
        <f>FlipkartTable[[#This Row],[Original Price]]-FlipkartTable[[#This Row],[Selling Price]]</f>
        <v>0</v>
      </c>
      <c r="J990" s="4">
        <f>(FlipkartTable[[#This Row],[Original Price]]-FlipkartTable[[#This Row],[Selling Price]])/FlipkartTable[[#This Row],[Original Price]]</f>
        <v>0</v>
      </c>
      <c r="K990">
        <f>(FlipkartTable[[#This Row],[Rating]]/FlipkartTable[[#This Row],[Selling Price]])*1000</f>
        <v>0.625</v>
      </c>
      <c r="L990" t="str">
        <f>IF(FlipkartTable[[#This Row],[Selling Price]]&lt;15000,"Budget",IF(FlipkartTable[[#This Row],[Selling Price]]&lt;50000,"Mid Range","Premium"))</f>
        <v>Budget</v>
      </c>
      <c r="M990" t="str">
        <f>IF(FlipkartTable[[#This Row],[Rating]]&gt;4.5,"Excellent",IF(FlipkartTable[[#This Row],[Rating]]&gt;4,"Good",IF(FlipkartTable[[#This Row],[Rating]]&gt;3.5,"Average","Poor")))</f>
        <v>Average</v>
      </c>
    </row>
    <row r="991" spans="1:13" x14ac:dyDescent="0.35">
      <c r="A991" t="s">
        <v>550</v>
      </c>
      <c r="B991" s="9">
        <v>5</v>
      </c>
      <c r="C991" t="s">
        <v>590</v>
      </c>
      <c r="D991" t="s">
        <v>35</v>
      </c>
      <c r="E991" t="s">
        <v>124</v>
      </c>
      <c r="F991">
        <v>4</v>
      </c>
      <c r="G991">
        <v>6999</v>
      </c>
      <c r="H991">
        <v>14190</v>
      </c>
      <c r="I991">
        <f>FlipkartTable[[#This Row],[Original Price]]-FlipkartTable[[#This Row],[Selling Price]]</f>
        <v>7191</v>
      </c>
      <c r="J991" s="4">
        <f>(FlipkartTable[[#This Row],[Original Price]]-FlipkartTable[[#This Row],[Selling Price]])/FlipkartTable[[#This Row],[Original Price]]</f>
        <v>0.50676532769556026</v>
      </c>
      <c r="K991">
        <f>(FlipkartTable[[#This Row],[Rating]]/FlipkartTable[[#This Row],[Selling Price]])*1000</f>
        <v>0.57151021574510652</v>
      </c>
      <c r="L991" t="str">
        <f>IF(FlipkartTable[[#This Row],[Selling Price]]&lt;15000,"Budget",IF(FlipkartTable[[#This Row],[Selling Price]]&lt;50000,"Mid Range","Premium"))</f>
        <v>Budget</v>
      </c>
      <c r="M991" t="str">
        <f>IF(FlipkartTable[[#This Row],[Rating]]&gt;4.5,"Excellent",IF(FlipkartTable[[#This Row],[Rating]]&gt;4,"Good",IF(FlipkartTable[[#This Row],[Rating]]&gt;3.5,"Average","Poor")))</f>
        <v>Average</v>
      </c>
    </row>
    <row r="992" spans="1:13" x14ac:dyDescent="0.35">
      <c r="A992" t="s">
        <v>550</v>
      </c>
      <c r="B992" s="9">
        <v>3.2</v>
      </c>
      <c r="C992" t="s">
        <v>604</v>
      </c>
      <c r="D992" t="s">
        <v>35</v>
      </c>
      <c r="E992" t="s">
        <v>124</v>
      </c>
      <c r="F992">
        <v>3.8</v>
      </c>
      <c r="G992">
        <v>10199</v>
      </c>
      <c r="H992">
        <v>10199</v>
      </c>
      <c r="I992">
        <f>FlipkartTable[[#This Row],[Original Price]]-FlipkartTable[[#This Row],[Selling Price]]</f>
        <v>0</v>
      </c>
      <c r="J992" s="4">
        <f>(FlipkartTable[[#This Row],[Original Price]]-FlipkartTable[[#This Row],[Selling Price]])/FlipkartTable[[#This Row],[Original Price]]</f>
        <v>0</v>
      </c>
      <c r="K992">
        <f>(FlipkartTable[[#This Row],[Rating]]/FlipkartTable[[#This Row],[Selling Price]])*1000</f>
        <v>0.37258554760270612</v>
      </c>
      <c r="L992" t="str">
        <f>IF(FlipkartTable[[#This Row],[Selling Price]]&lt;15000,"Budget",IF(FlipkartTable[[#This Row],[Selling Price]]&lt;50000,"Mid Range","Premium"))</f>
        <v>Budget</v>
      </c>
      <c r="M992" t="str">
        <f>IF(FlipkartTable[[#This Row],[Rating]]&gt;4.5,"Excellent",IF(FlipkartTable[[#This Row],[Rating]]&gt;4,"Good",IF(FlipkartTable[[#This Row],[Rating]]&gt;3.5,"Average","Poor")))</f>
        <v>Average</v>
      </c>
    </row>
    <row r="993" spans="1:13" x14ac:dyDescent="0.35">
      <c r="A993" t="s">
        <v>550</v>
      </c>
      <c r="B993" s="9">
        <v>8.1</v>
      </c>
      <c r="C993" t="s">
        <v>22</v>
      </c>
      <c r="D993" t="s">
        <v>14</v>
      </c>
      <c r="E993" t="s">
        <v>15</v>
      </c>
      <c r="F993">
        <v>4.3</v>
      </c>
      <c r="G993">
        <v>22999</v>
      </c>
      <c r="H993">
        <v>35999</v>
      </c>
      <c r="I993">
        <f>FlipkartTable[[#This Row],[Original Price]]-FlipkartTable[[#This Row],[Selling Price]]</f>
        <v>13000</v>
      </c>
      <c r="J993" s="4">
        <f>(FlipkartTable[[#This Row],[Original Price]]-FlipkartTable[[#This Row],[Selling Price]])/FlipkartTable[[#This Row],[Original Price]]</f>
        <v>0.36112114225395148</v>
      </c>
      <c r="K993">
        <f>(FlipkartTable[[#This Row],[Rating]]/FlipkartTable[[#This Row],[Selling Price]])*1000</f>
        <v>0.1869646506369842</v>
      </c>
      <c r="L993" t="str">
        <f>IF(FlipkartTable[[#This Row],[Selling Price]]&lt;15000,"Budget",IF(FlipkartTable[[#This Row],[Selling Price]]&lt;50000,"Mid Range","Premium"))</f>
        <v>Mid Range</v>
      </c>
      <c r="M993" t="str">
        <f>IF(FlipkartTable[[#This Row],[Rating]]&gt;4.5,"Excellent",IF(FlipkartTable[[#This Row],[Rating]]&gt;4,"Good",IF(FlipkartTable[[#This Row],[Rating]]&gt;3.5,"Average","Poor")))</f>
        <v>Good</v>
      </c>
    </row>
    <row r="994" spans="1:13" x14ac:dyDescent="0.35">
      <c r="A994" t="s">
        <v>550</v>
      </c>
      <c r="B994" s="9" t="s">
        <v>618</v>
      </c>
      <c r="C994" t="s">
        <v>19</v>
      </c>
      <c r="D994" t="s">
        <v>263</v>
      </c>
      <c r="E994" t="s">
        <v>11</v>
      </c>
      <c r="F994">
        <v>3.7</v>
      </c>
      <c r="G994">
        <v>6699</v>
      </c>
      <c r="H994">
        <v>6699</v>
      </c>
      <c r="I994">
        <f>FlipkartTable[[#This Row],[Original Price]]-FlipkartTable[[#This Row],[Selling Price]]</f>
        <v>0</v>
      </c>
      <c r="J994" s="4">
        <f>(FlipkartTable[[#This Row],[Original Price]]-FlipkartTable[[#This Row],[Selling Price]])/FlipkartTable[[#This Row],[Original Price]]</f>
        <v>0</v>
      </c>
      <c r="K994">
        <f>(FlipkartTable[[#This Row],[Rating]]/FlipkartTable[[#This Row],[Selling Price]])*1000</f>
        <v>0.55232124197641441</v>
      </c>
      <c r="L994" t="str">
        <f>IF(FlipkartTable[[#This Row],[Selling Price]]&lt;15000,"Budget",IF(FlipkartTable[[#This Row],[Selling Price]]&lt;50000,"Mid Range","Premium"))</f>
        <v>Budget</v>
      </c>
      <c r="M994" t="str">
        <f>IF(FlipkartTable[[#This Row],[Rating]]&gt;4.5,"Excellent",IF(FlipkartTable[[#This Row],[Rating]]&gt;4,"Good",IF(FlipkartTable[[#This Row],[Rating]]&gt;3.5,"Average","Poor")))</f>
        <v>Average</v>
      </c>
    </row>
    <row r="995" spans="1:13" x14ac:dyDescent="0.35">
      <c r="A995" t="s">
        <v>550</v>
      </c>
      <c r="B995" s="9" t="s">
        <v>619</v>
      </c>
      <c r="C995" t="s">
        <v>620</v>
      </c>
      <c r="D995" t="s">
        <v>134</v>
      </c>
      <c r="E995" t="s">
        <v>11</v>
      </c>
      <c r="F995">
        <v>4.2</v>
      </c>
      <c r="G995">
        <v>9999</v>
      </c>
      <c r="H995">
        <v>9999</v>
      </c>
      <c r="I995">
        <f>FlipkartTable[[#This Row],[Original Price]]-FlipkartTable[[#This Row],[Selling Price]]</f>
        <v>0</v>
      </c>
      <c r="J995" s="4">
        <f>(FlipkartTable[[#This Row],[Original Price]]-FlipkartTable[[#This Row],[Selling Price]])/FlipkartTable[[#This Row],[Original Price]]</f>
        <v>0</v>
      </c>
      <c r="K995">
        <f>(FlipkartTable[[#This Row],[Rating]]/FlipkartTable[[#This Row],[Selling Price]])*1000</f>
        <v>0.42004200420042004</v>
      </c>
      <c r="L995" t="str">
        <f>IF(FlipkartTable[[#This Row],[Selling Price]]&lt;15000,"Budget",IF(FlipkartTable[[#This Row],[Selling Price]]&lt;50000,"Mid Range","Premium"))</f>
        <v>Budget</v>
      </c>
      <c r="M995" t="str">
        <f>IF(FlipkartTable[[#This Row],[Rating]]&gt;4.5,"Excellent",IF(FlipkartTable[[#This Row],[Rating]]&gt;4,"Good",IF(FlipkartTable[[#This Row],[Rating]]&gt;3.5,"Average","Poor")))</f>
        <v>Good</v>
      </c>
    </row>
    <row r="996" spans="1:13" x14ac:dyDescent="0.35">
      <c r="A996" t="s">
        <v>550</v>
      </c>
      <c r="B996" s="9" t="s">
        <v>613</v>
      </c>
      <c r="C996" t="s">
        <v>152</v>
      </c>
      <c r="D996" t="s">
        <v>11</v>
      </c>
      <c r="E996" t="s">
        <v>12</v>
      </c>
      <c r="F996">
        <v>4.3</v>
      </c>
      <c r="G996">
        <v>18599</v>
      </c>
      <c r="H996">
        <v>18599</v>
      </c>
      <c r="I996">
        <f>FlipkartTable[[#This Row],[Original Price]]-FlipkartTable[[#This Row],[Selling Price]]</f>
        <v>0</v>
      </c>
      <c r="J996" s="4">
        <f>(FlipkartTable[[#This Row],[Original Price]]-FlipkartTable[[#This Row],[Selling Price]])/FlipkartTable[[#This Row],[Original Price]]</f>
        <v>0</v>
      </c>
      <c r="K996">
        <f>(FlipkartTable[[#This Row],[Rating]]/FlipkartTable[[#This Row],[Selling Price]])*1000</f>
        <v>0.23119522554976074</v>
      </c>
      <c r="L996" t="str">
        <f>IF(FlipkartTable[[#This Row],[Selling Price]]&lt;15000,"Budget",IF(FlipkartTable[[#This Row],[Selling Price]]&lt;50000,"Mid Range","Premium"))</f>
        <v>Mid Range</v>
      </c>
      <c r="M996" t="str">
        <f>IF(FlipkartTable[[#This Row],[Rating]]&gt;4.5,"Excellent",IF(FlipkartTable[[#This Row],[Rating]]&gt;4,"Good",IF(FlipkartTable[[#This Row],[Rating]]&gt;3.5,"Average","Poor")))</f>
        <v>Good</v>
      </c>
    </row>
    <row r="997" spans="1:13" x14ac:dyDescent="0.35">
      <c r="A997" t="s">
        <v>550</v>
      </c>
      <c r="B997" s="9">
        <v>2.2000000000000002</v>
      </c>
      <c r="C997" t="s">
        <v>604</v>
      </c>
      <c r="D997" t="s">
        <v>35</v>
      </c>
      <c r="E997" t="s">
        <v>124</v>
      </c>
      <c r="F997">
        <v>4</v>
      </c>
      <c r="G997">
        <v>8599</v>
      </c>
      <c r="H997">
        <v>8599</v>
      </c>
      <c r="I997">
        <f>FlipkartTable[[#This Row],[Original Price]]-FlipkartTable[[#This Row],[Selling Price]]</f>
        <v>0</v>
      </c>
      <c r="J997" s="4">
        <f>(FlipkartTable[[#This Row],[Original Price]]-FlipkartTable[[#This Row],[Selling Price]])/FlipkartTable[[#This Row],[Original Price]]</f>
        <v>0</v>
      </c>
      <c r="K997">
        <f>(FlipkartTable[[#This Row],[Rating]]/FlipkartTable[[#This Row],[Selling Price]])*1000</f>
        <v>0.46517036864751715</v>
      </c>
      <c r="L997" t="str">
        <f>IF(FlipkartTable[[#This Row],[Selling Price]]&lt;15000,"Budget",IF(FlipkartTable[[#This Row],[Selling Price]]&lt;50000,"Mid Range","Premium"))</f>
        <v>Budget</v>
      </c>
      <c r="M997" t="str">
        <f>IF(FlipkartTable[[#This Row],[Rating]]&gt;4.5,"Excellent",IF(FlipkartTable[[#This Row],[Rating]]&gt;4,"Good",IF(FlipkartTable[[#This Row],[Rating]]&gt;3.5,"Average","Poor")))</f>
        <v>Average</v>
      </c>
    </row>
    <row r="998" spans="1:13" x14ac:dyDescent="0.35">
      <c r="A998" t="s">
        <v>550</v>
      </c>
      <c r="B998" s="9">
        <v>5.3</v>
      </c>
      <c r="C998" t="s">
        <v>611</v>
      </c>
      <c r="D998" t="s">
        <v>11</v>
      </c>
      <c r="E998" t="s">
        <v>12</v>
      </c>
      <c r="F998">
        <v>3.5</v>
      </c>
      <c r="G998">
        <v>11989</v>
      </c>
      <c r="H998">
        <v>11989</v>
      </c>
      <c r="I998">
        <f>FlipkartTable[[#This Row],[Original Price]]-FlipkartTable[[#This Row],[Selling Price]]</f>
        <v>0</v>
      </c>
      <c r="J998" s="4">
        <f>(FlipkartTable[[#This Row],[Original Price]]-FlipkartTable[[#This Row],[Selling Price]])/FlipkartTable[[#This Row],[Original Price]]</f>
        <v>0</v>
      </c>
      <c r="K998">
        <f>(FlipkartTable[[#This Row],[Rating]]/FlipkartTable[[#This Row],[Selling Price]])*1000</f>
        <v>0.29193427308365999</v>
      </c>
      <c r="L998" t="str">
        <f>IF(FlipkartTable[[#This Row],[Selling Price]]&lt;15000,"Budget",IF(FlipkartTable[[#This Row],[Selling Price]]&lt;50000,"Mid Range","Premium"))</f>
        <v>Budget</v>
      </c>
      <c r="M998" t="str">
        <f>IF(FlipkartTable[[#This Row],[Rating]]&gt;4.5,"Excellent",IF(FlipkartTable[[#This Row],[Rating]]&gt;4,"Good",IF(FlipkartTable[[#This Row],[Rating]]&gt;3.5,"Average","Poor")))</f>
        <v>Poor</v>
      </c>
    </row>
    <row r="999" spans="1:13" x14ac:dyDescent="0.35">
      <c r="A999" t="s">
        <v>550</v>
      </c>
      <c r="B999" s="9" t="s">
        <v>588</v>
      </c>
      <c r="C999" t="s">
        <v>19</v>
      </c>
      <c r="D999" t="s">
        <v>20</v>
      </c>
      <c r="E999" t="s">
        <v>21</v>
      </c>
      <c r="F999">
        <v>4.3</v>
      </c>
      <c r="G999">
        <v>13199</v>
      </c>
      <c r="H999">
        <v>13199</v>
      </c>
      <c r="I999">
        <f>FlipkartTable[[#This Row],[Original Price]]-FlipkartTable[[#This Row],[Selling Price]]</f>
        <v>0</v>
      </c>
      <c r="J999" s="4">
        <f>(FlipkartTable[[#This Row],[Original Price]]-FlipkartTable[[#This Row],[Selling Price]])/FlipkartTable[[#This Row],[Original Price]]</f>
        <v>0</v>
      </c>
      <c r="K999">
        <f>(FlipkartTable[[#This Row],[Rating]]/FlipkartTable[[#This Row],[Selling Price]])*1000</f>
        <v>0.32578225623153267</v>
      </c>
      <c r="L999" t="str">
        <f>IF(FlipkartTable[[#This Row],[Selling Price]]&lt;15000,"Budget",IF(FlipkartTable[[#This Row],[Selling Price]]&lt;50000,"Mid Range","Premium"))</f>
        <v>Budget</v>
      </c>
      <c r="M999" t="str">
        <f>IF(FlipkartTable[[#This Row],[Rating]]&gt;4.5,"Excellent",IF(FlipkartTable[[#This Row],[Rating]]&gt;4,"Good",IF(FlipkartTable[[#This Row],[Rating]]&gt;3.5,"Average","Poor")))</f>
        <v>Good</v>
      </c>
    </row>
    <row r="1000" spans="1:13" x14ac:dyDescent="0.35">
      <c r="A1000" t="s">
        <v>550</v>
      </c>
      <c r="B1000" s="9" t="s">
        <v>588</v>
      </c>
      <c r="C1000" t="s">
        <v>19</v>
      </c>
      <c r="D1000" t="s">
        <v>11</v>
      </c>
      <c r="E1000" t="s">
        <v>12</v>
      </c>
      <c r="F1000">
        <v>4.0999999999999996</v>
      </c>
      <c r="G1000">
        <v>9990</v>
      </c>
      <c r="H1000">
        <v>15999</v>
      </c>
      <c r="I1000">
        <f>FlipkartTable[[#This Row],[Original Price]]-FlipkartTable[[#This Row],[Selling Price]]</f>
        <v>6009</v>
      </c>
      <c r="J1000" s="4">
        <f>(FlipkartTable[[#This Row],[Original Price]]-FlipkartTable[[#This Row],[Selling Price]])/FlipkartTable[[#This Row],[Original Price]]</f>
        <v>0.37558597412338274</v>
      </c>
      <c r="K1000">
        <f>(FlipkartTable[[#This Row],[Rating]]/FlipkartTable[[#This Row],[Selling Price]])*1000</f>
        <v>0.41041041041041038</v>
      </c>
      <c r="L1000" t="str">
        <f>IF(FlipkartTable[[#This Row],[Selling Price]]&lt;15000,"Budget",IF(FlipkartTable[[#This Row],[Selling Price]]&lt;50000,"Mid Range","Premium"))</f>
        <v>Budget</v>
      </c>
      <c r="M1000" t="str">
        <f>IF(FlipkartTable[[#This Row],[Rating]]&gt;4.5,"Excellent",IF(FlipkartTable[[#This Row],[Rating]]&gt;4,"Good",IF(FlipkartTable[[#This Row],[Rating]]&gt;3.5,"Average","Poor")))</f>
        <v>Good</v>
      </c>
    </row>
    <row r="1001" spans="1:13" x14ac:dyDescent="0.35">
      <c r="A1001" t="s">
        <v>550</v>
      </c>
      <c r="B1001" s="9" t="s">
        <v>621</v>
      </c>
      <c r="C1001" t="s">
        <v>19</v>
      </c>
      <c r="D1001" t="s">
        <v>263</v>
      </c>
      <c r="E1001" t="s">
        <v>11</v>
      </c>
      <c r="F1001">
        <v>4</v>
      </c>
      <c r="G1001">
        <v>10999</v>
      </c>
      <c r="H1001">
        <v>10999</v>
      </c>
      <c r="I1001">
        <f>FlipkartTable[[#This Row],[Original Price]]-FlipkartTable[[#This Row],[Selling Price]]</f>
        <v>0</v>
      </c>
      <c r="J1001" s="4">
        <f>(FlipkartTable[[#This Row],[Original Price]]-FlipkartTable[[#This Row],[Selling Price]])/FlipkartTable[[#This Row],[Original Price]]</f>
        <v>0</v>
      </c>
      <c r="K1001">
        <f>(FlipkartTable[[#This Row],[Rating]]/FlipkartTable[[#This Row],[Selling Price]])*1000</f>
        <v>0.36366942449313572</v>
      </c>
      <c r="L1001" t="str">
        <f>IF(FlipkartTable[[#This Row],[Selling Price]]&lt;15000,"Budget",IF(FlipkartTable[[#This Row],[Selling Price]]&lt;50000,"Mid Range","Premium"))</f>
        <v>Budget</v>
      </c>
      <c r="M1001" t="str">
        <f>IF(FlipkartTable[[#This Row],[Rating]]&gt;4.5,"Excellent",IF(FlipkartTable[[#This Row],[Rating]]&gt;4,"Good",IF(FlipkartTable[[#This Row],[Rating]]&gt;3.5,"Average","Poor")))</f>
        <v>Average</v>
      </c>
    </row>
    <row r="1002" spans="1:13" x14ac:dyDescent="0.35">
      <c r="A1002" t="s">
        <v>550</v>
      </c>
      <c r="B1002" s="9" t="s">
        <v>622</v>
      </c>
      <c r="C1002" t="s">
        <v>623</v>
      </c>
      <c r="D1002" t="s">
        <v>11</v>
      </c>
      <c r="E1002" t="s">
        <v>12</v>
      </c>
      <c r="F1002">
        <v>4.3</v>
      </c>
      <c r="G1002">
        <v>15999</v>
      </c>
      <c r="H1002">
        <v>15999</v>
      </c>
      <c r="I1002">
        <f>FlipkartTable[[#This Row],[Original Price]]-FlipkartTable[[#This Row],[Selling Price]]</f>
        <v>0</v>
      </c>
      <c r="J1002" s="4">
        <f>(FlipkartTable[[#This Row],[Original Price]]-FlipkartTable[[#This Row],[Selling Price]])/FlipkartTable[[#This Row],[Original Price]]</f>
        <v>0</v>
      </c>
      <c r="K1002">
        <f>(FlipkartTable[[#This Row],[Rating]]/FlipkartTable[[#This Row],[Selling Price]])*1000</f>
        <v>0.26876679792487029</v>
      </c>
      <c r="L1002" t="str">
        <f>IF(FlipkartTable[[#This Row],[Selling Price]]&lt;15000,"Budget",IF(FlipkartTable[[#This Row],[Selling Price]]&lt;50000,"Mid Range","Premium"))</f>
        <v>Mid Range</v>
      </c>
      <c r="M1002" t="str">
        <f>IF(FlipkartTable[[#This Row],[Rating]]&gt;4.5,"Excellent",IF(FlipkartTable[[#This Row],[Rating]]&gt;4,"Good",IF(FlipkartTable[[#This Row],[Rating]]&gt;3.5,"Average","Poor")))</f>
        <v>Good</v>
      </c>
    </row>
    <row r="1003" spans="1:13" x14ac:dyDescent="0.35">
      <c r="A1003" t="s">
        <v>550</v>
      </c>
      <c r="B1003" s="9">
        <v>6</v>
      </c>
      <c r="C1003" t="s">
        <v>37</v>
      </c>
      <c r="D1003" t="s">
        <v>11</v>
      </c>
      <c r="E1003" t="s">
        <v>12</v>
      </c>
      <c r="F1003">
        <v>3.9</v>
      </c>
      <c r="G1003">
        <v>19499</v>
      </c>
      <c r="H1003">
        <v>19499</v>
      </c>
      <c r="I1003">
        <f>FlipkartTable[[#This Row],[Original Price]]-FlipkartTable[[#This Row],[Selling Price]]</f>
        <v>0</v>
      </c>
      <c r="J1003" s="4">
        <f>(FlipkartTable[[#This Row],[Original Price]]-FlipkartTable[[#This Row],[Selling Price]])/FlipkartTable[[#This Row],[Original Price]]</f>
        <v>0</v>
      </c>
      <c r="K1003">
        <f>(FlipkartTable[[#This Row],[Rating]]/FlipkartTable[[#This Row],[Selling Price]])*1000</f>
        <v>0.20001025693625316</v>
      </c>
      <c r="L1003" t="str">
        <f>IF(FlipkartTable[[#This Row],[Selling Price]]&lt;15000,"Budget",IF(FlipkartTable[[#This Row],[Selling Price]]&lt;50000,"Mid Range","Premium"))</f>
        <v>Mid Range</v>
      </c>
      <c r="M1003" t="str">
        <f>IF(FlipkartTable[[#This Row],[Rating]]&gt;4.5,"Excellent",IF(FlipkartTable[[#This Row],[Rating]]&gt;4,"Good",IF(FlipkartTable[[#This Row],[Rating]]&gt;3.5,"Average","Poor")))</f>
        <v>Average</v>
      </c>
    </row>
    <row r="1004" spans="1:13" x14ac:dyDescent="0.35">
      <c r="A1004" t="s">
        <v>550</v>
      </c>
      <c r="B1004" s="9" t="s">
        <v>613</v>
      </c>
      <c r="C1004" t="s">
        <v>19</v>
      </c>
      <c r="D1004" t="s">
        <v>14</v>
      </c>
      <c r="E1004" t="s">
        <v>12</v>
      </c>
      <c r="F1004">
        <v>4.0999999999999996</v>
      </c>
      <c r="G1004">
        <v>11490</v>
      </c>
      <c r="H1004">
        <v>17999</v>
      </c>
      <c r="I1004">
        <f>FlipkartTable[[#This Row],[Original Price]]-FlipkartTable[[#This Row],[Selling Price]]</f>
        <v>6509</v>
      </c>
      <c r="J1004" s="4">
        <f>(FlipkartTable[[#This Row],[Original Price]]-FlipkartTable[[#This Row],[Selling Price]])/FlipkartTable[[#This Row],[Original Price]]</f>
        <v>0.36163120173342961</v>
      </c>
      <c r="K1004">
        <f>(FlipkartTable[[#This Row],[Rating]]/FlipkartTable[[#This Row],[Selling Price]])*1000</f>
        <v>0.3568320278503046</v>
      </c>
      <c r="L1004" t="str">
        <f>IF(FlipkartTable[[#This Row],[Selling Price]]&lt;15000,"Budget",IF(FlipkartTable[[#This Row],[Selling Price]]&lt;50000,"Mid Range","Premium"))</f>
        <v>Budget</v>
      </c>
      <c r="M1004" t="str">
        <f>IF(FlipkartTable[[#This Row],[Rating]]&gt;4.5,"Excellent",IF(FlipkartTable[[#This Row],[Rating]]&gt;4,"Good",IF(FlipkartTable[[#This Row],[Rating]]&gt;3.5,"Average","Poor")))</f>
        <v>Good</v>
      </c>
    </row>
    <row r="1005" spans="1:13" x14ac:dyDescent="0.35">
      <c r="A1005" t="s">
        <v>550</v>
      </c>
      <c r="B1005" s="9">
        <v>5.3</v>
      </c>
      <c r="C1005" t="s">
        <v>617</v>
      </c>
      <c r="D1005" t="s">
        <v>14</v>
      </c>
      <c r="E1005" t="s">
        <v>12</v>
      </c>
      <c r="F1005">
        <v>3.7</v>
      </c>
      <c r="G1005">
        <v>12999</v>
      </c>
      <c r="H1005">
        <v>12999</v>
      </c>
      <c r="I1005">
        <f>FlipkartTable[[#This Row],[Original Price]]-FlipkartTable[[#This Row],[Selling Price]]</f>
        <v>0</v>
      </c>
      <c r="J1005" s="4">
        <f>(FlipkartTable[[#This Row],[Original Price]]-FlipkartTable[[#This Row],[Selling Price]])/FlipkartTable[[#This Row],[Original Price]]</f>
        <v>0</v>
      </c>
      <c r="K1005">
        <f>(FlipkartTable[[#This Row],[Rating]]/FlipkartTable[[#This Row],[Selling Price]])*1000</f>
        <v>0.28463727979075315</v>
      </c>
      <c r="L1005" t="str">
        <f>IF(FlipkartTable[[#This Row],[Selling Price]]&lt;15000,"Budget",IF(FlipkartTable[[#This Row],[Selling Price]]&lt;50000,"Mid Range","Premium"))</f>
        <v>Budget</v>
      </c>
      <c r="M1005" t="str">
        <f>IF(FlipkartTable[[#This Row],[Rating]]&gt;4.5,"Excellent",IF(FlipkartTable[[#This Row],[Rating]]&gt;4,"Good",IF(FlipkartTable[[#This Row],[Rating]]&gt;3.5,"Average","Poor")))</f>
        <v>Average</v>
      </c>
    </row>
    <row r="1006" spans="1:13" x14ac:dyDescent="0.35">
      <c r="A1006" t="s">
        <v>550</v>
      </c>
      <c r="B1006" s="9" t="s">
        <v>624</v>
      </c>
      <c r="C1006" t="s">
        <v>19</v>
      </c>
      <c r="D1006" t="s">
        <v>554</v>
      </c>
      <c r="E1006" t="s">
        <v>492</v>
      </c>
      <c r="F1006">
        <v>3.8</v>
      </c>
      <c r="G1006">
        <v>4300</v>
      </c>
      <c r="H1006">
        <v>4300</v>
      </c>
      <c r="I1006">
        <f>FlipkartTable[[#This Row],[Original Price]]-FlipkartTable[[#This Row],[Selling Price]]</f>
        <v>0</v>
      </c>
      <c r="J1006" s="4">
        <f>(FlipkartTable[[#This Row],[Original Price]]-FlipkartTable[[#This Row],[Selling Price]])/FlipkartTable[[#This Row],[Original Price]]</f>
        <v>0</v>
      </c>
      <c r="K1006">
        <f>(FlipkartTable[[#This Row],[Rating]]/FlipkartTable[[#This Row],[Selling Price]])*1000</f>
        <v>0.88372093023255816</v>
      </c>
      <c r="L1006" t="str">
        <f>IF(FlipkartTable[[#This Row],[Selling Price]]&lt;15000,"Budget",IF(FlipkartTable[[#This Row],[Selling Price]]&lt;50000,"Mid Range","Premium"))</f>
        <v>Budget</v>
      </c>
      <c r="M1006" t="str">
        <f>IF(FlipkartTable[[#This Row],[Rating]]&gt;4.5,"Excellent",IF(FlipkartTable[[#This Row],[Rating]]&gt;4,"Good",IF(FlipkartTable[[#This Row],[Rating]]&gt;3.5,"Average","Poor")))</f>
        <v>Average</v>
      </c>
    </row>
    <row r="1007" spans="1:13" x14ac:dyDescent="0.35">
      <c r="A1007" t="s">
        <v>550</v>
      </c>
      <c r="B1007" s="9">
        <v>222</v>
      </c>
      <c r="C1007" t="s">
        <v>19</v>
      </c>
      <c r="D1007" t="s">
        <v>489</v>
      </c>
      <c r="E1007" t="s">
        <v>563</v>
      </c>
      <c r="F1007">
        <v>4.0999999999999996</v>
      </c>
      <c r="G1007">
        <v>2860</v>
      </c>
      <c r="H1007">
        <v>2860</v>
      </c>
      <c r="I1007">
        <f>FlipkartTable[[#This Row],[Original Price]]-FlipkartTable[[#This Row],[Selling Price]]</f>
        <v>0</v>
      </c>
      <c r="J1007" s="4">
        <f>(FlipkartTable[[#This Row],[Original Price]]-FlipkartTable[[#This Row],[Selling Price]])/FlipkartTable[[#This Row],[Original Price]]</f>
        <v>0</v>
      </c>
      <c r="K1007">
        <f>(FlipkartTable[[#This Row],[Rating]]/FlipkartTable[[#This Row],[Selling Price]])*1000</f>
        <v>1.4335664335664335</v>
      </c>
      <c r="L1007" t="str">
        <f>IF(FlipkartTable[[#This Row],[Selling Price]]&lt;15000,"Budget",IF(FlipkartTable[[#This Row],[Selling Price]]&lt;50000,"Mid Range","Premium"))</f>
        <v>Budget</v>
      </c>
      <c r="M1007" t="str">
        <f>IF(FlipkartTable[[#This Row],[Rating]]&gt;4.5,"Excellent",IF(FlipkartTable[[#This Row],[Rating]]&gt;4,"Good",IF(FlipkartTable[[#This Row],[Rating]]&gt;3.5,"Average","Poor")))</f>
        <v>Good</v>
      </c>
    </row>
    <row r="1008" spans="1:13" x14ac:dyDescent="0.35">
      <c r="A1008" t="s">
        <v>550</v>
      </c>
      <c r="B1008" s="9" t="s">
        <v>588</v>
      </c>
      <c r="C1008" t="s">
        <v>22</v>
      </c>
      <c r="D1008" t="s">
        <v>11</v>
      </c>
      <c r="E1008" t="s">
        <v>12</v>
      </c>
      <c r="F1008">
        <v>4.0999999999999996</v>
      </c>
      <c r="G1008">
        <v>9975</v>
      </c>
      <c r="H1008">
        <v>15999</v>
      </c>
      <c r="I1008">
        <f>FlipkartTable[[#This Row],[Original Price]]-FlipkartTable[[#This Row],[Selling Price]]</f>
        <v>6024</v>
      </c>
      <c r="J1008" s="4">
        <f>(FlipkartTable[[#This Row],[Original Price]]-FlipkartTable[[#This Row],[Selling Price]])/FlipkartTable[[#This Row],[Original Price]]</f>
        <v>0.37652353272079503</v>
      </c>
      <c r="K1008">
        <f>(FlipkartTable[[#This Row],[Rating]]/FlipkartTable[[#This Row],[Selling Price]])*1000</f>
        <v>0.41102756892230569</v>
      </c>
      <c r="L1008" t="str">
        <f>IF(FlipkartTable[[#This Row],[Selling Price]]&lt;15000,"Budget",IF(FlipkartTable[[#This Row],[Selling Price]]&lt;50000,"Mid Range","Premium"))</f>
        <v>Budget</v>
      </c>
      <c r="M1008" t="str">
        <f>IF(FlipkartTable[[#This Row],[Rating]]&gt;4.5,"Excellent",IF(FlipkartTable[[#This Row],[Rating]]&gt;4,"Good",IF(FlipkartTable[[#This Row],[Rating]]&gt;3.5,"Average","Poor")))</f>
        <v>Good</v>
      </c>
    </row>
    <row r="1009" spans="1:13" x14ac:dyDescent="0.35">
      <c r="A1009" t="s">
        <v>550</v>
      </c>
      <c r="B1009" s="9">
        <v>6.2</v>
      </c>
      <c r="C1009" t="s">
        <v>249</v>
      </c>
      <c r="D1009" t="s">
        <v>11</v>
      </c>
      <c r="E1009" t="s">
        <v>12</v>
      </c>
      <c r="F1009">
        <v>4.2</v>
      </c>
      <c r="G1009">
        <v>13790</v>
      </c>
      <c r="H1009">
        <v>13790</v>
      </c>
      <c r="I1009">
        <f>FlipkartTable[[#This Row],[Original Price]]-FlipkartTable[[#This Row],[Selling Price]]</f>
        <v>0</v>
      </c>
      <c r="J1009" s="4">
        <f>(FlipkartTable[[#This Row],[Original Price]]-FlipkartTable[[#This Row],[Selling Price]])/FlipkartTable[[#This Row],[Original Price]]</f>
        <v>0</v>
      </c>
      <c r="K1009">
        <f>(FlipkartTable[[#This Row],[Rating]]/FlipkartTable[[#This Row],[Selling Price]])*1000</f>
        <v>0.30456852791878175</v>
      </c>
      <c r="L1009" t="str">
        <f>IF(FlipkartTable[[#This Row],[Selling Price]]&lt;15000,"Budget",IF(FlipkartTable[[#This Row],[Selling Price]]&lt;50000,"Mid Range","Premium"))</f>
        <v>Budget</v>
      </c>
      <c r="M1009" t="str">
        <f>IF(FlipkartTable[[#This Row],[Rating]]&gt;4.5,"Excellent",IF(FlipkartTable[[#This Row],[Rating]]&gt;4,"Good",IF(FlipkartTable[[#This Row],[Rating]]&gt;3.5,"Average","Poor")))</f>
        <v>Good</v>
      </c>
    </row>
    <row r="1010" spans="1:13" x14ac:dyDescent="0.35">
      <c r="A1010" t="s">
        <v>550</v>
      </c>
      <c r="B1010" s="9">
        <v>4.2</v>
      </c>
      <c r="C1010" t="s">
        <v>625</v>
      </c>
      <c r="D1010" t="s">
        <v>20</v>
      </c>
      <c r="E1010" t="s">
        <v>21</v>
      </c>
      <c r="F1010">
        <v>4</v>
      </c>
      <c r="G1010">
        <v>13699</v>
      </c>
      <c r="H1010">
        <v>13699</v>
      </c>
      <c r="I1010">
        <f>FlipkartTable[[#This Row],[Original Price]]-FlipkartTable[[#This Row],[Selling Price]]</f>
        <v>0</v>
      </c>
      <c r="J1010" s="4">
        <f>(FlipkartTable[[#This Row],[Original Price]]-FlipkartTable[[#This Row],[Selling Price]])/FlipkartTable[[#This Row],[Original Price]]</f>
        <v>0</v>
      </c>
      <c r="K1010">
        <f>(FlipkartTable[[#This Row],[Rating]]/FlipkartTable[[#This Row],[Selling Price]])*1000</f>
        <v>0.29199211621286225</v>
      </c>
      <c r="L1010" t="str">
        <f>IF(FlipkartTable[[#This Row],[Selling Price]]&lt;15000,"Budget",IF(FlipkartTable[[#This Row],[Selling Price]]&lt;50000,"Mid Range","Premium"))</f>
        <v>Budget</v>
      </c>
      <c r="M1010" t="str">
        <f>IF(FlipkartTable[[#This Row],[Rating]]&gt;4.5,"Excellent",IF(FlipkartTable[[#This Row],[Rating]]&gt;4,"Good",IF(FlipkartTable[[#This Row],[Rating]]&gt;3.5,"Average","Poor")))</f>
        <v>Average</v>
      </c>
    </row>
    <row r="1011" spans="1:13" x14ac:dyDescent="0.35">
      <c r="A1011" t="s">
        <v>550</v>
      </c>
      <c r="B1011" s="9">
        <v>7.1</v>
      </c>
      <c r="C1011" t="s">
        <v>604</v>
      </c>
      <c r="D1011" t="s">
        <v>11</v>
      </c>
      <c r="E1011" t="s">
        <v>12</v>
      </c>
      <c r="F1011">
        <v>4.0999999999999996</v>
      </c>
      <c r="G1011">
        <v>12998</v>
      </c>
      <c r="H1011">
        <v>12998</v>
      </c>
      <c r="I1011">
        <f>FlipkartTable[[#This Row],[Original Price]]-FlipkartTable[[#This Row],[Selling Price]]</f>
        <v>0</v>
      </c>
      <c r="J1011" s="4">
        <f>(FlipkartTable[[#This Row],[Original Price]]-FlipkartTable[[#This Row],[Selling Price]])/FlipkartTable[[#This Row],[Original Price]]</f>
        <v>0</v>
      </c>
      <c r="K1011">
        <f>(FlipkartTable[[#This Row],[Rating]]/FlipkartTable[[#This Row],[Selling Price]])*1000</f>
        <v>0.31543314356054775</v>
      </c>
      <c r="L1011" t="str">
        <f>IF(FlipkartTable[[#This Row],[Selling Price]]&lt;15000,"Budget",IF(FlipkartTable[[#This Row],[Selling Price]]&lt;50000,"Mid Range","Premium"))</f>
        <v>Budget</v>
      </c>
      <c r="M1011" t="str">
        <f>IF(FlipkartTable[[#This Row],[Rating]]&gt;4.5,"Excellent",IF(FlipkartTable[[#This Row],[Rating]]&gt;4,"Good",IF(FlipkartTable[[#This Row],[Rating]]&gt;3.5,"Average","Poor")))</f>
        <v>Good</v>
      </c>
    </row>
    <row r="1012" spans="1:13" x14ac:dyDescent="0.35">
      <c r="A1012" t="s">
        <v>550</v>
      </c>
      <c r="B1012" s="9">
        <v>8</v>
      </c>
      <c r="C1012" t="s">
        <v>604</v>
      </c>
      <c r="D1012" t="s">
        <v>11</v>
      </c>
      <c r="E1012" t="s">
        <v>12</v>
      </c>
      <c r="F1012">
        <v>4</v>
      </c>
      <c r="G1012">
        <v>36999</v>
      </c>
      <c r="H1012">
        <v>36999</v>
      </c>
      <c r="I1012">
        <f>FlipkartTable[[#This Row],[Original Price]]-FlipkartTable[[#This Row],[Selling Price]]</f>
        <v>0</v>
      </c>
      <c r="J1012" s="4">
        <f>(FlipkartTable[[#This Row],[Original Price]]-FlipkartTable[[#This Row],[Selling Price]])/FlipkartTable[[#This Row],[Original Price]]</f>
        <v>0</v>
      </c>
      <c r="K1012">
        <f>(FlipkartTable[[#This Row],[Rating]]/FlipkartTable[[#This Row],[Selling Price]])*1000</f>
        <v>0.10811103002783859</v>
      </c>
      <c r="L1012" t="str">
        <f>IF(FlipkartTable[[#This Row],[Selling Price]]&lt;15000,"Budget",IF(FlipkartTable[[#This Row],[Selling Price]]&lt;50000,"Mid Range","Premium"))</f>
        <v>Mid Range</v>
      </c>
      <c r="M1012" t="str">
        <f>IF(FlipkartTable[[#This Row],[Rating]]&gt;4.5,"Excellent",IF(FlipkartTable[[#This Row],[Rating]]&gt;4,"Good",IF(FlipkartTable[[#This Row],[Rating]]&gt;3.5,"Average","Poor")))</f>
        <v>Average</v>
      </c>
    </row>
    <row r="1013" spans="1:13" x14ac:dyDescent="0.35">
      <c r="A1013" t="s">
        <v>550</v>
      </c>
      <c r="B1013" s="9">
        <v>8</v>
      </c>
      <c r="C1013" t="s">
        <v>626</v>
      </c>
      <c r="D1013" t="s">
        <v>11</v>
      </c>
      <c r="E1013" t="s">
        <v>12</v>
      </c>
      <c r="F1013">
        <v>4</v>
      </c>
      <c r="G1013">
        <v>39000</v>
      </c>
      <c r="H1013">
        <v>39000</v>
      </c>
      <c r="I1013">
        <f>FlipkartTable[[#This Row],[Original Price]]-FlipkartTable[[#This Row],[Selling Price]]</f>
        <v>0</v>
      </c>
      <c r="J1013" s="4">
        <f>(FlipkartTable[[#This Row],[Original Price]]-FlipkartTable[[#This Row],[Selling Price]])/FlipkartTable[[#This Row],[Original Price]]</f>
        <v>0</v>
      </c>
      <c r="K1013">
        <f>(FlipkartTable[[#This Row],[Rating]]/FlipkartTable[[#This Row],[Selling Price]])*1000</f>
        <v>0.10256410256410256</v>
      </c>
      <c r="L1013" t="str">
        <f>IF(FlipkartTable[[#This Row],[Selling Price]]&lt;15000,"Budget",IF(FlipkartTable[[#This Row],[Selling Price]]&lt;50000,"Mid Range","Premium"))</f>
        <v>Mid Range</v>
      </c>
      <c r="M1013" t="str">
        <f>IF(FlipkartTable[[#This Row],[Rating]]&gt;4.5,"Excellent",IF(FlipkartTable[[#This Row],[Rating]]&gt;4,"Good",IF(FlipkartTable[[#This Row],[Rating]]&gt;3.5,"Average","Poor")))</f>
        <v>Average</v>
      </c>
    </row>
    <row r="1014" spans="1:13" x14ac:dyDescent="0.35">
      <c r="A1014" t="s">
        <v>550</v>
      </c>
      <c r="B1014" s="9">
        <v>3</v>
      </c>
      <c r="C1014" t="s">
        <v>627</v>
      </c>
      <c r="D1014" t="s">
        <v>35</v>
      </c>
      <c r="E1014" t="s">
        <v>124</v>
      </c>
      <c r="F1014">
        <v>3.9</v>
      </c>
      <c r="G1014">
        <v>5499</v>
      </c>
      <c r="H1014">
        <v>10299</v>
      </c>
      <c r="I1014">
        <f>FlipkartTable[[#This Row],[Original Price]]-FlipkartTable[[#This Row],[Selling Price]]</f>
        <v>4800</v>
      </c>
      <c r="J1014" s="4">
        <f>(FlipkartTable[[#This Row],[Original Price]]-FlipkartTable[[#This Row],[Selling Price]])/FlipkartTable[[#This Row],[Original Price]]</f>
        <v>0.46606466647247308</v>
      </c>
      <c r="K1014">
        <f>(FlipkartTable[[#This Row],[Rating]]/FlipkartTable[[#This Row],[Selling Price]])*1000</f>
        <v>0.70921985815602828</v>
      </c>
      <c r="L1014" t="str">
        <f>IF(FlipkartTable[[#This Row],[Selling Price]]&lt;15000,"Budget",IF(FlipkartTable[[#This Row],[Selling Price]]&lt;50000,"Mid Range","Premium"))</f>
        <v>Budget</v>
      </c>
      <c r="M1014" t="str">
        <f>IF(FlipkartTable[[#This Row],[Rating]]&gt;4.5,"Excellent",IF(FlipkartTable[[#This Row],[Rating]]&gt;4,"Good",IF(FlipkartTable[[#This Row],[Rating]]&gt;3.5,"Average","Poor")))</f>
        <v>Average</v>
      </c>
    </row>
    <row r="1015" spans="1:13" x14ac:dyDescent="0.35">
      <c r="A1015" t="s">
        <v>550</v>
      </c>
      <c r="B1015" s="9">
        <v>5.0999999999999996</v>
      </c>
      <c r="C1015" t="s">
        <v>19</v>
      </c>
      <c r="D1015" t="s">
        <v>20</v>
      </c>
      <c r="E1015" t="s">
        <v>21</v>
      </c>
      <c r="F1015">
        <v>4</v>
      </c>
      <c r="G1015">
        <v>7899</v>
      </c>
      <c r="H1015">
        <v>7899</v>
      </c>
      <c r="I1015">
        <f>FlipkartTable[[#This Row],[Original Price]]-FlipkartTable[[#This Row],[Selling Price]]</f>
        <v>0</v>
      </c>
      <c r="J1015" s="4">
        <f>(FlipkartTable[[#This Row],[Original Price]]-FlipkartTable[[#This Row],[Selling Price]])/FlipkartTable[[#This Row],[Original Price]]</f>
        <v>0</v>
      </c>
      <c r="K1015">
        <f>(FlipkartTable[[#This Row],[Rating]]/FlipkartTable[[#This Row],[Selling Price]])*1000</f>
        <v>0.50639321433092799</v>
      </c>
      <c r="L1015" t="str">
        <f>IF(FlipkartTable[[#This Row],[Selling Price]]&lt;15000,"Budget",IF(FlipkartTable[[#This Row],[Selling Price]]&lt;50000,"Mid Range","Premium"))</f>
        <v>Budget</v>
      </c>
      <c r="M1015" t="str">
        <f>IF(FlipkartTable[[#This Row],[Rating]]&gt;4.5,"Excellent",IF(FlipkartTable[[#This Row],[Rating]]&gt;4,"Good",IF(FlipkartTable[[#This Row],[Rating]]&gt;3.5,"Average","Poor")))</f>
        <v>Average</v>
      </c>
    </row>
    <row r="1016" spans="1:13" x14ac:dyDescent="0.35">
      <c r="A1016" t="s">
        <v>550</v>
      </c>
      <c r="B1016" s="9" t="s">
        <v>613</v>
      </c>
      <c r="C1016" t="s">
        <v>22</v>
      </c>
      <c r="D1016" t="s">
        <v>11</v>
      </c>
      <c r="E1016" t="s">
        <v>12</v>
      </c>
      <c r="F1016">
        <v>4.3</v>
      </c>
      <c r="G1016">
        <v>18599</v>
      </c>
      <c r="H1016">
        <v>18599</v>
      </c>
      <c r="I1016">
        <f>FlipkartTable[[#This Row],[Original Price]]-FlipkartTable[[#This Row],[Selling Price]]</f>
        <v>0</v>
      </c>
      <c r="J1016" s="4">
        <f>(FlipkartTable[[#This Row],[Original Price]]-FlipkartTable[[#This Row],[Selling Price]])/FlipkartTable[[#This Row],[Original Price]]</f>
        <v>0</v>
      </c>
      <c r="K1016">
        <f>(FlipkartTable[[#This Row],[Rating]]/FlipkartTable[[#This Row],[Selling Price]])*1000</f>
        <v>0.23119522554976074</v>
      </c>
      <c r="L1016" t="str">
        <f>IF(FlipkartTable[[#This Row],[Selling Price]]&lt;15000,"Budget",IF(FlipkartTable[[#This Row],[Selling Price]]&lt;50000,"Mid Range","Premium"))</f>
        <v>Mid Range</v>
      </c>
      <c r="M1016" t="str">
        <f>IF(FlipkartTable[[#This Row],[Rating]]&gt;4.5,"Excellent",IF(FlipkartTable[[#This Row],[Rating]]&gt;4,"Good",IF(FlipkartTable[[#This Row],[Rating]]&gt;3.5,"Average","Poor")))</f>
        <v>Good</v>
      </c>
    </row>
    <row r="1017" spans="1:13" x14ac:dyDescent="0.35">
      <c r="A1017" t="s">
        <v>550</v>
      </c>
      <c r="B1017" s="9" t="s">
        <v>628</v>
      </c>
      <c r="C1017" t="s">
        <v>329</v>
      </c>
      <c r="D1017" t="s">
        <v>492</v>
      </c>
      <c r="E1017" t="s">
        <v>563</v>
      </c>
      <c r="F1017">
        <v>3.6</v>
      </c>
      <c r="G1017">
        <v>3799</v>
      </c>
      <c r="H1017">
        <v>3799</v>
      </c>
      <c r="I1017">
        <f>FlipkartTable[[#This Row],[Original Price]]-FlipkartTable[[#This Row],[Selling Price]]</f>
        <v>0</v>
      </c>
      <c r="J1017" s="4">
        <f>(FlipkartTable[[#This Row],[Original Price]]-FlipkartTable[[#This Row],[Selling Price]])/FlipkartTable[[#This Row],[Original Price]]</f>
        <v>0</v>
      </c>
      <c r="K1017">
        <f>(FlipkartTable[[#This Row],[Rating]]/FlipkartTable[[#This Row],[Selling Price]])*1000</f>
        <v>0.94761779415635694</v>
      </c>
      <c r="L1017" t="str">
        <f>IF(FlipkartTable[[#This Row],[Selling Price]]&lt;15000,"Budget",IF(FlipkartTable[[#This Row],[Selling Price]]&lt;50000,"Mid Range","Premium"))</f>
        <v>Budget</v>
      </c>
      <c r="M1017" t="str">
        <f>IF(FlipkartTable[[#This Row],[Rating]]&gt;4.5,"Excellent",IF(FlipkartTable[[#This Row],[Rating]]&gt;4,"Good",IF(FlipkartTable[[#This Row],[Rating]]&gt;3.5,"Average","Poor")))</f>
        <v>Average</v>
      </c>
    </row>
    <row r="1018" spans="1:13" x14ac:dyDescent="0.35">
      <c r="A1018" t="s">
        <v>550</v>
      </c>
      <c r="B1018" s="9">
        <v>5</v>
      </c>
      <c r="C1018" t="s">
        <v>37</v>
      </c>
      <c r="D1018" t="s">
        <v>35</v>
      </c>
      <c r="E1018" t="s">
        <v>124</v>
      </c>
      <c r="F1018">
        <v>4</v>
      </c>
      <c r="G1018">
        <v>6999</v>
      </c>
      <c r="H1018">
        <v>6999</v>
      </c>
      <c r="I1018">
        <f>FlipkartTable[[#This Row],[Original Price]]-FlipkartTable[[#This Row],[Selling Price]]</f>
        <v>0</v>
      </c>
      <c r="J1018" s="4">
        <f>(FlipkartTable[[#This Row],[Original Price]]-FlipkartTable[[#This Row],[Selling Price]])/FlipkartTable[[#This Row],[Original Price]]</f>
        <v>0</v>
      </c>
      <c r="K1018">
        <f>(FlipkartTable[[#This Row],[Rating]]/FlipkartTable[[#This Row],[Selling Price]])*1000</f>
        <v>0.57151021574510652</v>
      </c>
      <c r="L1018" t="str">
        <f>IF(FlipkartTable[[#This Row],[Selling Price]]&lt;15000,"Budget",IF(FlipkartTable[[#This Row],[Selling Price]]&lt;50000,"Mid Range","Premium"))</f>
        <v>Budget</v>
      </c>
      <c r="M1018" t="str">
        <f>IF(FlipkartTable[[#This Row],[Rating]]&gt;4.5,"Excellent",IF(FlipkartTable[[#This Row],[Rating]]&gt;4,"Good",IF(FlipkartTable[[#This Row],[Rating]]&gt;3.5,"Average","Poor")))</f>
        <v>Average</v>
      </c>
    </row>
    <row r="1019" spans="1:13" x14ac:dyDescent="0.35">
      <c r="A1019" t="s">
        <v>550</v>
      </c>
      <c r="B1019" s="9" t="s">
        <v>588</v>
      </c>
      <c r="C1019" t="s">
        <v>19</v>
      </c>
      <c r="D1019" t="s">
        <v>14</v>
      </c>
      <c r="E1019" t="s">
        <v>12</v>
      </c>
      <c r="F1019">
        <v>3.7</v>
      </c>
      <c r="G1019">
        <v>14999</v>
      </c>
      <c r="H1019">
        <v>14999</v>
      </c>
      <c r="I1019">
        <f>FlipkartTable[[#This Row],[Original Price]]-FlipkartTable[[#This Row],[Selling Price]]</f>
        <v>0</v>
      </c>
      <c r="J1019" s="4">
        <f>(FlipkartTable[[#This Row],[Original Price]]-FlipkartTable[[#This Row],[Selling Price]])/FlipkartTable[[#This Row],[Original Price]]</f>
        <v>0</v>
      </c>
      <c r="K1019">
        <f>(FlipkartTable[[#This Row],[Rating]]/FlipkartTable[[#This Row],[Selling Price]])*1000</f>
        <v>0.24668311220748049</v>
      </c>
      <c r="L1019" t="str">
        <f>IF(FlipkartTable[[#This Row],[Selling Price]]&lt;15000,"Budget",IF(FlipkartTable[[#This Row],[Selling Price]]&lt;50000,"Mid Range","Premium"))</f>
        <v>Budget</v>
      </c>
      <c r="M1019" t="str">
        <f>IF(FlipkartTable[[#This Row],[Rating]]&gt;4.5,"Excellent",IF(FlipkartTable[[#This Row],[Rating]]&gt;4,"Good",IF(FlipkartTable[[#This Row],[Rating]]&gt;3.5,"Average","Poor")))</f>
        <v>Average</v>
      </c>
    </row>
    <row r="1020" spans="1:13" x14ac:dyDescent="0.35">
      <c r="A1020" t="s">
        <v>550</v>
      </c>
      <c r="B1020" s="9">
        <v>6.1</v>
      </c>
      <c r="C1020" t="s">
        <v>152</v>
      </c>
      <c r="D1020" t="s">
        <v>11</v>
      </c>
      <c r="E1020" t="s">
        <v>12</v>
      </c>
      <c r="F1020">
        <v>4</v>
      </c>
      <c r="G1020">
        <v>12499</v>
      </c>
      <c r="H1020">
        <v>16990</v>
      </c>
      <c r="I1020">
        <f>FlipkartTable[[#This Row],[Original Price]]-FlipkartTable[[#This Row],[Selling Price]]</f>
        <v>4491</v>
      </c>
      <c r="J1020" s="4">
        <f>(FlipkartTable[[#This Row],[Original Price]]-FlipkartTable[[#This Row],[Selling Price]])/FlipkartTable[[#This Row],[Original Price]]</f>
        <v>0.26433195997645675</v>
      </c>
      <c r="K1020">
        <f>(FlipkartTable[[#This Row],[Rating]]/FlipkartTable[[#This Row],[Selling Price]])*1000</f>
        <v>0.32002560204816388</v>
      </c>
      <c r="L1020" t="str">
        <f>IF(FlipkartTable[[#This Row],[Selling Price]]&lt;15000,"Budget",IF(FlipkartTable[[#This Row],[Selling Price]]&lt;50000,"Mid Range","Premium"))</f>
        <v>Budget</v>
      </c>
      <c r="M1020" t="str">
        <f>IF(FlipkartTable[[#This Row],[Rating]]&gt;4.5,"Excellent",IF(FlipkartTable[[#This Row],[Rating]]&gt;4,"Good",IF(FlipkartTable[[#This Row],[Rating]]&gt;3.5,"Average","Poor")))</f>
        <v>Average</v>
      </c>
    </row>
    <row r="1021" spans="1:13" x14ac:dyDescent="0.35">
      <c r="A1021" t="s">
        <v>550</v>
      </c>
      <c r="B1021" s="9">
        <v>8</v>
      </c>
      <c r="C1021" t="s">
        <v>606</v>
      </c>
      <c r="D1021" t="s">
        <v>11</v>
      </c>
      <c r="E1021" t="s">
        <v>12</v>
      </c>
      <c r="F1021">
        <v>4</v>
      </c>
      <c r="G1021">
        <v>36999</v>
      </c>
      <c r="H1021">
        <v>36999</v>
      </c>
      <c r="I1021">
        <f>FlipkartTable[[#This Row],[Original Price]]-FlipkartTable[[#This Row],[Selling Price]]</f>
        <v>0</v>
      </c>
      <c r="J1021" s="4">
        <f>(FlipkartTable[[#This Row],[Original Price]]-FlipkartTable[[#This Row],[Selling Price]])/FlipkartTable[[#This Row],[Original Price]]</f>
        <v>0</v>
      </c>
      <c r="K1021">
        <f>(FlipkartTable[[#This Row],[Rating]]/FlipkartTable[[#This Row],[Selling Price]])*1000</f>
        <v>0.10811103002783859</v>
      </c>
      <c r="L1021" t="str">
        <f>IF(FlipkartTable[[#This Row],[Selling Price]]&lt;15000,"Budget",IF(FlipkartTable[[#This Row],[Selling Price]]&lt;50000,"Mid Range","Premium"))</f>
        <v>Mid Range</v>
      </c>
      <c r="M1021" t="str">
        <f>IF(FlipkartTable[[#This Row],[Rating]]&gt;4.5,"Excellent",IF(FlipkartTable[[#This Row],[Rating]]&gt;4,"Good",IF(FlipkartTable[[#This Row],[Rating]]&gt;3.5,"Average","Poor")))</f>
        <v>Average</v>
      </c>
    </row>
    <row r="1022" spans="1:13" x14ac:dyDescent="0.35">
      <c r="A1022" t="s">
        <v>550</v>
      </c>
      <c r="B1022" s="9">
        <v>8</v>
      </c>
      <c r="C1022" t="s">
        <v>629</v>
      </c>
      <c r="D1022" t="s">
        <v>11</v>
      </c>
      <c r="E1022" t="s">
        <v>12</v>
      </c>
      <c r="F1022">
        <v>4</v>
      </c>
      <c r="G1022">
        <v>36999</v>
      </c>
      <c r="H1022">
        <v>36999</v>
      </c>
      <c r="I1022">
        <f>FlipkartTable[[#This Row],[Original Price]]-FlipkartTable[[#This Row],[Selling Price]]</f>
        <v>0</v>
      </c>
      <c r="J1022" s="4">
        <f>(FlipkartTable[[#This Row],[Original Price]]-FlipkartTable[[#This Row],[Selling Price]])/FlipkartTable[[#This Row],[Original Price]]</f>
        <v>0</v>
      </c>
      <c r="K1022">
        <f>(FlipkartTable[[#This Row],[Rating]]/FlipkartTable[[#This Row],[Selling Price]])*1000</f>
        <v>0.10811103002783859</v>
      </c>
      <c r="L1022" t="str">
        <f>IF(FlipkartTable[[#This Row],[Selling Price]]&lt;15000,"Budget",IF(FlipkartTable[[#This Row],[Selling Price]]&lt;50000,"Mid Range","Premium"))</f>
        <v>Mid Range</v>
      </c>
      <c r="M1022" t="str">
        <f>IF(FlipkartTable[[#This Row],[Rating]]&gt;4.5,"Excellent",IF(FlipkartTable[[#This Row],[Rating]]&gt;4,"Good",IF(FlipkartTable[[#This Row],[Rating]]&gt;3.5,"Average","Poor")))</f>
        <v>Average</v>
      </c>
    </row>
    <row r="1023" spans="1:13" x14ac:dyDescent="0.35">
      <c r="A1023" t="s">
        <v>550</v>
      </c>
      <c r="B1023" s="9" t="s">
        <v>599</v>
      </c>
      <c r="C1023" t="s">
        <v>22</v>
      </c>
      <c r="D1023" t="s">
        <v>20</v>
      </c>
      <c r="E1023" t="s">
        <v>21</v>
      </c>
      <c r="F1023">
        <v>4.2</v>
      </c>
      <c r="G1023">
        <v>8299</v>
      </c>
      <c r="H1023">
        <v>8299</v>
      </c>
      <c r="I1023">
        <f>FlipkartTable[[#This Row],[Original Price]]-FlipkartTable[[#This Row],[Selling Price]]</f>
        <v>0</v>
      </c>
      <c r="J1023" s="4">
        <f>(FlipkartTable[[#This Row],[Original Price]]-FlipkartTable[[#This Row],[Selling Price]])/FlipkartTable[[#This Row],[Original Price]]</f>
        <v>0</v>
      </c>
      <c r="K1023">
        <f>(FlipkartTable[[#This Row],[Rating]]/FlipkartTable[[#This Row],[Selling Price]])*1000</f>
        <v>0.50608507049042051</v>
      </c>
      <c r="L1023" t="str">
        <f>IF(FlipkartTable[[#This Row],[Selling Price]]&lt;15000,"Budget",IF(FlipkartTable[[#This Row],[Selling Price]]&lt;50000,"Mid Range","Premium"))</f>
        <v>Budget</v>
      </c>
      <c r="M1023" t="str">
        <f>IF(FlipkartTable[[#This Row],[Rating]]&gt;4.5,"Excellent",IF(FlipkartTable[[#This Row],[Rating]]&gt;4,"Good",IF(FlipkartTable[[#This Row],[Rating]]&gt;3.5,"Average","Poor")))</f>
        <v>Good</v>
      </c>
    </row>
    <row r="1024" spans="1:13" x14ac:dyDescent="0.35">
      <c r="A1024" t="s">
        <v>550</v>
      </c>
      <c r="B1024" s="9">
        <v>6.2</v>
      </c>
      <c r="C1024" t="s">
        <v>19</v>
      </c>
      <c r="D1024" t="s">
        <v>11</v>
      </c>
      <c r="E1024" t="s">
        <v>12</v>
      </c>
      <c r="F1024">
        <v>4.2</v>
      </c>
      <c r="G1024">
        <v>12849</v>
      </c>
      <c r="H1024">
        <v>18999</v>
      </c>
      <c r="I1024">
        <f>FlipkartTable[[#This Row],[Original Price]]-FlipkartTable[[#This Row],[Selling Price]]</f>
        <v>6150</v>
      </c>
      <c r="J1024" s="4">
        <f>(FlipkartTable[[#This Row],[Original Price]]-FlipkartTable[[#This Row],[Selling Price]])/FlipkartTable[[#This Row],[Original Price]]</f>
        <v>0.32370124743407547</v>
      </c>
      <c r="K1024">
        <f>(FlipkartTable[[#This Row],[Rating]]/FlipkartTable[[#This Row],[Selling Price]])*1000</f>
        <v>0.32687368666822325</v>
      </c>
      <c r="L1024" t="str">
        <f>IF(FlipkartTable[[#This Row],[Selling Price]]&lt;15000,"Budget",IF(FlipkartTable[[#This Row],[Selling Price]]&lt;50000,"Mid Range","Premium"))</f>
        <v>Budget</v>
      </c>
      <c r="M1024" t="str">
        <f>IF(FlipkartTable[[#This Row],[Rating]]&gt;4.5,"Excellent",IF(FlipkartTable[[#This Row],[Rating]]&gt;4,"Good",IF(FlipkartTable[[#This Row],[Rating]]&gt;3.5,"Average","Poor")))</f>
        <v>Good</v>
      </c>
    </row>
    <row r="1025" spans="1:13" x14ac:dyDescent="0.35">
      <c r="A1025" t="s">
        <v>550</v>
      </c>
      <c r="B1025" s="9" t="s">
        <v>624</v>
      </c>
      <c r="C1025" t="s">
        <v>19</v>
      </c>
      <c r="D1025" t="s">
        <v>554</v>
      </c>
      <c r="E1025" t="s">
        <v>492</v>
      </c>
      <c r="F1025">
        <v>3.8</v>
      </c>
      <c r="G1025">
        <v>2790</v>
      </c>
      <c r="H1025">
        <v>2790</v>
      </c>
      <c r="I1025">
        <f>FlipkartTable[[#This Row],[Original Price]]-FlipkartTable[[#This Row],[Selling Price]]</f>
        <v>0</v>
      </c>
      <c r="J1025" s="4">
        <f>(FlipkartTable[[#This Row],[Original Price]]-FlipkartTable[[#This Row],[Selling Price]])/FlipkartTable[[#This Row],[Original Price]]</f>
        <v>0</v>
      </c>
      <c r="K1025">
        <f>(FlipkartTable[[#This Row],[Rating]]/FlipkartTable[[#This Row],[Selling Price]])*1000</f>
        <v>1.3620071684587813</v>
      </c>
      <c r="L1025" t="str">
        <f>IF(FlipkartTable[[#This Row],[Selling Price]]&lt;15000,"Budget",IF(FlipkartTable[[#This Row],[Selling Price]]&lt;50000,"Mid Range","Premium"))</f>
        <v>Budget</v>
      </c>
      <c r="M1025" t="str">
        <f>IF(FlipkartTable[[#This Row],[Rating]]&gt;4.5,"Excellent",IF(FlipkartTable[[#This Row],[Rating]]&gt;4,"Good",IF(FlipkartTable[[#This Row],[Rating]]&gt;3.5,"Average","Poor")))</f>
        <v>Average</v>
      </c>
    </row>
    <row r="1026" spans="1:13" x14ac:dyDescent="0.35">
      <c r="A1026" t="s">
        <v>550</v>
      </c>
      <c r="B1026" s="9">
        <v>5.3</v>
      </c>
      <c r="C1026" t="s">
        <v>610</v>
      </c>
      <c r="D1026" t="s">
        <v>11</v>
      </c>
      <c r="E1026" t="s">
        <v>12</v>
      </c>
      <c r="F1026">
        <v>3.5</v>
      </c>
      <c r="G1026">
        <v>10999</v>
      </c>
      <c r="H1026">
        <v>10999</v>
      </c>
      <c r="I1026">
        <f>FlipkartTable[[#This Row],[Original Price]]-FlipkartTable[[#This Row],[Selling Price]]</f>
        <v>0</v>
      </c>
      <c r="J1026" s="4">
        <f>(FlipkartTable[[#This Row],[Original Price]]-FlipkartTable[[#This Row],[Selling Price]])/FlipkartTable[[#This Row],[Original Price]]</f>
        <v>0</v>
      </c>
      <c r="K1026">
        <f>(FlipkartTable[[#This Row],[Rating]]/FlipkartTable[[#This Row],[Selling Price]])*1000</f>
        <v>0.31821074643149377</v>
      </c>
      <c r="L1026" t="str">
        <f>IF(FlipkartTable[[#This Row],[Selling Price]]&lt;15000,"Budget",IF(FlipkartTable[[#This Row],[Selling Price]]&lt;50000,"Mid Range","Premium"))</f>
        <v>Budget</v>
      </c>
      <c r="M1026" t="str">
        <f>IF(FlipkartTable[[#This Row],[Rating]]&gt;4.5,"Excellent",IF(FlipkartTable[[#This Row],[Rating]]&gt;4,"Good",IF(FlipkartTable[[#This Row],[Rating]]&gt;3.5,"Average","Poor")))</f>
        <v>Poor</v>
      </c>
    </row>
    <row r="1027" spans="1:13" x14ac:dyDescent="0.35">
      <c r="A1027" t="s">
        <v>550</v>
      </c>
      <c r="B1027" s="9" t="s">
        <v>628</v>
      </c>
      <c r="C1027" t="s">
        <v>630</v>
      </c>
      <c r="D1027" t="s">
        <v>492</v>
      </c>
      <c r="E1027" t="s">
        <v>563</v>
      </c>
      <c r="F1027">
        <v>3.7</v>
      </c>
      <c r="G1027">
        <v>3499</v>
      </c>
      <c r="H1027">
        <v>3499</v>
      </c>
      <c r="I1027">
        <f>FlipkartTable[[#This Row],[Original Price]]-FlipkartTable[[#This Row],[Selling Price]]</f>
        <v>0</v>
      </c>
      <c r="J1027" s="4">
        <f>(FlipkartTable[[#This Row],[Original Price]]-FlipkartTable[[#This Row],[Selling Price]])/FlipkartTable[[#This Row],[Original Price]]</f>
        <v>0</v>
      </c>
      <c r="K1027">
        <f>(FlipkartTable[[#This Row],[Rating]]/FlipkartTable[[#This Row],[Selling Price]])*1000</f>
        <v>1.0574449842812232</v>
      </c>
      <c r="L1027" t="str">
        <f>IF(FlipkartTable[[#This Row],[Selling Price]]&lt;15000,"Budget",IF(FlipkartTable[[#This Row],[Selling Price]]&lt;50000,"Mid Range","Premium"))</f>
        <v>Budget</v>
      </c>
      <c r="M1027" t="str">
        <f>IF(FlipkartTable[[#This Row],[Rating]]&gt;4.5,"Excellent",IF(FlipkartTable[[#This Row],[Rating]]&gt;4,"Good",IF(FlipkartTable[[#This Row],[Rating]]&gt;3.5,"Average","Poor")))</f>
        <v>Average</v>
      </c>
    </row>
    <row r="1028" spans="1:13" x14ac:dyDescent="0.35">
      <c r="A1028" t="s">
        <v>550</v>
      </c>
      <c r="B1028" s="9">
        <v>8.1</v>
      </c>
      <c r="C1028" t="s">
        <v>603</v>
      </c>
      <c r="D1028" t="s">
        <v>14</v>
      </c>
      <c r="E1028" t="s">
        <v>15</v>
      </c>
      <c r="F1028">
        <v>4.3</v>
      </c>
      <c r="G1028">
        <v>21999</v>
      </c>
      <c r="H1028">
        <v>31999</v>
      </c>
      <c r="I1028">
        <f>FlipkartTable[[#This Row],[Original Price]]-FlipkartTable[[#This Row],[Selling Price]]</f>
        <v>10000</v>
      </c>
      <c r="J1028" s="4">
        <f>(FlipkartTable[[#This Row],[Original Price]]-FlipkartTable[[#This Row],[Selling Price]])/FlipkartTable[[#This Row],[Original Price]]</f>
        <v>0.31250976593018531</v>
      </c>
      <c r="K1028">
        <f>(FlipkartTable[[#This Row],[Rating]]/FlipkartTable[[#This Row],[Selling Price]])*1000</f>
        <v>0.19546343015591616</v>
      </c>
      <c r="L1028" t="str">
        <f>IF(FlipkartTable[[#This Row],[Selling Price]]&lt;15000,"Budget",IF(FlipkartTable[[#This Row],[Selling Price]]&lt;50000,"Mid Range","Premium"))</f>
        <v>Mid Range</v>
      </c>
      <c r="M1028" t="str">
        <f>IF(FlipkartTable[[#This Row],[Rating]]&gt;4.5,"Excellent",IF(FlipkartTable[[#This Row],[Rating]]&gt;4,"Good",IF(FlipkartTable[[#This Row],[Rating]]&gt;3.5,"Average","Poor")))</f>
        <v>Good</v>
      </c>
    </row>
    <row r="1029" spans="1:13" x14ac:dyDescent="0.35">
      <c r="A1029" t="s">
        <v>550</v>
      </c>
      <c r="B1029" s="9" t="s">
        <v>631</v>
      </c>
      <c r="C1029" t="s">
        <v>620</v>
      </c>
      <c r="D1029" t="s">
        <v>295</v>
      </c>
      <c r="E1029" t="s">
        <v>11</v>
      </c>
      <c r="F1029">
        <v>3.8</v>
      </c>
      <c r="G1029">
        <v>7990</v>
      </c>
      <c r="H1029">
        <v>7990</v>
      </c>
      <c r="I1029">
        <f>FlipkartTable[[#This Row],[Original Price]]-FlipkartTable[[#This Row],[Selling Price]]</f>
        <v>0</v>
      </c>
      <c r="J1029" s="4">
        <f>(FlipkartTable[[#This Row],[Original Price]]-FlipkartTable[[#This Row],[Selling Price]])/FlipkartTable[[#This Row],[Original Price]]</f>
        <v>0</v>
      </c>
      <c r="K1029">
        <f>(FlipkartTable[[#This Row],[Rating]]/FlipkartTable[[#This Row],[Selling Price]])*1000</f>
        <v>0.47559449311639546</v>
      </c>
      <c r="L1029" t="str">
        <f>IF(FlipkartTable[[#This Row],[Selling Price]]&lt;15000,"Budget",IF(FlipkartTable[[#This Row],[Selling Price]]&lt;50000,"Mid Range","Premium"))</f>
        <v>Budget</v>
      </c>
      <c r="M1029" t="str">
        <f>IF(FlipkartTable[[#This Row],[Rating]]&gt;4.5,"Excellent",IF(FlipkartTable[[#This Row],[Rating]]&gt;4,"Good",IF(FlipkartTable[[#This Row],[Rating]]&gt;3.5,"Average","Poor")))</f>
        <v>Average</v>
      </c>
    </row>
    <row r="1030" spans="1:13" x14ac:dyDescent="0.35">
      <c r="A1030" t="s">
        <v>550</v>
      </c>
      <c r="B1030" s="9">
        <v>8</v>
      </c>
      <c r="C1030" t="s">
        <v>629</v>
      </c>
      <c r="D1030" t="s">
        <v>11</v>
      </c>
      <c r="E1030" t="s">
        <v>12</v>
      </c>
      <c r="F1030">
        <v>4</v>
      </c>
      <c r="G1030">
        <v>29490</v>
      </c>
      <c r="H1030">
        <v>29490</v>
      </c>
      <c r="I1030">
        <f>FlipkartTable[[#This Row],[Original Price]]-FlipkartTable[[#This Row],[Selling Price]]</f>
        <v>0</v>
      </c>
      <c r="J1030" s="4">
        <f>(FlipkartTable[[#This Row],[Original Price]]-FlipkartTable[[#This Row],[Selling Price]])/FlipkartTable[[#This Row],[Original Price]]</f>
        <v>0</v>
      </c>
      <c r="K1030">
        <f>(FlipkartTable[[#This Row],[Rating]]/FlipkartTable[[#This Row],[Selling Price]])*1000</f>
        <v>0.1356391997287216</v>
      </c>
      <c r="L1030" t="str">
        <f>IF(FlipkartTable[[#This Row],[Selling Price]]&lt;15000,"Budget",IF(FlipkartTable[[#This Row],[Selling Price]]&lt;50000,"Mid Range","Premium"))</f>
        <v>Mid Range</v>
      </c>
      <c r="M1030" t="str">
        <f>IF(FlipkartTable[[#This Row],[Rating]]&gt;4.5,"Excellent",IF(FlipkartTable[[#This Row],[Rating]]&gt;4,"Good",IF(FlipkartTable[[#This Row],[Rating]]&gt;3.5,"Average","Poor")))</f>
        <v>Average</v>
      </c>
    </row>
    <row r="1031" spans="1:13" x14ac:dyDescent="0.35">
      <c r="A1031" t="s">
        <v>550</v>
      </c>
      <c r="B1031" s="9">
        <v>6</v>
      </c>
      <c r="C1031" t="s">
        <v>606</v>
      </c>
      <c r="D1031" t="s">
        <v>20</v>
      </c>
      <c r="E1031" t="s">
        <v>21</v>
      </c>
      <c r="F1031">
        <v>3.9</v>
      </c>
      <c r="G1031">
        <v>13990</v>
      </c>
      <c r="H1031">
        <v>13990</v>
      </c>
      <c r="I1031">
        <f>FlipkartTable[[#This Row],[Original Price]]-FlipkartTable[[#This Row],[Selling Price]]</f>
        <v>0</v>
      </c>
      <c r="J1031" s="4">
        <f>(FlipkartTable[[#This Row],[Original Price]]-FlipkartTable[[#This Row],[Selling Price]])/FlipkartTable[[#This Row],[Original Price]]</f>
        <v>0</v>
      </c>
      <c r="K1031">
        <f>(FlipkartTable[[#This Row],[Rating]]/FlipkartTable[[#This Row],[Selling Price]])*1000</f>
        <v>0.27877055039313792</v>
      </c>
      <c r="L1031" t="str">
        <f>IF(FlipkartTable[[#This Row],[Selling Price]]&lt;15000,"Budget",IF(FlipkartTable[[#This Row],[Selling Price]]&lt;50000,"Mid Range","Premium"))</f>
        <v>Budget</v>
      </c>
      <c r="M1031" t="str">
        <f>IF(FlipkartTable[[#This Row],[Rating]]&gt;4.5,"Excellent",IF(FlipkartTable[[#This Row],[Rating]]&gt;4,"Good",IF(FlipkartTable[[#This Row],[Rating]]&gt;3.5,"Average","Poor")))</f>
        <v>Average</v>
      </c>
    </row>
    <row r="1032" spans="1:13" x14ac:dyDescent="0.35">
      <c r="A1032" t="s">
        <v>550</v>
      </c>
      <c r="B1032" s="9" t="s">
        <v>588</v>
      </c>
      <c r="C1032" t="s">
        <v>22</v>
      </c>
      <c r="D1032" t="s">
        <v>14</v>
      </c>
      <c r="E1032" t="s">
        <v>12</v>
      </c>
      <c r="F1032">
        <v>3.7</v>
      </c>
      <c r="G1032">
        <v>9900</v>
      </c>
      <c r="H1032">
        <v>15990</v>
      </c>
      <c r="I1032">
        <f>FlipkartTable[[#This Row],[Original Price]]-FlipkartTable[[#This Row],[Selling Price]]</f>
        <v>6090</v>
      </c>
      <c r="J1032" s="4">
        <f>(FlipkartTable[[#This Row],[Original Price]]-FlipkartTable[[#This Row],[Selling Price]])/FlipkartTable[[#This Row],[Original Price]]</f>
        <v>0.38086303939962479</v>
      </c>
      <c r="K1032">
        <f>(FlipkartTable[[#This Row],[Rating]]/FlipkartTable[[#This Row],[Selling Price]])*1000</f>
        <v>0.37373737373737376</v>
      </c>
      <c r="L1032" t="str">
        <f>IF(FlipkartTable[[#This Row],[Selling Price]]&lt;15000,"Budget",IF(FlipkartTable[[#This Row],[Selling Price]]&lt;50000,"Mid Range","Premium"))</f>
        <v>Budget</v>
      </c>
      <c r="M1032" t="str">
        <f>IF(FlipkartTable[[#This Row],[Rating]]&gt;4.5,"Excellent",IF(FlipkartTable[[#This Row],[Rating]]&gt;4,"Good",IF(FlipkartTable[[#This Row],[Rating]]&gt;3.5,"Average","Poor")))</f>
        <v>Average</v>
      </c>
    </row>
    <row r="1033" spans="1:13" x14ac:dyDescent="0.35">
      <c r="A1033" t="s">
        <v>550</v>
      </c>
      <c r="B1033" s="9">
        <v>515</v>
      </c>
      <c r="C1033" t="s">
        <v>19</v>
      </c>
      <c r="D1033" t="s">
        <v>263</v>
      </c>
      <c r="E1033" t="s">
        <v>609</v>
      </c>
      <c r="F1033">
        <v>3</v>
      </c>
      <c r="G1033">
        <v>8999</v>
      </c>
      <c r="H1033">
        <v>8999</v>
      </c>
      <c r="I1033">
        <f>FlipkartTable[[#This Row],[Original Price]]-FlipkartTable[[#This Row],[Selling Price]]</f>
        <v>0</v>
      </c>
      <c r="J1033" s="4">
        <f>(FlipkartTable[[#This Row],[Original Price]]-FlipkartTable[[#This Row],[Selling Price]])/FlipkartTable[[#This Row],[Original Price]]</f>
        <v>0</v>
      </c>
      <c r="K1033">
        <f>(FlipkartTable[[#This Row],[Rating]]/FlipkartTable[[#This Row],[Selling Price]])*1000</f>
        <v>0.333370374486054</v>
      </c>
      <c r="L1033" t="str">
        <f>IF(FlipkartTable[[#This Row],[Selling Price]]&lt;15000,"Budget",IF(FlipkartTable[[#This Row],[Selling Price]]&lt;50000,"Mid Range","Premium"))</f>
        <v>Budget</v>
      </c>
      <c r="M1033" t="str">
        <f>IF(FlipkartTable[[#This Row],[Rating]]&gt;4.5,"Excellent",IF(FlipkartTable[[#This Row],[Rating]]&gt;4,"Good",IF(FlipkartTable[[#This Row],[Rating]]&gt;3.5,"Average","Poor")))</f>
        <v>Poor</v>
      </c>
    </row>
    <row r="1034" spans="1:13" x14ac:dyDescent="0.35">
      <c r="A1034" t="s">
        <v>550</v>
      </c>
      <c r="B1034" s="9" t="s">
        <v>622</v>
      </c>
      <c r="C1034" t="s">
        <v>632</v>
      </c>
      <c r="D1034" t="s">
        <v>11</v>
      </c>
      <c r="E1034" t="s">
        <v>12</v>
      </c>
      <c r="F1034">
        <v>4.3</v>
      </c>
      <c r="G1034">
        <v>12000</v>
      </c>
      <c r="H1034">
        <v>26028</v>
      </c>
      <c r="I1034">
        <f>FlipkartTable[[#This Row],[Original Price]]-FlipkartTable[[#This Row],[Selling Price]]</f>
        <v>14028</v>
      </c>
      <c r="J1034" s="4">
        <f>(FlipkartTable[[#This Row],[Original Price]]-FlipkartTable[[#This Row],[Selling Price]])/FlipkartTable[[#This Row],[Original Price]]</f>
        <v>0.53895804518211154</v>
      </c>
      <c r="K1034">
        <f>(FlipkartTable[[#This Row],[Rating]]/FlipkartTable[[#This Row],[Selling Price]])*1000</f>
        <v>0.35833333333333334</v>
      </c>
      <c r="L1034" t="str">
        <f>IF(FlipkartTable[[#This Row],[Selling Price]]&lt;15000,"Budget",IF(FlipkartTable[[#This Row],[Selling Price]]&lt;50000,"Mid Range","Premium"))</f>
        <v>Budget</v>
      </c>
      <c r="M1034" t="str">
        <f>IF(FlipkartTable[[#This Row],[Rating]]&gt;4.5,"Excellent",IF(FlipkartTable[[#This Row],[Rating]]&gt;4,"Good",IF(FlipkartTable[[#This Row],[Rating]]&gt;3.5,"Average","Poor")))</f>
        <v>Good</v>
      </c>
    </row>
    <row r="1035" spans="1:13" x14ac:dyDescent="0.35">
      <c r="A1035" t="s">
        <v>633</v>
      </c>
      <c r="B1035" s="9" t="s">
        <v>634</v>
      </c>
      <c r="C1035" t="s">
        <v>152</v>
      </c>
      <c r="D1035" t="s">
        <v>35</v>
      </c>
      <c r="E1035" t="s">
        <v>12</v>
      </c>
      <c r="F1035">
        <v>4.5</v>
      </c>
      <c r="G1035">
        <v>32999</v>
      </c>
      <c r="H1035">
        <v>39900</v>
      </c>
      <c r="I1035">
        <f>FlipkartTable[[#This Row],[Original Price]]-FlipkartTable[[#This Row],[Selling Price]]</f>
        <v>6901</v>
      </c>
      <c r="J1035" s="4">
        <f>(FlipkartTable[[#This Row],[Original Price]]-FlipkartTable[[#This Row],[Selling Price]])/FlipkartTable[[#This Row],[Original Price]]</f>
        <v>0.17295739348370928</v>
      </c>
      <c r="K1035">
        <f>(FlipkartTable[[#This Row],[Rating]]/FlipkartTable[[#This Row],[Selling Price]])*1000</f>
        <v>0.13636776872026427</v>
      </c>
      <c r="L1035" t="str">
        <f>IF(FlipkartTable[[#This Row],[Selling Price]]&lt;15000,"Budget",IF(FlipkartTable[[#This Row],[Selling Price]]&lt;50000,"Mid Range","Premium"))</f>
        <v>Mid Range</v>
      </c>
      <c r="M1035" t="str">
        <f>IF(FlipkartTable[[#This Row],[Rating]]&gt;4.5,"Excellent",IF(FlipkartTable[[#This Row],[Rating]]&gt;4,"Good",IF(FlipkartTable[[#This Row],[Rating]]&gt;3.5,"Average","Poor")))</f>
        <v>Good</v>
      </c>
    </row>
    <row r="1036" spans="1:13" x14ac:dyDescent="0.35">
      <c r="A1036" t="s">
        <v>633</v>
      </c>
      <c r="B1036" s="9" t="s">
        <v>634</v>
      </c>
      <c r="C1036" t="s">
        <v>19</v>
      </c>
      <c r="D1036" t="s">
        <v>35</v>
      </c>
      <c r="E1036" t="s">
        <v>12</v>
      </c>
      <c r="F1036">
        <v>4.5</v>
      </c>
      <c r="G1036">
        <v>32999</v>
      </c>
      <c r="H1036">
        <v>39900</v>
      </c>
      <c r="I1036">
        <f>FlipkartTable[[#This Row],[Original Price]]-FlipkartTable[[#This Row],[Selling Price]]</f>
        <v>6901</v>
      </c>
      <c r="J1036" s="4">
        <f>(FlipkartTable[[#This Row],[Original Price]]-FlipkartTable[[#This Row],[Selling Price]])/FlipkartTable[[#This Row],[Original Price]]</f>
        <v>0.17295739348370928</v>
      </c>
      <c r="K1036">
        <f>(FlipkartTable[[#This Row],[Rating]]/FlipkartTable[[#This Row],[Selling Price]])*1000</f>
        <v>0.13636776872026427</v>
      </c>
      <c r="L1036" t="str">
        <f>IF(FlipkartTable[[#This Row],[Selling Price]]&lt;15000,"Budget",IF(FlipkartTable[[#This Row],[Selling Price]]&lt;50000,"Mid Range","Premium"))</f>
        <v>Mid Range</v>
      </c>
      <c r="M1036" t="str">
        <f>IF(FlipkartTable[[#This Row],[Rating]]&gt;4.5,"Excellent",IF(FlipkartTable[[#This Row],[Rating]]&gt;4,"Good",IF(FlipkartTable[[#This Row],[Rating]]&gt;3.5,"Average","Poor")))</f>
        <v>Good</v>
      </c>
    </row>
    <row r="1037" spans="1:13" x14ac:dyDescent="0.35">
      <c r="A1037" t="s">
        <v>633</v>
      </c>
      <c r="B1037" s="9" t="s">
        <v>634</v>
      </c>
      <c r="C1037" t="s">
        <v>84</v>
      </c>
      <c r="D1037" t="s">
        <v>35</v>
      </c>
      <c r="E1037" t="s">
        <v>12</v>
      </c>
      <c r="F1037">
        <v>4.5</v>
      </c>
      <c r="G1037">
        <v>32999</v>
      </c>
      <c r="H1037">
        <v>39900</v>
      </c>
      <c r="I1037">
        <f>FlipkartTable[[#This Row],[Original Price]]-FlipkartTable[[#This Row],[Selling Price]]</f>
        <v>6901</v>
      </c>
      <c r="J1037" s="4">
        <f>(FlipkartTable[[#This Row],[Original Price]]-FlipkartTable[[#This Row],[Selling Price]])/FlipkartTable[[#This Row],[Original Price]]</f>
        <v>0.17295739348370928</v>
      </c>
      <c r="K1037">
        <f>(FlipkartTable[[#This Row],[Rating]]/FlipkartTable[[#This Row],[Selling Price]])*1000</f>
        <v>0.13636776872026427</v>
      </c>
      <c r="L1037" t="str">
        <f>IF(FlipkartTable[[#This Row],[Selling Price]]&lt;15000,"Budget",IF(FlipkartTable[[#This Row],[Selling Price]]&lt;50000,"Mid Range","Premium"))</f>
        <v>Mid Range</v>
      </c>
      <c r="M1037" t="str">
        <f>IF(FlipkartTable[[#This Row],[Rating]]&gt;4.5,"Excellent",IF(FlipkartTable[[#This Row],[Rating]]&gt;4,"Good",IF(FlipkartTable[[#This Row],[Rating]]&gt;3.5,"Average","Poor")))</f>
        <v>Good</v>
      </c>
    </row>
    <row r="1038" spans="1:13" x14ac:dyDescent="0.35">
      <c r="A1038" t="s">
        <v>633</v>
      </c>
      <c r="B1038" s="9" t="s">
        <v>635</v>
      </c>
      <c r="C1038" t="s">
        <v>84</v>
      </c>
      <c r="D1038" t="s">
        <v>20</v>
      </c>
      <c r="E1038" t="s">
        <v>12</v>
      </c>
      <c r="F1038">
        <v>4.5999999999999996</v>
      </c>
      <c r="G1038">
        <v>42999</v>
      </c>
      <c r="H1038">
        <v>47900</v>
      </c>
      <c r="I1038">
        <f>FlipkartTable[[#This Row],[Original Price]]-FlipkartTable[[#This Row],[Selling Price]]</f>
        <v>4901</v>
      </c>
      <c r="J1038" s="4">
        <f>(FlipkartTable[[#This Row],[Original Price]]-FlipkartTable[[#This Row],[Selling Price]])/FlipkartTable[[#This Row],[Original Price]]</f>
        <v>0.10231732776617954</v>
      </c>
      <c r="K1038">
        <f>(FlipkartTable[[#This Row],[Rating]]/FlipkartTable[[#This Row],[Selling Price]])*1000</f>
        <v>0.10697923207516452</v>
      </c>
      <c r="L1038" t="str">
        <f>IF(FlipkartTable[[#This Row],[Selling Price]]&lt;15000,"Budget",IF(FlipkartTable[[#This Row],[Selling Price]]&lt;50000,"Mid Range","Premium"))</f>
        <v>Mid Range</v>
      </c>
      <c r="M1038" t="str">
        <f>IF(FlipkartTable[[#This Row],[Rating]]&gt;4.5,"Excellent",IF(FlipkartTable[[#This Row],[Rating]]&gt;4,"Good",IF(FlipkartTable[[#This Row],[Rating]]&gt;3.5,"Average","Poor")))</f>
        <v>Excellent</v>
      </c>
    </row>
    <row r="1039" spans="1:13" x14ac:dyDescent="0.35">
      <c r="A1039" t="s">
        <v>633</v>
      </c>
      <c r="B1039" s="9" t="s">
        <v>636</v>
      </c>
      <c r="C1039" t="s">
        <v>139</v>
      </c>
      <c r="D1039" t="s">
        <v>637</v>
      </c>
      <c r="E1039" t="s">
        <v>15</v>
      </c>
      <c r="F1039">
        <v>4.5</v>
      </c>
      <c r="G1039">
        <v>61999</v>
      </c>
      <c r="H1039">
        <v>64900</v>
      </c>
      <c r="I1039">
        <f>FlipkartTable[[#This Row],[Original Price]]-FlipkartTable[[#This Row],[Selling Price]]</f>
        <v>2901</v>
      </c>
      <c r="J1039" s="4">
        <f>(FlipkartTable[[#This Row],[Original Price]]-FlipkartTable[[#This Row],[Selling Price]])/FlipkartTable[[#This Row],[Original Price]]</f>
        <v>4.469953775038521E-2</v>
      </c>
      <c r="K1039">
        <f>(FlipkartTable[[#This Row],[Rating]]/FlipkartTable[[#This Row],[Selling Price]])*1000</f>
        <v>7.2581815835739291E-2</v>
      </c>
      <c r="L1039" t="str">
        <f>IF(FlipkartTable[[#This Row],[Selling Price]]&lt;15000,"Budget",IF(FlipkartTable[[#This Row],[Selling Price]]&lt;50000,"Mid Range","Premium"))</f>
        <v>Premium</v>
      </c>
      <c r="M1039" t="str">
        <f>IF(FlipkartTable[[#This Row],[Rating]]&gt;4.5,"Excellent",IF(FlipkartTable[[#This Row],[Rating]]&gt;4,"Good",IF(FlipkartTable[[#This Row],[Rating]]&gt;3.5,"Average","Poor")))</f>
        <v>Good</v>
      </c>
    </row>
    <row r="1040" spans="1:13" x14ac:dyDescent="0.35">
      <c r="A1040" t="s">
        <v>633</v>
      </c>
      <c r="B1040" s="9" t="s">
        <v>635</v>
      </c>
      <c r="C1040" t="s">
        <v>22</v>
      </c>
      <c r="D1040" t="s">
        <v>20</v>
      </c>
      <c r="E1040" t="s">
        <v>15</v>
      </c>
      <c r="F1040">
        <v>4.5999999999999996</v>
      </c>
      <c r="G1040">
        <v>47999</v>
      </c>
      <c r="H1040">
        <v>52900</v>
      </c>
      <c r="I1040">
        <f>FlipkartTable[[#This Row],[Original Price]]-FlipkartTable[[#This Row],[Selling Price]]</f>
        <v>4901</v>
      </c>
      <c r="J1040" s="4">
        <f>(FlipkartTable[[#This Row],[Original Price]]-FlipkartTable[[#This Row],[Selling Price]])/FlipkartTable[[#This Row],[Original Price]]</f>
        <v>9.2646502835538755E-2</v>
      </c>
      <c r="K1040">
        <f>(FlipkartTable[[#This Row],[Rating]]/FlipkartTable[[#This Row],[Selling Price]])*1000</f>
        <v>9.5835329902706295E-2</v>
      </c>
      <c r="L1040" t="str">
        <f>IF(FlipkartTable[[#This Row],[Selling Price]]&lt;15000,"Budget",IF(FlipkartTable[[#This Row],[Selling Price]]&lt;50000,"Mid Range","Premium"))</f>
        <v>Mid Range</v>
      </c>
      <c r="M1040" t="str">
        <f>IF(FlipkartTable[[#This Row],[Rating]]&gt;4.5,"Excellent",IF(FlipkartTable[[#This Row],[Rating]]&gt;4,"Good",IF(FlipkartTable[[#This Row],[Rating]]&gt;3.5,"Average","Poor")))</f>
        <v>Excellent</v>
      </c>
    </row>
    <row r="1041" spans="1:13" x14ac:dyDescent="0.35">
      <c r="A1041" t="s">
        <v>633</v>
      </c>
      <c r="B1041" s="9" t="s">
        <v>636</v>
      </c>
      <c r="C1041" t="s">
        <v>22</v>
      </c>
      <c r="D1041" t="s">
        <v>637</v>
      </c>
      <c r="E1041" t="s">
        <v>15</v>
      </c>
      <c r="F1041">
        <v>4.5</v>
      </c>
      <c r="G1041">
        <v>61999</v>
      </c>
      <c r="H1041">
        <v>64900</v>
      </c>
      <c r="I1041">
        <f>FlipkartTable[[#This Row],[Original Price]]-FlipkartTable[[#This Row],[Selling Price]]</f>
        <v>2901</v>
      </c>
      <c r="J1041" s="4">
        <f>(FlipkartTable[[#This Row],[Original Price]]-FlipkartTable[[#This Row],[Selling Price]])/FlipkartTable[[#This Row],[Original Price]]</f>
        <v>4.469953775038521E-2</v>
      </c>
      <c r="K1041">
        <f>(FlipkartTable[[#This Row],[Rating]]/FlipkartTable[[#This Row],[Selling Price]])*1000</f>
        <v>7.2581815835739291E-2</v>
      </c>
      <c r="L1041" t="str">
        <f>IF(FlipkartTable[[#This Row],[Selling Price]]&lt;15000,"Budget",IF(FlipkartTable[[#This Row],[Selling Price]]&lt;50000,"Mid Range","Premium"))</f>
        <v>Premium</v>
      </c>
      <c r="M1041" t="str">
        <f>IF(FlipkartTable[[#This Row],[Rating]]&gt;4.5,"Excellent",IF(FlipkartTable[[#This Row],[Rating]]&gt;4,"Good",IF(FlipkartTable[[#This Row],[Rating]]&gt;3.5,"Average","Poor")))</f>
        <v>Good</v>
      </c>
    </row>
    <row r="1042" spans="1:13" x14ac:dyDescent="0.35">
      <c r="A1042" t="s">
        <v>633</v>
      </c>
      <c r="B1042" s="9" t="s">
        <v>635</v>
      </c>
      <c r="C1042" t="s">
        <v>152</v>
      </c>
      <c r="D1042" t="s">
        <v>20</v>
      </c>
      <c r="E1042" t="s">
        <v>15</v>
      </c>
      <c r="F1042">
        <v>4.5999999999999996</v>
      </c>
      <c r="G1042">
        <v>47999</v>
      </c>
      <c r="H1042">
        <v>52900</v>
      </c>
      <c r="I1042">
        <f>FlipkartTable[[#This Row],[Original Price]]-FlipkartTable[[#This Row],[Selling Price]]</f>
        <v>4901</v>
      </c>
      <c r="J1042" s="4">
        <f>(FlipkartTable[[#This Row],[Original Price]]-FlipkartTable[[#This Row],[Selling Price]])/FlipkartTable[[#This Row],[Original Price]]</f>
        <v>9.2646502835538755E-2</v>
      </c>
      <c r="K1042">
        <f>(FlipkartTable[[#This Row],[Rating]]/FlipkartTable[[#This Row],[Selling Price]])*1000</f>
        <v>9.5835329902706295E-2</v>
      </c>
      <c r="L1042" t="str">
        <f>IF(FlipkartTable[[#This Row],[Selling Price]]&lt;15000,"Budget",IF(FlipkartTable[[#This Row],[Selling Price]]&lt;50000,"Mid Range","Premium"))</f>
        <v>Mid Range</v>
      </c>
      <c r="M1042" t="str">
        <f>IF(FlipkartTable[[#This Row],[Rating]]&gt;4.5,"Excellent",IF(FlipkartTable[[#This Row],[Rating]]&gt;4,"Good",IF(FlipkartTable[[#This Row],[Rating]]&gt;3.5,"Average","Poor")))</f>
        <v>Excellent</v>
      </c>
    </row>
    <row r="1043" spans="1:13" x14ac:dyDescent="0.35">
      <c r="A1043" t="s">
        <v>633</v>
      </c>
      <c r="B1043" s="9" t="s">
        <v>634</v>
      </c>
      <c r="C1043" t="s">
        <v>84</v>
      </c>
      <c r="D1043" t="s">
        <v>35</v>
      </c>
      <c r="E1043" t="s">
        <v>15</v>
      </c>
      <c r="F1043">
        <v>4.5</v>
      </c>
      <c r="G1043">
        <v>44900</v>
      </c>
      <c r="H1043">
        <v>44900</v>
      </c>
      <c r="I1043">
        <f>FlipkartTable[[#This Row],[Original Price]]-FlipkartTable[[#This Row],[Selling Price]]</f>
        <v>0</v>
      </c>
      <c r="J1043" s="4">
        <f>(FlipkartTable[[#This Row],[Original Price]]-FlipkartTable[[#This Row],[Selling Price]])/FlipkartTable[[#This Row],[Original Price]]</f>
        <v>0</v>
      </c>
      <c r="K1043">
        <f>(FlipkartTable[[#This Row],[Rating]]/FlipkartTable[[#This Row],[Selling Price]])*1000</f>
        <v>0.10022271714922049</v>
      </c>
      <c r="L1043" t="str">
        <f>IF(FlipkartTable[[#This Row],[Selling Price]]&lt;15000,"Budget",IF(FlipkartTable[[#This Row],[Selling Price]]&lt;50000,"Mid Range","Premium"))</f>
        <v>Mid Range</v>
      </c>
      <c r="M1043" t="str">
        <f>IF(FlipkartTable[[#This Row],[Rating]]&gt;4.5,"Excellent",IF(FlipkartTable[[#This Row],[Rating]]&gt;4,"Good",IF(FlipkartTable[[#This Row],[Rating]]&gt;3.5,"Average","Poor")))</f>
        <v>Good</v>
      </c>
    </row>
    <row r="1044" spans="1:13" x14ac:dyDescent="0.35">
      <c r="A1044" t="s">
        <v>633</v>
      </c>
      <c r="B1044" s="9" t="s">
        <v>634</v>
      </c>
      <c r="C1044" t="s">
        <v>152</v>
      </c>
      <c r="D1044" t="s">
        <v>35</v>
      </c>
      <c r="E1044" t="s">
        <v>15</v>
      </c>
      <c r="F1044">
        <v>4.5</v>
      </c>
      <c r="G1044">
        <v>44900</v>
      </c>
      <c r="H1044">
        <v>44900</v>
      </c>
      <c r="I1044">
        <f>FlipkartTable[[#This Row],[Original Price]]-FlipkartTable[[#This Row],[Selling Price]]</f>
        <v>0</v>
      </c>
      <c r="J1044" s="4">
        <f>(FlipkartTable[[#This Row],[Original Price]]-FlipkartTable[[#This Row],[Selling Price]])/FlipkartTable[[#This Row],[Original Price]]</f>
        <v>0</v>
      </c>
      <c r="K1044">
        <f>(FlipkartTable[[#This Row],[Rating]]/FlipkartTable[[#This Row],[Selling Price]])*1000</f>
        <v>0.10022271714922049</v>
      </c>
      <c r="L1044" t="str">
        <f>IF(FlipkartTable[[#This Row],[Selling Price]]&lt;15000,"Budget",IF(FlipkartTable[[#This Row],[Selling Price]]&lt;50000,"Mid Range","Premium"))</f>
        <v>Mid Range</v>
      </c>
      <c r="M1044" t="str">
        <f>IF(FlipkartTable[[#This Row],[Rating]]&gt;4.5,"Excellent",IF(FlipkartTable[[#This Row],[Rating]]&gt;4,"Good",IF(FlipkartTable[[#This Row],[Rating]]&gt;3.5,"Average","Poor")))</f>
        <v>Good</v>
      </c>
    </row>
    <row r="1045" spans="1:13" x14ac:dyDescent="0.35">
      <c r="A1045" t="s">
        <v>633</v>
      </c>
      <c r="B1045" s="9" t="s">
        <v>639</v>
      </c>
      <c r="C1045" t="s">
        <v>329</v>
      </c>
      <c r="D1045" t="s">
        <v>637</v>
      </c>
      <c r="E1045" t="s">
        <v>12</v>
      </c>
      <c r="F1045">
        <v>4.5999999999999996</v>
      </c>
      <c r="G1045">
        <v>49900</v>
      </c>
      <c r="H1045">
        <v>49900</v>
      </c>
      <c r="I1045">
        <f>FlipkartTable[[#This Row],[Original Price]]-FlipkartTable[[#This Row],[Selling Price]]</f>
        <v>0</v>
      </c>
      <c r="J1045" s="4">
        <f>(FlipkartTable[[#This Row],[Original Price]]-FlipkartTable[[#This Row],[Selling Price]])/FlipkartTable[[#This Row],[Original Price]]</f>
        <v>0</v>
      </c>
      <c r="K1045">
        <f>(FlipkartTable[[#This Row],[Rating]]/FlipkartTable[[#This Row],[Selling Price]])*1000</f>
        <v>9.2184368737474945E-2</v>
      </c>
      <c r="L1045" t="str">
        <f>IF(FlipkartTable[[#This Row],[Selling Price]]&lt;15000,"Budget",IF(FlipkartTable[[#This Row],[Selling Price]]&lt;50000,"Mid Range","Premium"))</f>
        <v>Mid Range</v>
      </c>
      <c r="M1045" t="str">
        <f>IF(FlipkartTable[[#This Row],[Rating]]&gt;4.5,"Excellent",IF(FlipkartTable[[#This Row],[Rating]]&gt;4,"Good",IF(FlipkartTable[[#This Row],[Rating]]&gt;3.5,"Average","Poor")))</f>
        <v>Excellent</v>
      </c>
    </row>
    <row r="1046" spans="1:13" x14ac:dyDescent="0.35">
      <c r="A1046" t="s">
        <v>633</v>
      </c>
      <c r="B1046" s="9" t="s">
        <v>640</v>
      </c>
      <c r="C1046" t="s">
        <v>22</v>
      </c>
      <c r="D1046" t="s">
        <v>637</v>
      </c>
      <c r="E1046" t="s">
        <v>15</v>
      </c>
      <c r="F1046">
        <v>4.5999999999999996</v>
      </c>
      <c r="G1046">
        <v>68999</v>
      </c>
      <c r="H1046">
        <v>70900</v>
      </c>
      <c r="I1046">
        <f>FlipkartTable[[#This Row],[Original Price]]-FlipkartTable[[#This Row],[Selling Price]]</f>
        <v>1901</v>
      </c>
      <c r="J1046" s="4">
        <f>(FlipkartTable[[#This Row],[Original Price]]-FlipkartTable[[#This Row],[Selling Price]])/FlipkartTable[[#This Row],[Original Price]]</f>
        <v>2.6812411847672777E-2</v>
      </c>
      <c r="K1046">
        <f>(FlipkartTable[[#This Row],[Rating]]/FlipkartTable[[#This Row],[Selling Price]])*1000</f>
        <v>6.6667632864244403E-2</v>
      </c>
      <c r="L1046" t="str">
        <f>IF(FlipkartTable[[#This Row],[Selling Price]]&lt;15000,"Budget",IF(FlipkartTable[[#This Row],[Selling Price]]&lt;50000,"Mid Range","Premium"))</f>
        <v>Premium</v>
      </c>
      <c r="M1046" t="str">
        <f>IF(FlipkartTable[[#This Row],[Rating]]&gt;4.5,"Excellent",IF(FlipkartTable[[#This Row],[Rating]]&gt;4,"Good",IF(FlipkartTable[[#This Row],[Rating]]&gt;3.5,"Average","Poor")))</f>
        <v>Excellent</v>
      </c>
    </row>
    <row r="1047" spans="1:13" x14ac:dyDescent="0.35">
      <c r="A1047" t="s">
        <v>633</v>
      </c>
      <c r="B1047" s="9" t="s">
        <v>634</v>
      </c>
      <c r="C1047" t="s">
        <v>19</v>
      </c>
      <c r="D1047" t="s">
        <v>35</v>
      </c>
      <c r="E1047" t="s">
        <v>15</v>
      </c>
      <c r="F1047">
        <v>4.5</v>
      </c>
      <c r="G1047">
        <v>44900</v>
      </c>
      <c r="H1047">
        <v>44900</v>
      </c>
      <c r="I1047">
        <f>FlipkartTable[[#This Row],[Original Price]]-FlipkartTable[[#This Row],[Selling Price]]</f>
        <v>0</v>
      </c>
      <c r="J1047" s="4">
        <f>(FlipkartTable[[#This Row],[Original Price]]-FlipkartTable[[#This Row],[Selling Price]])/FlipkartTable[[#This Row],[Original Price]]</f>
        <v>0</v>
      </c>
      <c r="K1047">
        <f>(FlipkartTable[[#This Row],[Rating]]/FlipkartTable[[#This Row],[Selling Price]])*1000</f>
        <v>0.10022271714922049</v>
      </c>
      <c r="L1047" t="str">
        <f>IF(FlipkartTable[[#This Row],[Selling Price]]&lt;15000,"Budget",IF(FlipkartTable[[#This Row],[Selling Price]]&lt;50000,"Mid Range","Premium"))</f>
        <v>Mid Range</v>
      </c>
      <c r="M1047" t="str">
        <f>IF(FlipkartTable[[#This Row],[Rating]]&gt;4.5,"Excellent",IF(FlipkartTable[[#This Row],[Rating]]&gt;4,"Good",IF(FlipkartTable[[#This Row],[Rating]]&gt;3.5,"Average","Poor")))</f>
        <v>Good</v>
      </c>
    </row>
    <row r="1048" spans="1:13" x14ac:dyDescent="0.35">
      <c r="A1048" t="s">
        <v>633</v>
      </c>
      <c r="B1048" s="9" t="s">
        <v>640</v>
      </c>
      <c r="C1048" t="s">
        <v>152</v>
      </c>
      <c r="D1048" t="s">
        <v>637</v>
      </c>
      <c r="E1048" t="s">
        <v>64</v>
      </c>
      <c r="F1048">
        <v>4.5999999999999996</v>
      </c>
      <c r="G1048">
        <v>78999</v>
      </c>
      <c r="H1048">
        <v>80900</v>
      </c>
      <c r="I1048">
        <f>FlipkartTable[[#This Row],[Original Price]]-FlipkartTable[[#This Row],[Selling Price]]</f>
        <v>1901</v>
      </c>
      <c r="J1048" s="4">
        <f>(FlipkartTable[[#This Row],[Original Price]]-FlipkartTable[[#This Row],[Selling Price]])/FlipkartTable[[#This Row],[Original Price]]</f>
        <v>2.3498145859085291E-2</v>
      </c>
      <c r="K1048">
        <f>(FlipkartTable[[#This Row],[Rating]]/FlipkartTable[[#This Row],[Selling Price]])*1000</f>
        <v>5.8228585171964192E-2</v>
      </c>
      <c r="L1048" t="str">
        <f>IF(FlipkartTable[[#This Row],[Selling Price]]&lt;15000,"Budget",IF(FlipkartTable[[#This Row],[Selling Price]]&lt;50000,"Mid Range","Premium"))</f>
        <v>Premium</v>
      </c>
      <c r="M1048" t="str">
        <f>IF(FlipkartTable[[#This Row],[Rating]]&gt;4.5,"Excellent",IF(FlipkartTable[[#This Row],[Rating]]&gt;4,"Good",IF(FlipkartTable[[#This Row],[Rating]]&gt;3.5,"Average","Poor")))</f>
        <v>Excellent</v>
      </c>
    </row>
    <row r="1049" spans="1:13" x14ac:dyDescent="0.35">
      <c r="A1049" t="s">
        <v>633</v>
      </c>
      <c r="B1049" s="9" t="s">
        <v>640</v>
      </c>
      <c r="C1049" t="s">
        <v>84</v>
      </c>
      <c r="D1049" t="s">
        <v>637</v>
      </c>
      <c r="E1049" t="s">
        <v>15</v>
      </c>
      <c r="F1049">
        <v>4.5999999999999996</v>
      </c>
      <c r="G1049">
        <v>68999</v>
      </c>
      <c r="H1049">
        <v>70900</v>
      </c>
      <c r="I1049">
        <f>FlipkartTable[[#This Row],[Original Price]]-FlipkartTable[[#This Row],[Selling Price]]</f>
        <v>1901</v>
      </c>
      <c r="J1049" s="4">
        <f>(FlipkartTable[[#This Row],[Original Price]]-FlipkartTable[[#This Row],[Selling Price]])/FlipkartTable[[#This Row],[Original Price]]</f>
        <v>2.6812411847672777E-2</v>
      </c>
      <c r="K1049">
        <f>(FlipkartTable[[#This Row],[Rating]]/FlipkartTable[[#This Row],[Selling Price]])*1000</f>
        <v>6.6667632864244403E-2</v>
      </c>
      <c r="L1049" t="str">
        <f>IF(FlipkartTable[[#This Row],[Selling Price]]&lt;15000,"Budget",IF(FlipkartTable[[#This Row],[Selling Price]]&lt;50000,"Mid Range","Premium"))</f>
        <v>Premium</v>
      </c>
      <c r="M1049" t="str">
        <f>IF(FlipkartTable[[#This Row],[Rating]]&gt;4.5,"Excellent",IF(FlipkartTable[[#This Row],[Rating]]&gt;4,"Good",IF(FlipkartTable[[#This Row],[Rating]]&gt;3.5,"Average","Poor")))</f>
        <v>Excellent</v>
      </c>
    </row>
    <row r="1050" spans="1:13" x14ac:dyDescent="0.35">
      <c r="A1050" t="s">
        <v>633</v>
      </c>
      <c r="B1050" s="9" t="s">
        <v>640</v>
      </c>
      <c r="C1050" t="s">
        <v>152</v>
      </c>
      <c r="D1050" t="s">
        <v>637</v>
      </c>
      <c r="E1050" t="s">
        <v>12</v>
      </c>
      <c r="F1050">
        <v>4.5999999999999996</v>
      </c>
      <c r="G1050">
        <v>63999</v>
      </c>
      <c r="H1050">
        <v>65900</v>
      </c>
      <c r="I1050">
        <f>FlipkartTable[[#This Row],[Original Price]]-FlipkartTable[[#This Row],[Selling Price]]</f>
        <v>1901</v>
      </c>
      <c r="J1050" s="4">
        <f>(FlipkartTable[[#This Row],[Original Price]]-FlipkartTable[[#This Row],[Selling Price]])/FlipkartTable[[#This Row],[Original Price]]</f>
        <v>2.8846737481031868E-2</v>
      </c>
      <c r="K1050">
        <f>(FlipkartTable[[#This Row],[Rating]]/FlipkartTable[[#This Row],[Selling Price]])*1000</f>
        <v>7.187612306442287E-2</v>
      </c>
      <c r="L1050" t="str">
        <f>IF(FlipkartTable[[#This Row],[Selling Price]]&lt;15000,"Budget",IF(FlipkartTable[[#This Row],[Selling Price]]&lt;50000,"Mid Range","Premium"))</f>
        <v>Premium</v>
      </c>
      <c r="M1050" t="str">
        <f>IF(FlipkartTable[[#This Row],[Rating]]&gt;4.5,"Excellent",IF(FlipkartTable[[#This Row],[Rating]]&gt;4,"Good",IF(FlipkartTable[[#This Row],[Rating]]&gt;3.5,"Average","Poor")))</f>
        <v>Excellent</v>
      </c>
    </row>
    <row r="1051" spans="1:13" x14ac:dyDescent="0.35">
      <c r="A1051" t="s">
        <v>633</v>
      </c>
      <c r="B1051" s="9" t="s">
        <v>636</v>
      </c>
      <c r="C1051" t="s">
        <v>152</v>
      </c>
      <c r="D1051" t="s">
        <v>637</v>
      </c>
      <c r="E1051" t="s">
        <v>12</v>
      </c>
      <c r="F1051">
        <v>4.5</v>
      </c>
      <c r="G1051">
        <v>56999</v>
      </c>
      <c r="H1051">
        <v>59900</v>
      </c>
      <c r="I1051">
        <f>FlipkartTable[[#This Row],[Original Price]]-FlipkartTable[[#This Row],[Selling Price]]</f>
        <v>2901</v>
      </c>
      <c r="J1051" s="4">
        <f>(FlipkartTable[[#This Row],[Original Price]]-FlipkartTable[[#This Row],[Selling Price]])/FlipkartTable[[#This Row],[Original Price]]</f>
        <v>4.8430717863105176E-2</v>
      </c>
      <c r="K1051">
        <f>(FlipkartTable[[#This Row],[Rating]]/FlipkartTable[[#This Row],[Selling Price]])*1000</f>
        <v>7.8948753486903278E-2</v>
      </c>
      <c r="L1051" t="str">
        <f>IF(FlipkartTable[[#This Row],[Selling Price]]&lt;15000,"Budget",IF(FlipkartTable[[#This Row],[Selling Price]]&lt;50000,"Mid Range","Premium"))</f>
        <v>Premium</v>
      </c>
      <c r="M1051" t="str">
        <f>IF(FlipkartTable[[#This Row],[Rating]]&gt;4.5,"Excellent",IF(FlipkartTable[[#This Row],[Rating]]&gt;4,"Good",IF(FlipkartTable[[#This Row],[Rating]]&gt;3.5,"Average","Poor")))</f>
        <v>Good</v>
      </c>
    </row>
    <row r="1052" spans="1:13" x14ac:dyDescent="0.35">
      <c r="A1052" t="s">
        <v>633</v>
      </c>
      <c r="B1052" s="9" t="s">
        <v>636</v>
      </c>
      <c r="C1052" t="s">
        <v>121</v>
      </c>
      <c r="D1052" t="s">
        <v>637</v>
      </c>
      <c r="E1052" t="s">
        <v>15</v>
      </c>
      <c r="F1052">
        <v>4.5</v>
      </c>
      <c r="G1052">
        <v>61999</v>
      </c>
      <c r="H1052">
        <v>64900</v>
      </c>
      <c r="I1052">
        <f>FlipkartTable[[#This Row],[Original Price]]-FlipkartTable[[#This Row],[Selling Price]]</f>
        <v>2901</v>
      </c>
      <c r="J1052" s="4">
        <f>(FlipkartTable[[#This Row],[Original Price]]-FlipkartTable[[#This Row],[Selling Price]])/FlipkartTable[[#This Row],[Original Price]]</f>
        <v>4.469953775038521E-2</v>
      </c>
      <c r="K1052">
        <f>(FlipkartTable[[#This Row],[Rating]]/FlipkartTable[[#This Row],[Selling Price]])*1000</f>
        <v>7.2581815835739291E-2</v>
      </c>
      <c r="L1052" t="str">
        <f>IF(FlipkartTable[[#This Row],[Selling Price]]&lt;15000,"Budget",IF(FlipkartTable[[#This Row],[Selling Price]]&lt;50000,"Mid Range","Premium"))</f>
        <v>Premium</v>
      </c>
      <c r="M1052" t="str">
        <f>IF(FlipkartTable[[#This Row],[Rating]]&gt;4.5,"Excellent",IF(FlipkartTable[[#This Row],[Rating]]&gt;4,"Good",IF(FlipkartTable[[#This Row],[Rating]]&gt;3.5,"Average","Poor")))</f>
        <v>Good</v>
      </c>
    </row>
    <row r="1053" spans="1:13" x14ac:dyDescent="0.35">
      <c r="A1053" t="s">
        <v>633</v>
      </c>
      <c r="B1053" s="9" t="s">
        <v>640</v>
      </c>
      <c r="C1053" t="s">
        <v>19</v>
      </c>
      <c r="D1053" t="s">
        <v>637</v>
      </c>
      <c r="E1053" t="s">
        <v>64</v>
      </c>
      <c r="F1053">
        <v>4.5999999999999996</v>
      </c>
      <c r="G1053">
        <v>78999</v>
      </c>
      <c r="H1053">
        <v>80900</v>
      </c>
      <c r="I1053">
        <f>FlipkartTable[[#This Row],[Original Price]]-FlipkartTable[[#This Row],[Selling Price]]</f>
        <v>1901</v>
      </c>
      <c r="J1053" s="4">
        <f>(FlipkartTable[[#This Row],[Original Price]]-FlipkartTable[[#This Row],[Selling Price]])/FlipkartTable[[#This Row],[Original Price]]</f>
        <v>2.3498145859085291E-2</v>
      </c>
      <c r="K1053">
        <f>(FlipkartTable[[#This Row],[Rating]]/FlipkartTable[[#This Row],[Selling Price]])*1000</f>
        <v>5.8228585171964192E-2</v>
      </c>
      <c r="L1053" t="str">
        <f>IF(FlipkartTable[[#This Row],[Selling Price]]&lt;15000,"Budget",IF(FlipkartTable[[#This Row],[Selling Price]]&lt;50000,"Mid Range","Premium"))</f>
        <v>Premium</v>
      </c>
      <c r="M1053" t="str">
        <f>IF(FlipkartTable[[#This Row],[Rating]]&gt;4.5,"Excellent",IF(FlipkartTable[[#This Row],[Rating]]&gt;4,"Good",IF(FlipkartTable[[#This Row],[Rating]]&gt;3.5,"Average","Poor")))</f>
        <v>Excellent</v>
      </c>
    </row>
    <row r="1054" spans="1:13" x14ac:dyDescent="0.35">
      <c r="A1054" t="s">
        <v>633</v>
      </c>
      <c r="B1054" s="9" t="s">
        <v>635</v>
      </c>
      <c r="C1054" t="s">
        <v>84</v>
      </c>
      <c r="D1054" t="s">
        <v>20</v>
      </c>
      <c r="E1054" t="s">
        <v>15</v>
      </c>
      <c r="F1054">
        <v>4.5999999999999996</v>
      </c>
      <c r="G1054">
        <v>47999</v>
      </c>
      <c r="H1054">
        <v>52900</v>
      </c>
      <c r="I1054">
        <f>FlipkartTable[[#This Row],[Original Price]]-FlipkartTable[[#This Row],[Selling Price]]</f>
        <v>4901</v>
      </c>
      <c r="J1054" s="4">
        <f>(FlipkartTable[[#This Row],[Original Price]]-FlipkartTable[[#This Row],[Selling Price]])/FlipkartTable[[#This Row],[Original Price]]</f>
        <v>9.2646502835538755E-2</v>
      </c>
      <c r="K1054">
        <f>(FlipkartTable[[#This Row],[Rating]]/FlipkartTable[[#This Row],[Selling Price]])*1000</f>
        <v>9.5835329902706295E-2</v>
      </c>
      <c r="L1054" t="str">
        <f>IF(FlipkartTable[[#This Row],[Selling Price]]&lt;15000,"Budget",IF(FlipkartTable[[#This Row],[Selling Price]]&lt;50000,"Mid Range","Premium"))</f>
        <v>Mid Range</v>
      </c>
      <c r="M1054" t="str">
        <f>IF(FlipkartTable[[#This Row],[Rating]]&gt;4.5,"Excellent",IF(FlipkartTable[[#This Row],[Rating]]&gt;4,"Good",IF(FlipkartTable[[#This Row],[Rating]]&gt;3.5,"Average","Poor")))</f>
        <v>Excellent</v>
      </c>
    </row>
    <row r="1055" spans="1:13" x14ac:dyDescent="0.35">
      <c r="A1055" t="s">
        <v>633</v>
      </c>
      <c r="B1055" s="9" t="s">
        <v>640</v>
      </c>
      <c r="C1055" t="s">
        <v>139</v>
      </c>
      <c r="D1055" t="s">
        <v>637</v>
      </c>
      <c r="E1055" t="s">
        <v>15</v>
      </c>
      <c r="F1055">
        <v>4.5999999999999996</v>
      </c>
      <c r="G1055">
        <v>68999</v>
      </c>
      <c r="H1055">
        <v>70900</v>
      </c>
      <c r="I1055">
        <f>FlipkartTable[[#This Row],[Original Price]]-FlipkartTable[[#This Row],[Selling Price]]</f>
        <v>1901</v>
      </c>
      <c r="J1055" s="4">
        <f>(FlipkartTable[[#This Row],[Original Price]]-FlipkartTable[[#This Row],[Selling Price]])/FlipkartTable[[#This Row],[Original Price]]</f>
        <v>2.6812411847672777E-2</v>
      </c>
      <c r="K1055">
        <f>(FlipkartTable[[#This Row],[Rating]]/FlipkartTable[[#This Row],[Selling Price]])*1000</f>
        <v>6.6667632864244403E-2</v>
      </c>
      <c r="L1055" t="str">
        <f>IF(FlipkartTable[[#This Row],[Selling Price]]&lt;15000,"Budget",IF(FlipkartTable[[#This Row],[Selling Price]]&lt;50000,"Mid Range","Premium"))</f>
        <v>Premium</v>
      </c>
      <c r="M1055" t="str">
        <f>IF(FlipkartTable[[#This Row],[Rating]]&gt;4.5,"Excellent",IF(FlipkartTable[[#This Row],[Rating]]&gt;4,"Good",IF(FlipkartTable[[#This Row],[Rating]]&gt;3.5,"Average","Poor")))</f>
        <v>Excellent</v>
      </c>
    </row>
    <row r="1056" spans="1:13" x14ac:dyDescent="0.35">
      <c r="A1056" t="s">
        <v>633</v>
      </c>
      <c r="B1056" s="9" t="s">
        <v>636</v>
      </c>
      <c r="C1056" t="s">
        <v>19</v>
      </c>
      <c r="D1056" t="s">
        <v>637</v>
      </c>
      <c r="E1056" t="s">
        <v>15</v>
      </c>
      <c r="F1056">
        <v>4.5</v>
      </c>
      <c r="G1056">
        <v>61999</v>
      </c>
      <c r="H1056">
        <v>64900</v>
      </c>
      <c r="I1056">
        <f>FlipkartTable[[#This Row],[Original Price]]-FlipkartTable[[#This Row],[Selling Price]]</f>
        <v>2901</v>
      </c>
      <c r="J1056" s="4">
        <f>(FlipkartTable[[#This Row],[Original Price]]-FlipkartTable[[#This Row],[Selling Price]])/FlipkartTable[[#This Row],[Original Price]]</f>
        <v>4.469953775038521E-2</v>
      </c>
      <c r="K1056">
        <f>(FlipkartTable[[#This Row],[Rating]]/FlipkartTable[[#This Row],[Selling Price]])*1000</f>
        <v>7.2581815835739291E-2</v>
      </c>
      <c r="L1056" t="str">
        <f>IF(FlipkartTable[[#This Row],[Selling Price]]&lt;15000,"Budget",IF(FlipkartTable[[#This Row],[Selling Price]]&lt;50000,"Mid Range","Premium"))</f>
        <v>Premium</v>
      </c>
      <c r="M1056" t="str">
        <f>IF(FlipkartTable[[#This Row],[Rating]]&gt;4.5,"Excellent",IF(FlipkartTable[[#This Row],[Rating]]&gt;4,"Good",IF(FlipkartTable[[#This Row],[Rating]]&gt;3.5,"Average","Poor")))</f>
        <v>Good</v>
      </c>
    </row>
    <row r="1057" spans="1:13" x14ac:dyDescent="0.35">
      <c r="A1057" t="s">
        <v>633</v>
      </c>
      <c r="B1057" s="9" t="s">
        <v>636</v>
      </c>
      <c r="C1057" t="s">
        <v>84</v>
      </c>
      <c r="D1057" t="s">
        <v>637</v>
      </c>
      <c r="E1057" t="s">
        <v>12</v>
      </c>
      <c r="F1057">
        <v>4.5</v>
      </c>
      <c r="G1057">
        <v>56999</v>
      </c>
      <c r="H1057">
        <v>59900</v>
      </c>
      <c r="I1057">
        <f>FlipkartTable[[#This Row],[Original Price]]-FlipkartTable[[#This Row],[Selling Price]]</f>
        <v>2901</v>
      </c>
      <c r="J1057" s="4">
        <f>(FlipkartTable[[#This Row],[Original Price]]-FlipkartTable[[#This Row],[Selling Price]])/FlipkartTable[[#This Row],[Original Price]]</f>
        <v>4.8430717863105176E-2</v>
      </c>
      <c r="K1057">
        <f>(FlipkartTable[[#This Row],[Rating]]/FlipkartTable[[#This Row],[Selling Price]])*1000</f>
        <v>7.8948753486903278E-2</v>
      </c>
      <c r="L1057" t="str">
        <f>IF(FlipkartTable[[#This Row],[Selling Price]]&lt;15000,"Budget",IF(FlipkartTable[[#This Row],[Selling Price]]&lt;50000,"Mid Range","Premium"))</f>
        <v>Premium</v>
      </c>
      <c r="M1057" t="str">
        <f>IF(FlipkartTable[[#This Row],[Rating]]&gt;4.5,"Excellent",IF(FlipkartTable[[#This Row],[Rating]]&gt;4,"Good",IF(FlipkartTable[[#This Row],[Rating]]&gt;3.5,"Average","Poor")))</f>
        <v>Good</v>
      </c>
    </row>
    <row r="1058" spans="1:13" x14ac:dyDescent="0.35">
      <c r="A1058" t="s">
        <v>633</v>
      </c>
      <c r="B1058" s="9" t="s">
        <v>636</v>
      </c>
      <c r="C1058" t="s">
        <v>19</v>
      </c>
      <c r="D1058" t="s">
        <v>637</v>
      </c>
      <c r="E1058" t="s">
        <v>12</v>
      </c>
      <c r="F1058">
        <v>4.5</v>
      </c>
      <c r="G1058">
        <v>56999</v>
      </c>
      <c r="H1058">
        <v>59900</v>
      </c>
      <c r="I1058">
        <f>FlipkartTable[[#This Row],[Original Price]]-FlipkartTable[[#This Row],[Selling Price]]</f>
        <v>2901</v>
      </c>
      <c r="J1058" s="4">
        <f>(FlipkartTable[[#This Row],[Original Price]]-FlipkartTable[[#This Row],[Selling Price]])/FlipkartTable[[#This Row],[Original Price]]</f>
        <v>4.8430717863105176E-2</v>
      </c>
      <c r="K1058">
        <f>(FlipkartTable[[#This Row],[Rating]]/FlipkartTable[[#This Row],[Selling Price]])*1000</f>
        <v>7.8948753486903278E-2</v>
      </c>
      <c r="L1058" t="str">
        <f>IF(FlipkartTable[[#This Row],[Selling Price]]&lt;15000,"Budget",IF(FlipkartTable[[#This Row],[Selling Price]]&lt;50000,"Mid Range","Premium"))</f>
        <v>Premium</v>
      </c>
      <c r="M1058" t="str">
        <f>IF(FlipkartTable[[#This Row],[Rating]]&gt;4.5,"Excellent",IF(FlipkartTable[[#This Row],[Rating]]&gt;4,"Good",IF(FlipkartTable[[#This Row],[Rating]]&gt;3.5,"Average","Poor")))</f>
        <v>Good</v>
      </c>
    </row>
    <row r="1059" spans="1:13" x14ac:dyDescent="0.35">
      <c r="A1059" t="s">
        <v>633</v>
      </c>
      <c r="B1059" s="9" t="s">
        <v>635</v>
      </c>
      <c r="C1059" t="s">
        <v>329</v>
      </c>
      <c r="D1059" t="s">
        <v>20</v>
      </c>
      <c r="E1059" t="s">
        <v>15</v>
      </c>
      <c r="F1059">
        <v>4.5999999999999996</v>
      </c>
      <c r="G1059">
        <v>47999</v>
      </c>
      <c r="H1059">
        <v>52900</v>
      </c>
      <c r="I1059">
        <f>FlipkartTable[[#This Row],[Original Price]]-FlipkartTable[[#This Row],[Selling Price]]</f>
        <v>4901</v>
      </c>
      <c r="J1059" s="4">
        <f>(FlipkartTable[[#This Row],[Original Price]]-FlipkartTable[[#This Row],[Selling Price]])/FlipkartTable[[#This Row],[Original Price]]</f>
        <v>9.2646502835538755E-2</v>
      </c>
      <c r="K1059">
        <f>(FlipkartTable[[#This Row],[Rating]]/FlipkartTable[[#This Row],[Selling Price]])*1000</f>
        <v>9.5835329902706295E-2</v>
      </c>
      <c r="L1059" t="str">
        <f>IF(FlipkartTable[[#This Row],[Selling Price]]&lt;15000,"Budget",IF(FlipkartTable[[#This Row],[Selling Price]]&lt;50000,"Mid Range","Premium"))</f>
        <v>Mid Range</v>
      </c>
      <c r="M1059" t="str">
        <f>IF(FlipkartTable[[#This Row],[Rating]]&gt;4.5,"Excellent",IF(FlipkartTable[[#This Row],[Rating]]&gt;4,"Good",IF(FlipkartTable[[#This Row],[Rating]]&gt;3.5,"Average","Poor")))</f>
        <v>Excellent</v>
      </c>
    </row>
    <row r="1060" spans="1:13" x14ac:dyDescent="0.35">
      <c r="A1060" t="s">
        <v>633</v>
      </c>
      <c r="B1060" s="9" t="s">
        <v>639</v>
      </c>
      <c r="C1060" t="s">
        <v>329</v>
      </c>
      <c r="D1060" t="s">
        <v>637</v>
      </c>
      <c r="E1060" t="s">
        <v>15</v>
      </c>
      <c r="F1060">
        <v>4.5999999999999996</v>
      </c>
      <c r="G1060">
        <v>54900</v>
      </c>
      <c r="H1060">
        <v>54900</v>
      </c>
      <c r="I1060">
        <f>FlipkartTable[[#This Row],[Original Price]]-FlipkartTable[[#This Row],[Selling Price]]</f>
        <v>0</v>
      </c>
      <c r="J1060" s="4">
        <f>(FlipkartTable[[#This Row],[Original Price]]-FlipkartTable[[#This Row],[Selling Price]])/FlipkartTable[[#This Row],[Original Price]]</f>
        <v>0</v>
      </c>
      <c r="K1060">
        <f>(FlipkartTable[[#This Row],[Rating]]/FlipkartTable[[#This Row],[Selling Price]])*1000</f>
        <v>8.3788706739526403E-2</v>
      </c>
      <c r="L1060" t="str">
        <f>IF(FlipkartTable[[#This Row],[Selling Price]]&lt;15000,"Budget",IF(FlipkartTable[[#This Row],[Selling Price]]&lt;50000,"Mid Range","Premium"))</f>
        <v>Premium</v>
      </c>
      <c r="M1060" t="str">
        <f>IF(FlipkartTable[[#This Row],[Rating]]&gt;4.5,"Excellent",IF(FlipkartTable[[#This Row],[Rating]]&gt;4,"Good",IF(FlipkartTable[[#This Row],[Rating]]&gt;3.5,"Average","Poor")))</f>
        <v>Excellent</v>
      </c>
    </row>
    <row r="1061" spans="1:13" x14ac:dyDescent="0.35">
      <c r="A1061" t="s">
        <v>633</v>
      </c>
      <c r="B1061" s="9" t="s">
        <v>636</v>
      </c>
      <c r="C1061" t="s">
        <v>84</v>
      </c>
      <c r="D1061" t="s">
        <v>637</v>
      </c>
      <c r="E1061" t="s">
        <v>15</v>
      </c>
      <c r="F1061">
        <v>4.5</v>
      </c>
      <c r="G1061">
        <v>61999</v>
      </c>
      <c r="H1061">
        <v>64900</v>
      </c>
      <c r="I1061">
        <f>FlipkartTable[[#This Row],[Original Price]]-FlipkartTable[[#This Row],[Selling Price]]</f>
        <v>2901</v>
      </c>
      <c r="J1061" s="4">
        <f>(FlipkartTable[[#This Row],[Original Price]]-FlipkartTable[[#This Row],[Selling Price]])/FlipkartTable[[#This Row],[Original Price]]</f>
        <v>4.469953775038521E-2</v>
      </c>
      <c r="K1061">
        <f>(FlipkartTable[[#This Row],[Rating]]/FlipkartTable[[#This Row],[Selling Price]])*1000</f>
        <v>7.2581815835739291E-2</v>
      </c>
      <c r="L1061" t="str">
        <f>IF(FlipkartTable[[#This Row],[Selling Price]]&lt;15000,"Budget",IF(FlipkartTable[[#This Row],[Selling Price]]&lt;50000,"Mid Range","Premium"))</f>
        <v>Premium</v>
      </c>
      <c r="M1061" t="str">
        <f>IF(FlipkartTable[[#This Row],[Rating]]&gt;4.5,"Excellent",IF(FlipkartTable[[#This Row],[Rating]]&gt;4,"Good",IF(FlipkartTable[[#This Row],[Rating]]&gt;3.5,"Average","Poor")))</f>
        <v>Good</v>
      </c>
    </row>
    <row r="1062" spans="1:13" x14ac:dyDescent="0.35">
      <c r="A1062" t="s">
        <v>633</v>
      </c>
      <c r="B1062" s="9" t="s">
        <v>636</v>
      </c>
      <c r="C1062" t="s">
        <v>139</v>
      </c>
      <c r="D1062" t="s">
        <v>637</v>
      </c>
      <c r="E1062" t="s">
        <v>12</v>
      </c>
      <c r="F1062">
        <v>4.5</v>
      </c>
      <c r="G1062">
        <v>56999</v>
      </c>
      <c r="H1062">
        <v>59900</v>
      </c>
      <c r="I1062">
        <f>FlipkartTable[[#This Row],[Original Price]]-FlipkartTable[[#This Row],[Selling Price]]</f>
        <v>2901</v>
      </c>
      <c r="J1062" s="4">
        <f>(FlipkartTable[[#This Row],[Original Price]]-FlipkartTable[[#This Row],[Selling Price]])/FlipkartTable[[#This Row],[Original Price]]</f>
        <v>4.8430717863105176E-2</v>
      </c>
      <c r="K1062">
        <f>(FlipkartTable[[#This Row],[Rating]]/FlipkartTable[[#This Row],[Selling Price]])*1000</f>
        <v>7.8948753486903278E-2</v>
      </c>
      <c r="L1062" t="str">
        <f>IF(FlipkartTable[[#This Row],[Selling Price]]&lt;15000,"Budget",IF(FlipkartTable[[#This Row],[Selling Price]]&lt;50000,"Mid Range","Premium"))</f>
        <v>Premium</v>
      </c>
      <c r="M1062" t="str">
        <f>IF(FlipkartTable[[#This Row],[Rating]]&gt;4.5,"Excellent",IF(FlipkartTable[[#This Row],[Rating]]&gt;4,"Good",IF(FlipkartTable[[#This Row],[Rating]]&gt;3.5,"Average","Poor")))</f>
        <v>Good</v>
      </c>
    </row>
    <row r="1063" spans="1:13" x14ac:dyDescent="0.35">
      <c r="A1063" t="s">
        <v>633</v>
      </c>
      <c r="B1063" s="9" t="s">
        <v>639</v>
      </c>
      <c r="C1063" t="s">
        <v>84</v>
      </c>
      <c r="D1063" t="s">
        <v>637</v>
      </c>
      <c r="E1063" t="s">
        <v>15</v>
      </c>
      <c r="F1063">
        <v>4.5999999999999996</v>
      </c>
      <c r="G1063">
        <v>54900</v>
      </c>
      <c r="H1063">
        <v>54900</v>
      </c>
      <c r="I1063">
        <f>FlipkartTable[[#This Row],[Original Price]]-FlipkartTable[[#This Row],[Selling Price]]</f>
        <v>0</v>
      </c>
      <c r="J1063" s="4">
        <f>(FlipkartTable[[#This Row],[Original Price]]-FlipkartTable[[#This Row],[Selling Price]])/FlipkartTable[[#This Row],[Original Price]]</f>
        <v>0</v>
      </c>
      <c r="K1063">
        <f>(FlipkartTable[[#This Row],[Rating]]/FlipkartTable[[#This Row],[Selling Price]])*1000</f>
        <v>8.3788706739526403E-2</v>
      </c>
      <c r="L1063" t="str">
        <f>IF(FlipkartTable[[#This Row],[Selling Price]]&lt;15000,"Budget",IF(FlipkartTable[[#This Row],[Selling Price]]&lt;50000,"Mid Range","Premium"))</f>
        <v>Premium</v>
      </c>
      <c r="M1063" t="str">
        <f>IF(FlipkartTable[[#This Row],[Rating]]&gt;4.5,"Excellent",IF(FlipkartTable[[#This Row],[Rating]]&gt;4,"Good",IF(FlipkartTable[[#This Row],[Rating]]&gt;3.5,"Average","Poor")))</f>
        <v>Excellent</v>
      </c>
    </row>
    <row r="1064" spans="1:13" x14ac:dyDescent="0.35">
      <c r="A1064" t="s">
        <v>633</v>
      </c>
      <c r="B1064" s="9" t="s">
        <v>634</v>
      </c>
      <c r="C1064" t="s">
        <v>84</v>
      </c>
      <c r="D1064" t="s">
        <v>35</v>
      </c>
      <c r="E1064" t="s">
        <v>64</v>
      </c>
      <c r="F1064">
        <v>4.5</v>
      </c>
      <c r="G1064">
        <v>54900</v>
      </c>
      <c r="H1064">
        <v>54900</v>
      </c>
      <c r="I1064">
        <f>FlipkartTable[[#This Row],[Original Price]]-FlipkartTable[[#This Row],[Selling Price]]</f>
        <v>0</v>
      </c>
      <c r="J1064" s="4">
        <f>(FlipkartTable[[#This Row],[Original Price]]-FlipkartTable[[#This Row],[Selling Price]])/FlipkartTable[[#This Row],[Original Price]]</f>
        <v>0</v>
      </c>
      <c r="K1064">
        <f>(FlipkartTable[[#This Row],[Rating]]/FlipkartTable[[#This Row],[Selling Price]])*1000</f>
        <v>8.1967213114754092E-2</v>
      </c>
      <c r="L1064" t="str">
        <f>IF(FlipkartTable[[#This Row],[Selling Price]]&lt;15000,"Budget",IF(FlipkartTable[[#This Row],[Selling Price]]&lt;50000,"Mid Range","Premium"))</f>
        <v>Premium</v>
      </c>
      <c r="M1064" t="str">
        <f>IF(FlipkartTable[[#This Row],[Rating]]&gt;4.5,"Excellent",IF(FlipkartTable[[#This Row],[Rating]]&gt;4,"Good",IF(FlipkartTable[[#This Row],[Rating]]&gt;3.5,"Average","Poor")))</f>
        <v>Good</v>
      </c>
    </row>
    <row r="1065" spans="1:13" x14ac:dyDescent="0.35">
      <c r="A1065" t="s">
        <v>633</v>
      </c>
      <c r="B1065" s="9" t="s">
        <v>636</v>
      </c>
      <c r="C1065" t="s">
        <v>121</v>
      </c>
      <c r="D1065" t="s">
        <v>637</v>
      </c>
      <c r="E1065" t="s">
        <v>12</v>
      </c>
      <c r="F1065">
        <v>4.5</v>
      </c>
      <c r="G1065">
        <v>56999</v>
      </c>
      <c r="H1065">
        <v>59900</v>
      </c>
      <c r="I1065">
        <f>FlipkartTable[[#This Row],[Original Price]]-FlipkartTable[[#This Row],[Selling Price]]</f>
        <v>2901</v>
      </c>
      <c r="J1065" s="4">
        <f>(FlipkartTable[[#This Row],[Original Price]]-FlipkartTable[[#This Row],[Selling Price]])/FlipkartTable[[#This Row],[Original Price]]</f>
        <v>4.8430717863105176E-2</v>
      </c>
      <c r="K1065">
        <f>(FlipkartTable[[#This Row],[Rating]]/FlipkartTable[[#This Row],[Selling Price]])*1000</f>
        <v>7.8948753486903278E-2</v>
      </c>
      <c r="L1065" t="str">
        <f>IF(FlipkartTable[[#This Row],[Selling Price]]&lt;15000,"Budget",IF(FlipkartTable[[#This Row],[Selling Price]]&lt;50000,"Mid Range","Premium"))</f>
        <v>Premium</v>
      </c>
      <c r="M1065" t="str">
        <f>IF(FlipkartTable[[#This Row],[Rating]]&gt;4.5,"Excellent",IF(FlipkartTable[[#This Row],[Rating]]&gt;4,"Good",IF(FlipkartTable[[#This Row],[Rating]]&gt;3.5,"Average","Poor")))</f>
        <v>Good</v>
      </c>
    </row>
    <row r="1066" spans="1:13" x14ac:dyDescent="0.35">
      <c r="A1066" t="s">
        <v>633</v>
      </c>
      <c r="B1066" s="9" t="s">
        <v>635</v>
      </c>
      <c r="C1066" t="s">
        <v>329</v>
      </c>
      <c r="D1066" t="s">
        <v>20</v>
      </c>
      <c r="E1066" t="s">
        <v>15</v>
      </c>
      <c r="F1066">
        <v>4.5999999999999996</v>
      </c>
      <c r="G1066">
        <v>47999</v>
      </c>
      <c r="H1066">
        <v>52900</v>
      </c>
      <c r="I1066">
        <f>FlipkartTable[[#This Row],[Original Price]]-FlipkartTable[[#This Row],[Selling Price]]</f>
        <v>4901</v>
      </c>
      <c r="J1066" s="4">
        <f>(FlipkartTable[[#This Row],[Original Price]]-FlipkartTable[[#This Row],[Selling Price]])/FlipkartTable[[#This Row],[Original Price]]</f>
        <v>9.2646502835538755E-2</v>
      </c>
      <c r="K1066">
        <f>(FlipkartTable[[#This Row],[Rating]]/FlipkartTable[[#This Row],[Selling Price]])*1000</f>
        <v>9.5835329902706295E-2</v>
      </c>
      <c r="L1066" t="str">
        <f>IF(FlipkartTable[[#This Row],[Selling Price]]&lt;15000,"Budget",IF(FlipkartTable[[#This Row],[Selling Price]]&lt;50000,"Mid Range","Premium"))</f>
        <v>Mid Range</v>
      </c>
      <c r="M1066" t="str">
        <f>IF(FlipkartTable[[#This Row],[Rating]]&gt;4.5,"Excellent",IF(FlipkartTable[[#This Row],[Rating]]&gt;4,"Good",IF(FlipkartTable[[#This Row],[Rating]]&gt;3.5,"Average","Poor")))</f>
        <v>Excellent</v>
      </c>
    </row>
    <row r="1067" spans="1:13" x14ac:dyDescent="0.35">
      <c r="A1067" t="s">
        <v>633</v>
      </c>
      <c r="B1067" s="9" t="s">
        <v>639</v>
      </c>
      <c r="C1067" t="s">
        <v>152</v>
      </c>
      <c r="D1067" t="s">
        <v>637</v>
      </c>
      <c r="E1067" t="s">
        <v>12</v>
      </c>
      <c r="F1067">
        <v>4.5999999999999996</v>
      </c>
      <c r="G1067">
        <v>49900</v>
      </c>
      <c r="H1067">
        <v>49900</v>
      </c>
      <c r="I1067">
        <f>FlipkartTable[[#This Row],[Original Price]]-FlipkartTable[[#This Row],[Selling Price]]</f>
        <v>0</v>
      </c>
      <c r="J1067" s="4">
        <f>(FlipkartTable[[#This Row],[Original Price]]-FlipkartTable[[#This Row],[Selling Price]])/FlipkartTable[[#This Row],[Original Price]]</f>
        <v>0</v>
      </c>
      <c r="K1067">
        <f>(FlipkartTable[[#This Row],[Rating]]/FlipkartTable[[#This Row],[Selling Price]])*1000</f>
        <v>9.2184368737474945E-2</v>
      </c>
      <c r="L1067" t="str">
        <f>IF(FlipkartTable[[#This Row],[Selling Price]]&lt;15000,"Budget",IF(FlipkartTable[[#This Row],[Selling Price]]&lt;50000,"Mid Range","Premium"))</f>
        <v>Mid Range</v>
      </c>
      <c r="M1067" t="str">
        <f>IF(FlipkartTable[[#This Row],[Rating]]&gt;4.5,"Excellent",IF(FlipkartTable[[#This Row],[Rating]]&gt;4,"Good",IF(FlipkartTable[[#This Row],[Rating]]&gt;3.5,"Average","Poor")))</f>
        <v>Excellent</v>
      </c>
    </row>
    <row r="1068" spans="1:13" x14ac:dyDescent="0.35">
      <c r="A1068" t="s">
        <v>633</v>
      </c>
      <c r="B1068" s="9" t="s">
        <v>639</v>
      </c>
      <c r="C1068" t="s">
        <v>139</v>
      </c>
      <c r="D1068" t="s">
        <v>637</v>
      </c>
      <c r="E1068" t="s">
        <v>12</v>
      </c>
      <c r="F1068">
        <v>4.5999999999999996</v>
      </c>
      <c r="G1068">
        <v>49900</v>
      </c>
      <c r="H1068">
        <v>49900</v>
      </c>
      <c r="I1068">
        <f>FlipkartTable[[#This Row],[Original Price]]-FlipkartTable[[#This Row],[Selling Price]]</f>
        <v>0</v>
      </c>
      <c r="J1068" s="4">
        <f>(FlipkartTable[[#This Row],[Original Price]]-FlipkartTable[[#This Row],[Selling Price]])/FlipkartTable[[#This Row],[Original Price]]</f>
        <v>0</v>
      </c>
      <c r="K1068">
        <f>(FlipkartTable[[#This Row],[Rating]]/FlipkartTable[[#This Row],[Selling Price]])*1000</f>
        <v>9.2184368737474945E-2</v>
      </c>
      <c r="L1068" t="str">
        <f>IF(FlipkartTable[[#This Row],[Selling Price]]&lt;15000,"Budget",IF(FlipkartTable[[#This Row],[Selling Price]]&lt;50000,"Mid Range","Premium"))</f>
        <v>Mid Range</v>
      </c>
      <c r="M1068" t="str">
        <f>IF(FlipkartTable[[#This Row],[Rating]]&gt;4.5,"Excellent",IF(FlipkartTable[[#This Row],[Rating]]&gt;4,"Good",IF(FlipkartTable[[#This Row],[Rating]]&gt;3.5,"Average","Poor")))</f>
        <v>Excellent</v>
      </c>
    </row>
    <row r="1069" spans="1:13" x14ac:dyDescent="0.35">
      <c r="A1069" t="s">
        <v>633</v>
      </c>
      <c r="B1069" s="9" t="s">
        <v>640</v>
      </c>
      <c r="C1069" t="s">
        <v>19</v>
      </c>
      <c r="D1069" t="s">
        <v>637</v>
      </c>
      <c r="E1069" t="s">
        <v>15</v>
      </c>
      <c r="F1069">
        <v>4.5999999999999996</v>
      </c>
      <c r="G1069">
        <v>68999</v>
      </c>
      <c r="H1069">
        <v>70900</v>
      </c>
      <c r="I1069">
        <f>FlipkartTable[[#This Row],[Original Price]]-FlipkartTable[[#This Row],[Selling Price]]</f>
        <v>1901</v>
      </c>
      <c r="J1069" s="4">
        <f>(FlipkartTable[[#This Row],[Original Price]]-FlipkartTable[[#This Row],[Selling Price]])/FlipkartTable[[#This Row],[Original Price]]</f>
        <v>2.6812411847672777E-2</v>
      </c>
      <c r="K1069">
        <f>(FlipkartTable[[#This Row],[Rating]]/FlipkartTable[[#This Row],[Selling Price]])*1000</f>
        <v>6.6667632864244403E-2</v>
      </c>
      <c r="L1069" t="str">
        <f>IF(FlipkartTable[[#This Row],[Selling Price]]&lt;15000,"Budget",IF(FlipkartTable[[#This Row],[Selling Price]]&lt;50000,"Mid Range","Premium"))</f>
        <v>Premium</v>
      </c>
      <c r="M1069" t="str">
        <f>IF(FlipkartTable[[#This Row],[Rating]]&gt;4.5,"Excellent",IF(FlipkartTable[[#This Row],[Rating]]&gt;4,"Good",IF(FlipkartTable[[#This Row],[Rating]]&gt;3.5,"Average","Poor")))</f>
        <v>Excellent</v>
      </c>
    </row>
    <row r="1070" spans="1:13" x14ac:dyDescent="0.35">
      <c r="A1070" t="s">
        <v>633</v>
      </c>
      <c r="B1070" s="9" t="s">
        <v>639</v>
      </c>
      <c r="C1070" t="s">
        <v>121</v>
      </c>
      <c r="D1070" t="s">
        <v>637</v>
      </c>
      <c r="E1070" t="s">
        <v>12</v>
      </c>
      <c r="F1070">
        <v>4.5999999999999996</v>
      </c>
      <c r="G1070">
        <v>49900</v>
      </c>
      <c r="H1070">
        <v>49900</v>
      </c>
      <c r="I1070">
        <f>FlipkartTable[[#This Row],[Original Price]]-FlipkartTable[[#This Row],[Selling Price]]</f>
        <v>0</v>
      </c>
      <c r="J1070" s="4">
        <f>(FlipkartTable[[#This Row],[Original Price]]-FlipkartTable[[#This Row],[Selling Price]])/FlipkartTable[[#This Row],[Original Price]]</f>
        <v>0</v>
      </c>
      <c r="K1070">
        <f>(FlipkartTable[[#This Row],[Rating]]/FlipkartTable[[#This Row],[Selling Price]])*1000</f>
        <v>9.2184368737474945E-2</v>
      </c>
      <c r="L1070" t="str">
        <f>IF(FlipkartTable[[#This Row],[Selling Price]]&lt;15000,"Budget",IF(FlipkartTable[[#This Row],[Selling Price]]&lt;50000,"Mid Range","Premium"))</f>
        <v>Mid Range</v>
      </c>
      <c r="M1070" t="str">
        <f>IF(FlipkartTable[[#This Row],[Rating]]&gt;4.5,"Excellent",IF(FlipkartTable[[#This Row],[Rating]]&gt;4,"Good",IF(FlipkartTable[[#This Row],[Rating]]&gt;3.5,"Average","Poor")))</f>
        <v>Excellent</v>
      </c>
    </row>
    <row r="1071" spans="1:13" x14ac:dyDescent="0.35">
      <c r="A1071" t="s">
        <v>633</v>
      </c>
      <c r="B1071" s="9" t="s">
        <v>640</v>
      </c>
      <c r="C1071" t="s">
        <v>22</v>
      </c>
      <c r="D1071" t="s">
        <v>637</v>
      </c>
      <c r="E1071" t="s">
        <v>12</v>
      </c>
      <c r="F1071">
        <v>4.5999999999999996</v>
      </c>
      <c r="G1071">
        <v>63999</v>
      </c>
      <c r="H1071">
        <v>65900</v>
      </c>
      <c r="I1071">
        <f>FlipkartTable[[#This Row],[Original Price]]-FlipkartTable[[#This Row],[Selling Price]]</f>
        <v>1901</v>
      </c>
      <c r="J1071" s="4">
        <f>(FlipkartTable[[#This Row],[Original Price]]-FlipkartTable[[#This Row],[Selling Price]])/FlipkartTable[[#This Row],[Original Price]]</f>
        <v>2.8846737481031868E-2</v>
      </c>
      <c r="K1071">
        <f>(FlipkartTable[[#This Row],[Rating]]/FlipkartTable[[#This Row],[Selling Price]])*1000</f>
        <v>7.187612306442287E-2</v>
      </c>
      <c r="L1071" t="str">
        <f>IF(FlipkartTable[[#This Row],[Selling Price]]&lt;15000,"Budget",IF(FlipkartTable[[#This Row],[Selling Price]]&lt;50000,"Mid Range","Premium"))</f>
        <v>Premium</v>
      </c>
      <c r="M1071" t="str">
        <f>IF(FlipkartTable[[#This Row],[Rating]]&gt;4.5,"Excellent",IF(FlipkartTable[[#This Row],[Rating]]&gt;4,"Good",IF(FlipkartTable[[#This Row],[Rating]]&gt;3.5,"Average","Poor")))</f>
        <v>Excellent</v>
      </c>
    </row>
    <row r="1072" spans="1:13" x14ac:dyDescent="0.35">
      <c r="A1072" t="s">
        <v>633</v>
      </c>
      <c r="B1072" s="9" t="s">
        <v>640</v>
      </c>
      <c r="C1072" t="s">
        <v>152</v>
      </c>
      <c r="D1072" t="s">
        <v>637</v>
      </c>
      <c r="E1072" t="s">
        <v>15</v>
      </c>
      <c r="F1072">
        <v>4.5999999999999996</v>
      </c>
      <c r="G1072">
        <v>68999</v>
      </c>
      <c r="H1072">
        <v>70900</v>
      </c>
      <c r="I1072">
        <f>FlipkartTable[[#This Row],[Original Price]]-FlipkartTable[[#This Row],[Selling Price]]</f>
        <v>1901</v>
      </c>
      <c r="J1072" s="4">
        <f>(FlipkartTable[[#This Row],[Original Price]]-FlipkartTable[[#This Row],[Selling Price]])/FlipkartTable[[#This Row],[Original Price]]</f>
        <v>2.6812411847672777E-2</v>
      </c>
      <c r="K1072">
        <f>(FlipkartTable[[#This Row],[Rating]]/FlipkartTable[[#This Row],[Selling Price]])*1000</f>
        <v>6.6667632864244403E-2</v>
      </c>
      <c r="L1072" t="str">
        <f>IF(FlipkartTable[[#This Row],[Selling Price]]&lt;15000,"Budget",IF(FlipkartTable[[#This Row],[Selling Price]]&lt;50000,"Mid Range","Premium"))</f>
        <v>Premium</v>
      </c>
      <c r="M1072" t="str">
        <f>IF(FlipkartTable[[#This Row],[Rating]]&gt;4.5,"Excellent",IF(FlipkartTable[[#This Row],[Rating]]&gt;4,"Good",IF(FlipkartTable[[#This Row],[Rating]]&gt;3.5,"Average","Poor")))</f>
        <v>Excellent</v>
      </c>
    </row>
    <row r="1073" spans="1:13" x14ac:dyDescent="0.35">
      <c r="A1073" t="s">
        <v>633</v>
      </c>
      <c r="B1073" s="9" t="s">
        <v>636</v>
      </c>
      <c r="C1073" t="s">
        <v>22</v>
      </c>
      <c r="D1073" t="s">
        <v>637</v>
      </c>
      <c r="E1073" t="s">
        <v>64</v>
      </c>
      <c r="F1073">
        <v>4.5</v>
      </c>
      <c r="G1073">
        <v>71999</v>
      </c>
      <c r="H1073">
        <v>84900</v>
      </c>
      <c r="I1073">
        <f>FlipkartTable[[#This Row],[Original Price]]-FlipkartTable[[#This Row],[Selling Price]]</f>
        <v>12901</v>
      </c>
      <c r="J1073" s="4">
        <f>(FlipkartTable[[#This Row],[Original Price]]-FlipkartTable[[#This Row],[Selling Price]])/FlipkartTable[[#This Row],[Original Price]]</f>
        <v>0.15195524146054182</v>
      </c>
      <c r="K1073">
        <f>(FlipkartTable[[#This Row],[Rating]]/FlipkartTable[[#This Row],[Selling Price]])*1000</f>
        <v>6.2500868067612056E-2</v>
      </c>
      <c r="L1073" t="str">
        <f>IF(FlipkartTable[[#This Row],[Selling Price]]&lt;15000,"Budget",IF(FlipkartTable[[#This Row],[Selling Price]]&lt;50000,"Mid Range","Premium"))</f>
        <v>Premium</v>
      </c>
      <c r="M1073" t="str">
        <f>IF(FlipkartTable[[#This Row],[Rating]]&gt;4.5,"Excellent",IF(FlipkartTable[[#This Row],[Rating]]&gt;4,"Good",IF(FlipkartTable[[#This Row],[Rating]]&gt;3.5,"Average","Poor")))</f>
        <v>Good</v>
      </c>
    </row>
    <row r="1074" spans="1:13" x14ac:dyDescent="0.35">
      <c r="A1074" t="s">
        <v>633</v>
      </c>
      <c r="B1074" s="9" t="s">
        <v>635</v>
      </c>
      <c r="C1074" t="s">
        <v>84</v>
      </c>
      <c r="D1074" t="s">
        <v>20</v>
      </c>
      <c r="E1074" t="s">
        <v>12</v>
      </c>
      <c r="F1074">
        <v>4.5999999999999996</v>
      </c>
      <c r="G1074">
        <v>42999</v>
      </c>
      <c r="H1074">
        <v>47900</v>
      </c>
      <c r="I1074">
        <f>FlipkartTable[[#This Row],[Original Price]]-FlipkartTable[[#This Row],[Selling Price]]</f>
        <v>4901</v>
      </c>
      <c r="J1074" s="4">
        <f>(FlipkartTable[[#This Row],[Original Price]]-FlipkartTable[[#This Row],[Selling Price]])/FlipkartTable[[#This Row],[Original Price]]</f>
        <v>0.10231732776617954</v>
      </c>
      <c r="K1074">
        <f>(FlipkartTable[[#This Row],[Rating]]/FlipkartTable[[#This Row],[Selling Price]])*1000</f>
        <v>0.10697923207516452</v>
      </c>
      <c r="L1074" t="str">
        <f>IF(FlipkartTable[[#This Row],[Selling Price]]&lt;15000,"Budget",IF(FlipkartTable[[#This Row],[Selling Price]]&lt;50000,"Mid Range","Premium"))</f>
        <v>Mid Range</v>
      </c>
      <c r="M1074" t="str">
        <f>IF(FlipkartTable[[#This Row],[Rating]]&gt;4.5,"Excellent",IF(FlipkartTable[[#This Row],[Rating]]&gt;4,"Good",IF(FlipkartTable[[#This Row],[Rating]]&gt;3.5,"Average","Poor")))</f>
        <v>Excellent</v>
      </c>
    </row>
    <row r="1075" spans="1:13" x14ac:dyDescent="0.35">
      <c r="A1075" t="s">
        <v>633</v>
      </c>
      <c r="B1075" s="9" t="s">
        <v>635</v>
      </c>
      <c r="C1075" t="s">
        <v>19</v>
      </c>
      <c r="D1075" t="s">
        <v>20</v>
      </c>
      <c r="E1075" t="s">
        <v>12</v>
      </c>
      <c r="F1075">
        <v>4.5999999999999996</v>
      </c>
      <c r="G1075">
        <v>42999</v>
      </c>
      <c r="H1075">
        <v>47900</v>
      </c>
      <c r="I1075">
        <f>FlipkartTable[[#This Row],[Original Price]]-FlipkartTable[[#This Row],[Selling Price]]</f>
        <v>4901</v>
      </c>
      <c r="J1075" s="4">
        <f>(FlipkartTable[[#This Row],[Original Price]]-FlipkartTable[[#This Row],[Selling Price]])/FlipkartTable[[#This Row],[Original Price]]</f>
        <v>0.10231732776617954</v>
      </c>
      <c r="K1075">
        <f>(FlipkartTable[[#This Row],[Rating]]/FlipkartTable[[#This Row],[Selling Price]])*1000</f>
        <v>0.10697923207516452</v>
      </c>
      <c r="L1075" t="str">
        <f>IF(FlipkartTable[[#This Row],[Selling Price]]&lt;15000,"Budget",IF(FlipkartTable[[#This Row],[Selling Price]]&lt;50000,"Mid Range","Premium"))</f>
        <v>Mid Range</v>
      </c>
      <c r="M1075" t="str">
        <f>IF(FlipkartTable[[#This Row],[Rating]]&gt;4.5,"Excellent",IF(FlipkartTable[[#This Row],[Rating]]&gt;4,"Good",IF(FlipkartTable[[#This Row],[Rating]]&gt;3.5,"Average","Poor")))</f>
        <v>Excellent</v>
      </c>
    </row>
    <row r="1076" spans="1:13" x14ac:dyDescent="0.35">
      <c r="A1076" t="s">
        <v>633</v>
      </c>
      <c r="B1076" s="9" t="s">
        <v>635</v>
      </c>
      <c r="C1076" t="s">
        <v>19</v>
      </c>
      <c r="D1076" t="s">
        <v>20</v>
      </c>
      <c r="E1076" t="s">
        <v>15</v>
      </c>
      <c r="F1076">
        <v>4.5999999999999996</v>
      </c>
      <c r="G1076">
        <v>47999</v>
      </c>
      <c r="H1076">
        <v>52900</v>
      </c>
      <c r="I1076">
        <f>FlipkartTable[[#This Row],[Original Price]]-FlipkartTable[[#This Row],[Selling Price]]</f>
        <v>4901</v>
      </c>
      <c r="J1076" s="4">
        <f>(FlipkartTable[[#This Row],[Original Price]]-FlipkartTable[[#This Row],[Selling Price]])/FlipkartTable[[#This Row],[Original Price]]</f>
        <v>9.2646502835538755E-2</v>
      </c>
      <c r="K1076">
        <f>(FlipkartTable[[#This Row],[Rating]]/FlipkartTable[[#This Row],[Selling Price]])*1000</f>
        <v>9.5835329902706295E-2</v>
      </c>
      <c r="L1076" t="str">
        <f>IF(FlipkartTable[[#This Row],[Selling Price]]&lt;15000,"Budget",IF(FlipkartTable[[#This Row],[Selling Price]]&lt;50000,"Mid Range","Premium"))</f>
        <v>Mid Range</v>
      </c>
      <c r="M1076" t="str">
        <f>IF(FlipkartTable[[#This Row],[Rating]]&gt;4.5,"Excellent",IF(FlipkartTable[[#This Row],[Rating]]&gt;4,"Good",IF(FlipkartTable[[#This Row],[Rating]]&gt;3.5,"Average","Poor")))</f>
        <v>Excellent</v>
      </c>
    </row>
    <row r="1077" spans="1:13" x14ac:dyDescent="0.35">
      <c r="A1077" t="s">
        <v>633</v>
      </c>
      <c r="B1077" s="9" t="s">
        <v>635</v>
      </c>
      <c r="C1077" t="s">
        <v>152</v>
      </c>
      <c r="D1077" t="s">
        <v>20</v>
      </c>
      <c r="E1077" t="s">
        <v>12</v>
      </c>
      <c r="F1077">
        <v>4.5999999999999996</v>
      </c>
      <c r="G1077">
        <v>42999</v>
      </c>
      <c r="H1077">
        <v>47900</v>
      </c>
      <c r="I1077">
        <f>FlipkartTable[[#This Row],[Original Price]]-FlipkartTable[[#This Row],[Selling Price]]</f>
        <v>4901</v>
      </c>
      <c r="J1077" s="4">
        <f>(FlipkartTable[[#This Row],[Original Price]]-FlipkartTable[[#This Row],[Selling Price]])/FlipkartTable[[#This Row],[Original Price]]</f>
        <v>0.10231732776617954</v>
      </c>
      <c r="K1077">
        <f>(FlipkartTable[[#This Row],[Rating]]/FlipkartTable[[#This Row],[Selling Price]])*1000</f>
        <v>0.10697923207516452</v>
      </c>
      <c r="L1077" t="str">
        <f>IF(FlipkartTable[[#This Row],[Selling Price]]&lt;15000,"Budget",IF(FlipkartTable[[#This Row],[Selling Price]]&lt;50000,"Mid Range","Premium"))</f>
        <v>Mid Range</v>
      </c>
      <c r="M1077" t="str">
        <f>IF(FlipkartTable[[#This Row],[Rating]]&gt;4.5,"Excellent",IF(FlipkartTable[[#This Row],[Rating]]&gt;4,"Good",IF(FlipkartTable[[#This Row],[Rating]]&gt;3.5,"Average","Poor")))</f>
        <v>Excellent</v>
      </c>
    </row>
    <row r="1078" spans="1:13" x14ac:dyDescent="0.35">
      <c r="A1078" t="s">
        <v>633</v>
      </c>
      <c r="B1078" s="9" t="s">
        <v>640</v>
      </c>
      <c r="C1078" t="s">
        <v>22</v>
      </c>
      <c r="D1078" t="s">
        <v>637</v>
      </c>
      <c r="E1078" t="s">
        <v>64</v>
      </c>
      <c r="F1078">
        <v>4.5999999999999996</v>
      </c>
      <c r="G1078">
        <v>78999</v>
      </c>
      <c r="H1078">
        <v>80900</v>
      </c>
      <c r="I1078">
        <f>FlipkartTable[[#This Row],[Original Price]]-FlipkartTable[[#This Row],[Selling Price]]</f>
        <v>1901</v>
      </c>
      <c r="J1078" s="4">
        <f>(FlipkartTable[[#This Row],[Original Price]]-FlipkartTable[[#This Row],[Selling Price]])/FlipkartTable[[#This Row],[Original Price]]</f>
        <v>2.3498145859085291E-2</v>
      </c>
      <c r="K1078">
        <f>(FlipkartTable[[#This Row],[Rating]]/FlipkartTable[[#This Row],[Selling Price]])*1000</f>
        <v>5.8228585171964192E-2</v>
      </c>
      <c r="L1078" t="str">
        <f>IF(FlipkartTable[[#This Row],[Selling Price]]&lt;15000,"Budget",IF(FlipkartTable[[#This Row],[Selling Price]]&lt;50000,"Mid Range","Premium"))</f>
        <v>Premium</v>
      </c>
      <c r="M1078" t="str">
        <f>IF(FlipkartTable[[#This Row],[Rating]]&gt;4.5,"Excellent",IF(FlipkartTable[[#This Row],[Rating]]&gt;4,"Good",IF(FlipkartTable[[#This Row],[Rating]]&gt;3.5,"Average","Poor")))</f>
        <v>Excellent</v>
      </c>
    </row>
    <row r="1079" spans="1:13" x14ac:dyDescent="0.35">
      <c r="A1079" t="s">
        <v>633</v>
      </c>
      <c r="B1079" s="9" t="s">
        <v>640</v>
      </c>
      <c r="C1079" t="s">
        <v>84</v>
      </c>
      <c r="D1079" t="s">
        <v>637</v>
      </c>
      <c r="E1079" t="s">
        <v>12</v>
      </c>
      <c r="F1079">
        <v>4.5999999999999996</v>
      </c>
      <c r="G1079">
        <v>63999</v>
      </c>
      <c r="H1079">
        <v>65900</v>
      </c>
      <c r="I1079">
        <f>FlipkartTable[[#This Row],[Original Price]]-FlipkartTable[[#This Row],[Selling Price]]</f>
        <v>1901</v>
      </c>
      <c r="J1079" s="4">
        <f>(FlipkartTable[[#This Row],[Original Price]]-FlipkartTable[[#This Row],[Selling Price]])/FlipkartTable[[#This Row],[Original Price]]</f>
        <v>2.8846737481031868E-2</v>
      </c>
      <c r="K1079">
        <f>(FlipkartTable[[#This Row],[Rating]]/FlipkartTable[[#This Row],[Selling Price]])*1000</f>
        <v>7.187612306442287E-2</v>
      </c>
      <c r="L1079" t="str">
        <f>IF(FlipkartTable[[#This Row],[Selling Price]]&lt;15000,"Budget",IF(FlipkartTable[[#This Row],[Selling Price]]&lt;50000,"Mid Range","Premium"))</f>
        <v>Premium</v>
      </c>
      <c r="M1079" t="str">
        <f>IF(FlipkartTable[[#This Row],[Rating]]&gt;4.5,"Excellent",IF(FlipkartTable[[#This Row],[Rating]]&gt;4,"Good",IF(FlipkartTable[[#This Row],[Rating]]&gt;3.5,"Average","Poor")))</f>
        <v>Excellent</v>
      </c>
    </row>
    <row r="1080" spans="1:13" x14ac:dyDescent="0.35">
      <c r="A1080" t="s">
        <v>633</v>
      </c>
      <c r="B1080" s="9" t="s">
        <v>636</v>
      </c>
      <c r="C1080" t="s">
        <v>84</v>
      </c>
      <c r="D1080" t="s">
        <v>637</v>
      </c>
      <c r="E1080" t="s">
        <v>64</v>
      </c>
      <c r="F1080">
        <v>4.5</v>
      </c>
      <c r="G1080">
        <v>71999</v>
      </c>
      <c r="H1080">
        <v>74900</v>
      </c>
      <c r="I1080">
        <f>FlipkartTable[[#This Row],[Original Price]]-FlipkartTable[[#This Row],[Selling Price]]</f>
        <v>2901</v>
      </c>
      <c r="J1080" s="4">
        <f>(FlipkartTable[[#This Row],[Original Price]]-FlipkartTable[[#This Row],[Selling Price]])/FlipkartTable[[#This Row],[Original Price]]</f>
        <v>3.8731642189586114E-2</v>
      </c>
      <c r="K1080">
        <f>(FlipkartTable[[#This Row],[Rating]]/FlipkartTable[[#This Row],[Selling Price]])*1000</f>
        <v>6.2500868067612056E-2</v>
      </c>
      <c r="L1080" t="str">
        <f>IF(FlipkartTable[[#This Row],[Selling Price]]&lt;15000,"Budget",IF(FlipkartTable[[#This Row],[Selling Price]]&lt;50000,"Mid Range","Premium"))</f>
        <v>Premium</v>
      </c>
      <c r="M1080" t="str">
        <f>IF(FlipkartTable[[#This Row],[Rating]]&gt;4.5,"Excellent",IF(FlipkartTable[[#This Row],[Rating]]&gt;4,"Good",IF(FlipkartTable[[#This Row],[Rating]]&gt;3.5,"Average","Poor")))</f>
        <v>Good</v>
      </c>
    </row>
    <row r="1081" spans="1:13" x14ac:dyDescent="0.35">
      <c r="A1081" t="s">
        <v>633</v>
      </c>
      <c r="B1081" s="9" t="s">
        <v>639</v>
      </c>
      <c r="C1081" t="s">
        <v>152</v>
      </c>
      <c r="D1081" t="s">
        <v>637</v>
      </c>
      <c r="E1081" t="s">
        <v>15</v>
      </c>
      <c r="F1081">
        <v>4.5999999999999996</v>
      </c>
      <c r="G1081">
        <v>54900</v>
      </c>
      <c r="H1081">
        <v>54900</v>
      </c>
      <c r="I1081">
        <f>FlipkartTable[[#This Row],[Original Price]]-FlipkartTable[[#This Row],[Selling Price]]</f>
        <v>0</v>
      </c>
      <c r="J1081" s="4">
        <f>(FlipkartTable[[#This Row],[Original Price]]-FlipkartTable[[#This Row],[Selling Price]])/FlipkartTable[[#This Row],[Original Price]]</f>
        <v>0</v>
      </c>
      <c r="K1081">
        <f>(FlipkartTable[[#This Row],[Rating]]/FlipkartTable[[#This Row],[Selling Price]])*1000</f>
        <v>8.3788706739526403E-2</v>
      </c>
      <c r="L1081" t="str">
        <f>IF(FlipkartTable[[#This Row],[Selling Price]]&lt;15000,"Budget",IF(FlipkartTable[[#This Row],[Selling Price]]&lt;50000,"Mid Range","Premium"))</f>
        <v>Premium</v>
      </c>
      <c r="M1081" t="str">
        <f>IF(FlipkartTable[[#This Row],[Rating]]&gt;4.5,"Excellent",IF(FlipkartTable[[#This Row],[Rating]]&gt;4,"Good",IF(FlipkartTable[[#This Row],[Rating]]&gt;3.5,"Average","Poor")))</f>
        <v>Excellent</v>
      </c>
    </row>
    <row r="1082" spans="1:13" x14ac:dyDescent="0.35">
      <c r="A1082" t="s">
        <v>633</v>
      </c>
      <c r="B1082" s="9" t="s">
        <v>636</v>
      </c>
      <c r="C1082" t="s">
        <v>22</v>
      </c>
      <c r="D1082" t="s">
        <v>637</v>
      </c>
      <c r="E1082" t="s">
        <v>12</v>
      </c>
      <c r="F1082">
        <v>4.5</v>
      </c>
      <c r="G1082">
        <v>56999</v>
      </c>
      <c r="H1082">
        <v>59900</v>
      </c>
      <c r="I1082">
        <f>FlipkartTable[[#This Row],[Original Price]]-FlipkartTable[[#This Row],[Selling Price]]</f>
        <v>2901</v>
      </c>
      <c r="J1082" s="4">
        <f>(FlipkartTable[[#This Row],[Original Price]]-FlipkartTable[[#This Row],[Selling Price]])/FlipkartTable[[#This Row],[Original Price]]</f>
        <v>4.8430717863105176E-2</v>
      </c>
      <c r="K1082">
        <f>(FlipkartTable[[#This Row],[Rating]]/FlipkartTable[[#This Row],[Selling Price]])*1000</f>
        <v>7.8948753486903278E-2</v>
      </c>
      <c r="L1082" t="str">
        <f>IF(FlipkartTable[[#This Row],[Selling Price]]&lt;15000,"Budget",IF(FlipkartTable[[#This Row],[Selling Price]]&lt;50000,"Mid Range","Premium"))</f>
        <v>Premium</v>
      </c>
      <c r="M1082" t="str">
        <f>IF(FlipkartTable[[#This Row],[Rating]]&gt;4.5,"Excellent",IF(FlipkartTable[[#This Row],[Rating]]&gt;4,"Good",IF(FlipkartTable[[#This Row],[Rating]]&gt;3.5,"Average","Poor")))</f>
        <v>Good</v>
      </c>
    </row>
    <row r="1083" spans="1:13" x14ac:dyDescent="0.35">
      <c r="A1083" t="s">
        <v>633</v>
      </c>
      <c r="B1083" s="9" t="s">
        <v>640</v>
      </c>
      <c r="C1083" t="s">
        <v>139</v>
      </c>
      <c r="D1083" t="s">
        <v>637</v>
      </c>
      <c r="E1083" t="s">
        <v>12</v>
      </c>
      <c r="F1083">
        <v>4.5999999999999996</v>
      </c>
      <c r="G1083">
        <v>63999</v>
      </c>
      <c r="H1083">
        <v>65900</v>
      </c>
      <c r="I1083">
        <f>FlipkartTable[[#This Row],[Original Price]]-FlipkartTable[[#This Row],[Selling Price]]</f>
        <v>1901</v>
      </c>
      <c r="J1083" s="4">
        <f>(FlipkartTable[[#This Row],[Original Price]]-FlipkartTable[[#This Row],[Selling Price]])/FlipkartTable[[#This Row],[Original Price]]</f>
        <v>2.8846737481031868E-2</v>
      </c>
      <c r="K1083">
        <f>(FlipkartTable[[#This Row],[Rating]]/FlipkartTable[[#This Row],[Selling Price]])*1000</f>
        <v>7.187612306442287E-2</v>
      </c>
      <c r="L1083" t="str">
        <f>IF(FlipkartTable[[#This Row],[Selling Price]]&lt;15000,"Budget",IF(FlipkartTable[[#This Row],[Selling Price]]&lt;50000,"Mid Range","Premium"))</f>
        <v>Premium</v>
      </c>
      <c r="M1083" t="str">
        <f>IF(FlipkartTable[[#This Row],[Rating]]&gt;4.5,"Excellent",IF(FlipkartTable[[#This Row],[Rating]]&gt;4,"Good",IF(FlipkartTable[[#This Row],[Rating]]&gt;3.5,"Average","Poor")))</f>
        <v>Excellent</v>
      </c>
    </row>
    <row r="1084" spans="1:13" x14ac:dyDescent="0.35">
      <c r="A1084" t="s">
        <v>633</v>
      </c>
      <c r="B1084" s="9" t="s">
        <v>634</v>
      </c>
      <c r="C1084" t="s">
        <v>152</v>
      </c>
      <c r="D1084" t="s">
        <v>35</v>
      </c>
      <c r="E1084" t="s">
        <v>64</v>
      </c>
      <c r="F1084">
        <v>4.5</v>
      </c>
      <c r="G1084">
        <v>54900</v>
      </c>
      <c r="H1084">
        <v>54900</v>
      </c>
      <c r="I1084">
        <f>FlipkartTable[[#This Row],[Original Price]]-FlipkartTable[[#This Row],[Selling Price]]</f>
        <v>0</v>
      </c>
      <c r="J1084" s="4">
        <f>(FlipkartTable[[#This Row],[Original Price]]-FlipkartTable[[#This Row],[Selling Price]])/FlipkartTable[[#This Row],[Original Price]]</f>
        <v>0</v>
      </c>
      <c r="K1084">
        <f>(FlipkartTable[[#This Row],[Rating]]/FlipkartTable[[#This Row],[Selling Price]])*1000</f>
        <v>8.1967213114754092E-2</v>
      </c>
      <c r="L1084" t="str">
        <f>IF(FlipkartTable[[#This Row],[Selling Price]]&lt;15000,"Budget",IF(FlipkartTable[[#This Row],[Selling Price]]&lt;50000,"Mid Range","Premium"))</f>
        <v>Premium</v>
      </c>
      <c r="M1084" t="str">
        <f>IF(FlipkartTable[[#This Row],[Rating]]&gt;4.5,"Excellent",IF(FlipkartTable[[#This Row],[Rating]]&gt;4,"Good",IF(FlipkartTable[[#This Row],[Rating]]&gt;3.5,"Average","Poor")))</f>
        <v>Good</v>
      </c>
    </row>
    <row r="1085" spans="1:13" x14ac:dyDescent="0.35">
      <c r="A1085" t="s">
        <v>633</v>
      </c>
      <c r="B1085" s="9" t="s">
        <v>636</v>
      </c>
      <c r="C1085" t="s">
        <v>152</v>
      </c>
      <c r="D1085" t="s">
        <v>637</v>
      </c>
      <c r="E1085" t="s">
        <v>15</v>
      </c>
      <c r="F1085">
        <v>4.5</v>
      </c>
      <c r="G1085">
        <v>61999</v>
      </c>
      <c r="H1085">
        <v>64900</v>
      </c>
      <c r="I1085">
        <f>FlipkartTable[[#This Row],[Original Price]]-FlipkartTable[[#This Row],[Selling Price]]</f>
        <v>2901</v>
      </c>
      <c r="J1085" s="4">
        <f>(FlipkartTable[[#This Row],[Original Price]]-FlipkartTable[[#This Row],[Selling Price]])/FlipkartTable[[#This Row],[Original Price]]</f>
        <v>4.469953775038521E-2</v>
      </c>
      <c r="K1085">
        <f>(FlipkartTable[[#This Row],[Rating]]/FlipkartTable[[#This Row],[Selling Price]])*1000</f>
        <v>7.2581815835739291E-2</v>
      </c>
      <c r="L1085" t="str">
        <f>IF(FlipkartTable[[#This Row],[Selling Price]]&lt;15000,"Budget",IF(FlipkartTable[[#This Row],[Selling Price]]&lt;50000,"Mid Range","Premium"))</f>
        <v>Premium</v>
      </c>
      <c r="M1085" t="str">
        <f>IF(FlipkartTable[[#This Row],[Rating]]&gt;4.5,"Excellent",IF(FlipkartTable[[#This Row],[Rating]]&gt;4,"Good",IF(FlipkartTable[[#This Row],[Rating]]&gt;3.5,"Average","Poor")))</f>
        <v>Good</v>
      </c>
    </row>
    <row r="1086" spans="1:13" x14ac:dyDescent="0.35">
      <c r="A1086" t="s">
        <v>633</v>
      </c>
      <c r="B1086" s="9" t="s">
        <v>640</v>
      </c>
      <c r="C1086" t="s">
        <v>139</v>
      </c>
      <c r="D1086" t="s">
        <v>637</v>
      </c>
      <c r="E1086" t="s">
        <v>64</v>
      </c>
      <c r="F1086">
        <v>4.5999999999999996</v>
      </c>
      <c r="G1086">
        <v>78999</v>
      </c>
      <c r="H1086">
        <v>80900</v>
      </c>
      <c r="I1086">
        <f>FlipkartTable[[#This Row],[Original Price]]-FlipkartTable[[#This Row],[Selling Price]]</f>
        <v>1901</v>
      </c>
      <c r="J1086" s="4">
        <f>(FlipkartTable[[#This Row],[Original Price]]-FlipkartTable[[#This Row],[Selling Price]])/FlipkartTable[[#This Row],[Original Price]]</f>
        <v>2.3498145859085291E-2</v>
      </c>
      <c r="K1086">
        <f>(FlipkartTable[[#This Row],[Rating]]/FlipkartTable[[#This Row],[Selling Price]])*1000</f>
        <v>5.8228585171964192E-2</v>
      </c>
      <c r="L1086" t="str">
        <f>IF(FlipkartTable[[#This Row],[Selling Price]]&lt;15000,"Budget",IF(FlipkartTable[[#This Row],[Selling Price]]&lt;50000,"Mid Range","Premium"))</f>
        <v>Premium</v>
      </c>
      <c r="M1086" t="str">
        <f>IF(FlipkartTable[[#This Row],[Rating]]&gt;4.5,"Excellent",IF(FlipkartTable[[#This Row],[Rating]]&gt;4,"Good",IF(FlipkartTable[[#This Row],[Rating]]&gt;3.5,"Average","Poor")))</f>
        <v>Excellent</v>
      </c>
    </row>
    <row r="1087" spans="1:13" x14ac:dyDescent="0.35">
      <c r="A1087" t="s">
        <v>633</v>
      </c>
      <c r="B1087" s="9" t="s">
        <v>635</v>
      </c>
      <c r="C1087" t="s">
        <v>642</v>
      </c>
      <c r="D1087" t="s">
        <v>20</v>
      </c>
      <c r="E1087" t="s">
        <v>15</v>
      </c>
      <c r="F1087">
        <v>4.5999999999999996</v>
      </c>
      <c r="G1087">
        <v>47999</v>
      </c>
      <c r="H1087">
        <v>52900</v>
      </c>
      <c r="I1087">
        <f>FlipkartTable[[#This Row],[Original Price]]-FlipkartTable[[#This Row],[Selling Price]]</f>
        <v>4901</v>
      </c>
      <c r="J1087" s="4">
        <f>(FlipkartTable[[#This Row],[Original Price]]-FlipkartTable[[#This Row],[Selling Price]])/FlipkartTable[[#This Row],[Original Price]]</f>
        <v>9.2646502835538755E-2</v>
      </c>
      <c r="K1087">
        <f>(FlipkartTable[[#This Row],[Rating]]/FlipkartTable[[#This Row],[Selling Price]])*1000</f>
        <v>9.5835329902706295E-2</v>
      </c>
      <c r="L1087" t="str">
        <f>IF(FlipkartTable[[#This Row],[Selling Price]]&lt;15000,"Budget",IF(FlipkartTable[[#This Row],[Selling Price]]&lt;50000,"Mid Range","Premium"))</f>
        <v>Mid Range</v>
      </c>
      <c r="M1087" t="str">
        <f>IF(FlipkartTable[[#This Row],[Rating]]&gt;4.5,"Excellent",IF(FlipkartTable[[#This Row],[Rating]]&gt;4,"Good",IF(FlipkartTable[[#This Row],[Rating]]&gt;3.5,"Average","Poor")))</f>
        <v>Excellent</v>
      </c>
    </row>
    <row r="1088" spans="1:13" x14ac:dyDescent="0.35">
      <c r="A1088" t="s">
        <v>633</v>
      </c>
      <c r="B1088" s="9" t="s">
        <v>643</v>
      </c>
      <c r="C1088" t="s">
        <v>644</v>
      </c>
      <c r="D1088" t="s">
        <v>14</v>
      </c>
      <c r="E1088" t="s">
        <v>64</v>
      </c>
      <c r="F1088">
        <v>4.5999999999999996</v>
      </c>
      <c r="G1088">
        <v>119900</v>
      </c>
      <c r="H1088">
        <v>119900</v>
      </c>
      <c r="I1088">
        <f>FlipkartTable[[#This Row],[Original Price]]-FlipkartTable[[#This Row],[Selling Price]]</f>
        <v>0</v>
      </c>
      <c r="J1088" s="4">
        <f>(FlipkartTable[[#This Row],[Original Price]]-FlipkartTable[[#This Row],[Selling Price]])/FlipkartTable[[#This Row],[Original Price]]</f>
        <v>0</v>
      </c>
      <c r="K1088">
        <f>(FlipkartTable[[#This Row],[Rating]]/FlipkartTable[[#This Row],[Selling Price]])*1000</f>
        <v>3.8365304420350285E-2</v>
      </c>
      <c r="L1088" t="str">
        <f>IF(FlipkartTable[[#This Row],[Selling Price]]&lt;15000,"Budget",IF(FlipkartTable[[#This Row],[Selling Price]]&lt;50000,"Mid Range","Premium"))</f>
        <v>Premium</v>
      </c>
      <c r="M1088" t="str">
        <f>IF(FlipkartTable[[#This Row],[Rating]]&gt;4.5,"Excellent",IF(FlipkartTable[[#This Row],[Rating]]&gt;4,"Good",IF(FlipkartTable[[#This Row],[Rating]]&gt;3.5,"Average","Poor")))</f>
        <v>Excellent</v>
      </c>
    </row>
    <row r="1089" spans="1:13" x14ac:dyDescent="0.35">
      <c r="A1089" t="s">
        <v>633</v>
      </c>
      <c r="B1089" s="9" t="s">
        <v>636</v>
      </c>
      <c r="C1089" t="s">
        <v>152</v>
      </c>
      <c r="D1089" t="s">
        <v>637</v>
      </c>
      <c r="E1089" t="s">
        <v>64</v>
      </c>
      <c r="F1089">
        <v>4.5</v>
      </c>
      <c r="G1089">
        <v>71999</v>
      </c>
      <c r="H1089">
        <v>74900</v>
      </c>
      <c r="I1089">
        <f>FlipkartTable[[#This Row],[Original Price]]-FlipkartTable[[#This Row],[Selling Price]]</f>
        <v>2901</v>
      </c>
      <c r="J1089" s="4">
        <f>(FlipkartTable[[#This Row],[Original Price]]-FlipkartTable[[#This Row],[Selling Price]])/FlipkartTable[[#This Row],[Original Price]]</f>
        <v>3.8731642189586114E-2</v>
      </c>
      <c r="K1089">
        <f>(FlipkartTable[[#This Row],[Rating]]/FlipkartTable[[#This Row],[Selling Price]])*1000</f>
        <v>6.2500868067612056E-2</v>
      </c>
      <c r="L1089" t="str">
        <f>IF(FlipkartTable[[#This Row],[Selling Price]]&lt;15000,"Budget",IF(FlipkartTable[[#This Row],[Selling Price]]&lt;50000,"Mid Range","Premium"))</f>
        <v>Premium</v>
      </c>
      <c r="M1089" t="str">
        <f>IF(FlipkartTable[[#This Row],[Rating]]&gt;4.5,"Excellent",IF(FlipkartTable[[#This Row],[Rating]]&gt;4,"Good",IF(FlipkartTable[[#This Row],[Rating]]&gt;3.5,"Average","Poor")))</f>
        <v>Good</v>
      </c>
    </row>
    <row r="1090" spans="1:13" x14ac:dyDescent="0.35">
      <c r="A1090" t="s">
        <v>633</v>
      </c>
      <c r="B1090" s="9" t="s">
        <v>640</v>
      </c>
      <c r="C1090" t="s">
        <v>19</v>
      </c>
      <c r="D1090" t="s">
        <v>637</v>
      </c>
      <c r="E1090" t="s">
        <v>12</v>
      </c>
      <c r="F1090">
        <v>4.5999999999999996</v>
      </c>
      <c r="G1090">
        <v>63999</v>
      </c>
      <c r="H1090">
        <v>65900</v>
      </c>
      <c r="I1090">
        <f>FlipkartTable[[#This Row],[Original Price]]-FlipkartTable[[#This Row],[Selling Price]]</f>
        <v>1901</v>
      </c>
      <c r="J1090" s="4">
        <f>(FlipkartTable[[#This Row],[Original Price]]-FlipkartTable[[#This Row],[Selling Price]])/FlipkartTable[[#This Row],[Original Price]]</f>
        <v>2.8846737481031868E-2</v>
      </c>
      <c r="K1090">
        <f>(FlipkartTable[[#This Row],[Rating]]/FlipkartTable[[#This Row],[Selling Price]])*1000</f>
        <v>7.187612306442287E-2</v>
      </c>
      <c r="L1090" t="str">
        <f>IF(FlipkartTable[[#This Row],[Selling Price]]&lt;15000,"Budget",IF(FlipkartTable[[#This Row],[Selling Price]]&lt;50000,"Mid Range","Premium"))</f>
        <v>Premium</v>
      </c>
      <c r="M1090" t="str">
        <f>IF(FlipkartTable[[#This Row],[Rating]]&gt;4.5,"Excellent",IF(FlipkartTable[[#This Row],[Rating]]&gt;4,"Good",IF(FlipkartTable[[#This Row],[Rating]]&gt;3.5,"Average","Poor")))</f>
        <v>Excellent</v>
      </c>
    </row>
    <row r="1091" spans="1:13" x14ac:dyDescent="0.35">
      <c r="A1091" t="s">
        <v>633</v>
      </c>
      <c r="B1091" s="9" t="s">
        <v>636</v>
      </c>
      <c r="C1091" t="s">
        <v>121</v>
      </c>
      <c r="D1091" t="s">
        <v>637</v>
      </c>
      <c r="E1091" t="s">
        <v>64</v>
      </c>
      <c r="F1091">
        <v>4.5</v>
      </c>
      <c r="G1091">
        <v>71999</v>
      </c>
      <c r="H1091">
        <v>74900</v>
      </c>
      <c r="I1091">
        <f>FlipkartTable[[#This Row],[Original Price]]-FlipkartTable[[#This Row],[Selling Price]]</f>
        <v>2901</v>
      </c>
      <c r="J1091" s="4">
        <f>(FlipkartTable[[#This Row],[Original Price]]-FlipkartTable[[#This Row],[Selling Price]])/FlipkartTable[[#This Row],[Original Price]]</f>
        <v>3.8731642189586114E-2</v>
      </c>
      <c r="K1091">
        <f>(FlipkartTable[[#This Row],[Rating]]/FlipkartTable[[#This Row],[Selling Price]])*1000</f>
        <v>6.2500868067612056E-2</v>
      </c>
      <c r="L1091" t="str">
        <f>IF(FlipkartTable[[#This Row],[Selling Price]]&lt;15000,"Budget",IF(FlipkartTable[[#This Row],[Selling Price]]&lt;50000,"Mid Range","Premium"))</f>
        <v>Premium</v>
      </c>
      <c r="M1091" t="str">
        <f>IF(FlipkartTable[[#This Row],[Rating]]&gt;4.5,"Excellent",IF(FlipkartTable[[#This Row],[Rating]]&gt;4,"Good",IF(FlipkartTable[[#This Row],[Rating]]&gt;3.5,"Average","Poor")))</f>
        <v>Good</v>
      </c>
    </row>
    <row r="1092" spans="1:13" x14ac:dyDescent="0.35">
      <c r="A1092" t="s">
        <v>633</v>
      </c>
      <c r="B1092" s="9" t="s">
        <v>645</v>
      </c>
      <c r="C1092" t="s">
        <v>646</v>
      </c>
      <c r="D1092" t="s">
        <v>637</v>
      </c>
      <c r="E1092" t="s">
        <v>12</v>
      </c>
      <c r="F1092">
        <v>4.7</v>
      </c>
      <c r="G1092">
        <v>117100</v>
      </c>
      <c r="H1092">
        <v>117100</v>
      </c>
      <c r="I1092">
        <f>FlipkartTable[[#This Row],[Original Price]]-FlipkartTable[[#This Row],[Selling Price]]</f>
        <v>0</v>
      </c>
      <c r="J1092" s="4">
        <f>(FlipkartTable[[#This Row],[Original Price]]-FlipkartTable[[#This Row],[Selling Price]])/FlipkartTable[[#This Row],[Original Price]]</f>
        <v>0</v>
      </c>
      <c r="K1092">
        <f>(FlipkartTable[[#This Row],[Rating]]/FlipkartTable[[#This Row],[Selling Price]])*1000</f>
        <v>4.0136635354397952E-2</v>
      </c>
      <c r="L1092" t="str">
        <f>IF(FlipkartTable[[#This Row],[Selling Price]]&lt;15000,"Budget",IF(FlipkartTable[[#This Row],[Selling Price]]&lt;50000,"Mid Range","Premium"))</f>
        <v>Premium</v>
      </c>
      <c r="M1092" t="str">
        <f>IF(FlipkartTable[[#This Row],[Rating]]&gt;4.5,"Excellent",IF(FlipkartTable[[#This Row],[Rating]]&gt;4,"Good",IF(FlipkartTable[[#This Row],[Rating]]&gt;3.5,"Average","Poor")))</f>
        <v>Excellent</v>
      </c>
    </row>
    <row r="1093" spans="1:13" x14ac:dyDescent="0.35">
      <c r="A1093" t="s">
        <v>633</v>
      </c>
      <c r="B1093" s="9" t="s">
        <v>635</v>
      </c>
      <c r="C1093" t="s">
        <v>19</v>
      </c>
      <c r="D1093" t="s">
        <v>20</v>
      </c>
      <c r="E1093" t="s">
        <v>12</v>
      </c>
      <c r="F1093">
        <v>4.5999999999999996</v>
      </c>
      <c r="G1093">
        <v>42999</v>
      </c>
      <c r="H1093">
        <v>47900</v>
      </c>
      <c r="I1093">
        <f>FlipkartTable[[#This Row],[Original Price]]-FlipkartTable[[#This Row],[Selling Price]]</f>
        <v>4901</v>
      </c>
      <c r="J1093" s="4">
        <f>(FlipkartTable[[#This Row],[Original Price]]-FlipkartTable[[#This Row],[Selling Price]])/FlipkartTable[[#This Row],[Original Price]]</f>
        <v>0.10231732776617954</v>
      </c>
      <c r="K1093">
        <f>(FlipkartTable[[#This Row],[Rating]]/FlipkartTable[[#This Row],[Selling Price]])*1000</f>
        <v>0.10697923207516452</v>
      </c>
      <c r="L1093" t="str">
        <f>IF(FlipkartTable[[#This Row],[Selling Price]]&lt;15000,"Budget",IF(FlipkartTable[[#This Row],[Selling Price]]&lt;50000,"Mid Range","Premium"))</f>
        <v>Mid Range</v>
      </c>
      <c r="M1093" t="str">
        <f>IF(FlipkartTable[[#This Row],[Rating]]&gt;4.5,"Excellent",IF(FlipkartTable[[#This Row],[Rating]]&gt;4,"Good",IF(FlipkartTable[[#This Row],[Rating]]&gt;3.5,"Average","Poor")))</f>
        <v>Excellent</v>
      </c>
    </row>
    <row r="1094" spans="1:13" x14ac:dyDescent="0.35">
      <c r="A1094" t="s">
        <v>633</v>
      </c>
      <c r="B1094" s="9" t="s">
        <v>643</v>
      </c>
      <c r="C1094" t="s">
        <v>116</v>
      </c>
      <c r="D1094" t="s">
        <v>14</v>
      </c>
      <c r="E1094" t="s">
        <v>15</v>
      </c>
      <c r="F1094">
        <v>4.5999999999999996</v>
      </c>
      <c r="G1094">
        <v>109900</v>
      </c>
      <c r="H1094">
        <v>109900</v>
      </c>
      <c r="I1094">
        <f>FlipkartTable[[#This Row],[Original Price]]-FlipkartTable[[#This Row],[Selling Price]]</f>
        <v>0</v>
      </c>
      <c r="J1094" s="4">
        <f>(FlipkartTable[[#This Row],[Original Price]]-FlipkartTable[[#This Row],[Selling Price]])/FlipkartTable[[#This Row],[Original Price]]</f>
        <v>0</v>
      </c>
      <c r="K1094">
        <f>(FlipkartTable[[#This Row],[Rating]]/FlipkartTable[[#This Row],[Selling Price]])*1000</f>
        <v>4.1856232939035488E-2</v>
      </c>
      <c r="L1094" t="str">
        <f>IF(FlipkartTable[[#This Row],[Selling Price]]&lt;15000,"Budget",IF(FlipkartTable[[#This Row],[Selling Price]]&lt;50000,"Mid Range","Premium"))</f>
        <v>Premium</v>
      </c>
      <c r="M1094" t="str">
        <f>IF(FlipkartTable[[#This Row],[Rating]]&gt;4.5,"Excellent",IF(FlipkartTable[[#This Row],[Rating]]&gt;4,"Good",IF(FlipkartTable[[#This Row],[Rating]]&gt;3.5,"Average","Poor")))</f>
        <v>Excellent</v>
      </c>
    </row>
    <row r="1095" spans="1:13" x14ac:dyDescent="0.35">
      <c r="A1095" t="s">
        <v>633</v>
      </c>
      <c r="B1095" s="9" t="s">
        <v>643</v>
      </c>
      <c r="C1095" t="s">
        <v>116</v>
      </c>
      <c r="D1095" t="s">
        <v>14</v>
      </c>
      <c r="E1095" t="s">
        <v>338</v>
      </c>
      <c r="F1095">
        <v>4.5999999999999996</v>
      </c>
      <c r="G1095">
        <v>139900</v>
      </c>
      <c r="H1095">
        <v>139900</v>
      </c>
      <c r="I1095">
        <f>FlipkartTable[[#This Row],[Original Price]]-FlipkartTable[[#This Row],[Selling Price]]</f>
        <v>0</v>
      </c>
      <c r="J1095" s="4">
        <f>(FlipkartTable[[#This Row],[Original Price]]-FlipkartTable[[#This Row],[Selling Price]])/FlipkartTable[[#This Row],[Original Price]]</f>
        <v>0</v>
      </c>
      <c r="K1095">
        <f>(FlipkartTable[[#This Row],[Rating]]/FlipkartTable[[#This Row],[Selling Price]])*1000</f>
        <v>3.2880629020729087E-2</v>
      </c>
      <c r="L1095" t="str">
        <f>IF(FlipkartTable[[#This Row],[Selling Price]]&lt;15000,"Budget",IF(FlipkartTable[[#This Row],[Selling Price]]&lt;50000,"Mid Range","Premium"))</f>
        <v>Premium</v>
      </c>
      <c r="M1095" t="str">
        <f>IF(FlipkartTable[[#This Row],[Rating]]&gt;4.5,"Excellent",IF(FlipkartTable[[#This Row],[Rating]]&gt;4,"Good",IF(FlipkartTable[[#This Row],[Rating]]&gt;3.5,"Average","Poor")))</f>
        <v>Excellent</v>
      </c>
    </row>
    <row r="1096" spans="1:13" x14ac:dyDescent="0.35">
      <c r="A1096" t="s">
        <v>633</v>
      </c>
      <c r="B1096" s="9" t="s">
        <v>636</v>
      </c>
      <c r="C1096" t="s">
        <v>139</v>
      </c>
      <c r="D1096" t="s">
        <v>637</v>
      </c>
      <c r="E1096" t="s">
        <v>64</v>
      </c>
      <c r="F1096">
        <v>4.5</v>
      </c>
      <c r="G1096">
        <v>71999</v>
      </c>
      <c r="H1096">
        <v>74900</v>
      </c>
      <c r="I1096">
        <f>FlipkartTable[[#This Row],[Original Price]]-FlipkartTable[[#This Row],[Selling Price]]</f>
        <v>2901</v>
      </c>
      <c r="J1096" s="4">
        <f>(FlipkartTable[[#This Row],[Original Price]]-FlipkartTable[[#This Row],[Selling Price]])/FlipkartTable[[#This Row],[Original Price]]</f>
        <v>3.8731642189586114E-2</v>
      </c>
      <c r="K1096">
        <f>(FlipkartTable[[#This Row],[Rating]]/FlipkartTable[[#This Row],[Selling Price]])*1000</f>
        <v>6.2500868067612056E-2</v>
      </c>
      <c r="L1096" t="str">
        <f>IF(FlipkartTable[[#This Row],[Selling Price]]&lt;15000,"Budget",IF(FlipkartTable[[#This Row],[Selling Price]]&lt;50000,"Mid Range","Premium"))</f>
        <v>Premium</v>
      </c>
      <c r="M1096" t="str">
        <f>IF(FlipkartTable[[#This Row],[Rating]]&gt;4.5,"Excellent",IF(FlipkartTable[[#This Row],[Rating]]&gt;4,"Good",IF(FlipkartTable[[#This Row],[Rating]]&gt;3.5,"Average","Poor")))</f>
        <v>Good</v>
      </c>
    </row>
    <row r="1097" spans="1:13" x14ac:dyDescent="0.35">
      <c r="A1097" t="s">
        <v>633</v>
      </c>
      <c r="B1097" s="9" t="s">
        <v>635</v>
      </c>
      <c r="C1097" t="s">
        <v>22</v>
      </c>
      <c r="D1097" t="s">
        <v>20</v>
      </c>
      <c r="E1097" t="s">
        <v>12</v>
      </c>
      <c r="F1097">
        <v>4.5999999999999996</v>
      </c>
      <c r="G1097">
        <v>42999</v>
      </c>
      <c r="H1097">
        <v>47900</v>
      </c>
      <c r="I1097">
        <f>FlipkartTable[[#This Row],[Original Price]]-FlipkartTable[[#This Row],[Selling Price]]</f>
        <v>4901</v>
      </c>
      <c r="J1097" s="4">
        <f>(FlipkartTable[[#This Row],[Original Price]]-FlipkartTable[[#This Row],[Selling Price]])/FlipkartTable[[#This Row],[Original Price]]</f>
        <v>0.10231732776617954</v>
      </c>
      <c r="K1097">
        <f>(FlipkartTable[[#This Row],[Rating]]/FlipkartTable[[#This Row],[Selling Price]])*1000</f>
        <v>0.10697923207516452</v>
      </c>
      <c r="L1097" t="str">
        <f>IF(FlipkartTable[[#This Row],[Selling Price]]&lt;15000,"Budget",IF(FlipkartTable[[#This Row],[Selling Price]]&lt;50000,"Mid Range","Premium"))</f>
        <v>Mid Range</v>
      </c>
      <c r="M1097" t="str">
        <f>IF(FlipkartTable[[#This Row],[Rating]]&gt;4.5,"Excellent",IF(FlipkartTable[[#This Row],[Rating]]&gt;4,"Good",IF(FlipkartTable[[#This Row],[Rating]]&gt;3.5,"Average","Poor")))</f>
        <v>Excellent</v>
      </c>
    </row>
    <row r="1098" spans="1:13" x14ac:dyDescent="0.35">
      <c r="A1098" t="s">
        <v>633</v>
      </c>
      <c r="B1098" s="9" t="s">
        <v>645</v>
      </c>
      <c r="C1098" t="s">
        <v>116</v>
      </c>
      <c r="D1098" t="s">
        <v>637</v>
      </c>
      <c r="E1098" t="s">
        <v>12</v>
      </c>
      <c r="F1098">
        <v>4.7</v>
      </c>
      <c r="G1098">
        <v>117100</v>
      </c>
      <c r="H1098">
        <v>117100</v>
      </c>
      <c r="I1098">
        <f>FlipkartTable[[#This Row],[Original Price]]-FlipkartTable[[#This Row],[Selling Price]]</f>
        <v>0</v>
      </c>
      <c r="J1098" s="4">
        <f>(FlipkartTable[[#This Row],[Original Price]]-FlipkartTable[[#This Row],[Selling Price]])/FlipkartTable[[#This Row],[Original Price]]</f>
        <v>0</v>
      </c>
      <c r="K1098">
        <f>(FlipkartTable[[#This Row],[Rating]]/FlipkartTable[[#This Row],[Selling Price]])*1000</f>
        <v>4.0136635354397952E-2</v>
      </c>
      <c r="L1098" t="str">
        <f>IF(FlipkartTable[[#This Row],[Selling Price]]&lt;15000,"Budget",IF(FlipkartTable[[#This Row],[Selling Price]]&lt;50000,"Mid Range","Premium"))</f>
        <v>Premium</v>
      </c>
      <c r="M1098" t="str">
        <f>IF(FlipkartTable[[#This Row],[Rating]]&gt;4.5,"Excellent",IF(FlipkartTable[[#This Row],[Rating]]&gt;4,"Good",IF(FlipkartTable[[#This Row],[Rating]]&gt;3.5,"Average","Poor")))</f>
        <v>Excellent</v>
      </c>
    </row>
    <row r="1099" spans="1:13" x14ac:dyDescent="0.35">
      <c r="A1099" t="s">
        <v>633</v>
      </c>
      <c r="B1099" s="9" t="s">
        <v>636</v>
      </c>
      <c r="C1099" t="s">
        <v>19</v>
      </c>
      <c r="D1099" t="s">
        <v>637</v>
      </c>
      <c r="E1099" t="s">
        <v>64</v>
      </c>
      <c r="F1099">
        <v>4.5</v>
      </c>
      <c r="G1099">
        <v>71999</v>
      </c>
      <c r="H1099">
        <v>74900</v>
      </c>
      <c r="I1099">
        <f>FlipkartTable[[#This Row],[Original Price]]-FlipkartTable[[#This Row],[Selling Price]]</f>
        <v>2901</v>
      </c>
      <c r="J1099" s="4">
        <f>(FlipkartTable[[#This Row],[Original Price]]-FlipkartTable[[#This Row],[Selling Price]])/FlipkartTable[[#This Row],[Original Price]]</f>
        <v>3.8731642189586114E-2</v>
      </c>
      <c r="K1099">
        <f>(FlipkartTable[[#This Row],[Rating]]/FlipkartTable[[#This Row],[Selling Price]])*1000</f>
        <v>6.2500868067612056E-2</v>
      </c>
      <c r="L1099" t="str">
        <f>IF(FlipkartTable[[#This Row],[Selling Price]]&lt;15000,"Budget",IF(FlipkartTable[[#This Row],[Selling Price]]&lt;50000,"Mid Range","Premium"))</f>
        <v>Premium</v>
      </c>
      <c r="M1099" t="str">
        <f>IF(FlipkartTable[[#This Row],[Rating]]&gt;4.5,"Excellent",IF(FlipkartTable[[#This Row],[Rating]]&gt;4,"Good",IF(FlipkartTable[[#This Row],[Rating]]&gt;3.5,"Average","Poor")))</f>
        <v>Good</v>
      </c>
    </row>
    <row r="1100" spans="1:13" x14ac:dyDescent="0.35">
      <c r="A1100" t="s">
        <v>633</v>
      </c>
      <c r="B1100" s="9" t="s">
        <v>634</v>
      </c>
      <c r="C1100" t="s">
        <v>152</v>
      </c>
      <c r="D1100" t="s">
        <v>35</v>
      </c>
      <c r="E1100" t="s">
        <v>64</v>
      </c>
      <c r="F1100">
        <v>4.5</v>
      </c>
      <c r="G1100">
        <v>54900</v>
      </c>
      <c r="H1100">
        <v>54900</v>
      </c>
      <c r="I1100">
        <f>FlipkartTable[[#This Row],[Original Price]]-FlipkartTable[[#This Row],[Selling Price]]</f>
        <v>0</v>
      </c>
      <c r="J1100" s="4">
        <f>(FlipkartTable[[#This Row],[Original Price]]-FlipkartTable[[#This Row],[Selling Price]])/FlipkartTable[[#This Row],[Original Price]]</f>
        <v>0</v>
      </c>
      <c r="K1100">
        <f>(FlipkartTable[[#This Row],[Rating]]/FlipkartTable[[#This Row],[Selling Price]])*1000</f>
        <v>8.1967213114754092E-2</v>
      </c>
      <c r="L1100" t="str">
        <f>IF(FlipkartTable[[#This Row],[Selling Price]]&lt;15000,"Budget",IF(FlipkartTable[[#This Row],[Selling Price]]&lt;50000,"Mid Range","Premium"))</f>
        <v>Premium</v>
      </c>
      <c r="M1100" t="str">
        <f>IF(FlipkartTable[[#This Row],[Rating]]&gt;4.5,"Excellent",IF(FlipkartTable[[#This Row],[Rating]]&gt;4,"Good",IF(FlipkartTable[[#This Row],[Rating]]&gt;3.5,"Average","Poor")))</f>
        <v>Good</v>
      </c>
    </row>
    <row r="1101" spans="1:13" x14ac:dyDescent="0.35">
      <c r="A1101" t="s">
        <v>633</v>
      </c>
      <c r="B1101" s="9" t="s">
        <v>643</v>
      </c>
      <c r="C1101" t="s">
        <v>170</v>
      </c>
      <c r="D1101" t="s">
        <v>14</v>
      </c>
      <c r="E1101" t="s">
        <v>15</v>
      </c>
      <c r="F1101">
        <v>4.5999999999999996</v>
      </c>
      <c r="G1101">
        <v>109900</v>
      </c>
      <c r="H1101">
        <v>109900</v>
      </c>
      <c r="I1101">
        <f>FlipkartTable[[#This Row],[Original Price]]-FlipkartTable[[#This Row],[Selling Price]]</f>
        <v>0</v>
      </c>
      <c r="J1101" s="4">
        <f>(FlipkartTable[[#This Row],[Original Price]]-FlipkartTable[[#This Row],[Selling Price]])/FlipkartTable[[#This Row],[Original Price]]</f>
        <v>0</v>
      </c>
      <c r="K1101">
        <f>(FlipkartTable[[#This Row],[Rating]]/FlipkartTable[[#This Row],[Selling Price]])*1000</f>
        <v>4.1856232939035488E-2</v>
      </c>
      <c r="L1101" t="str">
        <f>IF(FlipkartTable[[#This Row],[Selling Price]]&lt;15000,"Budget",IF(FlipkartTable[[#This Row],[Selling Price]]&lt;50000,"Mid Range","Premium"))</f>
        <v>Premium</v>
      </c>
      <c r="M1101" t="str">
        <f>IF(FlipkartTable[[#This Row],[Rating]]&gt;4.5,"Excellent",IF(FlipkartTable[[#This Row],[Rating]]&gt;4,"Good",IF(FlipkartTable[[#This Row],[Rating]]&gt;3.5,"Average","Poor")))</f>
        <v>Excellent</v>
      </c>
    </row>
    <row r="1102" spans="1:13" x14ac:dyDescent="0.35">
      <c r="A1102" t="s">
        <v>633</v>
      </c>
      <c r="B1102" s="9" t="s">
        <v>643</v>
      </c>
      <c r="C1102" t="s">
        <v>647</v>
      </c>
      <c r="D1102" t="s">
        <v>14</v>
      </c>
      <c r="E1102" t="s">
        <v>15</v>
      </c>
      <c r="F1102">
        <v>4.5999999999999996</v>
      </c>
      <c r="G1102">
        <v>109900</v>
      </c>
      <c r="H1102">
        <v>109900</v>
      </c>
      <c r="I1102">
        <f>FlipkartTable[[#This Row],[Original Price]]-FlipkartTable[[#This Row],[Selling Price]]</f>
        <v>0</v>
      </c>
      <c r="J1102" s="4">
        <f>(FlipkartTable[[#This Row],[Original Price]]-FlipkartTable[[#This Row],[Selling Price]])/FlipkartTable[[#This Row],[Original Price]]</f>
        <v>0</v>
      </c>
      <c r="K1102">
        <f>(FlipkartTable[[#This Row],[Rating]]/FlipkartTable[[#This Row],[Selling Price]])*1000</f>
        <v>4.1856232939035488E-2</v>
      </c>
      <c r="L1102" t="str">
        <f>IF(FlipkartTable[[#This Row],[Selling Price]]&lt;15000,"Budget",IF(FlipkartTable[[#This Row],[Selling Price]]&lt;50000,"Mid Range","Premium"))</f>
        <v>Premium</v>
      </c>
      <c r="M1102" t="str">
        <f>IF(FlipkartTable[[#This Row],[Rating]]&gt;4.5,"Excellent",IF(FlipkartTable[[#This Row],[Rating]]&gt;4,"Good",IF(FlipkartTable[[#This Row],[Rating]]&gt;3.5,"Average","Poor")))</f>
        <v>Excellent</v>
      </c>
    </row>
    <row r="1103" spans="1:13" x14ac:dyDescent="0.35">
      <c r="A1103" t="s">
        <v>633</v>
      </c>
      <c r="B1103" s="9" t="s">
        <v>648</v>
      </c>
      <c r="C1103" t="s">
        <v>84</v>
      </c>
      <c r="D1103" t="s">
        <v>20</v>
      </c>
      <c r="E1103" t="s">
        <v>64</v>
      </c>
      <c r="F1103">
        <v>4.5999999999999996</v>
      </c>
      <c r="G1103">
        <v>59900</v>
      </c>
      <c r="H1103">
        <v>59900</v>
      </c>
      <c r="I1103">
        <f>FlipkartTable[[#This Row],[Original Price]]-FlipkartTable[[#This Row],[Selling Price]]</f>
        <v>0</v>
      </c>
      <c r="J1103" s="4">
        <f>(FlipkartTable[[#This Row],[Original Price]]-FlipkartTable[[#This Row],[Selling Price]])/FlipkartTable[[#This Row],[Original Price]]</f>
        <v>0</v>
      </c>
      <c r="K1103">
        <f>(FlipkartTable[[#This Row],[Rating]]/FlipkartTable[[#This Row],[Selling Price]])*1000</f>
        <v>7.6794657762938229E-2</v>
      </c>
      <c r="L1103" t="str">
        <f>IF(FlipkartTable[[#This Row],[Selling Price]]&lt;15000,"Budget",IF(FlipkartTable[[#This Row],[Selling Price]]&lt;50000,"Mid Range","Premium"))</f>
        <v>Premium</v>
      </c>
      <c r="M1103" t="str">
        <f>IF(FlipkartTable[[#This Row],[Rating]]&gt;4.5,"Excellent",IF(FlipkartTable[[#This Row],[Rating]]&gt;4,"Good",IF(FlipkartTable[[#This Row],[Rating]]&gt;3.5,"Average","Poor")))</f>
        <v>Excellent</v>
      </c>
    </row>
    <row r="1104" spans="1:13" x14ac:dyDescent="0.35">
      <c r="A1104" t="s">
        <v>633</v>
      </c>
      <c r="B1104" s="9" t="s">
        <v>643</v>
      </c>
      <c r="C1104" t="s">
        <v>116</v>
      </c>
      <c r="D1104" t="s">
        <v>14</v>
      </c>
      <c r="E1104" t="s">
        <v>64</v>
      </c>
      <c r="F1104">
        <v>4.5999999999999996</v>
      </c>
      <c r="G1104">
        <v>119900</v>
      </c>
      <c r="H1104">
        <v>119900</v>
      </c>
      <c r="I1104">
        <f>FlipkartTable[[#This Row],[Original Price]]-FlipkartTable[[#This Row],[Selling Price]]</f>
        <v>0</v>
      </c>
      <c r="J1104" s="4">
        <f>(FlipkartTable[[#This Row],[Original Price]]-FlipkartTable[[#This Row],[Selling Price]])/FlipkartTable[[#This Row],[Original Price]]</f>
        <v>0</v>
      </c>
      <c r="K1104">
        <f>(FlipkartTable[[#This Row],[Rating]]/FlipkartTable[[#This Row],[Selling Price]])*1000</f>
        <v>3.8365304420350285E-2</v>
      </c>
      <c r="L1104" t="str">
        <f>IF(FlipkartTable[[#This Row],[Selling Price]]&lt;15000,"Budget",IF(FlipkartTable[[#This Row],[Selling Price]]&lt;50000,"Mid Range","Premium"))</f>
        <v>Premium</v>
      </c>
      <c r="M1104" t="str">
        <f>IF(FlipkartTable[[#This Row],[Rating]]&gt;4.5,"Excellent",IF(FlipkartTable[[#This Row],[Rating]]&gt;4,"Good",IF(FlipkartTable[[#This Row],[Rating]]&gt;3.5,"Average","Poor")))</f>
        <v>Excellent</v>
      </c>
    </row>
    <row r="1105" spans="1:13" x14ac:dyDescent="0.35">
      <c r="A1105" t="s">
        <v>633</v>
      </c>
      <c r="B1105" s="9" t="s">
        <v>643</v>
      </c>
      <c r="C1105" t="s">
        <v>170</v>
      </c>
      <c r="D1105" t="s">
        <v>14</v>
      </c>
      <c r="E1105" t="s">
        <v>338</v>
      </c>
      <c r="F1105">
        <v>4.5999999999999996</v>
      </c>
      <c r="G1105">
        <v>139900</v>
      </c>
      <c r="H1105">
        <v>139900</v>
      </c>
      <c r="I1105">
        <f>FlipkartTable[[#This Row],[Original Price]]-FlipkartTable[[#This Row],[Selling Price]]</f>
        <v>0</v>
      </c>
      <c r="J1105" s="4">
        <f>(FlipkartTable[[#This Row],[Original Price]]-FlipkartTable[[#This Row],[Selling Price]])/FlipkartTable[[#This Row],[Original Price]]</f>
        <v>0</v>
      </c>
      <c r="K1105">
        <f>(FlipkartTable[[#This Row],[Rating]]/FlipkartTable[[#This Row],[Selling Price]])*1000</f>
        <v>3.2880629020729087E-2</v>
      </c>
      <c r="L1105" t="str">
        <f>IF(FlipkartTable[[#This Row],[Selling Price]]&lt;15000,"Budget",IF(FlipkartTable[[#This Row],[Selling Price]]&lt;50000,"Mid Range","Premium"))</f>
        <v>Premium</v>
      </c>
      <c r="M1105" t="str">
        <f>IF(FlipkartTable[[#This Row],[Rating]]&gt;4.5,"Excellent",IF(FlipkartTable[[#This Row],[Rating]]&gt;4,"Good",IF(FlipkartTable[[#This Row],[Rating]]&gt;3.5,"Average","Poor")))</f>
        <v>Excellent</v>
      </c>
    </row>
    <row r="1106" spans="1:13" x14ac:dyDescent="0.35">
      <c r="A1106" t="s">
        <v>633</v>
      </c>
      <c r="B1106" s="9" t="s">
        <v>639</v>
      </c>
      <c r="C1106" t="s">
        <v>139</v>
      </c>
      <c r="D1106" t="s">
        <v>637</v>
      </c>
      <c r="E1106" t="s">
        <v>15</v>
      </c>
      <c r="F1106">
        <v>4.5999999999999996</v>
      </c>
      <c r="G1106">
        <v>54900</v>
      </c>
      <c r="H1106">
        <v>54900</v>
      </c>
      <c r="I1106">
        <f>FlipkartTable[[#This Row],[Original Price]]-FlipkartTable[[#This Row],[Selling Price]]</f>
        <v>0</v>
      </c>
      <c r="J1106" s="4">
        <f>(FlipkartTable[[#This Row],[Original Price]]-FlipkartTable[[#This Row],[Selling Price]])/FlipkartTable[[#This Row],[Original Price]]</f>
        <v>0</v>
      </c>
      <c r="K1106">
        <f>(FlipkartTable[[#This Row],[Rating]]/FlipkartTable[[#This Row],[Selling Price]])*1000</f>
        <v>8.3788706739526403E-2</v>
      </c>
      <c r="L1106" t="str">
        <f>IF(FlipkartTable[[#This Row],[Selling Price]]&lt;15000,"Budget",IF(FlipkartTable[[#This Row],[Selling Price]]&lt;50000,"Mid Range","Premium"))</f>
        <v>Premium</v>
      </c>
      <c r="M1106" t="str">
        <f>IF(FlipkartTable[[#This Row],[Rating]]&gt;4.5,"Excellent",IF(FlipkartTable[[#This Row],[Rating]]&gt;4,"Good",IF(FlipkartTable[[#This Row],[Rating]]&gt;3.5,"Average","Poor")))</f>
        <v>Excellent</v>
      </c>
    </row>
    <row r="1107" spans="1:13" x14ac:dyDescent="0.35">
      <c r="A1107" t="s">
        <v>633</v>
      </c>
      <c r="B1107" s="9" t="s">
        <v>645</v>
      </c>
      <c r="C1107" t="s">
        <v>649</v>
      </c>
      <c r="D1107" t="s">
        <v>637</v>
      </c>
      <c r="E1107" t="s">
        <v>12</v>
      </c>
      <c r="F1107">
        <v>4.7</v>
      </c>
      <c r="G1107">
        <v>117100</v>
      </c>
      <c r="H1107">
        <v>117100</v>
      </c>
      <c r="I1107">
        <f>FlipkartTable[[#This Row],[Original Price]]-FlipkartTable[[#This Row],[Selling Price]]</f>
        <v>0</v>
      </c>
      <c r="J1107" s="4">
        <f>(FlipkartTable[[#This Row],[Original Price]]-FlipkartTable[[#This Row],[Selling Price]])/FlipkartTable[[#This Row],[Original Price]]</f>
        <v>0</v>
      </c>
      <c r="K1107">
        <f>(FlipkartTable[[#This Row],[Rating]]/FlipkartTable[[#This Row],[Selling Price]])*1000</f>
        <v>4.0136635354397952E-2</v>
      </c>
      <c r="L1107" t="str">
        <f>IF(FlipkartTable[[#This Row],[Selling Price]]&lt;15000,"Budget",IF(FlipkartTable[[#This Row],[Selling Price]]&lt;50000,"Mid Range","Premium"))</f>
        <v>Premium</v>
      </c>
      <c r="M1107" t="str">
        <f>IF(FlipkartTable[[#This Row],[Rating]]&gt;4.5,"Excellent",IF(FlipkartTable[[#This Row],[Rating]]&gt;4,"Good",IF(FlipkartTable[[#This Row],[Rating]]&gt;3.5,"Average","Poor")))</f>
        <v>Excellent</v>
      </c>
    </row>
    <row r="1108" spans="1:13" x14ac:dyDescent="0.35">
      <c r="A1108" t="s">
        <v>633</v>
      </c>
      <c r="B1108" s="9" t="s">
        <v>650</v>
      </c>
      <c r="C1108" t="s">
        <v>646</v>
      </c>
      <c r="D1108" t="s">
        <v>637</v>
      </c>
      <c r="E1108" t="s">
        <v>338</v>
      </c>
      <c r="F1108">
        <v>4.5999999999999996</v>
      </c>
      <c r="G1108">
        <v>140300</v>
      </c>
      <c r="H1108">
        <v>140300</v>
      </c>
      <c r="I1108">
        <f>FlipkartTable[[#This Row],[Original Price]]-FlipkartTable[[#This Row],[Selling Price]]</f>
        <v>0</v>
      </c>
      <c r="J1108" s="4">
        <f>(FlipkartTable[[#This Row],[Original Price]]-FlipkartTable[[#This Row],[Selling Price]])/FlipkartTable[[#This Row],[Original Price]]</f>
        <v>0</v>
      </c>
      <c r="K1108">
        <f>(FlipkartTable[[#This Row],[Rating]]/FlipkartTable[[#This Row],[Selling Price]])*1000</f>
        <v>3.2786885245901634E-2</v>
      </c>
      <c r="L1108" t="str">
        <f>IF(FlipkartTable[[#This Row],[Selling Price]]&lt;15000,"Budget",IF(FlipkartTable[[#This Row],[Selling Price]]&lt;50000,"Mid Range","Premium"))</f>
        <v>Premium</v>
      </c>
      <c r="M1108" t="str">
        <f>IF(FlipkartTable[[#This Row],[Rating]]&gt;4.5,"Excellent",IF(FlipkartTable[[#This Row],[Rating]]&gt;4,"Good",IF(FlipkartTable[[#This Row],[Rating]]&gt;3.5,"Average","Poor")))</f>
        <v>Excellent</v>
      </c>
    </row>
    <row r="1109" spans="1:13" x14ac:dyDescent="0.35">
      <c r="A1109" t="s">
        <v>633</v>
      </c>
      <c r="B1109" s="9" t="s">
        <v>639</v>
      </c>
      <c r="C1109" t="s">
        <v>19</v>
      </c>
      <c r="D1109" t="s">
        <v>637</v>
      </c>
      <c r="E1109" t="s">
        <v>12</v>
      </c>
      <c r="F1109">
        <v>4.5999999999999996</v>
      </c>
      <c r="G1109">
        <v>49900</v>
      </c>
      <c r="H1109">
        <v>49900</v>
      </c>
      <c r="I1109">
        <f>FlipkartTable[[#This Row],[Original Price]]-FlipkartTable[[#This Row],[Selling Price]]</f>
        <v>0</v>
      </c>
      <c r="J1109" s="4">
        <f>(FlipkartTable[[#This Row],[Original Price]]-FlipkartTable[[#This Row],[Selling Price]])/FlipkartTable[[#This Row],[Original Price]]</f>
        <v>0</v>
      </c>
      <c r="K1109">
        <f>(FlipkartTable[[#This Row],[Rating]]/FlipkartTable[[#This Row],[Selling Price]])*1000</f>
        <v>9.2184368737474945E-2</v>
      </c>
      <c r="L1109" t="str">
        <f>IF(FlipkartTable[[#This Row],[Selling Price]]&lt;15000,"Budget",IF(FlipkartTable[[#This Row],[Selling Price]]&lt;50000,"Mid Range","Premium"))</f>
        <v>Mid Range</v>
      </c>
      <c r="M1109" t="str">
        <f>IF(FlipkartTable[[#This Row],[Rating]]&gt;4.5,"Excellent",IF(FlipkartTable[[#This Row],[Rating]]&gt;4,"Good",IF(FlipkartTable[[#This Row],[Rating]]&gt;3.5,"Average","Poor")))</f>
        <v>Excellent</v>
      </c>
    </row>
    <row r="1110" spans="1:13" x14ac:dyDescent="0.35">
      <c r="A1110" t="s">
        <v>633</v>
      </c>
      <c r="B1110" s="9" t="s">
        <v>648</v>
      </c>
      <c r="C1110" t="s">
        <v>170</v>
      </c>
      <c r="D1110" t="s">
        <v>20</v>
      </c>
      <c r="E1110" t="s">
        <v>12</v>
      </c>
      <c r="F1110">
        <v>4.5999999999999996</v>
      </c>
      <c r="G1110">
        <v>49900</v>
      </c>
      <c r="H1110">
        <v>49900</v>
      </c>
      <c r="I1110">
        <f>FlipkartTable[[#This Row],[Original Price]]-FlipkartTable[[#This Row],[Selling Price]]</f>
        <v>0</v>
      </c>
      <c r="J1110" s="4">
        <f>(FlipkartTable[[#This Row],[Original Price]]-FlipkartTable[[#This Row],[Selling Price]])/FlipkartTable[[#This Row],[Original Price]]</f>
        <v>0</v>
      </c>
      <c r="K1110">
        <f>(FlipkartTable[[#This Row],[Rating]]/FlipkartTable[[#This Row],[Selling Price]])*1000</f>
        <v>9.2184368737474945E-2</v>
      </c>
      <c r="L1110" t="str">
        <f>IF(FlipkartTable[[#This Row],[Selling Price]]&lt;15000,"Budget",IF(FlipkartTable[[#This Row],[Selling Price]]&lt;50000,"Mid Range","Premium"))</f>
        <v>Mid Range</v>
      </c>
      <c r="M1110" t="str">
        <f>IF(FlipkartTable[[#This Row],[Rating]]&gt;4.5,"Excellent",IF(FlipkartTable[[#This Row],[Rating]]&gt;4,"Good",IF(FlipkartTable[[#This Row],[Rating]]&gt;3.5,"Average","Poor")))</f>
        <v>Excellent</v>
      </c>
    </row>
    <row r="1111" spans="1:13" x14ac:dyDescent="0.35">
      <c r="A1111" t="s">
        <v>633</v>
      </c>
      <c r="B1111" s="9" t="s">
        <v>651</v>
      </c>
      <c r="C1111" t="s">
        <v>116</v>
      </c>
      <c r="D1111" t="s">
        <v>11</v>
      </c>
      <c r="E1111" t="s">
        <v>338</v>
      </c>
      <c r="F1111">
        <v>4.7</v>
      </c>
      <c r="G1111">
        <v>134900</v>
      </c>
      <c r="H1111">
        <v>134900</v>
      </c>
      <c r="I1111">
        <f>FlipkartTable[[#This Row],[Original Price]]-FlipkartTable[[#This Row],[Selling Price]]</f>
        <v>0</v>
      </c>
      <c r="J1111" s="4">
        <f>(FlipkartTable[[#This Row],[Original Price]]-FlipkartTable[[#This Row],[Selling Price]])/FlipkartTable[[#This Row],[Original Price]]</f>
        <v>0</v>
      </c>
      <c r="K1111">
        <f>(FlipkartTable[[#This Row],[Rating]]/FlipkartTable[[#This Row],[Selling Price]])*1000</f>
        <v>3.4840622683469241E-2</v>
      </c>
      <c r="L1111" t="str">
        <f>IF(FlipkartTable[[#This Row],[Selling Price]]&lt;15000,"Budget",IF(FlipkartTable[[#This Row],[Selling Price]]&lt;50000,"Mid Range","Premium"))</f>
        <v>Premium</v>
      </c>
      <c r="M1111" t="str">
        <f>IF(FlipkartTable[[#This Row],[Rating]]&gt;4.5,"Excellent",IF(FlipkartTable[[#This Row],[Rating]]&gt;4,"Good",IF(FlipkartTable[[#This Row],[Rating]]&gt;3.5,"Average","Poor")))</f>
        <v>Excellent</v>
      </c>
    </row>
    <row r="1112" spans="1:13" x14ac:dyDescent="0.35">
      <c r="A1112" t="s">
        <v>633</v>
      </c>
      <c r="B1112" s="9" t="s">
        <v>652</v>
      </c>
      <c r="C1112" t="s">
        <v>116</v>
      </c>
      <c r="D1112" t="s">
        <v>35</v>
      </c>
      <c r="E1112" t="s">
        <v>12</v>
      </c>
      <c r="F1112">
        <v>4.5</v>
      </c>
      <c r="G1112">
        <v>38999</v>
      </c>
      <c r="H1112">
        <v>39900</v>
      </c>
      <c r="I1112">
        <f>FlipkartTable[[#This Row],[Original Price]]-FlipkartTable[[#This Row],[Selling Price]]</f>
        <v>901</v>
      </c>
      <c r="J1112" s="4">
        <f>(FlipkartTable[[#This Row],[Original Price]]-FlipkartTable[[#This Row],[Selling Price]])/FlipkartTable[[#This Row],[Original Price]]</f>
        <v>2.2581453634085213E-2</v>
      </c>
      <c r="K1112">
        <f>(FlipkartTable[[#This Row],[Rating]]/FlipkartTable[[#This Row],[Selling Price]])*1000</f>
        <v>0.11538757404036</v>
      </c>
      <c r="L1112" t="str">
        <f>IF(FlipkartTable[[#This Row],[Selling Price]]&lt;15000,"Budget",IF(FlipkartTable[[#This Row],[Selling Price]]&lt;50000,"Mid Range","Premium"))</f>
        <v>Mid Range</v>
      </c>
      <c r="M1112" t="str">
        <f>IF(FlipkartTable[[#This Row],[Rating]]&gt;4.5,"Excellent",IF(FlipkartTable[[#This Row],[Rating]]&gt;4,"Good",IF(FlipkartTable[[#This Row],[Rating]]&gt;3.5,"Average","Poor")))</f>
        <v>Good</v>
      </c>
    </row>
    <row r="1113" spans="1:13" x14ac:dyDescent="0.35">
      <c r="A1113" t="s">
        <v>633</v>
      </c>
      <c r="B1113" s="9" t="s">
        <v>648</v>
      </c>
      <c r="C1113" t="s">
        <v>116</v>
      </c>
      <c r="D1113" t="s">
        <v>20</v>
      </c>
      <c r="E1113" t="s">
        <v>12</v>
      </c>
      <c r="F1113">
        <v>4.5999999999999996</v>
      </c>
      <c r="G1113">
        <v>49900</v>
      </c>
      <c r="H1113">
        <v>49900</v>
      </c>
      <c r="I1113">
        <f>FlipkartTable[[#This Row],[Original Price]]-FlipkartTable[[#This Row],[Selling Price]]</f>
        <v>0</v>
      </c>
      <c r="J1113" s="4">
        <f>(FlipkartTable[[#This Row],[Original Price]]-FlipkartTable[[#This Row],[Selling Price]])/FlipkartTable[[#This Row],[Original Price]]</f>
        <v>0</v>
      </c>
      <c r="K1113">
        <f>(FlipkartTable[[#This Row],[Rating]]/FlipkartTable[[#This Row],[Selling Price]])*1000</f>
        <v>9.2184368737474945E-2</v>
      </c>
      <c r="L1113" t="str">
        <f>IF(FlipkartTable[[#This Row],[Selling Price]]&lt;15000,"Budget",IF(FlipkartTable[[#This Row],[Selling Price]]&lt;50000,"Mid Range","Premium"))</f>
        <v>Mid Range</v>
      </c>
      <c r="M1113" t="str">
        <f>IF(FlipkartTable[[#This Row],[Rating]]&gt;4.5,"Excellent",IF(FlipkartTable[[#This Row],[Rating]]&gt;4,"Good",IF(FlipkartTable[[#This Row],[Rating]]&gt;3.5,"Average","Poor")))</f>
        <v>Excellent</v>
      </c>
    </row>
    <row r="1114" spans="1:13" x14ac:dyDescent="0.35">
      <c r="A1114" t="s">
        <v>633</v>
      </c>
      <c r="B1114" s="9" t="s">
        <v>648</v>
      </c>
      <c r="C1114" t="s">
        <v>649</v>
      </c>
      <c r="D1114" t="s">
        <v>20</v>
      </c>
      <c r="E1114" t="s">
        <v>64</v>
      </c>
      <c r="F1114">
        <v>4.5999999999999996</v>
      </c>
      <c r="G1114">
        <v>84900</v>
      </c>
      <c r="H1114">
        <v>84900</v>
      </c>
      <c r="I1114">
        <f>FlipkartTable[[#This Row],[Original Price]]-FlipkartTable[[#This Row],[Selling Price]]</f>
        <v>0</v>
      </c>
      <c r="J1114" s="4">
        <f>(FlipkartTable[[#This Row],[Original Price]]-FlipkartTable[[#This Row],[Selling Price]])/FlipkartTable[[#This Row],[Original Price]]</f>
        <v>0</v>
      </c>
      <c r="K1114">
        <f>(FlipkartTable[[#This Row],[Rating]]/FlipkartTable[[#This Row],[Selling Price]])*1000</f>
        <v>5.4181389870435803E-2</v>
      </c>
      <c r="L1114" t="str">
        <f>IF(FlipkartTable[[#This Row],[Selling Price]]&lt;15000,"Budget",IF(FlipkartTable[[#This Row],[Selling Price]]&lt;50000,"Mid Range","Premium"))</f>
        <v>Premium</v>
      </c>
      <c r="M1114" t="str">
        <f>IF(FlipkartTable[[#This Row],[Rating]]&gt;4.5,"Excellent",IF(FlipkartTable[[#This Row],[Rating]]&gt;4,"Good",IF(FlipkartTable[[#This Row],[Rating]]&gt;3.5,"Average","Poor")))</f>
        <v>Excellent</v>
      </c>
    </row>
    <row r="1115" spans="1:13" x14ac:dyDescent="0.35">
      <c r="A1115" t="s">
        <v>633</v>
      </c>
      <c r="B1115" s="9" t="s">
        <v>640</v>
      </c>
      <c r="C1115" t="s">
        <v>84</v>
      </c>
      <c r="D1115" t="s">
        <v>637</v>
      </c>
      <c r="E1115" t="s">
        <v>64</v>
      </c>
      <c r="F1115">
        <v>4.5999999999999996</v>
      </c>
      <c r="G1115">
        <v>78999</v>
      </c>
      <c r="H1115">
        <v>94900</v>
      </c>
      <c r="I1115">
        <f>FlipkartTable[[#This Row],[Original Price]]-FlipkartTable[[#This Row],[Selling Price]]</f>
        <v>15901</v>
      </c>
      <c r="J1115" s="4">
        <f>(FlipkartTable[[#This Row],[Original Price]]-FlipkartTable[[#This Row],[Selling Price]])/FlipkartTable[[#This Row],[Original Price]]</f>
        <v>0.16755532139093782</v>
      </c>
      <c r="K1115">
        <f>(FlipkartTable[[#This Row],[Rating]]/FlipkartTable[[#This Row],[Selling Price]])*1000</f>
        <v>5.8228585171964192E-2</v>
      </c>
      <c r="L1115" t="str">
        <f>IF(FlipkartTable[[#This Row],[Selling Price]]&lt;15000,"Budget",IF(FlipkartTable[[#This Row],[Selling Price]]&lt;50000,"Mid Range","Premium"))</f>
        <v>Premium</v>
      </c>
      <c r="M1115" t="str">
        <f>IF(FlipkartTable[[#This Row],[Rating]]&gt;4.5,"Excellent",IF(FlipkartTable[[#This Row],[Rating]]&gt;4,"Good",IF(FlipkartTable[[#This Row],[Rating]]&gt;3.5,"Average","Poor")))</f>
        <v>Excellent</v>
      </c>
    </row>
    <row r="1116" spans="1:13" x14ac:dyDescent="0.35">
      <c r="A1116" t="s">
        <v>633</v>
      </c>
      <c r="B1116" s="9" t="s">
        <v>643</v>
      </c>
      <c r="C1116" t="s">
        <v>647</v>
      </c>
      <c r="D1116" t="s">
        <v>14</v>
      </c>
      <c r="E1116" t="s">
        <v>64</v>
      </c>
      <c r="F1116">
        <v>4.5999999999999996</v>
      </c>
      <c r="G1116">
        <v>119900</v>
      </c>
      <c r="H1116">
        <v>119900</v>
      </c>
      <c r="I1116">
        <f>FlipkartTable[[#This Row],[Original Price]]-FlipkartTable[[#This Row],[Selling Price]]</f>
        <v>0</v>
      </c>
      <c r="J1116" s="4">
        <f>(FlipkartTable[[#This Row],[Original Price]]-FlipkartTable[[#This Row],[Selling Price]])/FlipkartTable[[#This Row],[Original Price]]</f>
        <v>0</v>
      </c>
      <c r="K1116">
        <f>(FlipkartTable[[#This Row],[Rating]]/FlipkartTable[[#This Row],[Selling Price]])*1000</f>
        <v>3.8365304420350285E-2</v>
      </c>
      <c r="L1116" t="str">
        <f>IF(FlipkartTable[[#This Row],[Selling Price]]&lt;15000,"Budget",IF(FlipkartTable[[#This Row],[Selling Price]]&lt;50000,"Mid Range","Premium"))</f>
        <v>Premium</v>
      </c>
      <c r="M1116" t="str">
        <f>IF(FlipkartTable[[#This Row],[Rating]]&gt;4.5,"Excellent",IF(FlipkartTable[[#This Row],[Rating]]&gt;4,"Good",IF(FlipkartTable[[#This Row],[Rating]]&gt;3.5,"Average","Poor")))</f>
        <v>Excellent</v>
      </c>
    </row>
    <row r="1117" spans="1:13" x14ac:dyDescent="0.35">
      <c r="A1117" t="s">
        <v>633</v>
      </c>
      <c r="B1117" s="9" t="s">
        <v>648</v>
      </c>
      <c r="C1117" t="s">
        <v>170</v>
      </c>
      <c r="D1117" t="s">
        <v>20</v>
      </c>
      <c r="E1117" t="s">
        <v>64</v>
      </c>
      <c r="F1117">
        <v>4.5999999999999996</v>
      </c>
      <c r="G1117">
        <v>84900</v>
      </c>
      <c r="H1117">
        <v>84900</v>
      </c>
      <c r="I1117">
        <f>FlipkartTable[[#This Row],[Original Price]]-FlipkartTable[[#This Row],[Selling Price]]</f>
        <v>0</v>
      </c>
      <c r="J1117" s="4">
        <f>(FlipkartTable[[#This Row],[Original Price]]-FlipkartTable[[#This Row],[Selling Price]])/FlipkartTable[[#This Row],[Original Price]]</f>
        <v>0</v>
      </c>
      <c r="K1117">
        <f>(FlipkartTable[[#This Row],[Rating]]/FlipkartTable[[#This Row],[Selling Price]])*1000</f>
        <v>5.4181389870435803E-2</v>
      </c>
      <c r="L1117" t="str">
        <f>IF(FlipkartTable[[#This Row],[Selling Price]]&lt;15000,"Budget",IF(FlipkartTable[[#This Row],[Selling Price]]&lt;50000,"Mid Range","Premium"))</f>
        <v>Premium</v>
      </c>
      <c r="M1117" t="str">
        <f>IF(FlipkartTable[[#This Row],[Rating]]&gt;4.5,"Excellent",IF(FlipkartTable[[#This Row],[Rating]]&gt;4,"Good",IF(FlipkartTable[[#This Row],[Rating]]&gt;3.5,"Average","Poor")))</f>
        <v>Excellent</v>
      </c>
    </row>
    <row r="1118" spans="1:13" x14ac:dyDescent="0.35">
      <c r="A1118" t="s">
        <v>633</v>
      </c>
      <c r="B1118" s="9" t="s">
        <v>634</v>
      </c>
      <c r="C1118" t="s">
        <v>19</v>
      </c>
      <c r="D1118" t="s">
        <v>35</v>
      </c>
      <c r="E1118" t="s">
        <v>64</v>
      </c>
      <c r="F1118">
        <v>4.5</v>
      </c>
      <c r="G1118">
        <v>54900</v>
      </c>
      <c r="H1118">
        <v>54900</v>
      </c>
      <c r="I1118">
        <f>FlipkartTable[[#This Row],[Original Price]]-FlipkartTable[[#This Row],[Selling Price]]</f>
        <v>0</v>
      </c>
      <c r="J1118" s="4">
        <f>(FlipkartTable[[#This Row],[Original Price]]-FlipkartTable[[#This Row],[Selling Price]])/FlipkartTable[[#This Row],[Original Price]]</f>
        <v>0</v>
      </c>
      <c r="K1118">
        <f>(FlipkartTable[[#This Row],[Rating]]/FlipkartTable[[#This Row],[Selling Price]])*1000</f>
        <v>8.1967213114754092E-2</v>
      </c>
      <c r="L1118" t="str">
        <f>IF(FlipkartTable[[#This Row],[Selling Price]]&lt;15000,"Budget",IF(FlipkartTable[[#This Row],[Selling Price]]&lt;50000,"Mid Range","Premium"))</f>
        <v>Premium</v>
      </c>
      <c r="M1118" t="str">
        <f>IF(FlipkartTable[[#This Row],[Rating]]&gt;4.5,"Excellent",IF(FlipkartTable[[#This Row],[Rating]]&gt;4,"Good",IF(FlipkartTable[[#This Row],[Rating]]&gt;3.5,"Average","Poor")))</f>
        <v>Good</v>
      </c>
    </row>
    <row r="1119" spans="1:13" x14ac:dyDescent="0.35">
      <c r="A1119" t="s">
        <v>633</v>
      </c>
      <c r="B1119" s="9" t="s">
        <v>648</v>
      </c>
      <c r="C1119" t="s">
        <v>649</v>
      </c>
      <c r="D1119" t="s">
        <v>20</v>
      </c>
      <c r="E1119" t="s">
        <v>12</v>
      </c>
      <c r="F1119">
        <v>4.5999999999999996</v>
      </c>
      <c r="G1119">
        <v>49900</v>
      </c>
      <c r="H1119">
        <v>49900</v>
      </c>
      <c r="I1119">
        <f>FlipkartTable[[#This Row],[Original Price]]-FlipkartTable[[#This Row],[Selling Price]]</f>
        <v>0</v>
      </c>
      <c r="J1119" s="4">
        <f>(FlipkartTable[[#This Row],[Original Price]]-FlipkartTable[[#This Row],[Selling Price]])/FlipkartTable[[#This Row],[Original Price]]</f>
        <v>0</v>
      </c>
      <c r="K1119">
        <f>(FlipkartTable[[#This Row],[Rating]]/FlipkartTable[[#This Row],[Selling Price]])*1000</f>
        <v>9.2184368737474945E-2</v>
      </c>
      <c r="L1119" t="str">
        <f>IF(FlipkartTable[[#This Row],[Selling Price]]&lt;15000,"Budget",IF(FlipkartTable[[#This Row],[Selling Price]]&lt;50000,"Mid Range","Premium"))</f>
        <v>Mid Range</v>
      </c>
      <c r="M1119" t="str">
        <f>IF(FlipkartTable[[#This Row],[Rating]]&gt;4.5,"Excellent",IF(FlipkartTable[[#This Row],[Rating]]&gt;4,"Good",IF(FlipkartTable[[#This Row],[Rating]]&gt;3.5,"Average","Poor")))</f>
        <v>Excellent</v>
      </c>
    </row>
    <row r="1120" spans="1:13" x14ac:dyDescent="0.35">
      <c r="A1120" t="s">
        <v>633</v>
      </c>
      <c r="B1120" s="9" t="s">
        <v>651</v>
      </c>
      <c r="C1120" t="s">
        <v>649</v>
      </c>
      <c r="D1120" t="s">
        <v>11</v>
      </c>
      <c r="E1120" t="s">
        <v>338</v>
      </c>
      <c r="F1120">
        <v>4.7</v>
      </c>
      <c r="G1120">
        <v>134900</v>
      </c>
      <c r="H1120">
        <v>134900</v>
      </c>
      <c r="I1120">
        <f>FlipkartTable[[#This Row],[Original Price]]-FlipkartTable[[#This Row],[Selling Price]]</f>
        <v>0</v>
      </c>
      <c r="J1120" s="4">
        <f>(FlipkartTable[[#This Row],[Original Price]]-FlipkartTable[[#This Row],[Selling Price]])/FlipkartTable[[#This Row],[Original Price]]</f>
        <v>0</v>
      </c>
      <c r="K1120">
        <f>(FlipkartTable[[#This Row],[Rating]]/FlipkartTable[[#This Row],[Selling Price]])*1000</f>
        <v>3.4840622683469241E-2</v>
      </c>
      <c r="L1120" t="str">
        <f>IF(FlipkartTable[[#This Row],[Selling Price]]&lt;15000,"Budget",IF(FlipkartTable[[#This Row],[Selling Price]]&lt;50000,"Mid Range","Premium"))</f>
        <v>Premium</v>
      </c>
      <c r="M1120" t="str">
        <f>IF(FlipkartTable[[#This Row],[Rating]]&gt;4.5,"Excellent",IF(FlipkartTable[[#This Row],[Rating]]&gt;4,"Good",IF(FlipkartTable[[#This Row],[Rating]]&gt;3.5,"Average","Poor")))</f>
        <v>Excellent</v>
      </c>
    </row>
    <row r="1121" spans="1:13" x14ac:dyDescent="0.35">
      <c r="A1121" t="s">
        <v>633</v>
      </c>
      <c r="B1121" s="9" t="s">
        <v>652</v>
      </c>
      <c r="C1121" t="s">
        <v>649</v>
      </c>
      <c r="D1121" t="s">
        <v>35</v>
      </c>
      <c r="E1121" t="s">
        <v>64</v>
      </c>
      <c r="F1121">
        <v>4.5</v>
      </c>
      <c r="G1121">
        <v>77000</v>
      </c>
      <c r="H1121">
        <v>77000</v>
      </c>
      <c r="I1121">
        <f>FlipkartTable[[#This Row],[Original Price]]-FlipkartTable[[#This Row],[Selling Price]]</f>
        <v>0</v>
      </c>
      <c r="J1121" s="4">
        <f>(FlipkartTable[[#This Row],[Original Price]]-FlipkartTable[[#This Row],[Selling Price]])/FlipkartTable[[#This Row],[Original Price]]</f>
        <v>0</v>
      </c>
      <c r="K1121">
        <f>(FlipkartTable[[#This Row],[Rating]]/FlipkartTable[[#This Row],[Selling Price]])*1000</f>
        <v>5.844155844155844E-2</v>
      </c>
      <c r="L1121" t="str">
        <f>IF(FlipkartTable[[#This Row],[Selling Price]]&lt;15000,"Budget",IF(FlipkartTable[[#This Row],[Selling Price]]&lt;50000,"Mid Range","Premium"))</f>
        <v>Premium</v>
      </c>
      <c r="M1121" t="str">
        <f>IF(FlipkartTable[[#This Row],[Rating]]&gt;4.5,"Excellent",IF(FlipkartTable[[#This Row],[Rating]]&gt;4,"Good",IF(FlipkartTable[[#This Row],[Rating]]&gt;3.5,"Average","Poor")))</f>
        <v>Good</v>
      </c>
    </row>
    <row r="1122" spans="1:13" x14ac:dyDescent="0.35">
      <c r="A1122" t="s">
        <v>633</v>
      </c>
      <c r="B1122" s="9" t="s">
        <v>643</v>
      </c>
      <c r="C1122" t="s">
        <v>170</v>
      </c>
      <c r="D1122" t="s">
        <v>14</v>
      </c>
      <c r="E1122" t="s">
        <v>64</v>
      </c>
      <c r="F1122">
        <v>4.5999999999999996</v>
      </c>
      <c r="G1122">
        <v>119900</v>
      </c>
      <c r="H1122">
        <v>119900</v>
      </c>
      <c r="I1122">
        <f>FlipkartTable[[#This Row],[Original Price]]-FlipkartTable[[#This Row],[Selling Price]]</f>
        <v>0</v>
      </c>
      <c r="J1122" s="4">
        <f>(FlipkartTable[[#This Row],[Original Price]]-FlipkartTable[[#This Row],[Selling Price]])/FlipkartTable[[#This Row],[Original Price]]</f>
        <v>0</v>
      </c>
      <c r="K1122">
        <f>(FlipkartTable[[#This Row],[Rating]]/FlipkartTable[[#This Row],[Selling Price]])*1000</f>
        <v>3.8365304420350285E-2</v>
      </c>
      <c r="L1122" t="str">
        <f>IF(FlipkartTable[[#This Row],[Selling Price]]&lt;15000,"Budget",IF(FlipkartTable[[#This Row],[Selling Price]]&lt;50000,"Mid Range","Premium"))</f>
        <v>Premium</v>
      </c>
      <c r="M1122" t="str">
        <f>IF(FlipkartTable[[#This Row],[Rating]]&gt;4.5,"Excellent",IF(FlipkartTable[[#This Row],[Rating]]&gt;4,"Good",IF(FlipkartTable[[#This Row],[Rating]]&gt;3.5,"Average","Poor")))</f>
        <v>Excellent</v>
      </c>
    </row>
    <row r="1123" spans="1:13" x14ac:dyDescent="0.35">
      <c r="A1123" t="s">
        <v>633</v>
      </c>
      <c r="B1123" s="9" t="s">
        <v>643</v>
      </c>
      <c r="C1123" t="s">
        <v>647</v>
      </c>
      <c r="D1123" t="s">
        <v>14</v>
      </c>
      <c r="E1123" t="s">
        <v>338</v>
      </c>
      <c r="F1123">
        <v>4.5999999999999996</v>
      </c>
      <c r="G1123">
        <v>139900</v>
      </c>
      <c r="H1123">
        <v>139900</v>
      </c>
      <c r="I1123">
        <f>FlipkartTable[[#This Row],[Original Price]]-FlipkartTable[[#This Row],[Selling Price]]</f>
        <v>0</v>
      </c>
      <c r="J1123" s="4">
        <f>(FlipkartTable[[#This Row],[Original Price]]-FlipkartTable[[#This Row],[Selling Price]])/FlipkartTable[[#This Row],[Original Price]]</f>
        <v>0</v>
      </c>
      <c r="K1123">
        <f>(FlipkartTable[[#This Row],[Rating]]/FlipkartTable[[#This Row],[Selling Price]])*1000</f>
        <v>3.2880629020729087E-2</v>
      </c>
      <c r="L1123" t="str">
        <f>IF(FlipkartTable[[#This Row],[Selling Price]]&lt;15000,"Budget",IF(FlipkartTable[[#This Row],[Selling Price]]&lt;50000,"Mid Range","Premium"))</f>
        <v>Premium</v>
      </c>
      <c r="M1123" t="str">
        <f>IF(FlipkartTable[[#This Row],[Rating]]&gt;4.5,"Excellent",IF(FlipkartTable[[#This Row],[Rating]]&gt;4,"Good",IF(FlipkartTable[[#This Row],[Rating]]&gt;3.5,"Average","Poor")))</f>
        <v>Excellent</v>
      </c>
    </row>
    <row r="1124" spans="1:13" x14ac:dyDescent="0.35">
      <c r="A1124" t="s">
        <v>633</v>
      </c>
      <c r="B1124" s="9" t="s">
        <v>643</v>
      </c>
      <c r="C1124" t="s">
        <v>644</v>
      </c>
      <c r="D1124" t="s">
        <v>14</v>
      </c>
      <c r="E1124" t="s">
        <v>15</v>
      </c>
      <c r="F1124">
        <v>4.5999999999999996</v>
      </c>
      <c r="G1124">
        <v>109900</v>
      </c>
      <c r="H1124">
        <v>109900</v>
      </c>
      <c r="I1124">
        <f>FlipkartTable[[#This Row],[Original Price]]-FlipkartTable[[#This Row],[Selling Price]]</f>
        <v>0</v>
      </c>
      <c r="J1124" s="4">
        <f>(FlipkartTable[[#This Row],[Original Price]]-FlipkartTable[[#This Row],[Selling Price]])/FlipkartTable[[#This Row],[Original Price]]</f>
        <v>0</v>
      </c>
      <c r="K1124">
        <f>(FlipkartTable[[#This Row],[Rating]]/FlipkartTable[[#This Row],[Selling Price]])*1000</f>
        <v>4.1856232939035488E-2</v>
      </c>
      <c r="L1124" t="str">
        <f>IF(FlipkartTable[[#This Row],[Selling Price]]&lt;15000,"Budget",IF(FlipkartTable[[#This Row],[Selling Price]]&lt;50000,"Mid Range","Premium"))</f>
        <v>Premium</v>
      </c>
      <c r="M1124" t="str">
        <f>IF(FlipkartTable[[#This Row],[Rating]]&gt;4.5,"Excellent",IF(FlipkartTable[[#This Row],[Rating]]&gt;4,"Good",IF(FlipkartTable[[#This Row],[Rating]]&gt;3.5,"Average","Poor")))</f>
        <v>Excellent</v>
      </c>
    </row>
    <row r="1125" spans="1:13" x14ac:dyDescent="0.35">
      <c r="A1125" t="s">
        <v>633</v>
      </c>
      <c r="B1125" s="9" t="s">
        <v>650</v>
      </c>
      <c r="C1125" t="s">
        <v>649</v>
      </c>
      <c r="D1125" t="s">
        <v>637</v>
      </c>
      <c r="E1125" t="s">
        <v>338</v>
      </c>
      <c r="F1125">
        <v>4.5999999999999996</v>
      </c>
      <c r="G1125">
        <v>140300</v>
      </c>
      <c r="H1125">
        <v>140300</v>
      </c>
      <c r="I1125">
        <f>FlipkartTable[[#This Row],[Original Price]]-FlipkartTable[[#This Row],[Selling Price]]</f>
        <v>0</v>
      </c>
      <c r="J1125" s="4">
        <f>(FlipkartTable[[#This Row],[Original Price]]-FlipkartTable[[#This Row],[Selling Price]])/FlipkartTable[[#This Row],[Original Price]]</f>
        <v>0</v>
      </c>
      <c r="K1125">
        <f>(FlipkartTable[[#This Row],[Rating]]/FlipkartTable[[#This Row],[Selling Price]])*1000</f>
        <v>3.2786885245901634E-2</v>
      </c>
      <c r="L1125" t="str">
        <f>IF(FlipkartTable[[#This Row],[Selling Price]]&lt;15000,"Budget",IF(FlipkartTable[[#This Row],[Selling Price]]&lt;50000,"Mid Range","Premium"))</f>
        <v>Premium</v>
      </c>
      <c r="M1125" t="str">
        <f>IF(FlipkartTable[[#This Row],[Rating]]&gt;4.5,"Excellent",IF(FlipkartTable[[#This Row],[Rating]]&gt;4,"Good",IF(FlipkartTable[[#This Row],[Rating]]&gt;3.5,"Average","Poor")))</f>
        <v>Excellent</v>
      </c>
    </row>
    <row r="1126" spans="1:13" x14ac:dyDescent="0.35">
      <c r="A1126" t="s">
        <v>633</v>
      </c>
      <c r="B1126" s="9" t="s">
        <v>645</v>
      </c>
      <c r="C1126" t="s">
        <v>116</v>
      </c>
      <c r="D1126" t="s">
        <v>637</v>
      </c>
      <c r="E1126" t="s">
        <v>64</v>
      </c>
      <c r="F1126">
        <v>4.7</v>
      </c>
      <c r="G1126">
        <v>131900</v>
      </c>
      <c r="H1126">
        <v>131900</v>
      </c>
      <c r="I1126">
        <f>FlipkartTable[[#This Row],[Original Price]]-FlipkartTable[[#This Row],[Selling Price]]</f>
        <v>0</v>
      </c>
      <c r="J1126" s="4">
        <f>(FlipkartTable[[#This Row],[Original Price]]-FlipkartTable[[#This Row],[Selling Price]])/FlipkartTable[[#This Row],[Original Price]]</f>
        <v>0</v>
      </c>
      <c r="K1126">
        <f>(FlipkartTable[[#This Row],[Rating]]/FlipkartTable[[#This Row],[Selling Price]])*1000</f>
        <v>3.5633055344958302E-2</v>
      </c>
      <c r="L1126" t="str">
        <f>IF(FlipkartTable[[#This Row],[Selling Price]]&lt;15000,"Budget",IF(FlipkartTable[[#This Row],[Selling Price]]&lt;50000,"Mid Range","Premium"))</f>
        <v>Premium</v>
      </c>
      <c r="M1126" t="str">
        <f>IF(FlipkartTable[[#This Row],[Rating]]&gt;4.5,"Excellent",IF(FlipkartTable[[#This Row],[Rating]]&gt;4,"Good",IF(FlipkartTable[[#This Row],[Rating]]&gt;3.5,"Average","Poor")))</f>
        <v>Excellent</v>
      </c>
    </row>
    <row r="1127" spans="1:13" x14ac:dyDescent="0.35">
      <c r="A1127" t="s">
        <v>633</v>
      </c>
      <c r="B1127" s="9" t="s">
        <v>635</v>
      </c>
      <c r="C1127" t="s">
        <v>642</v>
      </c>
      <c r="D1127" t="s">
        <v>20</v>
      </c>
      <c r="E1127" t="s">
        <v>12</v>
      </c>
      <c r="F1127">
        <v>4.5999999999999996</v>
      </c>
      <c r="G1127">
        <v>42999</v>
      </c>
      <c r="H1127">
        <v>47900</v>
      </c>
      <c r="I1127">
        <f>FlipkartTable[[#This Row],[Original Price]]-FlipkartTable[[#This Row],[Selling Price]]</f>
        <v>4901</v>
      </c>
      <c r="J1127" s="4">
        <f>(FlipkartTable[[#This Row],[Original Price]]-FlipkartTable[[#This Row],[Selling Price]])/FlipkartTable[[#This Row],[Original Price]]</f>
        <v>0.10231732776617954</v>
      </c>
      <c r="K1127">
        <f>(FlipkartTable[[#This Row],[Rating]]/FlipkartTable[[#This Row],[Selling Price]])*1000</f>
        <v>0.10697923207516452</v>
      </c>
      <c r="L1127" t="str">
        <f>IF(FlipkartTable[[#This Row],[Selling Price]]&lt;15000,"Budget",IF(FlipkartTable[[#This Row],[Selling Price]]&lt;50000,"Mid Range","Premium"))</f>
        <v>Mid Range</v>
      </c>
      <c r="M1127" t="str">
        <f>IF(FlipkartTable[[#This Row],[Rating]]&gt;4.5,"Excellent",IF(FlipkartTable[[#This Row],[Rating]]&gt;4,"Good",IF(FlipkartTable[[#This Row],[Rating]]&gt;3.5,"Average","Poor")))</f>
        <v>Excellent</v>
      </c>
    </row>
    <row r="1128" spans="1:13" x14ac:dyDescent="0.35">
      <c r="A1128" t="s">
        <v>633</v>
      </c>
      <c r="B1128" s="9" t="s">
        <v>650</v>
      </c>
      <c r="C1128" t="s">
        <v>116</v>
      </c>
      <c r="D1128" t="s">
        <v>637</v>
      </c>
      <c r="E1128" t="s">
        <v>338</v>
      </c>
      <c r="F1128">
        <v>4.5999999999999996</v>
      </c>
      <c r="G1128">
        <v>140300</v>
      </c>
      <c r="H1128">
        <v>140300</v>
      </c>
      <c r="I1128">
        <f>FlipkartTable[[#This Row],[Original Price]]-FlipkartTable[[#This Row],[Selling Price]]</f>
        <v>0</v>
      </c>
      <c r="J1128" s="4">
        <f>(FlipkartTable[[#This Row],[Original Price]]-FlipkartTable[[#This Row],[Selling Price]])/FlipkartTable[[#This Row],[Original Price]]</f>
        <v>0</v>
      </c>
      <c r="K1128">
        <f>(FlipkartTable[[#This Row],[Rating]]/FlipkartTable[[#This Row],[Selling Price]])*1000</f>
        <v>3.2786885245901634E-2</v>
      </c>
      <c r="L1128" t="str">
        <f>IF(FlipkartTable[[#This Row],[Selling Price]]&lt;15000,"Budget",IF(FlipkartTable[[#This Row],[Selling Price]]&lt;50000,"Mid Range","Premium"))</f>
        <v>Premium</v>
      </c>
      <c r="M1128" t="str">
        <f>IF(FlipkartTable[[#This Row],[Rating]]&gt;4.5,"Excellent",IF(FlipkartTable[[#This Row],[Rating]]&gt;4,"Good",IF(FlipkartTable[[#This Row],[Rating]]&gt;3.5,"Average","Poor")))</f>
        <v>Excellent</v>
      </c>
    </row>
    <row r="1129" spans="1:13" x14ac:dyDescent="0.35">
      <c r="A1129" t="s">
        <v>633</v>
      </c>
      <c r="B1129" s="9" t="s">
        <v>652</v>
      </c>
      <c r="C1129" t="s">
        <v>84</v>
      </c>
      <c r="D1129" t="s">
        <v>35</v>
      </c>
      <c r="E1129" t="s">
        <v>12</v>
      </c>
      <c r="F1129">
        <v>4.7</v>
      </c>
      <c r="G1129">
        <v>38999</v>
      </c>
      <c r="H1129">
        <v>39900</v>
      </c>
      <c r="I1129">
        <f>FlipkartTable[[#This Row],[Original Price]]-FlipkartTable[[#This Row],[Selling Price]]</f>
        <v>901</v>
      </c>
      <c r="J1129" s="4">
        <f>(FlipkartTable[[#This Row],[Original Price]]-FlipkartTable[[#This Row],[Selling Price]])/FlipkartTable[[#This Row],[Original Price]]</f>
        <v>2.2581453634085213E-2</v>
      </c>
      <c r="K1129">
        <f>(FlipkartTable[[#This Row],[Rating]]/FlipkartTable[[#This Row],[Selling Price]])*1000</f>
        <v>0.12051591066437602</v>
      </c>
      <c r="L1129" t="str">
        <f>IF(FlipkartTable[[#This Row],[Selling Price]]&lt;15000,"Budget",IF(FlipkartTable[[#This Row],[Selling Price]]&lt;50000,"Mid Range","Premium"))</f>
        <v>Mid Range</v>
      </c>
      <c r="M1129" t="str">
        <f>IF(FlipkartTable[[#This Row],[Rating]]&gt;4.5,"Excellent",IF(FlipkartTable[[#This Row],[Rating]]&gt;4,"Good",IF(FlipkartTable[[#This Row],[Rating]]&gt;3.5,"Average","Poor")))</f>
        <v>Excellent</v>
      </c>
    </row>
    <row r="1130" spans="1:13" x14ac:dyDescent="0.35">
      <c r="A1130" t="s">
        <v>633</v>
      </c>
      <c r="B1130" s="9" t="s">
        <v>650</v>
      </c>
      <c r="C1130" t="s">
        <v>170</v>
      </c>
      <c r="D1130" t="s">
        <v>637</v>
      </c>
      <c r="E1130" t="s">
        <v>64</v>
      </c>
      <c r="F1130">
        <v>4.5999999999999996</v>
      </c>
      <c r="G1130">
        <v>79999</v>
      </c>
      <c r="H1130">
        <v>106600</v>
      </c>
      <c r="I1130">
        <f>FlipkartTable[[#This Row],[Original Price]]-FlipkartTable[[#This Row],[Selling Price]]</f>
        <v>26601</v>
      </c>
      <c r="J1130" s="4">
        <f>(FlipkartTable[[#This Row],[Original Price]]-FlipkartTable[[#This Row],[Selling Price]])/FlipkartTable[[#This Row],[Original Price]]</f>
        <v>0.24954033771106943</v>
      </c>
      <c r="K1130">
        <f>(FlipkartTable[[#This Row],[Rating]]/FlipkartTable[[#This Row],[Selling Price]])*1000</f>
        <v>5.7500718758984479E-2</v>
      </c>
      <c r="L1130" t="str">
        <f>IF(FlipkartTable[[#This Row],[Selling Price]]&lt;15000,"Budget",IF(FlipkartTable[[#This Row],[Selling Price]]&lt;50000,"Mid Range","Premium"))</f>
        <v>Premium</v>
      </c>
      <c r="M1130" t="str">
        <f>IF(FlipkartTable[[#This Row],[Rating]]&gt;4.5,"Excellent",IF(FlipkartTable[[#This Row],[Rating]]&gt;4,"Good",IF(FlipkartTable[[#This Row],[Rating]]&gt;3.5,"Average","Poor")))</f>
        <v>Excellent</v>
      </c>
    </row>
    <row r="1131" spans="1:13" x14ac:dyDescent="0.35">
      <c r="A1131" t="s">
        <v>633</v>
      </c>
      <c r="B1131" s="9" t="s">
        <v>639</v>
      </c>
      <c r="C1131" t="s">
        <v>152</v>
      </c>
      <c r="D1131" t="s">
        <v>637</v>
      </c>
      <c r="E1131" t="s">
        <v>12</v>
      </c>
      <c r="F1131">
        <v>4.5999999999999996</v>
      </c>
      <c r="G1131">
        <v>54900</v>
      </c>
      <c r="H1131">
        <v>54900</v>
      </c>
      <c r="I1131">
        <f>FlipkartTable[[#This Row],[Original Price]]-FlipkartTable[[#This Row],[Selling Price]]</f>
        <v>0</v>
      </c>
      <c r="J1131" s="4">
        <f>(FlipkartTable[[#This Row],[Original Price]]-FlipkartTable[[#This Row],[Selling Price]])/FlipkartTable[[#This Row],[Original Price]]</f>
        <v>0</v>
      </c>
      <c r="K1131">
        <f>(FlipkartTable[[#This Row],[Rating]]/FlipkartTable[[#This Row],[Selling Price]])*1000</f>
        <v>8.3788706739526403E-2</v>
      </c>
      <c r="L1131" t="str">
        <f>IF(FlipkartTable[[#This Row],[Selling Price]]&lt;15000,"Budget",IF(FlipkartTable[[#This Row],[Selling Price]]&lt;50000,"Mid Range","Premium"))</f>
        <v>Premium</v>
      </c>
      <c r="M1131" t="str">
        <f>IF(FlipkartTable[[#This Row],[Rating]]&gt;4.5,"Excellent",IF(FlipkartTable[[#This Row],[Rating]]&gt;4,"Good",IF(FlipkartTable[[#This Row],[Rating]]&gt;3.5,"Average","Poor")))</f>
        <v>Excellent</v>
      </c>
    </row>
    <row r="1132" spans="1:13" x14ac:dyDescent="0.35">
      <c r="A1132" t="s">
        <v>633</v>
      </c>
      <c r="B1132" s="9" t="s">
        <v>655</v>
      </c>
      <c r="C1132" t="s">
        <v>649</v>
      </c>
      <c r="D1132" t="s">
        <v>134</v>
      </c>
      <c r="E1132" t="s">
        <v>124</v>
      </c>
      <c r="F1132">
        <v>4.5</v>
      </c>
      <c r="G1132">
        <v>39999</v>
      </c>
      <c r="H1132">
        <v>39999</v>
      </c>
      <c r="I1132">
        <f>FlipkartTable[[#This Row],[Original Price]]-FlipkartTable[[#This Row],[Selling Price]]</f>
        <v>0</v>
      </c>
      <c r="J1132" s="4">
        <f>(FlipkartTable[[#This Row],[Original Price]]-FlipkartTable[[#This Row],[Selling Price]])/FlipkartTable[[#This Row],[Original Price]]</f>
        <v>0</v>
      </c>
      <c r="K1132">
        <f>(FlipkartTable[[#This Row],[Rating]]/FlipkartTable[[#This Row],[Selling Price]])*1000</f>
        <v>0.11250281257031426</v>
      </c>
      <c r="L1132" t="str">
        <f>IF(FlipkartTable[[#This Row],[Selling Price]]&lt;15000,"Budget",IF(FlipkartTable[[#This Row],[Selling Price]]&lt;50000,"Mid Range","Premium"))</f>
        <v>Mid Range</v>
      </c>
      <c r="M1132" t="str">
        <f>IF(FlipkartTable[[#This Row],[Rating]]&gt;4.5,"Excellent",IF(FlipkartTable[[#This Row],[Rating]]&gt;4,"Good",IF(FlipkartTable[[#This Row],[Rating]]&gt;3.5,"Average","Poor")))</f>
        <v>Good</v>
      </c>
    </row>
    <row r="1133" spans="1:13" x14ac:dyDescent="0.35">
      <c r="A1133" t="s">
        <v>633</v>
      </c>
      <c r="B1133" s="9" t="s">
        <v>656</v>
      </c>
      <c r="C1133" t="s">
        <v>170</v>
      </c>
      <c r="D1133" t="s">
        <v>11</v>
      </c>
      <c r="E1133" t="s">
        <v>338</v>
      </c>
      <c r="F1133">
        <v>4.5999999999999996</v>
      </c>
      <c r="G1133">
        <v>144900</v>
      </c>
      <c r="H1133">
        <v>144900</v>
      </c>
      <c r="I1133">
        <f>FlipkartTable[[#This Row],[Original Price]]-FlipkartTable[[#This Row],[Selling Price]]</f>
        <v>0</v>
      </c>
      <c r="J1133" s="4">
        <f>(FlipkartTable[[#This Row],[Original Price]]-FlipkartTable[[#This Row],[Selling Price]])/FlipkartTable[[#This Row],[Original Price]]</f>
        <v>0</v>
      </c>
      <c r="K1133">
        <f>(FlipkartTable[[#This Row],[Rating]]/FlipkartTable[[#This Row],[Selling Price]])*1000</f>
        <v>3.1746031746031744E-2</v>
      </c>
      <c r="L1133" t="str">
        <f>IF(FlipkartTable[[#This Row],[Selling Price]]&lt;15000,"Budget",IF(FlipkartTable[[#This Row],[Selling Price]]&lt;50000,"Mid Range","Premium"))</f>
        <v>Premium</v>
      </c>
      <c r="M1133" t="str">
        <f>IF(FlipkartTable[[#This Row],[Rating]]&gt;4.5,"Excellent",IF(FlipkartTable[[#This Row],[Rating]]&gt;4,"Good",IF(FlipkartTable[[#This Row],[Rating]]&gt;3.5,"Average","Poor")))</f>
        <v>Excellent</v>
      </c>
    </row>
    <row r="1134" spans="1:13" x14ac:dyDescent="0.35">
      <c r="A1134" t="s">
        <v>633</v>
      </c>
      <c r="B1134" s="9" t="s">
        <v>657</v>
      </c>
      <c r="C1134" t="s">
        <v>84</v>
      </c>
      <c r="D1134" t="s">
        <v>20</v>
      </c>
      <c r="E1134" t="s">
        <v>64</v>
      </c>
      <c r="F1134">
        <v>5</v>
      </c>
      <c r="G1134">
        <v>85400</v>
      </c>
      <c r="H1134">
        <v>85400</v>
      </c>
      <c r="I1134">
        <f>FlipkartTable[[#This Row],[Original Price]]-FlipkartTable[[#This Row],[Selling Price]]</f>
        <v>0</v>
      </c>
      <c r="J1134" s="4">
        <f>(FlipkartTable[[#This Row],[Original Price]]-FlipkartTable[[#This Row],[Selling Price]])/FlipkartTable[[#This Row],[Original Price]]</f>
        <v>0</v>
      </c>
      <c r="K1134">
        <f>(FlipkartTable[[#This Row],[Rating]]/FlipkartTable[[#This Row],[Selling Price]])*1000</f>
        <v>5.8548009367681501E-2</v>
      </c>
      <c r="L1134" t="str">
        <f>IF(FlipkartTable[[#This Row],[Selling Price]]&lt;15000,"Budget",IF(FlipkartTable[[#This Row],[Selling Price]]&lt;50000,"Mid Range","Premium"))</f>
        <v>Premium</v>
      </c>
      <c r="M1134" t="str">
        <f>IF(FlipkartTable[[#This Row],[Rating]]&gt;4.5,"Excellent",IF(FlipkartTable[[#This Row],[Rating]]&gt;4,"Good",IF(FlipkartTable[[#This Row],[Rating]]&gt;3.5,"Average","Poor")))</f>
        <v>Excellent</v>
      </c>
    </row>
    <row r="1135" spans="1:13" x14ac:dyDescent="0.35">
      <c r="A1135" t="s">
        <v>633</v>
      </c>
      <c r="B1135" s="9" t="s">
        <v>658</v>
      </c>
      <c r="C1135" t="s">
        <v>170</v>
      </c>
      <c r="D1135" t="s">
        <v>35</v>
      </c>
      <c r="E1135" t="s">
        <v>21</v>
      </c>
      <c r="F1135">
        <v>4.5</v>
      </c>
      <c r="G1135">
        <v>25299</v>
      </c>
      <c r="H1135">
        <v>29900</v>
      </c>
      <c r="I1135">
        <f>FlipkartTable[[#This Row],[Original Price]]-FlipkartTable[[#This Row],[Selling Price]]</f>
        <v>4601</v>
      </c>
      <c r="J1135" s="4">
        <f>(FlipkartTable[[#This Row],[Original Price]]-FlipkartTable[[#This Row],[Selling Price]])/FlipkartTable[[#This Row],[Original Price]]</f>
        <v>0.15387959866220735</v>
      </c>
      <c r="K1135">
        <f>(FlipkartTable[[#This Row],[Rating]]/FlipkartTable[[#This Row],[Selling Price]])*1000</f>
        <v>0.17787264318747775</v>
      </c>
      <c r="L1135" t="str">
        <f>IF(FlipkartTable[[#This Row],[Selling Price]]&lt;15000,"Budget",IF(FlipkartTable[[#This Row],[Selling Price]]&lt;50000,"Mid Range","Premium"))</f>
        <v>Mid Range</v>
      </c>
      <c r="M1135" t="str">
        <f>IF(FlipkartTable[[#This Row],[Rating]]&gt;4.5,"Excellent",IF(FlipkartTable[[#This Row],[Rating]]&gt;4,"Good",IF(FlipkartTable[[#This Row],[Rating]]&gt;3.5,"Average","Poor")))</f>
        <v>Good</v>
      </c>
    </row>
    <row r="1136" spans="1:13" x14ac:dyDescent="0.35">
      <c r="A1136" t="s">
        <v>633</v>
      </c>
      <c r="B1136" s="9" t="s">
        <v>650</v>
      </c>
      <c r="C1136" t="s">
        <v>116</v>
      </c>
      <c r="D1136" t="s">
        <v>637</v>
      </c>
      <c r="E1136" t="s">
        <v>64</v>
      </c>
      <c r="F1136">
        <v>4.5999999999999996</v>
      </c>
      <c r="G1136">
        <v>79999</v>
      </c>
      <c r="H1136">
        <v>106600</v>
      </c>
      <c r="I1136">
        <f>FlipkartTable[[#This Row],[Original Price]]-FlipkartTable[[#This Row],[Selling Price]]</f>
        <v>26601</v>
      </c>
      <c r="J1136" s="4">
        <f>(FlipkartTable[[#This Row],[Original Price]]-FlipkartTable[[#This Row],[Selling Price]])/FlipkartTable[[#This Row],[Original Price]]</f>
        <v>0.24954033771106943</v>
      </c>
      <c r="K1136">
        <f>(FlipkartTable[[#This Row],[Rating]]/FlipkartTable[[#This Row],[Selling Price]])*1000</f>
        <v>5.7500718758984479E-2</v>
      </c>
      <c r="L1136" t="str">
        <f>IF(FlipkartTable[[#This Row],[Selling Price]]&lt;15000,"Budget",IF(FlipkartTable[[#This Row],[Selling Price]]&lt;50000,"Mid Range","Premium"))</f>
        <v>Premium</v>
      </c>
      <c r="M1136" t="str">
        <f>IF(FlipkartTable[[#This Row],[Rating]]&gt;4.5,"Excellent",IF(FlipkartTable[[#This Row],[Rating]]&gt;4,"Good",IF(FlipkartTable[[#This Row],[Rating]]&gt;3.5,"Average","Poor")))</f>
        <v>Excellent</v>
      </c>
    </row>
    <row r="1137" spans="1:13" x14ac:dyDescent="0.35">
      <c r="A1137" t="s">
        <v>633</v>
      </c>
      <c r="B1137" s="9" t="s">
        <v>650</v>
      </c>
      <c r="C1137" t="s">
        <v>646</v>
      </c>
      <c r="D1137" t="s">
        <v>637</v>
      </c>
      <c r="E1137" t="s">
        <v>64</v>
      </c>
      <c r="F1137">
        <v>4.5999999999999996</v>
      </c>
      <c r="G1137">
        <v>79999</v>
      </c>
      <c r="H1137">
        <v>106600</v>
      </c>
      <c r="I1137">
        <f>FlipkartTable[[#This Row],[Original Price]]-FlipkartTable[[#This Row],[Selling Price]]</f>
        <v>26601</v>
      </c>
      <c r="J1137" s="4">
        <f>(FlipkartTable[[#This Row],[Original Price]]-FlipkartTable[[#This Row],[Selling Price]])/FlipkartTable[[#This Row],[Original Price]]</f>
        <v>0.24954033771106943</v>
      </c>
      <c r="K1137">
        <f>(FlipkartTable[[#This Row],[Rating]]/FlipkartTable[[#This Row],[Selling Price]])*1000</f>
        <v>5.7500718758984479E-2</v>
      </c>
      <c r="L1137" t="str">
        <f>IF(FlipkartTable[[#This Row],[Selling Price]]&lt;15000,"Budget",IF(FlipkartTable[[#This Row],[Selling Price]]&lt;50000,"Mid Range","Premium"))</f>
        <v>Premium</v>
      </c>
      <c r="M1137" t="str">
        <f>IF(FlipkartTable[[#This Row],[Rating]]&gt;4.5,"Excellent",IF(FlipkartTable[[#This Row],[Rating]]&gt;4,"Good",IF(FlipkartTable[[#This Row],[Rating]]&gt;3.5,"Average","Poor")))</f>
        <v>Excellent</v>
      </c>
    </row>
    <row r="1138" spans="1:13" x14ac:dyDescent="0.35">
      <c r="A1138" t="s">
        <v>633</v>
      </c>
      <c r="B1138" s="9" t="s">
        <v>650</v>
      </c>
      <c r="C1138" t="s">
        <v>170</v>
      </c>
      <c r="D1138" t="s">
        <v>637</v>
      </c>
      <c r="E1138" t="s">
        <v>338</v>
      </c>
      <c r="F1138">
        <v>4.5999999999999996</v>
      </c>
      <c r="G1138">
        <v>140300</v>
      </c>
      <c r="H1138">
        <v>140300</v>
      </c>
      <c r="I1138">
        <f>FlipkartTable[[#This Row],[Original Price]]-FlipkartTable[[#This Row],[Selling Price]]</f>
        <v>0</v>
      </c>
      <c r="J1138" s="4">
        <f>(FlipkartTable[[#This Row],[Original Price]]-FlipkartTable[[#This Row],[Selling Price]])/FlipkartTable[[#This Row],[Original Price]]</f>
        <v>0</v>
      </c>
      <c r="K1138">
        <f>(FlipkartTable[[#This Row],[Rating]]/FlipkartTable[[#This Row],[Selling Price]])*1000</f>
        <v>3.2786885245901634E-2</v>
      </c>
      <c r="L1138" t="str">
        <f>IF(FlipkartTable[[#This Row],[Selling Price]]&lt;15000,"Budget",IF(FlipkartTable[[#This Row],[Selling Price]]&lt;50000,"Mid Range","Premium"))</f>
        <v>Premium</v>
      </c>
      <c r="M1138" t="str">
        <f>IF(FlipkartTable[[#This Row],[Rating]]&gt;4.5,"Excellent",IF(FlipkartTable[[#This Row],[Rating]]&gt;4,"Good",IF(FlipkartTable[[#This Row],[Rating]]&gt;3.5,"Average","Poor")))</f>
        <v>Excellent</v>
      </c>
    </row>
    <row r="1139" spans="1:13" x14ac:dyDescent="0.35">
      <c r="A1139" t="s">
        <v>633</v>
      </c>
      <c r="B1139" s="9" t="s">
        <v>659</v>
      </c>
      <c r="C1139" t="s">
        <v>19</v>
      </c>
      <c r="D1139" t="s">
        <v>35</v>
      </c>
      <c r="E1139" t="s">
        <v>21</v>
      </c>
      <c r="F1139">
        <v>4.5</v>
      </c>
      <c r="G1139">
        <v>24999</v>
      </c>
      <c r="H1139">
        <v>31500</v>
      </c>
      <c r="I1139">
        <f>FlipkartTable[[#This Row],[Original Price]]-FlipkartTable[[#This Row],[Selling Price]]</f>
        <v>6501</v>
      </c>
      <c r="J1139" s="4">
        <f>(FlipkartTable[[#This Row],[Original Price]]-FlipkartTable[[#This Row],[Selling Price]])/FlipkartTable[[#This Row],[Original Price]]</f>
        <v>0.20638095238095239</v>
      </c>
      <c r="K1139">
        <f>(FlipkartTable[[#This Row],[Rating]]/FlipkartTable[[#This Row],[Selling Price]])*1000</f>
        <v>0.18000720028801154</v>
      </c>
      <c r="L1139" t="str">
        <f>IF(FlipkartTable[[#This Row],[Selling Price]]&lt;15000,"Budget",IF(FlipkartTable[[#This Row],[Selling Price]]&lt;50000,"Mid Range","Premium"))</f>
        <v>Mid Range</v>
      </c>
      <c r="M1139" t="str">
        <f>IF(FlipkartTable[[#This Row],[Rating]]&gt;4.5,"Excellent",IF(FlipkartTable[[#This Row],[Rating]]&gt;4,"Good",IF(FlipkartTable[[#This Row],[Rating]]&gt;3.5,"Average","Poor")))</f>
        <v>Good</v>
      </c>
    </row>
    <row r="1140" spans="1:13" x14ac:dyDescent="0.35">
      <c r="A1140" t="s">
        <v>633</v>
      </c>
      <c r="B1140" s="9" t="s">
        <v>651</v>
      </c>
      <c r="C1140" t="s">
        <v>649</v>
      </c>
      <c r="D1140" t="s">
        <v>11</v>
      </c>
      <c r="E1140" t="s">
        <v>64</v>
      </c>
      <c r="F1140">
        <v>4.7</v>
      </c>
      <c r="G1140">
        <v>76999</v>
      </c>
      <c r="H1140">
        <v>103900</v>
      </c>
      <c r="I1140">
        <f>FlipkartTable[[#This Row],[Original Price]]-FlipkartTable[[#This Row],[Selling Price]]</f>
        <v>26901</v>
      </c>
      <c r="J1140" s="4">
        <f>(FlipkartTable[[#This Row],[Original Price]]-FlipkartTable[[#This Row],[Selling Price]])/FlipkartTable[[#This Row],[Original Price]]</f>
        <v>0.2589124157844081</v>
      </c>
      <c r="K1140">
        <f>(FlipkartTable[[#This Row],[Rating]]/FlipkartTable[[#This Row],[Selling Price]])*1000</f>
        <v>6.1039753763035887E-2</v>
      </c>
      <c r="L1140" t="str">
        <f>IF(FlipkartTable[[#This Row],[Selling Price]]&lt;15000,"Budget",IF(FlipkartTable[[#This Row],[Selling Price]]&lt;50000,"Mid Range","Premium"))</f>
        <v>Premium</v>
      </c>
      <c r="M1140" t="str">
        <f>IF(FlipkartTable[[#This Row],[Rating]]&gt;4.5,"Excellent",IF(FlipkartTable[[#This Row],[Rating]]&gt;4,"Good",IF(FlipkartTable[[#This Row],[Rating]]&gt;3.5,"Average","Poor")))</f>
        <v>Excellent</v>
      </c>
    </row>
    <row r="1141" spans="1:13" x14ac:dyDescent="0.35">
      <c r="A1141" t="s">
        <v>633</v>
      </c>
      <c r="B1141" s="9" t="s">
        <v>651</v>
      </c>
      <c r="C1141" t="s">
        <v>649</v>
      </c>
      <c r="D1141" t="s">
        <v>11</v>
      </c>
      <c r="E1141" t="s">
        <v>12</v>
      </c>
      <c r="F1141">
        <v>4.7</v>
      </c>
      <c r="G1141">
        <v>62999</v>
      </c>
      <c r="H1141">
        <v>89900</v>
      </c>
      <c r="I1141">
        <f>FlipkartTable[[#This Row],[Original Price]]-FlipkartTable[[#This Row],[Selling Price]]</f>
        <v>26901</v>
      </c>
      <c r="J1141" s="4">
        <f>(FlipkartTable[[#This Row],[Original Price]]-FlipkartTable[[#This Row],[Selling Price]])/FlipkartTable[[#This Row],[Original Price]]</f>
        <v>0.29923248053392659</v>
      </c>
      <c r="K1141">
        <f>(FlipkartTable[[#This Row],[Rating]]/FlipkartTable[[#This Row],[Selling Price]])*1000</f>
        <v>7.4604358799346016E-2</v>
      </c>
      <c r="L1141" t="str">
        <f>IF(FlipkartTable[[#This Row],[Selling Price]]&lt;15000,"Budget",IF(FlipkartTable[[#This Row],[Selling Price]]&lt;50000,"Mid Range","Premium"))</f>
        <v>Premium</v>
      </c>
      <c r="M1141" t="str">
        <f>IF(FlipkartTable[[#This Row],[Rating]]&gt;4.5,"Excellent",IF(FlipkartTable[[#This Row],[Rating]]&gt;4,"Good",IF(FlipkartTable[[#This Row],[Rating]]&gt;3.5,"Average","Poor")))</f>
        <v>Excellent</v>
      </c>
    </row>
    <row r="1142" spans="1:13" x14ac:dyDescent="0.35">
      <c r="A1142" t="s">
        <v>633</v>
      </c>
      <c r="B1142" s="9" t="s">
        <v>650</v>
      </c>
      <c r="C1142" t="s">
        <v>649</v>
      </c>
      <c r="D1142" t="s">
        <v>637</v>
      </c>
      <c r="E1142" t="s">
        <v>64</v>
      </c>
      <c r="F1142">
        <v>4.5999999999999996</v>
      </c>
      <c r="G1142">
        <v>79999</v>
      </c>
      <c r="H1142">
        <v>106600</v>
      </c>
      <c r="I1142">
        <f>FlipkartTable[[#This Row],[Original Price]]-FlipkartTable[[#This Row],[Selling Price]]</f>
        <v>26601</v>
      </c>
      <c r="J1142" s="4">
        <f>(FlipkartTable[[#This Row],[Original Price]]-FlipkartTable[[#This Row],[Selling Price]])/FlipkartTable[[#This Row],[Original Price]]</f>
        <v>0.24954033771106943</v>
      </c>
      <c r="K1142">
        <f>(FlipkartTable[[#This Row],[Rating]]/FlipkartTable[[#This Row],[Selling Price]])*1000</f>
        <v>5.7500718758984479E-2</v>
      </c>
      <c r="L1142" t="str">
        <f>IF(FlipkartTable[[#This Row],[Selling Price]]&lt;15000,"Budget",IF(FlipkartTable[[#This Row],[Selling Price]]&lt;50000,"Mid Range","Premium"))</f>
        <v>Premium</v>
      </c>
      <c r="M1142" t="str">
        <f>IF(FlipkartTable[[#This Row],[Rating]]&gt;4.5,"Excellent",IF(FlipkartTable[[#This Row],[Rating]]&gt;4,"Good",IF(FlipkartTable[[#This Row],[Rating]]&gt;3.5,"Average","Poor")))</f>
        <v>Excellent</v>
      </c>
    </row>
    <row r="1143" spans="1:13" x14ac:dyDescent="0.35">
      <c r="A1143" t="s">
        <v>633</v>
      </c>
      <c r="B1143" s="9" t="s">
        <v>659</v>
      </c>
      <c r="C1143" t="s">
        <v>179</v>
      </c>
      <c r="D1143" t="s">
        <v>35</v>
      </c>
      <c r="E1143" t="s">
        <v>21</v>
      </c>
      <c r="F1143">
        <v>4.5</v>
      </c>
      <c r="G1143">
        <v>24999</v>
      </c>
      <c r="H1143">
        <v>31500</v>
      </c>
      <c r="I1143">
        <f>FlipkartTable[[#This Row],[Original Price]]-FlipkartTable[[#This Row],[Selling Price]]</f>
        <v>6501</v>
      </c>
      <c r="J1143" s="4">
        <f>(FlipkartTable[[#This Row],[Original Price]]-FlipkartTable[[#This Row],[Selling Price]])/FlipkartTable[[#This Row],[Original Price]]</f>
        <v>0.20638095238095239</v>
      </c>
      <c r="K1143">
        <f>(FlipkartTable[[#This Row],[Rating]]/FlipkartTable[[#This Row],[Selling Price]])*1000</f>
        <v>0.18000720028801154</v>
      </c>
      <c r="L1143" t="str">
        <f>IF(FlipkartTable[[#This Row],[Selling Price]]&lt;15000,"Budget",IF(FlipkartTable[[#This Row],[Selling Price]]&lt;50000,"Mid Range","Premium"))</f>
        <v>Mid Range</v>
      </c>
      <c r="M1143" t="str">
        <f>IF(FlipkartTable[[#This Row],[Rating]]&gt;4.5,"Excellent",IF(FlipkartTable[[#This Row],[Rating]]&gt;4,"Good",IF(FlipkartTable[[#This Row],[Rating]]&gt;3.5,"Average","Poor")))</f>
        <v>Good</v>
      </c>
    </row>
    <row r="1144" spans="1:13" x14ac:dyDescent="0.35">
      <c r="A1144" t="s">
        <v>633</v>
      </c>
      <c r="B1144" s="9" t="s">
        <v>657</v>
      </c>
      <c r="C1144" t="s">
        <v>116</v>
      </c>
      <c r="D1144" t="s">
        <v>20</v>
      </c>
      <c r="E1144" t="s">
        <v>21</v>
      </c>
      <c r="F1144">
        <v>4.5</v>
      </c>
      <c r="G1144">
        <v>36999</v>
      </c>
      <c r="H1144">
        <v>37900</v>
      </c>
      <c r="I1144">
        <f>FlipkartTable[[#This Row],[Original Price]]-FlipkartTable[[#This Row],[Selling Price]]</f>
        <v>901</v>
      </c>
      <c r="J1144" s="4">
        <f>(FlipkartTable[[#This Row],[Original Price]]-FlipkartTable[[#This Row],[Selling Price]])/FlipkartTable[[#This Row],[Original Price]]</f>
        <v>2.3773087071240106E-2</v>
      </c>
      <c r="K1144">
        <f>(FlipkartTable[[#This Row],[Rating]]/FlipkartTable[[#This Row],[Selling Price]])*1000</f>
        <v>0.12162490878131842</v>
      </c>
      <c r="L1144" t="str">
        <f>IF(FlipkartTable[[#This Row],[Selling Price]]&lt;15000,"Budget",IF(FlipkartTable[[#This Row],[Selling Price]]&lt;50000,"Mid Range","Premium"))</f>
        <v>Mid Range</v>
      </c>
      <c r="M1144" t="str">
        <f>IF(FlipkartTable[[#This Row],[Rating]]&gt;4.5,"Excellent",IF(FlipkartTable[[#This Row],[Rating]]&gt;4,"Good",IF(FlipkartTable[[#This Row],[Rating]]&gt;3.5,"Average","Poor")))</f>
        <v>Good</v>
      </c>
    </row>
    <row r="1145" spans="1:13" x14ac:dyDescent="0.35">
      <c r="A1145" t="s">
        <v>633</v>
      </c>
      <c r="B1145" s="9" t="s">
        <v>648</v>
      </c>
      <c r="C1145" t="s">
        <v>116</v>
      </c>
      <c r="D1145" t="s">
        <v>20</v>
      </c>
      <c r="E1145" t="s">
        <v>64</v>
      </c>
      <c r="F1145">
        <v>4.5999999999999996</v>
      </c>
      <c r="G1145">
        <v>84900</v>
      </c>
      <c r="H1145">
        <v>84900</v>
      </c>
      <c r="I1145">
        <f>FlipkartTable[[#This Row],[Original Price]]-FlipkartTable[[#This Row],[Selling Price]]</f>
        <v>0</v>
      </c>
      <c r="J1145" s="4">
        <f>(FlipkartTable[[#This Row],[Original Price]]-FlipkartTable[[#This Row],[Selling Price]])/FlipkartTable[[#This Row],[Original Price]]</f>
        <v>0</v>
      </c>
      <c r="K1145">
        <f>(FlipkartTable[[#This Row],[Rating]]/FlipkartTable[[#This Row],[Selling Price]])*1000</f>
        <v>5.4181389870435803E-2</v>
      </c>
      <c r="L1145" t="str">
        <f>IF(FlipkartTable[[#This Row],[Selling Price]]&lt;15000,"Budget",IF(FlipkartTable[[#This Row],[Selling Price]]&lt;50000,"Mid Range","Premium"))</f>
        <v>Premium</v>
      </c>
      <c r="M1145" t="str">
        <f>IF(FlipkartTable[[#This Row],[Rating]]&gt;4.5,"Excellent",IF(FlipkartTable[[#This Row],[Rating]]&gt;4,"Good",IF(FlipkartTable[[#This Row],[Rating]]&gt;3.5,"Average","Poor")))</f>
        <v>Excellent</v>
      </c>
    </row>
    <row r="1146" spans="1:13" x14ac:dyDescent="0.35">
      <c r="A1146" t="s">
        <v>633</v>
      </c>
      <c r="B1146" s="9" t="s">
        <v>650</v>
      </c>
      <c r="C1146" t="s">
        <v>170</v>
      </c>
      <c r="D1146" t="s">
        <v>637</v>
      </c>
      <c r="E1146" t="s">
        <v>64</v>
      </c>
      <c r="F1146">
        <v>4.5999999999999996</v>
      </c>
      <c r="G1146">
        <v>121300</v>
      </c>
      <c r="H1146">
        <v>121300</v>
      </c>
      <c r="I1146">
        <f>FlipkartTable[[#This Row],[Original Price]]-FlipkartTable[[#This Row],[Selling Price]]</f>
        <v>0</v>
      </c>
      <c r="J1146" s="4">
        <f>(FlipkartTable[[#This Row],[Original Price]]-FlipkartTable[[#This Row],[Selling Price]])/FlipkartTable[[#This Row],[Original Price]]</f>
        <v>0</v>
      </c>
      <c r="K1146">
        <f>(FlipkartTable[[#This Row],[Rating]]/FlipkartTable[[#This Row],[Selling Price]])*1000</f>
        <v>3.7922506183017311E-2</v>
      </c>
      <c r="L1146" t="str">
        <f>IF(FlipkartTable[[#This Row],[Selling Price]]&lt;15000,"Budget",IF(FlipkartTable[[#This Row],[Selling Price]]&lt;50000,"Mid Range","Premium"))</f>
        <v>Premium</v>
      </c>
      <c r="M1146" t="str">
        <f>IF(FlipkartTable[[#This Row],[Rating]]&gt;4.5,"Excellent",IF(FlipkartTable[[#This Row],[Rating]]&gt;4,"Good",IF(FlipkartTable[[#This Row],[Rating]]&gt;3.5,"Average","Poor")))</f>
        <v>Excellent</v>
      </c>
    </row>
    <row r="1147" spans="1:13" x14ac:dyDescent="0.35">
      <c r="A1147" t="s">
        <v>633</v>
      </c>
      <c r="B1147" s="9" t="s">
        <v>659</v>
      </c>
      <c r="C1147" t="s">
        <v>84</v>
      </c>
      <c r="D1147" t="s">
        <v>35</v>
      </c>
      <c r="E1147" t="s">
        <v>64</v>
      </c>
      <c r="F1147">
        <v>4.7</v>
      </c>
      <c r="G1147">
        <v>74400</v>
      </c>
      <c r="H1147">
        <v>74400</v>
      </c>
      <c r="I1147">
        <f>FlipkartTable[[#This Row],[Original Price]]-FlipkartTable[[#This Row],[Selling Price]]</f>
        <v>0</v>
      </c>
      <c r="J1147" s="4">
        <f>(FlipkartTable[[#This Row],[Original Price]]-FlipkartTable[[#This Row],[Selling Price]])/FlipkartTable[[#This Row],[Original Price]]</f>
        <v>0</v>
      </c>
      <c r="K1147">
        <f>(FlipkartTable[[#This Row],[Rating]]/FlipkartTable[[#This Row],[Selling Price]])*1000</f>
        <v>6.3172043010752688E-2</v>
      </c>
      <c r="L1147" t="str">
        <f>IF(FlipkartTable[[#This Row],[Selling Price]]&lt;15000,"Budget",IF(FlipkartTable[[#This Row],[Selling Price]]&lt;50000,"Mid Range","Premium"))</f>
        <v>Premium</v>
      </c>
      <c r="M1147" t="str">
        <f>IF(FlipkartTable[[#This Row],[Rating]]&gt;4.5,"Excellent",IF(FlipkartTable[[#This Row],[Rating]]&gt;4,"Good",IF(FlipkartTable[[#This Row],[Rating]]&gt;3.5,"Average","Poor")))</f>
        <v>Excellent</v>
      </c>
    </row>
    <row r="1148" spans="1:13" x14ac:dyDescent="0.35">
      <c r="A1148" t="s">
        <v>633</v>
      </c>
      <c r="B1148" s="9" t="s">
        <v>659</v>
      </c>
      <c r="C1148" t="s">
        <v>19</v>
      </c>
      <c r="D1148" t="s">
        <v>35</v>
      </c>
      <c r="E1148" t="s">
        <v>15</v>
      </c>
      <c r="F1148">
        <v>4.5</v>
      </c>
      <c r="G1148">
        <v>34900</v>
      </c>
      <c r="H1148">
        <v>34900</v>
      </c>
      <c r="I1148">
        <f>FlipkartTable[[#This Row],[Original Price]]-FlipkartTable[[#This Row],[Selling Price]]</f>
        <v>0</v>
      </c>
      <c r="J1148" s="4">
        <f>(FlipkartTable[[#This Row],[Original Price]]-FlipkartTable[[#This Row],[Selling Price]])/FlipkartTable[[#This Row],[Original Price]]</f>
        <v>0</v>
      </c>
      <c r="K1148">
        <f>(FlipkartTable[[#This Row],[Rating]]/FlipkartTable[[#This Row],[Selling Price]])*1000</f>
        <v>0.12893982808022922</v>
      </c>
      <c r="L1148" t="str">
        <f>IF(FlipkartTable[[#This Row],[Selling Price]]&lt;15000,"Budget",IF(FlipkartTable[[#This Row],[Selling Price]]&lt;50000,"Mid Range","Premium"))</f>
        <v>Mid Range</v>
      </c>
      <c r="M1148" t="str">
        <f>IF(FlipkartTable[[#This Row],[Rating]]&gt;4.5,"Excellent",IF(FlipkartTable[[#This Row],[Rating]]&gt;4,"Good",IF(FlipkartTable[[#This Row],[Rating]]&gt;3.5,"Average","Poor")))</f>
        <v>Good</v>
      </c>
    </row>
    <row r="1149" spans="1:13" x14ac:dyDescent="0.35">
      <c r="A1149" t="s">
        <v>633</v>
      </c>
      <c r="B1149" s="9" t="s">
        <v>660</v>
      </c>
      <c r="C1149" t="s">
        <v>116</v>
      </c>
      <c r="D1149" t="s">
        <v>134</v>
      </c>
      <c r="E1149" t="s">
        <v>12</v>
      </c>
      <c r="F1149">
        <v>4.4000000000000004</v>
      </c>
      <c r="G1149">
        <v>62500</v>
      </c>
      <c r="H1149">
        <v>62500</v>
      </c>
      <c r="I1149">
        <f>FlipkartTable[[#This Row],[Original Price]]-FlipkartTable[[#This Row],[Selling Price]]</f>
        <v>0</v>
      </c>
      <c r="J1149" s="4">
        <f>(FlipkartTable[[#This Row],[Original Price]]-FlipkartTable[[#This Row],[Selling Price]])/FlipkartTable[[#This Row],[Original Price]]</f>
        <v>0</v>
      </c>
      <c r="K1149">
        <f>(FlipkartTable[[#This Row],[Rating]]/FlipkartTable[[#This Row],[Selling Price]])*1000</f>
        <v>7.0400000000000004E-2</v>
      </c>
      <c r="L1149" t="str">
        <f>IF(FlipkartTable[[#This Row],[Selling Price]]&lt;15000,"Budget",IF(FlipkartTable[[#This Row],[Selling Price]]&lt;50000,"Mid Range","Premium"))</f>
        <v>Premium</v>
      </c>
      <c r="M1149" t="str">
        <f>IF(FlipkartTable[[#This Row],[Rating]]&gt;4.5,"Excellent",IF(FlipkartTable[[#This Row],[Rating]]&gt;4,"Good",IF(FlipkartTable[[#This Row],[Rating]]&gt;3.5,"Average","Poor")))</f>
        <v>Good</v>
      </c>
    </row>
    <row r="1150" spans="1:13" x14ac:dyDescent="0.35">
      <c r="A1150" t="s">
        <v>633</v>
      </c>
      <c r="B1150" s="9" t="s">
        <v>658</v>
      </c>
      <c r="C1150" t="s">
        <v>649</v>
      </c>
      <c r="D1150" t="s">
        <v>35</v>
      </c>
      <c r="E1150" t="s">
        <v>21</v>
      </c>
      <c r="F1150">
        <v>4.5</v>
      </c>
      <c r="G1150">
        <v>25299</v>
      </c>
      <c r="H1150">
        <v>29900</v>
      </c>
      <c r="I1150">
        <f>FlipkartTable[[#This Row],[Original Price]]-FlipkartTable[[#This Row],[Selling Price]]</f>
        <v>4601</v>
      </c>
      <c r="J1150" s="4">
        <f>(FlipkartTable[[#This Row],[Original Price]]-FlipkartTable[[#This Row],[Selling Price]])/FlipkartTable[[#This Row],[Original Price]]</f>
        <v>0.15387959866220735</v>
      </c>
      <c r="K1150">
        <f>(FlipkartTable[[#This Row],[Rating]]/FlipkartTable[[#This Row],[Selling Price]])*1000</f>
        <v>0.17787264318747775</v>
      </c>
      <c r="L1150" t="str">
        <f>IF(FlipkartTable[[#This Row],[Selling Price]]&lt;15000,"Budget",IF(FlipkartTable[[#This Row],[Selling Price]]&lt;50000,"Mid Range","Premium"))</f>
        <v>Mid Range</v>
      </c>
      <c r="M1150" t="str">
        <f>IF(FlipkartTable[[#This Row],[Rating]]&gt;4.5,"Excellent",IF(FlipkartTable[[#This Row],[Rating]]&gt;4,"Good",IF(FlipkartTable[[#This Row],[Rating]]&gt;3.5,"Average","Poor")))</f>
        <v>Good</v>
      </c>
    </row>
    <row r="1151" spans="1:13" x14ac:dyDescent="0.35">
      <c r="A1151" t="s">
        <v>633</v>
      </c>
      <c r="B1151" s="9" t="s">
        <v>659</v>
      </c>
      <c r="C1151" t="s">
        <v>114</v>
      </c>
      <c r="D1151" t="s">
        <v>35</v>
      </c>
      <c r="E1151" t="s">
        <v>21</v>
      </c>
      <c r="F1151">
        <v>4.5</v>
      </c>
      <c r="G1151">
        <v>24999</v>
      </c>
      <c r="H1151">
        <v>31500</v>
      </c>
      <c r="I1151">
        <f>FlipkartTable[[#This Row],[Original Price]]-FlipkartTable[[#This Row],[Selling Price]]</f>
        <v>6501</v>
      </c>
      <c r="J1151" s="4">
        <f>(FlipkartTable[[#This Row],[Original Price]]-FlipkartTable[[#This Row],[Selling Price]])/FlipkartTable[[#This Row],[Original Price]]</f>
        <v>0.20638095238095239</v>
      </c>
      <c r="K1151">
        <f>(FlipkartTable[[#This Row],[Rating]]/FlipkartTable[[#This Row],[Selling Price]])*1000</f>
        <v>0.18000720028801154</v>
      </c>
      <c r="L1151" t="str">
        <f>IF(FlipkartTable[[#This Row],[Selling Price]]&lt;15000,"Budget",IF(FlipkartTable[[#This Row],[Selling Price]]&lt;50000,"Mid Range","Premium"))</f>
        <v>Mid Range</v>
      </c>
      <c r="M1151" t="str">
        <f>IF(FlipkartTable[[#This Row],[Rating]]&gt;4.5,"Excellent",IF(FlipkartTable[[#This Row],[Rating]]&gt;4,"Good",IF(FlipkartTable[[#This Row],[Rating]]&gt;3.5,"Average","Poor")))</f>
        <v>Good</v>
      </c>
    </row>
    <row r="1152" spans="1:13" x14ac:dyDescent="0.35">
      <c r="A1152" t="s">
        <v>633</v>
      </c>
      <c r="B1152" s="9" t="s">
        <v>651</v>
      </c>
      <c r="C1152" t="s">
        <v>170</v>
      </c>
      <c r="D1152" t="s">
        <v>11</v>
      </c>
      <c r="E1152" t="s">
        <v>64</v>
      </c>
      <c r="F1152">
        <v>4.7</v>
      </c>
      <c r="G1152">
        <v>76999</v>
      </c>
      <c r="H1152">
        <v>103900</v>
      </c>
      <c r="I1152">
        <f>FlipkartTable[[#This Row],[Original Price]]-FlipkartTable[[#This Row],[Selling Price]]</f>
        <v>26901</v>
      </c>
      <c r="J1152" s="4">
        <f>(FlipkartTable[[#This Row],[Original Price]]-FlipkartTable[[#This Row],[Selling Price]])/FlipkartTable[[#This Row],[Original Price]]</f>
        <v>0.2589124157844081</v>
      </c>
      <c r="K1152">
        <f>(FlipkartTable[[#This Row],[Rating]]/FlipkartTable[[#This Row],[Selling Price]])*1000</f>
        <v>6.1039753763035887E-2</v>
      </c>
      <c r="L1152" t="str">
        <f>IF(FlipkartTable[[#This Row],[Selling Price]]&lt;15000,"Budget",IF(FlipkartTable[[#This Row],[Selling Price]]&lt;50000,"Mid Range","Premium"))</f>
        <v>Premium</v>
      </c>
      <c r="M1152" t="str">
        <f>IF(FlipkartTable[[#This Row],[Rating]]&gt;4.5,"Excellent",IF(FlipkartTable[[#This Row],[Rating]]&gt;4,"Good",IF(FlipkartTable[[#This Row],[Rating]]&gt;3.5,"Average","Poor")))</f>
        <v>Excellent</v>
      </c>
    </row>
    <row r="1153" spans="1:13" x14ac:dyDescent="0.35">
      <c r="A1153" t="s">
        <v>633</v>
      </c>
      <c r="B1153" s="9" t="s">
        <v>657</v>
      </c>
      <c r="C1153" t="s">
        <v>19</v>
      </c>
      <c r="D1153" t="s">
        <v>20</v>
      </c>
      <c r="E1153" t="s">
        <v>15</v>
      </c>
      <c r="F1153">
        <v>4.5</v>
      </c>
      <c r="G1153">
        <v>42900</v>
      </c>
      <c r="H1153">
        <v>42900</v>
      </c>
      <c r="I1153">
        <f>FlipkartTable[[#This Row],[Original Price]]-FlipkartTable[[#This Row],[Selling Price]]</f>
        <v>0</v>
      </c>
      <c r="J1153" s="4">
        <f>(FlipkartTable[[#This Row],[Original Price]]-FlipkartTable[[#This Row],[Selling Price]])/FlipkartTable[[#This Row],[Original Price]]</f>
        <v>0</v>
      </c>
      <c r="K1153">
        <f>(FlipkartTable[[#This Row],[Rating]]/FlipkartTable[[#This Row],[Selling Price]])*1000</f>
        <v>0.1048951048951049</v>
      </c>
      <c r="L1153" t="str">
        <f>IF(FlipkartTable[[#This Row],[Selling Price]]&lt;15000,"Budget",IF(FlipkartTable[[#This Row],[Selling Price]]&lt;50000,"Mid Range","Premium"))</f>
        <v>Mid Range</v>
      </c>
      <c r="M1153" t="str">
        <f>IF(FlipkartTable[[#This Row],[Rating]]&gt;4.5,"Excellent",IF(FlipkartTable[[#This Row],[Rating]]&gt;4,"Good",IF(FlipkartTable[[#This Row],[Rating]]&gt;3.5,"Average","Poor")))</f>
        <v>Good</v>
      </c>
    </row>
    <row r="1154" spans="1:13" x14ac:dyDescent="0.35">
      <c r="A1154" t="s">
        <v>633</v>
      </c>
      <c r="B1154" s="9" t="s">
        <v>657</v>
      </c>
      <c r="C1154" t="s">
        <v>170</v>
      </c>
      <c r="D1154" t="s">
        <v>20</v>
      </c>
      <c r="E1154" t="s">
        <v>21</v>
      </c>
      <c r="F1154">
        <v>4.5</v>
      </c>
      <c r="G1154">
        <v>36999</v>
      </c>
      <c r="H1154">
        <v>37900</v>
      </c>
      <c r="I1154">
        <f>FlipkartTable[[#This Row],[Original Price]]-FlipkartTable[[#This Row],[Selling Price]]</f>
        <v>901</v>
      </c>
      <c r="J1154" s="4">
        <f>(FlipkartTable[[#This Row],[Original Price]]-FlipkartTable[[#This Row],[Selling Price]])/FlipkartTable[[#This Row],[Original Price]]</f>
        <v>2.3773087071240106E-2</v>
      </c>
      <c r="K1154">
        <f>(FlipkartTable[[#This Row],[Rating]]/FlipkartTable[[#This Row],[Selling Price]])*1000</f>
        <v>0.12162490878131842</v>
      </c>
      <c r="L1154" t="str">
        <f>IF(FlipkartTable[[#This Row],[Selling Price]]&lt;15000,"Budget",IF(FlipkartTable[[#This Row],[Selling Price]]&lt;50000,"Mid Range","Premium"))</f>
        <v>Mid Range</v>
      </c>
      <c r="M1154" t="str">
        <f>IF(FlipkartTable[[#This Row],[Rating]]&gt;4.5,"Excellent",IF(FlipkartTable[[#This Row],[Rating]]&gt;4,"Good",IF(FlipkartTable[[#This Row],[Rating]]&gt;3.5,"Average","Poor")))</f>
        <v>Good</v>
      </c>
    </row>
    <row r="1155" spans="1:13" x14ac:dyDescent="0.35">
      <c r="A1155" t="s">
        <v>633</v>
      </c>
      <c r="B1155" s="9" t="s">
        <v>650</v>
      </c>
      <c r="C1155" t="s">
        <v>646</v>
      </c>
      <c r="D1155" t="s">
        <v>637</v>
      </c>
      <c r="E1155" t="s">
        <v>64</v>
      </c>
      <c r="F1155">
        <v>4.5999999999999996</v>
      </c>
      <c r="G1155">
        <v>121300</v>
      </c>
      <c r="H1155">
        <v>121300</v>
      </c>
      <c r="I1155">
        <f>FlipkartTable[[#This Row],[Original Price]]-FlipkartTable[[#This Row],[Selling Price]]</f>
        <v>0</v>
      </c>
      <c r="J1155" s="4">
        <f>(FlipkartTable[[#This Row],[Original Price]]-FlipkartTable[[#This Row],[Selling Price]])/FlipkartTable[[#This Row],[Original Price]]</f>
        <v>0</v>
      </c>
      <c r="K1155">
        <f>(FlipkartTable[[#This Row],[Rating]]/FlipkartTable[[#This Row],[Selling Price]])*1000</f>
        <v>3.7922506183017311E-2</v>
      </c>
      <c r="L1155" t="str">
        <f>IF(FlipkartTable[[#This Row],[Selling Price]]&lt;15000,"Budget",IF(FlipkartTable[[#This Row],[Selling Price]]&lt;50000,"Mid Range","Premium"))</f>
        <v>Premium</v>
      </c>
      <c r="M1155" t="str">
        <f>IF(FlipkartTable[[#This Row],[Rating]]&gt;4.5,"Excellent",IF(FlipkartTable[[#This Row],[Rating]]&gt;4,"Good",IF(FlipkartTable[[#This Row],[Rating]]&gt;3.5,"Average","Poor")))</f>
        <v>Excellent</v>
      </c>
    </row>
    <row r="1156" spans="1:13" x14ac:dyDescent="0.35">
      <c r="A1156" t="s">
        <v>633</v>
      </c>
      <c r="B1156" s="9" t="s">
        <v>658</v>
      </c>
      <c r="C1156" t="s">
        <v>114</v>
      </c>
      <c r="D1156" t="s">
        <v>35</v>
      </c>
      <c r="E1156" t="s">
        <v>21</v>
      </c>
      <c r="F1156">
        <v>4.5</v>
      </c>
      <c r="G1156">
        <v>31999</v>
      </c>
      <c r="H1156">
        <v>31999</v>
      </c>
      <c r="I1156">
        <f>FlipkartTable[[#This Row],[Original Price]]-FlipkartTable[[#This Row],[Selling Price]]</f>
        <v>0</v>
      </c>
      <c r="J1156" s="4">
        <f>(FlipkartTable[[#This Row],[Original Price]]-FlipkartTable[[#This Row],[Selling Price]])/FlipkartTable[[#This Row],[Original Price]]</f>
        <v>0</v>
      </c>
      <c r="K1156">
        <f>(FlipkartTable[[#This Row],[Rating]]/FlipkartTable[[#This Row],[Selling Price]])*1000</f>
        <v>0.1406293946685834</v>
      </c>
      <c r="L1156" t="str">
        <f>IF(FlipkartTable[[#This Row],[Selling Price]]&lt;15000,"Budget",IF(FlipkartTable[[#This Row],[Selling Price]]&lt;50000,"Mid Range","Premium"))</f>
        <v>Mid Range</v>
      </c>
      <c r="M1156" t="str">
        <f>IF(FlipkartTable[[#This Row],[Rating]]&gt;4.5,"Excellent",IF(FlipkartTable[[#This Row],[Rating]]&gt;4,"Good",IF(FlipkartTable[[#This Row],[Rating]]&gt;3.5,"Average","Poor")))</f>
        <v>Good</v>
      </c>
    </row>
    <row r="1157" spans="1:13" x14ac:dyDescent="0.35">
      <c r="A1157" t="s">
        <v>633</v>
      </c>
      <c r="B1157" s="9" t="s">
        <v>659</v>
      </c>
      <c r="C1157" t="s">
        <v>116</v>
      </c>
      <c r="D1157" t="s">
        <v>35</v>
      </c>
      <c r="E1157" t="s">
        <v>21</v>
      </c>
      <c r="F1157">
        <v>4.5</v>
      </c>
      <c r="G1157">
        <v>24999</v>
      </c>
      <c r="H1157">
        <v>31500</v>
      </c>
      <c r="I1157">
        <f>FlipkartTable[[#This Row],[Original Price]]-FlipkartTable[[#This Row],[Selling Price]]</f>
        <v>6501</v>
      </c>
      <c r="J1157" s="4">
        <f>(FlipkartTable[[#This Row],[Original Price]]-FlipkartTable[[#This Row],[Selling Price]])/FlipkartTable[[#This Row],[Original Price]]</f>
        <v>0.20638095238095239</v>
      </c>
      <c r="K1157">
        <f>(FlipkartTable[[#This Row],[Rating]]/FlipkartTable[[#This Row],[Selling Price]])*1000</f>
        <v>0.18000720028801154</v>
      </c>
      <c r="L1157" t="str">
        <f>IF(FlipkartTable[[#This Row],[Selling Price]]&lt;15000,"Budget",IF(FlipkartTable[[#This Row],[Selling Price]]&lt;50000,"Mid Range","Premium"))</f>
        <v>Mid Range</v>
      </c>
      <c r="M1157" t="str">
        <f>IF(FlipkartTable[[#This Row],[Rating]]&gt;4.5,"Excellent",IF(FlipkartTable[[#This Row],[Rating]]&gt;4,"Good",IF(FlipkartTable[[#This Row],[Rating]]&gt;3.5,"Average","Poor")))</f>
        <v>Good</v>
      </c>
    </row>
    <row r="1158" spans="1:13" x14ac:dyDescent="0.35">
      <c r="A1158" t="s">
        <v>633</v>
      </c>
      <c r="B1158" s="9" t="s">
        <v>645</v>
      </c>
      <c r="C1158" t="s">
        <v>646</v>
      </c>
      <c r="D1158" t="s">
        <v>637</v>
      </c>
      <c r="E1158" t="s">
        <v>64</v>
      </c>
      <c r="F1158">
        <v>4.7</v>
      </c>
      <c r="G1158">
        <v>131900</v>
      </c>
      <c r="H1158">
        <v>131900</v>
      </c>
      <c r="I1158">
        <f>FlipkartTable[[#This Row],[Original Price]]-FlipkartTable[[#This Row],[Selling Price]]</f>
        <v>0</v>
      </c>
      <c r="J1158" s="4">
        <f>(FlipkartTable[[#This Row],[Original Price]]-FlipkartTable[[#This Row],[Selling Price]])/FlipkartTable[[#This Row],[Original Price]]</f>
        <v>0</v>
      </c>
      <c r="K1158">
        <f>(FlipkartTable[[#This Row],[Rating]]/FlipkartTable[[#This Row],[Selling Price]])*1000</f>
        <v>3.5633055344958302E-2</v>
      </c>
      <c r="L1158" t="str">
        <f>IF(FlipkartTable[[#This Row],[Selling Price]]&lt;15000,"Budget",IF(FlipkartTable[[#This Row],[Selling Price]]&lt;50000,"Mid Range","Premium"))</f>
        <v>Premium</v>
      </c>
      <c r="M1158" t="str">
        <f>IF(FlipkartTable[[#This Row],[Rating]]&gt;4.5,"Excellent",IF(FlipkartTable[[#This Row],[Rating]]&gt;4,"Good",IF(FlipkartTable[[#This Row],[Rating]]&gt;3.5,"Average","Poor")))</f>
        <v>Excellent</v>
      </c>
    </row>
    <row r="1159" spans="1:13" x14ac:dyDescent="0.35">
      <c r="A1159" t="s">
        <v>633</v>
      </c>
      <c r="B1159" s="9" t="s">
        <v>634</v>
      </c>
      <c r="C1159" t="s">
        <v>152</v>
      </c>
      <c r="D1159" t="s">
        <v>35</v>
      </c>
      <c r="E1159" t="s">
        <v>12</v>
      </c>
      <c r="F1159">
        <v>4.5</v>
      </c>
      <c r="G1159">
        <v>32999</v>
      </c>
      <c r="H1159">
        <v>39900</v>
      </c>
      <c r="I1159">
        <f>FlipkartTable[[#This Row],[Original Price]]-FlipkartTable[[#This Row],[Selling Price]]</f>
        <v>6901</v>
      </c>
      <c r="J1159" s="4">
        <f>(FlipkartTable[[#This Row],[Original Price]]-FlipkartTable[[#This Row],[Selling Price]])/FlipkartTable[[#This Row],[Original Price]]</f>
        <v>0.17295739348370928</v>
      </c>
      <c r="K1159">
        <f>(FlipkartTable[[#This Row],[Rating]]/FlipkartTable[[#This Row],[Selling Price]])*1000</f>
        <v>0.13636776872026427</v>
      </c>
      <c r="L1159" t="str">
        <f>IF(FlipkartTable[[#This Row],[Selling Price]]&lt;15000,"Budget",IF(FlipkartTable[[#This Row],[Selling Price]]&lt;50000,"Mid Range","Premium"))</f>
        <v>Mid Range</v>
      </c>
      <c r="M1159" t="str">
        <f>IF(FlipkartTable[[#This Row],[Rating]]&gt;4.5,"Excellent",IF(FlipkartTable[[#This Row],[Rating]]&gt;4,"Good",IF(FlipkartTable[[#This Row],[Rating]]&gt;3.5,"Average","Poor")))</f>
        <v>Good</v>
      </c>
    </row>
    <row r="1160" spans="1:13" x14ac:dyDescent="0.35">
      <c r="A1160" t="s">
        <v>633</v>
      </c>
      <c r="B1160" s="9" t="s">
        <v>635</v>
      </c>
      <c r="C1160" t="s">
        <v>84</v>
      </c>
      <c r="D1160" t="s">
        <v>20</v>
      </c>
      <c r="E1160" t="s">
        <v>15</v>
      </c>
      <c r="F1160">
        <v>4.5999999999999996</v>
      </c>
      <c r="G1160">
        <v>47999</v>
      </c>
      <c r="H1160">
        <v>52900</v>
      </c>
      <c r="I1160">
        <f>FlipkartTable[[#This Row],[Original Price]]-FlipkartTable[[#This Row],[Selling Price]]</f>
        <v>4901</v>
      </c>
      <c r="J1160" s="4">
        <f>(FlipkartTable[[#This Row],[Original Price]]-FlipkartTable[[#This Row],[Selling Price]])/FlipkartTable[[#This Row],[Original Price]]</f>
        <v>9.2646502835538755E-2</v>
      </c>
      <c r="K1160">
        <f>(FlipkartTable[[#This Row],[Rating]]/FlipkartTable[[#This Row],[Selling Price]])*1000</f>
        <v>9.5835329902706295E-2</v>
      </c>
      <c r="L1160" t="str">
        <f>IF(FlipkartTable[[#This Row],[Selling Price]]&lt;15000,"Budget",IF(FlipkartTable[[#This Row],[Selling Price]]&lt;50000,"Mid Range","Premium"))</f>
        <v>Mid Range</v>
      </c>
      <c r="M1160" t="str">
        <f>IF(FlipkartTable[[#This Row],[Rating]]&gt;4.5,"Excellent",IF(FlipkartTable[[#This Row],[Rating]]&gt;4,"Good",IF(FlipkartTable[[#This Row],[Rating]]&gt;3.5,"Average","Poor")))</f>
        <v>Excellent</v>
      </c>
    </row>
    <row r="1161" spans="1:13" x14ac:dyDescent="0.35">
      <c r="A1161" t="s">
        <v>633</v>
      </c>
      <c r="B1161" s="9" t="s">
        <v>639</v>
      </c>
      <c r="C1161" t="s">
        <v>84</v>
      </c>
      <c r="D1161" t="s">
        <v>637</v>
      </c>
      <c r="E1161" t="s">
        <v>12</v>
      </c>
      <c r="F1161">
        <v>4.5999999999999996</v>
      </c>
      <c r="G1161">
        <v>49900</v>
      </c>
      <c r="H1161">
        <v>49900</v>
      </c>
      <c r="I1161">
        <f>FlipkartTable[[#This Row],[Original Price]]-FlipkartTable[[#This Row],[Selling Price]]</f>
        <v>0</v>
      </c>
      <c r="J1161" s="4">
        <f>(FlipkartTable[[#This Row],[Original Price]]-FlipkartTable[[#This Row],[Selling Price]])/FlipkartTable[[#This Row],[Original Price]]</f>
        <v>0</v>
      </c>
      <c r="K1161">
        <f>(FlipkartTable[[#This Row],[Rating]]/FlipkartTable[[#This Row],[Selling Price]])*1000</f>
        <v>9.2184368737474945E-2</v>
      </c>
      <c r="L1161" t="str">
        <f>IF(FlipkartTable[[#This Row],[Selling Price]]&lt;15000,"Budget",IF(FlipkartTable[[#This Row],[Selling Price]]&lt;50000,"Mid Range","Premium"))</f>
        <v>Mid Range</v>
      </c>
      <c r="M1161" t="str">
        <f>IF(FlipkartTable[[#This Row],[Rating]]&gt;4.5,"Excellent",IF(FlipkartTable[[#This Row],[Rating]]&gt;4,"Good",IF(FlipkartTable[[#This Row],[Rating]]&gt;3.5,"Average","Poor")))</f>
        <v>Excellent</v>
      </c>
    </row>
    <row r="1162" spans="1:13" x14ac:dyDescent="0.35">
      <c r="A1162" t="s">
        <v>633</v>
      </c>
      <c r="B1162" s="9" t="s">
        <v>639</v>
      </c>
      <c r="C1162" t="s">
        <v>84</v>
      </c>
      <c r="D1162" t="s">
        <v>637</v>
      </c>
      <c r="E1162" t="s">
        <v>12</v>
      </c>
      <c r="F1162">
        <v>4.5999999999999996</v>
      </c>
      <c r="G1162">
        <v>49900</v>
      </c>
      <c r="H1162">
        <v>49900</v>
      </c>
      <c r="I1162">
        <f>FlipkartTable[[#This Row],[Original Price]]-FlipkartTable[[#This Row],[Selling Price]]</f>
        <v>0</v>
      </c>
      <c r="J1162" s="4">
        <f>(FlipkartTable[[#This Row],[Original Price]]-FlipkartTable[[#This Row],[Selling Price]])/FlipkartTable[[#This Row],[Original Price]]</f>
        <v>0</v>
      </c>
      <c r="K1162">
        <f>(FlipkartTable[[#This Row],[Rating]]/FlipkartTable[[#This Row],[Selling Price]])*1000</f>
        <v>9.2184368737474945E-2</v>
      </c>
      <c r="L1162" t="str">
        <f>IF(FlipkartTable[[#This Row],[Selling Price]]&lt;15000,"Budget",IF(FlipkartTable[[#This Row],[Selling Price]]&lt;50000,"Mid Range","Premium"))</f>
        <v>Mid Range</v>
      </c>
      <c r="M1162" t="str">
        <f>IF(FlipkartTable[[#This Row],[Rating]]&gt;4.5,"Excellent",IF(FlipkartTable[[#This Row],[Rating]]&gt;4,"Good",IF(FlipkartTable[[#This Row],[Rating]]&gt;3.5,"Average","Poor")))</f>
        <v>Excellent</v>
      </c>
    </row>
    <row r="1163" spans="1:13" x14ac:dyDescent="0.35">
      <c r="A1163" t="s">
        <v>633</v>
      </c>
      <c r="B1163" s="9" t="s">
        <v>634</v>
      </c>
      <c r="C1163" t="s">
        <v>152</v>
      </c>
      <c r="D1163" t="s">
        <v>35</v>
      </c>
      <c r="E1163" t="s">
        <v>15</v>
      </c>
      <c r="F1163">
        <v>4.5</v>
      </c>
      <c r="G1163">
        <v>44900</v>
      </c>
      <c r="H1163">
        <v>44900</v>
      </c>
      <c r="I1163">
        <f>FlipkartTable[[#This Row],[Original Price]]-FlipkartTable[[#This Row],[Selling Price]]</f>
        <v>0</v>
      </c>
      <c r="J1163" s="4">
        <f>(FlipkartTable[[#This Row],[Original Price]]-FlipkartTable[[#This Row],[Selling Price]])/FlipkartTable[[#This Row],[Original Price]]</f>
        <v>0</v>
      </c>
      <c r="K1163">
        <f>(FlipkartTable[[#This Row],[Rating]]/FlipkartTable[[#This Row],[Selling Price]])*1000</f>
        <v>0.10022271714922049</v>
      </c>
      <c r="L1163" t="str">
        <f>IF(FlipkartTable[[#This Row],[Selling Price]]&lt;15000,"Budget",IF(FlipkartTable[[#This Row],[Selling Price]]&lt;50000,"Mid Range","Premium"))</f>
        <v>Mid Range</v>
      </c>
      <c r="M1163" t="str">
        <f>IF(FlipkartTable[[#This Row],[Rating]]&gt;4.5,"Excellent",IF(FlipkartTable[[#This Row],[Rating]]&gt;4,"Good",IF(FlipkartTable[[#This Row],[Rating]]&gt;3.5,"Average","Poor")))</f>
        <v>Good</v>
      </c>
    </row>
    <row r="1164" spans="1:13" x14ac:dyDescent="0.35">
      <c r="A1164" t="s">
        <v>633</v>
      </c>
      <c r="B1164" s="9" t="s">
        <v>639</v>
      </c>
      <c r="C1164" t="s">
        <v>19</v>
      </c>
      <c r="D1164" t="s">
        <v>637</v>
      </c>
      <c r="E1164" t="s">
        <v>15</v>
      </c>
      <c r="F1164">
        <v>4.5999999999999996</v>
      </c>
      <c r="G1164">
        <v>54900</v>
      </c>
      <c r="H1164">
        <v>54900</v>
      </c>
      <c r="I1164">
        <f>FlipkartTable[[#This Row],[Original Price]]-FlipkartTable[[#This Row],[Selling Price]]</f>
        <v>0</v>
      </c>
      <c r="J1164" s="4">
        <f>(FlipkartTable[[#This Row],[Original Price]]-FlipkartTable[[#This Row],[Selling Price]])/FlipkartTable[[#This Row],[Original Price]]</f>
        <v>0</v>
      </c>
      <c r="K1164">
        <f>(FlipkartTable[[#This Row],[Rating]]/FlipkartTable[[#This Row],[Selling Price]])*1000</f>
        <v>8.3788706739526403E-2</v>
      </c>
      <c r="L1164" t="str">
        <f>IF(FlipkartTable[[#This Row],[Selling Price]]&lt;15000,"Budget",IF(FlipkartTable[[#This Row],[Selling Price]]&lt;50000,"Mid Range","Premium"))</f>
        <v>Premium</v>
      </c>
      <c r="M1164" t="str">
        <f>IF(FlipkartTable[[#This Row],[Rating]]&gt;4.5,"Excellent",IF(FlipkartTable[[#This Row],[Rating]]&gt;4,"Good",IF(FlipkartTable[[#This Row],[Rating]]&gt;3.5,"Average","Poor")))</f>
        <v>Excellent</v>
      </c>
    </row>
    <row r="1165" spans="1:13" x14ac:dyDescent="0.35">
      <c r="A1165" t="s">
        <v>633</v>
      </c>
      <c r="B1165" s="9" t="s">
        <v>639</v>
      </c>
      <c r="C1165" t="s">
        <v>329</v>
      </c>
      <c r="D1165" t="s">
        <v>637</v>
      </c>
      <c r="E1165" t="s">
        <v>64</v>
      </c>
      <c r="F1165">
        <v>4.5999999999999996</v>
      </c>
      <c r="G1165">
        <v>64900</v>
      </c>
      <c r="H1165">
        <v>64900</v>
      </c>
      <c r="I1165">
        <f>FlipkartTable[[#This Row],[Original Price]]-FlipkartTable[[#This Row],[Selling Price]]</f>
        <v>0</v>
      </c>
      <c r="J1165" s="4">
        <f>(FlipkartTable[[#This Row],[Original Price]]-FlipkartTable[[#This Row],[Selling Price]])/FlipkartTable[[#This Row],[Original Price]]</f>
        <v>0</v>
      </c>
      <c r="K1165">
        <f>(FlipkartTable[[#This Row],[Rating]]/FlipkartTable[[#This Row],[Selling Price]])*1000</f>
        <v>7.0878274268104779E-2</v>
      </c>
      <c r="L1165" t="str">
        <f>IF(FlipkartTable[[#This Row],[Selling Price]]&lt;15000,"Budget",IF(FlipkartTable[[#This Row],[Selling Price]]&lt;50000,"Mid Range","Premium"))</f>
        <v>Premium</v>
      </c>
      <c r="M1165" t="str">
        <f>IF(FlipkartTable[[#This Row],[Rating]]&gt;4.5,"Excellent",IF(FlipkartTable[[#This Row],[Rating]]&gt;4,"Good",IF(FlipkartTable[[#This Row],[Rating]]&gt;3.5,"Average","Poor")))</f>
        <v>Excellent</v>
      </c>
    </row>
    <row r="1166" spans="1:13" x14ac:dyDescent="0.35">
      <c r="A1166" t="s">
        <v>633</v>
      </c>
      <c r="B1166" s="9" t="s">
        <v>634</v>
      </c>
      <c r="C1166" t="s">
        <v>84</v>
      </c>
      <c r="D1166" t="s">
        <v>35</v>
      </c>
      <c r="E1166" t="s">
        <v>64</v>
      </c>
      <c r="F1166">
        <v>4.5</v>
      </c>
      <c r="G1166">
        <v>54900</v>
      </c>
      <c r="H1166">
        <v>54900</v>
      </c>
      <c r="I1166">
        <f>FlipkartTable[[#This Row],[Original Price]]-FlipkartTable[[#This Row],[Selling Price]]</f>
        <v>0</v>
      </c>
      <c r="J1166" s="4">
        <f>(FlipkartTable[[#This Row],[Original Price]]-FlipkartTable[[#This Row],[Selling Price]])/FlipkartTable[[#This Row],[Original Price]]</f>
        <v>0</v>
      </c>
      <c r="K1166">
        <f>(FlipkartTable[[#This Row],[Rating]]/FlipkartTable[[#This Row],[Selling Price]])*1000</f>
        <v>8.1967213114754092E-2</v>
      </c>
      <c r="L1166" t="str">
        <f>IF(FlipkartTable[[#This Row],[Selling Price]]&lt;15000,"Budget",IF(FlipkartTable[[#This Row],[Selling Price]]&lt;50000,"Mid Range","Premium"))</f>
        <v>Premium</v>
      </c>
      <c r="M1166" t="str">
        <f>IF(FlipkartTable[[#This Row],[Rating]]&gt;4.5,"Excellent",IF(FlipkartTable[[#This Row],[Rating]]&gt;4,"Good",IF(FlipkartTable[[#This Row],[Rating]]&gt;3.5,"Average","Poor")))</f>
        <v>Good</v>
      </c>
    </row>
    <row r="1167" spans="1:13" x14ac:dyDescent="0.35">
      <c r="A1167" t="s">
        <v>633</v>
      </c>
      <c r="B1167" s="9" t="s">
        <v>640</v>
      </c>
      <c r="C1167" t="s">
        <v>121</v>
      </c>
      <c r="D1167" t="s">
        <v>637</v>
      </c>
      <c r="E1167" t="s">
        <v>12</v>
      </c>
      <c r="F1167">
        <v>4.5999999999999996</v>
      </c>
      <c r="G1167">
        <v>63999</v>
      </c>
      <c r="H1167">
        <v>79900</v>
      </c>
      <c r="I1167">
        <f>FlipkartTable[[#This Row],[Original Price]]-FlipkartTable[[#This Row],[Selling Price]]</f>
        <v>15901</v>
      </c>
      <c r="J1167" s="4">
        <f>(FlipkartTable[[#This Row],[Original Price]]-FlipkartTable[[#This Row],[Selling Price]])/FlipkartTable[[#This Row],[Original Price]]</f>
        <v>0.19901126408010011</v>
      </c>
      <c r="K1167">
        <f>(FlipkartTable[[#This Row],[Rating]]/FlipkartTable[[#This Row],[Selling Price]])*1000</f>
        <v>7.187612306442287E-2</v>
      </c>
      <c r="L1167" t="str">
        <f>IF(FlipkartTable[[#This Row],[Selling Price]]&lt;15000,"Budget",IF(FlipkartTable[[#This Row],[Selling Price]]&lt;50000,"Mid Range","Premium"))</f>
        <v>Premium</v>
      </c>
      <c r="M1167" t="str">
        <f>IF(FlipkartTable[[#This Row],[Rating]]&gt;4.5,"Excellent",IF(FlipkartTable[[#This Row],[Rating]]&gt;4,"Good",IF(FlipkartTable[[#This Row],[Rating]]&gt;3.5,"Average","Poor")))</f>
        <v>Excellent</v>
      </c>
    </row>
    <row r="1168" spans="1:13" x14ac:dyDescent="0.35">
      <c r="A1168" t="s">
        <v>633</v>
      </c>
      <c r="B1168" s="9" t="s">
        <v>635</v>
      </c>
      <c r="C1168" t="s">
        <v>642</v>
      </c>
      <c r="D1168" t="s">
        <v>20</v>
      </c>
      <c r="E1168" t="s">
        <v>12</v>
      </c>
      <c r="F1168">
        <v>4.5999999999999996</v>
      </c>
      <c r="G1168">
        <v>42999</v>
      </c>
      <c r="H1168">
        <v>47900</v>
      </c>
      <c r="I1168">
        <f>FlipkartTable[[#This Row],[Original Price]]-FlipkartTable[[#This Row],[Selling Price]]</f>
        <v>4901</v>
      </c>
      <c r="J1168" s="4">
        <f>(FlipkartTable[[#This Row],[Original Price]]-FlipkartTable[[#This Row],[Selling Price]])/FlipkartTable[[#This Row],[Original Price]]</f>
        <v>0.10231732776617954</v>
      </c>
      <c r="K1168">
        <f>(FlipkartTable[[#This Row],[Rating]]/FlipkartTable[[#This Row],[Selling Price]])*1000</f>
        <v>0.10697923207516452</v>
      </c>
      <c r="L1168" t="str">
        <f>IF(FlipkartTable[[#This Row],[Selling Price]]&lt;15000,"Budget",IF(FlipkartTable[[#This Row],[Selling Price]]&lt;50000,"Mid Range","Premium"))</f>
        <v>Mid Range</v>
      </c>
      <c r="M1168" t="str">
        <f>IF(FlipkartTable[[#This Row],[Rating]]&gt;4.5,"Excellent",IF(FlipkartTable[[#This Row],[Rating]]&gt;4,"Good",IF(FlipkartTable[[#This Row],[Rating]]&gt;3.5,"Average","Poor")))</f>
        <v>Excellent</v>
      </c>
    </row>
    <row r="1169" spans="1:13" x14ac:dyDescent="0.35">
      <c r="A1169" t="s">
        <v>633</v>
      </c>
      <c r="B1169" s="9" t="s">
        <v>635</v>
      </c>
      <c r="C1169" t="s">
        <v>329</v>
      </c>
      <c r="D1169" t="s">
        <v>20</v>
      </c>
      <c r="E1169" t="s">
        <v>12</v>
      </c>
      <c r="F1169">
        <v>4.5999999999999996</v>
      </c>
      <c r="G1169">
        <v>42999</v>
      </c>
      <c r="H1169">
        <v>47900</v>
      </c>
      <c r="I1169">
        <f>FlipkartTable[[#This Row],[Original Price]]-FlipkartTable[[#This Row],[Selling Price]]</f>
        <v>4901</v>
      </c>
      <c r="J1169" s="4">
        <f>(FlipkartTable[[#This Row],[Original Price]]-FlipkartTable[[#This Row],[Selling Price]])/FlipkartTable[[#This Row],[Original Price]]</f>
        <v>0.10231732776617954</v>
      </c>
      <c r="K1169">
        <f>(FlipkartTable[[#This Row],[Rating]]/FlipkartTable[[#This Row],[Selling Price]])*1000</f>
        <v>0.10697923207516452</v>
      </c>
      <c r="L1169" t="str">
        <f>IF(FlipkartTable[[#This Row],[Selling Price]]&lt;15000,"Budget",IF(FlipkartTable[[#This Row],[Selling Price]]&lt;50000,"Mid Range","Premium"))</f>
        <v>Mid Range</v>
      </c>
      <c r="M1169" t="str">
        <f>IF(FlipkartTable[[#This Row],[Rating]]&gt;4.5,"Excellent",IF(FlipkartTable[[#This Row],[Rating]]&gt;4,"Good",IF(FlipkartTable[[#This Row],[Rating]]&gt;3.5,"Average","Poor")))</f>
        <v>Excellent</v>
      </c>
    </row>
    <row r="1170" spans="1:13" x14ac:dyDescent="0.35">
      <c r="A1170" t="s">
        <v>633</v>
      </c>
      <c r="B1170" s="9" t="s">
        <v>634</v>
      </c>
      <c r="C1170" t="s">
        <v>84</v>
      </c>
      <c r="D1170" t="s">
        <v>35</v>
      </c>
      <c r="E1170" t="s">
        <v>12</v>
      </c>
      <c r="F1170">
        <v>4.5</v>
      </c>
      <c r="G1170">
        <v>32999</v>
      </c>
      <c r="H1170">
        <v>39900</v>
      </c>
      <c r="I1170">
        <f>FlipkartTable[[#This Row],[Original Price]]-FlipkartTable[[#This Row],[Selling Price]]</f>
        <v>6901</v>
      </c>
      <c r="J1170" s="4">
        <f>(FlipkartTable[[#This Row],[Original Price]]-FlipkartTable[[#This Row],[Selling Price]])/FlipkartTable[[#This Row],[Original Price]]</f>
        <v>0.17295739348370928</v>
      </c>
      <c r="K1170">
        <f>(FlipkartTable[[#This Row],[Rating]]/FlipkartTable[[#This Row],[Selling Price]])*1000</f>
        <v>0.13636776872026427</v>
      </c>
      <c r="L1170" t="str">
        <f>IF(FlipkartTable[[#This Row],[Selling Price]]&lt;15000,"Budget",IF(FlipkartTable[[#This Row],[Selling Price]]&lt;50000,"Mid Range","Premium"))</f>
        <v>Mid Range</v>
      </c>
      <c r="M1170" t="str">
        <f>IF(FlipkartTable[[#This Row],[Rating]]&gt;4.5,"Excellent",IF(FlipkartTable[[#This Row],[Rating]]&gt;4,"Good",IF(FlipkartTable[[#This Row],[Rating]]&gt;3.5,"Average","Poor")))</f>
        <v>Good</v>
      </c>
    </row>
    <row r="1171" spans="1:13" x14ac:dyDescent="0.35">
      <c r="A1171" t="s">
        <v>633</v>
      </c>
      <c r="B1171" s="9" t="s">
        <v>639</v>
      </c>
      <c r="C1171" t="s">
        <v>139</v>
      </c>
      <c r="D1171" t="s">
        <v>637</v>
      </c>
      <c r="E1171" t="s">
        <v>12</v>
      </c>
      <c r="F1171">
        <v>4.5999999999999996</v>
      </c>
      <c r="G1171">
        <v>49900</v>
      </c>
      <c r="H1171">
        <v>49900</v>
      </c>
      <c r="I1171">
        <f>FlipkartTable[[#This Row],[Original Price]]-FlipkartTable[[#This Row],[Selling Price]]</f>
        <v>0</v>
      </c>
      <c r="J1171" s="4">
        <f>(FlipkartTable[[#This Row],[Original Price]]-FlipkartTable[[#This Row],[Selling Price]])/FlipkartTable[[#This Row],[Original Price]]</f>
        <v>0</v>
      </c>
      <c r="K1171">
        <f>(FlipkartTable[[#This Row],[Rating]]/FlipkartTable[[#This Row],[Selling Price]])*1000</f>
        <v>9.2184368737474945E-2</v>
      </c>
      <c r="L1171" t="str">
        <f>IF(FlipkartTable[[#This Row],[Selling Price]]&lt;15000,"Budget",IF(FlipkartTable[[#This Row],[Selling Price]]&lt;50000,"Mid Range","Premium"))</f>
        <v>Mid Range</v>
      </c>
      <c r="M1171" t="str">
        <f>IF(FlipkartTable[[#This Row],[Rating]]&gt;4.5,"Excellent",IF(FlipkartTable[[#This Row],[Rating]]&gt;4,"Good",IF(FlipkartTable[[#This Row],[Rating]]&gt;3.5,"Average","Poor")))</f>
        <v>Excellent</v>
      </c>
    </row>
    <row r="1172" spans="1:13" x14ac:dyDescent="0.35">
      <c r="A1172" t="s">
        <v>633</v>
      </c>
      <c r="B1172" s="9" t="s">
        <v>634</v>
      </c>
      <c r="C1172" t="s">
        <v>19</v>
      </c>
      <c r="D1172" t="s">
        <v>35</v>
      </c>
      <c r="E1172" t="s">
        <v>15</v>
      </c>
      <c r="F1172">
        <v>4.5</v>
      </c>
      <c r="G1172">
        <v>44900</v>
      </c>
      <c r="H1172">
        <v>44900</v>
      </c>
      <c r="I1172">
        <f>FlipkartTable[[#This Row],[Original Price]]-FlipkartTable[[#This Row],[Selling Price]]</f>
        <v>0</v>
      </c>
      <c r="J1172" s="4">
        <f>(FlipkartTable[[#This Row],[Original Price]]-FlipkartTable[[#This Row],[Selling Price]])/FlipkartTable[[#This Row],[Original Price]]</f>
        <v>0</v>
      </c>
      <c r="K1172">
        <f>(FlipkartTable[[#This Row],[Rating]]/FlipkartTable[[#This Row],[Selling Price]])*1000</f>
        <v>0.10022271714922049</v>
      </c>
      <c r="L1172" t="str">
        <f>IF(FlipkartTable[[#This Row],[Selling Price]]&lt;15000,"Budget",IF(FlipkartTable[[#This Row],[Selling Price]]&lt;50000,"Mid Range","Premium"))</f>
        <v>Mid Range</v>
      </c>
      <c r="M1172" t="str">
        <f>IF(FlipkartTable[[#This Row],[Rating]]&gt;4.5,"Excellent",IF(FlipkartTable[[#This Row],[Rating]]&gt;4,"Good",IF(FlipkartTable[[#This Row],[Rating]]&gt;3.5,"Average","Poor")))</f>
        <v>Good</v>
      </c>
    </row>
    <row r="1173" spans="1:13" x14ac:dyDescent="0.35">
      <c r="A1173" t="s">
        <v>633</v>
      </c>
      <c r="B1173" s="9" t="s">
        <v>639</v>
      </c>
      <c r="C1173" t="s">
        <v>152</v>
      </c>
      <c r="D1173" t="s">
        <v>637</v>
      </c>
      <c r="E1173" t="s">
        <v>64</v>
      </c>
      <c r="F1173">
        <v>4.5999999999999996</v>
      </c>
      <c r="G1173">
        <v>64900</v>
      </c>
      <c r="H1173">
        <v>64900</v>
      </c>
      <c r="I1173">
        <f>FlipkartTable[[#This Row],[Original Price]]-FlipkartTable[[#This Row],[Selling Price]]</f>
        <v>0</v>
      </c>
      <c r="J1173" s="4">
        <f>(FlipkartTable[[#This Row],[Original Price]]-FlipkartTable[[#This Row],[Selling Price]])/FlipkartTable[[#This Row],[Original Price]]</f>
        <v>0</v>
      </c>
      <c r="K1173">
        <f>(FlipkartTable[[#This Row],[Rating]]/FlipkartTable[[#This Row],[Selling Price]])*1000</f>
        <v>7.0878274268104779E-2</v>
      </c>
      <c r="L1173" t="str">
        <f>IF(FlipkartTable[[#This Row],[Selling Price]]&lt;15000,"Budget",IF(FlipkartTable[[#This Row],[Selling Price]]&lt;50000,"Mid Range","Premium"))</f>
        <v>Premium</v>
      </c>
      <c r="M1173" t="str">
        <f>IF(FlipkartTable[[#This Row],[Rating]]&gt;4.5,"Excellent",IF(FlipkartTable[[#This Row],[Rating]]&gt;4,"Good",IF(FlipkartTable[[#This Row],[Rating]]&gt;3.5,"Average","Poor")))</f>
        <v>Excellent</v>
      </c>
    </row>
    <row r="1174" spans="1:13" x14ac:dyDescent="0.35">
      <c r="A1174" t="s">
        <v>633</v>
      </c>
      <c r="B1174" s="9" t="s">
        <v>639</v>
      </c>
      <c r="C1174" t="s">
        <v>121</v>
      </c>
      <c r="D1174" t="s">
        <v>637</v>
      </c>
      <c r="E1174" t="s">
        <v>64</v>
      </c>
      <c r="F1174">
        <v>4.5999999999999996</v>
      </c>
      <c r="G1174">
        <v>64900</v>
      </c>
      <c r="H1174">
        <v>64900</v>
      </c>
      <c r="I1174">
        <f>FlipkartTable[[#This Row],[Original Price]]-FlipkartTable[[#This Row],[Selling Price]]</f>
        <v>0</v>
      </c>
      <c r="J1174" s="4">
        <f>(FlipkartTable[[#This Row],[Original Price]]-FlipkartTable[[#This Row],[Selling Price]])/FlipkartTable[[#This Row],[Original Price]]</f>
        <v>0</v>
      </c>
      <c r="K1174">
        <f>(FlipkartTable[[#This Row],[Rating]]/FlipkartTable[[#This Row],[Selling Price]])*1000</f>
        <v>7.0878274268104779E-2</v>
      </c>
      <c r="L1174" t="str">
        <f>IF(FlipkartTable[[#This Row],[Selling Price]]&lt;15000,"Budget",IF(FlipkartTable[[#This Row],[Selling Price]]&lt;50000,"Mid Range","Premium"))</f>
        <v>Premium</v>
      </c>
      <c r="M1174" t="str">
        <f>IF(FlipkartTable[[#This Row],[Rating]]&gt;4.5,"Excellent",IF(FlipkartTable[[#This Row],[Rating]]&gt;4,"Good",IF(FlipkartTable[[#This Row],[Rating]]&gt;3.5,"Average","Poor")))</f>
        <v>Excellent</v>
      </c>
    </row>
    <row r="1175" spans="1:13" x14ac:dyDescent="0.35">
      <c r="A1175" t="s">
        <v>633</v>
      </c>
      <c r="B1175" s="9" t="s">
        <v>639</v>
      </c>
      <c r="C1175" t="s">
        <v>19</v>
      </c>
      <c r="D1175" t="s">
        <v>637</v>
      </c>
      <c r="E1175" t="s">
        <v>64</v>
      </c>
      <c r="F1175">
        <v>4.5999999999999996</v>
      </c>
      <c r="G1175">
        <v>64900</v>
      </c>
      <c r="H1175">
        <v>64900</v>
      </c>
      <c r="I1175">
        <f>FlipkartTable[[#This Row],[Original Price]]-FlipkartTable[[#This Row],[Selling Price]]</f>
        <v>0</v>
      </c>
      <c r="J1175" s="4">
        <f>(FlipkartTable[[#This Row],[Original Price]]-FlipkartTable[[#This Row],[Selling Price]])/FlipkartTable[[#This Row],[Original Price]]</f>
        <v>0</v>
      </c>
      <c r="K1175">
        <f>(FlipkartTable[[#This Row],[Rating]]/FlipkartTable[[#This Row],[Selling Price]])*1000</f>
        <v>7.0878274268104779E-2</v>
      </c>
      <c r="L1175" t="str">
        <f>IF(FlipkartTable[[#This Row],[Selling Price]]&lt;15000,"Budget",IF(FlipkartTable[[#This Row],[Selling Price]]&lt;50000,"Mid Range","Premium"))</f>
        <v>Premium</v>
      </c>
      <c r="M1175" t="str">
        <f>IF(FlipkartTable[[#This Row],[Rating]]&gt;4.5,"Excellent",IF(FlipkartTable[[#This Row],[Rating]]&gt;4,"Good",IF(FlipkartTable[[#This Row],[Rating]]&gt;3.5,"Average","Poor")))</f>
        <v>Excellent</v>
      </c>
    </row>
    <row r="1176" spans="1:13" x14ac:dyDescent="0.35">
      <c r="A1176" t="s">
        <v>633</v>
      </c>
      <c r="B1176" s="9" t="s">
        <v>634</v>
      </c>
      <c r="C1176" t="s">
        <v>84</v>
      </c>
      <c r="D1176" t="s">
        <v>35</v>
      </c>
      <c r="E1176" t="s">
        <v>15</v>
      </c>
      <c r="F1176">
        <v>4.5</v>
      </c>
      <c r="G1176">
        <v>44900</v>
      </c>
      <c r="H1176">
        <v>44900</v>
      </c>
      <c r="I1176">
        <f>FlipkartTable[[#This Row],[Original Price]]-FlipkartTable[[#This Row],[Selling Price]]</f>
        <v>0</v>
      </c>
      <c r="J1176" s="4">
        <f>(FlipkartTable[[#This Row],[Original Price]]-FlipkartTable[[#This Row],[Selling Price]])/FlipkartTable[[#This Row],[Original Price]]</f>
        <v>0</v>
      </c>
      <c r="K1176">
        <f>(FlipkartTable[[#This Row],[Rating]]/FlipkartTable[[#This Row],[Selling Price]])*1000</f>
        <v>0.10022271714922049</v>
      </c>
      <c r="L1176" t="str">
        <f>IF(FlipkartTable[[#This Row],[Selling Price]]&lt;15000,"Budget",IF(FlipkartTable[[#This Row],[Selling Price]]&lt;50000,"Mid Range","Premium"))</f>
        <v>Mid Range</v>
      </c>
      <c r="M1176" t="str">
        <f>IF(FlipkartTable[[#This Row],[Rating]]&gt;4.5,"Excellent",IF(FlipkartTable[[#This Row],[Rating]]&gt;4,"Good",IF(FlipkartTable[[#This Row],[Rating]]&gt;3.5,"Average","Poor")))</f>
        <v>Good</v>
      </c>
    </row>
    <row r="1177" spans="1:13" x14ac:dyDescent="0.35">
      <c r="A1177" t="s">
        <v>633</v>
      </c>
      <c r="B1177" s="9" t="s">
        <v>639</v>
      </c>
      <c r="C1177" t="s">
        <v>329</v>
      </c>
      <c r="D1177" t="s">
        <v>637</v>
      </c>
      <c r="E1177" t="s">
        <v>64</v>
      </c>
      <c r="F1177">
        <v>4.5999999999999996</v>
      </c>
      <c r="G1177">
        <v>64900</v>
      </c>
      <c r="H1177">
        <v>64900</v>
      </c>
      <c r="I1177">
        <f>FlipkartTable[[#This Row],[Original Price]]-FlipkartTable[[#This Row],[Selling Price]]</f>
        <v>0</v>
      </c>
      <c r="J1177" s="4">
        <f>(FlipkartTable[[#This Row],[Original Price]]-FlipkartTable[[#This Row],[Selling Price]])/FlipkartTable[[#This Row],[Original Price]]</f>
        <v>0</v>
      </c>
      <c r="K1177">
        <f>(FlipkartTable[[#This Row],[Rating]]/FlipkartTable[[#This Row],[Selling Price]])*1000</f>
        <v>7.0878274268104779E-2</v>
      </c>
      <c r="L1177" t="str">
        <f>IF(FlipkartTable[[#This Row],[Selling Price]]&lt;15000,"Budget",IF(FlipkartTable[[#This Row],[Selling Price]]&lt;50000,"Mid Range","Premium"))</f>
        <v>Premium</v>
      </c>
      <c r="M1177" t="str">
        <f>IF(FlipkartTable[[#This Row],[Rating]]&gt;4.5,"Excellent",IF(FlipkartTable[[#This Row],[Rating]]&gt;4,"Good",IF(FlipkartTable[[#This Row],[Rating]]&gt;3.5,"Average","Poor")))</f>
        <v>Excellent</v>
      </c>
    </row>
    <row r="1178" spans="1:13" x14ac:dyDescent="0.35">
      <c r="A1178" t="s">
        <v>633</v>
      </c>
      <c r="B1178" s="9" t="s">
        <v>640</v>
      </c>
      <c r="C1178" t="s">
        <v>121</v>
      </c>
      <c r="D1178" t="s">
        <v>637</v>
      </c>
      <c r="E1178" t="s">
        <v>15</v>
      </c>
      <c r="F1178">
        <v>4.5999999999999996</v>
      </c>
      <c r="G1178">
        <v>68999</v>
      </c>
      <c r="H1178">
        <v>84900</v>
      </c>
      <c r="I1178">
        <f>FlipkartTable[[#This Row],[Original Price]]-FlipkartTable[[#This Row],[Selling Price]]</f>
        <v>15901</v>
      </c>
      <c r="J1178" s="4">
        <f>(FlipkartTable[[#This Row],[Original Price]]-FlipkartTable[[#This Row],[Selling Price]])/FlipkartTable[[#This Row],[Original Price]]</f>
        <v>0.18729093050647821</v>
      </c>
      <c r="K1178">
        <f>(FlipkartTable[[#This Row],[Rating]]/FlipkartTable[[#This Row],[Selling Price]])*1000</f>
        <v>6.6667632864244403E-2</v>
      </c>
      <c r="L1178" t="str">
        <f>IF(FlipkartTable[[#This Row],[Selling Price]]&lt;15000,"Budget",IF(FlipkartTable[[#This Row],[Selling Price]]&lt;50000,"Mid Range","Premium"))</f>
        <v>Premium</v>
      </c>
      <c r="M1178" t="str">
        <f>IF(FlipkartTable[[#This Row],[Rating]]&gt;4.5,"Excellent",IF(FlipkartTable[[#This Row],[Rating]]&gt;4,"Good",IF(FlipkartTable[[#This Row],[Rating]]&gt;3.5,"Average","Poor")))</f>
        <v>Excellent</v>
      </c>
    </row>
    <row r="1179" spans="1:13" x14ac:dyDescent="0.35">
      <c r="A1179" t="s">
        <v>633</v>
      </c>
      <c r="B1179" s="9" t="s">
        <v>639</v>
      </c>
      <c r="C1179" t="s">
        <v>121</v>
      </c>
      <c r="D1179" t="s">
        <v>637</v>
      </c>
      <c r="E1179" t="s">
        <v>15</v>
      </c>
      <c r="F1179">
        <v>4.5999999999999996</v>
      </c>
      <c r="G1179">
        <v>54900</v>
      </c>
      <c r="H1179">
        <v>54900</v>
      </c>
      <c r="I1179">
        <f>FlipkartTable[[#This Row],[Original Price]]-FlipkartTable[[#This Row],[Selling Price]]</f>
        <v>0</v>
      </c>
      <c r="J1179" s="4">
        <f>(FlipkartTable[[#This Row],[Original Price]]-FlipkartTable[[#This Row],[Selling Price]])/FlipkartTable[[#This Row],[Original Price]]</f>
        <v>0</v>
      </c>
      <c r="K1179">
        <f>(FlipkartTable[[#This Row],[Rating]]/FlipkartTable[[#This Row],[Selling Price]])*1000</f>
        <v>8.3788706739526403E-2</v>
      </c>
      <c r="L1179" t="str">
        <f>IF(FlipkartTable[[#This Row],[Selling Price]]&lt;15000,"Budget",IF(FlipkartTable[[#This Row],[Selling Price]]&lt;50000,"Mid Range","Premium"))</f>
        <v>Premium</v>
      </c>
      <c r="M1179" t="str">
        <f>IF(FlipkartTable[[#This Row],[Rating]]&gt;4.5,"Excellent",IF(FlipkartTable[[#This Row],[Rating]]&gt;4,"Good",IF(FlipkartTable[[#This Row],[Rating]]&gt;3.5,"Average","Poor")))</f>
        <v>Excellent</v>
      </c>
    </row>
    <row r="1180" spans="1:13" x14ac:dyDescent="0.35">
      <c r="A1180" t="s">
        <v>633</v>
      </c>
      <c r="B1180" s="9" t="s">
        <v>635</v>
      </c>
      <c r="C1180" t="s">
        <v>22</v>
      </c>
      <c r="D1180" t="s">
        <v>20</v>
      </c>
      <c r="E1180" t="s">
        <v>12</v>
      </c>
      <c r="F1180">
        <v>4.5999999999999996</v>
      </c>
      <c r="G1180">
        <v>42999</v>
      </c>
      <c r="H1180">
        <v>47900</v>
      </c>
      <c r="I1180">
        <f>FlipkartTable[[#This Row],[Original Price]]-FlipkartTable[[#This Row],[Selling Price]]</f>
        <v>4901</v>
      </c>
      <c r="J1180" s="4">
        <f>(FlipkartTable[[#This Row],[Original Price]]-FlipkartTable[[#This Row],[Selling Price]])/FlipkartTable[[#This Row],[Original Price]]</f>
        <v>0.10231732776617954</v>
      </c>
      <c r="K1180">
        <f>(FlipkartTable[[#This Row],[Rating]]/FlipkartTable[[#This Row],[Selling Price]])*1000</f>
        <v>0.10697923207516452</v>
      </c>
      <c r="L1180" t="str">
        <f>IF(FlipkartTable[[#This Row],[Selling Price]]&lt;15000,"Budget",IF(FlipkartTable[[#This Row],[Selling Price]]&lt;50000,"Mid Range","Premium"))</f>
        <v>Mid Range</v>
      </c>
      <c r="M1180" t="str">
        <f>IF(FlipkartTable[[#This Row],[Rating]]&gt;4.5,"Excellent",IF(FlipkartTable[[#This Row],[Rating]]&gt;4,"Good",IF(FlipkartTable[[#This Row],[Rating]]&gt;3.5,"Average","Poor")))</f>
        <v>Excellent</v>
      </c>
    </row>
    <row r="1181" spans="1:13" x14ac:dyDescent="0.35">
      <c r="A1181" t="s">
        <v>633</v>
      </c>
      <c r="B1181" s="9" t="s">
        <v>639</v>
      </c>
      <c r="C1181" t="s">
        <v>84</v>
      </c>
      <c r="D1181" t="s">
        <v>637</v>
      </c>
      <c r="E1181" t="s">
        <v>64</v>
      </c>
      <c r="F1181">
        <v>4.5999999999999996</v>
      </c>
      <c r="G1181">
        <v>64900</v>
      </c>
      <c r="H1181">
        <v>64900</v>
      </c>
      <c r="I1181">
        <f>FlipkartTable[[#This Row],[Original Price]]-FlipkartTable[[#This Row],[Selling Price]]</f>
        <v>0</v>
      </c>
      <c r="J1181" s="4">
        <f>(FlipkartTable[[#This Row],[Original Price]]-FlipkartTable[[#This Row],[Selling Price]])/FlipkartTable[[#This Row],[Original Price]]</f>
        <v>0</v>
      </c>
      <c r="K1181">
        <f>(FlipkartTable[[#This Row],[Rating]]/FlipkartTable[[#This Row],[Selling Price]])*1000</f>
        <v>7.0878274268104779E-2</v>
      </c>
      <c r="L1181" t="str">
        <f>IF(FlipkartTable[[#This Row],[Selling Price]]&lt;15000,"Budget",IF(FlipkartTable[[#This Row],[Selling Price]]&lt;50000,"Mid Range","Premium"))</f>
        <v>Premium</v>
      </c>
      <c r="M1181" t="str">
        <f>IF(FlipkartTable[[#This Row],[Rating]]&gt;4.5,"Excellent",IF(FlipkartTable[[#This Row],[Rating]]&gt;4,"Good",IF(FlipkartTable[[#This Row],[Rating]]&gt;3.5,"Average","Poor")))</f>
        <v>Excellent</v>
      </c>
    </row>
    <row r="1182" spans="1:13" x14ac:dyDescent="0.35">
      <c r="A1182" t="s">
        <v>633</v>
      </c>
      <c r="B1182" s="9" t="s">
        <v>635</v>
      </c>
      <c r="C1182" t="s">
        <v>329</v>
      </c>
      <c r="D1182" t="s">
        <v>20</v>
      </c>
      <c r="E1182" t="s">
        <v>12</v>
      </c>
      <c r="F1182">
        <v>4.5999999999999996</v>
      </c>
      <c r="G1182">
        <v>42999</v>
      </c>
      <c r="H1182">
        <v>47900</v>
      </c>
      <c r="I1182">
        <f>FlipkartTable[[#This Row],[Original Price]]-FlipkartTable[[#This Row],[Selling Price]]</f>
        <v>4901</v>
      </c>
      <c r="J1182" s="4">
        <f>(FlipkartTable[[#This Row],[Original Price]]-FlipkartTable[[#This Row],[Selling Price]])/FlipkartTable[[#This Row],[Original Price]]</f>
        <v>0.10231732776617954</v>
      </c>
      <c r="K1182">
        <f>(FlipkartTable[[#This Row],[Rating]]/FlipkartTable[[#This Row],[Selling Price]])*1000</f>
        <v>0.10697923207516452</v>
      </c>
      <c r="L1182" t="str">
        <f>IF(FlipkartTable[[#This Row],[Selling Price]]&lt;15000,"Budget",IF(FlipkartTable[[#This Row],[Selling Price]]&lt;50000,"Mid Range","Premium"))</f>
        <v>Mid Range</v>
      </c>
      <c r="M1182" t="str">
        <f>IF(FlipkartTable[[#This Row],[Rating]]&gt;4.5,"Excellent",IF(FlipkartTable[[#This Row],[Rating]]&gt;4,"Good",IF(FlipkartTable[[#This Row],[Rating]]&gt;3.5,"Average","Poor")))</f>
        <v>Excellent</v>
      </c>
    </row>
    <row r="1183" spans="1:13" x14ac:dyDescent="0.35">
      <c r="A1183" t="s">
        <v>633</v>
      </c>
      <c r="B1183" s="9" t="s">
        <v>639</v>
      </c>
      <c r="C1183" t="s">
        <v>139</v>
      </c>
      <c r="D1183" t="s">
        <v>637</v>
      </c>
      <c r="E1183" t="s">
        <v>15</v>
      </c>
      <c r="F1183">
        <v>4.5999999999999996</v>
      </c>
      <c r="G1183">
        <v>54900</v>
      </c>
      <c r="H1183">
        <v>54900</v>
      </c>
      <c r="I1183">
        <f>FlipkartTable[[#This Row],[Original Price]]-FlipkartTable[[#This Row],[Selling Price]]</f>
        <v>0</v>
      </c>
      <c r="J1183" s="4">
        <f>(FlipkartTable[[#This Row],[Original Price]]-FlipkartTable[[#This Row],[Selling Price]])/FlipkartTable[[#This Row],[Original Price]]</f>
        <v>0</v>
      </c>
      <c r="K1183">
        <f>(FlipkartTable[[#This Row],[Rating]]/FlipkartTable[[#This Row],[Selling Price]])*1000</f>
        <v>8.3788706739526403E-2</v>
      </c>
      <c r="L1183" t="str">
        <f>IF(FlipkartTable[[#This Row],[Selling Price]]&lt;15000,"Budget",IF(FlipkartTable[[#This Row],[Selling Price]]&lt;50000,"Mid Range","Premium"))</f>
        <v>Premium</v>
      </c>
      <c r="M1183" t="str">
        <f>IF(FlipkartTable[[#This Row],[Rating]]&gt;4.5,"Excellent",IF(FlipkartTable[[#This Row],[Rating]]&gt;4,"Good",IF(FlipkartTable[[#This Row],[Rating]]&gt;3.5,"Average","Poor")))</f>
        <v>Excellent</v>
      </c>
    </row>
    <row r="1184" spans="1:13" x14ac:dyDescent="0.35">
      <c r="A1184" t="s">
        <v>633</v>
      </c>
      <c r="B1184" s="9" t="s">
        <v>639</v>
      </c>
      <c r="C1184" t="s">
        <v>19</v>
      </c>
      <c r="D1184" t="s">
        <v>637</v>
      </c>
      <c r="E1184" t="s">
        <v>64</v>
      </c>
      <c r="F1184">
        <v>4.5999999999999996</v>
      </c>
      <c r="G1184">
        <v>64900</v>
      </c>
      <c r="H1184">
        <v>64900</v>
      </c>
      <c r="I1184">
        <f>FlipkartTable[[#This Row],[Original Price]]-FlipkartTable[[#This Row],[Selling Price]]</f>
        <v>0</v>
      </c>
      <c r="J1184" s="4">
        <f>(FlipkartTable[[#This Row],[Original Price]]-FlipkartTable[[#This Row],[Selling Price]])/FlipkartTable[[#This Row],[Original Price]]</f>
        <v>0</v>
      </c>
      <c r="K1184">
        <f>(FlipkartTable[[#This Row],[Rating]]/FlipkartTable[[#This Row],[Selling Price]])*1000</f>
        <v>7.0878274268104779E-2</v>
      </c>
      <c r="L1184" t="str">
        <f>IF(FlipkartTable[[#This Row],[Selling Price]]&lt;15000,"Budget",IF(FlipkartTable[[#This Row],[Selling Price]]&lt;50000,"Mid Range","Premium"))</f>
        <v>Premium</v>
      </c>
      <c r="M1184" t="str">
        <f>IF(FlipkartTable[[#This Row],[Rating]]&gt;4.5,"Excellent",IF(FlipkartTable[[#This Row],[Rating]]&gt;4,"Good",IF(FlipkartTable[[#This Row],[Rating]]&gt;3.5,"Average","Poor")))</f>
        <v>Excellent</v>
      </c>
    </row>
    <row r="1185" spans="1:13" x14ac:dyDescent="0.35">
      <c r="A1185" t="s">
        <v>633</v>
      </c>
      <c r="B1185" s="9" t="s">
        <v>645</v>
      </c>
      <c r="C1185" t="s">
        <v>170</v>
      </c>
      <c r="D1185" t="s">
        <v>637</v>
      </c>
      <c r="E1185" t="s">
        <v>64</v>
      </c>
      <c r="F1185">
        <v>4.7</v>
      </c>
      <c r="G1185">
        <v>131900</v>
      </c>
      <c r="H1185">
        <v>131900</v>
      </c>
      <c r="I1185">
        <f>FlipkartTable[[#This Row],[Original Price]]-FlipkartTable[[#This Row],[Selling Price]]</f>
        <v>0</v>
      </c>
      <c r="J1185" s="4">
        <f>(FlipkartTable[[#This Row],[Original Price]]-FlipkartTable[[#This Row],[Selling Price]])/FlipkartTable[[#This Row],[Original Price]]</f>
        <v>0</v>
      </c>
      <c r="K1185">
        <f>(FlipkartTable[[#This Row],[Rating]]/FlipkartTable[[#This Row],[Selling Price]])*1000</f>
        <v>3.5633055344958302E-2</v>
      </c>
      <c r="L1185" t="str">
        <f>IF(FlipkartTable[[#This Row],[Selling Price]]&lt;15000,"Budget",IF(FlipkartTable[[#This Row],[Selling Price]]&lt;50000,"Mid Range","Premium"))</f>
        <v>Premium</v>
      </c>
      <c r="M1185" t="str">
        <f>IF(FlipkartTable[[#This Row],[Rating]]&gt;4.5,"Excellent",IF(FlipkartTable[[#This Row],[Rating]]&gt;4,"Good",IF(FlipkartTable[[#This Row],[Rating]]&gt;3.5,"Average","Poor")))</f>
        <v>Excellent</v>
      </c>
    </row>
    <row r="1186" spans="1:13" x14ac:dyDescent="0.35">
      <c r="A1186" t="s">
        <v>633</v>
      </c>
      <c r="B1186" s="9" t="s">
        <v>652</v>
      </c>
      <c r="C1186" t="s">
        <v>84</v>
      </c>
      <c r="D1186" t="s">
        <v>35</v>
      </c>
      <c r="E1186" t="s">
        <v>64</v>
      </c>
      <c r="F1186">
        <v>4.7</v>
      </c>
      <c r="G1186">
        <v>81500</v>
      </c>
      <c r="H1186">
        <v>81500</v>
      </c>
      <c r="I1186">
        <f>FlipkartTable[[#This Row],[Original Price]]-FlipkartTable[[#This Row],[Selling Price]]</f>
        <v>0</v>
      </c>
      <c r="J1186" s="4">
        <f>(FlipkartTable[[#This Row],[Original Price]]-FlipkartTable[[#This Row],[Selling Price]])/FlipkartTable[[#This Row],[Original Price]]</f>
        <v>0</v>
      </c>
      <c r="K1186">
        <f>(FlipkartTable[[#This Row],[Rating]]/FlipkartTable[[#This Row],[Selling Price]])*1000</f>
        <v>5.7668711656441718E-2</v>
      </c>
      <c r="L1186" t="str">
        <f>IF(FlipkartTable[[#This Row],[Selling Price]]&lt;15000,"Budget",IF(FlipkartTable[[#This Row],[Selling Price]]&lt;50000,"Mid Range","Premium"))</f>
        <v>Premium</v>
      </c>
      <c r="M1186" t="str">
        <f>IF(FlipkartTable[[#This Row],[Rating]]&gt;4.5,"Excellent",IF(FlipkartTable[[#This Row],[Rating]]&gt;4,"Good",IF(FlipkartTable[[#This Row],[Rating]]&gt;3.5,"Average","Poor")))</f>
        <v>Excellent</v>
      </c>
    </row>
    <row r="1187" spans="1:13" x14ac:dyDescent="0.35">
      <c r="A1187" t="s">
        <v>633</v>
      </c>
      <c r="B1187" s="9" t="s">
        <v>635</v>
      </c>
      <c r="C1187" t="s">
        <v>642</v>
      </c>
      <c r="D1187" t="s">
        <v>20</v>
      </c>
      <c r="E1187" t="s">
        <v>64</v>
      </c>
      <c r="F1187">
        <v>4.5999999999999996</v>
      </c>
      <c r="G1187">
        <v>91900</v>
      </c>
      <c r="H1187">
        <v>91900</v>
      </c>
      <c r="I1187">
        <f>FlipkartTable[[#This Row],[Original Price]]-FlipkartTable[[#This Row],[Selling Price]]</f>
        <v>0</v>
      </c>
      <c r="J1187" s="4">
        <f>(FlipkartTable[[#This Row],[Original Price]]-FlipkartTable[[#This Row],[Selling Price]])/FlipkartTable[[#This Row],[Original Price]]</f>
        <v>0</v>
      </c>
      <c r="K1187">
        <f>(FlipkartTable[[#This Row],[Rating]]/FlipkartTable[[#This Row],[Selling Price]])*1000</f>
        <v>5.00544069640914E-2</v>
      </c>
      <c r="L1187" t="str">
        <f>IF(FlipkartTable[[#This Row],[Selling Price]]&lt;15000,"Budget",IF(FlipkartTable[[#This Row],[Selling Price]]&lt;50000,"Mid Range","Premium"))</f>
        <v>Premium</v>
      </c>
      <c r="M1187" t="str">
        <f>IF(FlipkartTable[[#This Row],[Rating]]&gt;4.5,"Excellent",IF(FlipkartTable[[#This Row],[Rating]]&gt;4,"Good",IF(FlipkartTable[[#This Row],[Rating]]&gt;3.5,"Average","Poor")))</f>
        <v>Excellent</v>
      </c>
    </row>
    <row r="1188" spans="1:13" x14ac:dyDescent="0.35">
      <c r="A1188" t="s">
        <v>633</v>
      </c>
      <c r="B1188" s="9" t="s">
        <v>639</v>
      </c>
      <c r="C1188" t="s">
        <v>121</v>
      </c>
      <c r="D1188" t="s">
        <v>637</v>
      </c>
      <c r="E1188" t="s">
        <v>64</v>
      </c>
      <c r="F1188">
        <v>4.5999999999999996</v>
      </c>
      <c r="G1188">
        <v>64900</v>
      </c>
      <c r="H1188">
        <v>64900</v>
      </c>
      <c r="I1188">
        <f>FlipkartTable[[#This Row],[Original Price]]-FlipkartTable[[#This Row],[Selling Price]]</f>
        <v>0</v>
      </c>
      <c r="J1188" s="4">
        <f>(FlipkartTable[[#This Row],[Original Price]]-FlipkartTable[[#This Row],[Selling Price]])/FlipkartTable[[#This Row],[Original Price]]</f>
        <v>0</v>
      </c>
      <c r="K1188">
        <f>(FlipkartTable[[#This Row],[Rating]]/FlipkartTable[[#This Row],[Selling Price]])*1000</f>
        <v>7.0878274268104779E-2</v>
      </c>
      <c r="L1188" t="str">
        <f>IF(FlipkartTable[[#This Row],[Selling Price]]&lt;15000,"Budget",IF(FlipkartTable[[#This Row],[Selling Price]]&lt;50000,"Mid Range","Premium"))</f>
        <v>Premium</v>
      </c>
      <c r="M1188" t="str">
        <f>IF(FlipkartTable[[#This Row],[Rating]]&gt;4.5,"Excellent",IF(FlipkartTable[[#This Row],[Rating]]&gt;4,"Good",IF(FlipkartTable[[#This Row],[Rating]]&gt;3.5,"Average","Poor")))</f>
        <v>Excellent</v>
      </c>
    </row>
    <row r="1189" spans="1:13" x14ac:dyDescent="0.35">
      <c r="A1189" t="s">
        <v>633</v>
      </c>
      <c r="B1189" s="9" t="s">
        <v>635</v>
      </c>
      <c r="C1189" t="s">
        <v>22</v>
      </c>
      <c r="D1189" t="s">
        <v>20</v>
      </c>
      <c r="E1189" t="s">
        <v>64</v>
      </c>
      <c r="F1189">
        <v>4.5999999999999996</v>
      </c>
      <c r="G1189">
        <v>91900</v>
      </c>
      <c r="H1189">
        <v>91900</v>
      </c>
      <c r="I1189">
        <f>FlipkartTable[[#This Row],[Original Price]]-FlipkartTable[[#This Row],[Selling Price]]</f>
        <v>0</v>
      </c>
      <c r="J1189" s="4">
        <f>(FlipkartTable[[#This Row],[Original Price]]-FlipkartTable[[#This Row],[Selling Price]])/FlipkartTable[[#This Row],[Original Price]]</f>
        <v>0</v>
      </c>
      <c r="K1189">
        <f>(FlipkartTable[[#This Row],[Rating]]/FlipkartTable[[#This Row],[Selling Price]])*1000</f>
        <v>5.00544069640914E-2</v>
      </c>
      <c r="L1189" t="str">
        <f>IF(FlipkartTable[[#This Row],[Selling Price]]&lt;15000,"Budget",IF(FlipkartTable[[#This Row],[Selling Price]]&lt;50000,"Mid Range","Premium"))</f>
        <v>Premium</v>
      </c>
      <c r="M1189" t="str">
        <f>IF(FlipkartTable[[#This Row],[Rating]]&gt;4.5,"Excellent",IF(FlipkartTable[[#This Row],[Rating]]&gt;4,"Good",IF(FlipkartTable[[#This Row],[Rating]]&gt;3.5,"Average","Poor")))</f>
        <v>Excellent</v>
      </c>
    </row>
    <row r="1190" spans="1:13" x14ac:dyDescent="0.35">
      <c r="A1190" t="s">
        <v>633</v>
      </c>
      <c r="B1190" s="9" t="s">
        <v>639</v>
      </c>
      <c r="C1190" t="s">
        <v>329</v>
      </c>
      <c r="D1190" t="s">
        <v>637</v>
      </c>
      <c r="E1190" t="s">
        <v>15</v>
      </c>
      <c r="F1190">
        <v>4.5999999999999996</v>
      </c>
      <c r="G1190">
        <v>54900</v>
      </c>
      <c r="H1190">
        <v>54900</v>
      </c>
      <c r="I1190">
        <f>FlipkartTable[[#This Row],[Original Price]]-FlipkartTable[[#This Row],[Selling Price]]</f>
        <v>0</v>
      </c>
      <c r="J1190" s="4">
        <f>(FlipkartTable[[#This Row],[Original Price]]-FlipkartTable[[#This Row],[Selling Price]])/FlipkartTable[[#This Row],[Original Price]]</f>
        <v>0</v>
      </c>
      <c r="K1190">
        <f>(FlipkartTable[[#This Row],[Rating]]/FlipkartTable[[#This Row],[Selling Price]])*1000</f>
        <v>8.3788706739526403E-2</v>
      </c>
      <c r="L1190" t="str">
        <f>IF(FlipkartTable[[#This Row],[Selling Price]]&lt;15000,"Budget",IF(FlipkartTable[[#This Row],[Selling Price]]&lt;50000,"Mid Range","Premium"))</f>
        <v>Premium</v>
      </c>
      <c r="M1190" t="str">
        <f>IF(FlipkartTable[[#This Row],[Rating]]&gt;4.5,"Excellent",IF(FlipkartTable[[#This Row],[Rating]]&gt;4,"Good",IF(FlipkartTable[[#This Row],[Rating]]&gt;3.5,"Average","Poor")))</f>
        <v>Excellent</v>
      </c>
    </row>
    <row r="1191" spans="1:13" x14ac:dyDescent="0.35">
      <c r="A1191" t="s">
        <v>633</v>
      </c>
      <c r="B1191" s="9" t="s">
        <v>639</v>
      </c>
      <c r="C1191" t="s">
        <v>84</v>
      </c>
      <c r="D1191" t="s">
        <v>637</v>
      </c>
      <c r="E1191" t="s">
        <v>64</v>
      </c>
      <c r="F1191">
        <v>4.5999999999999996</v>
      </c>
      <c r="G1191">
        <v>64900</v>
      </c>
      <c r="H1191">
        <v>64900</v>
      </c>
      <c r="I1191">
        <f>FlipkartTable[[#This Row],[Original Price]]-FlipkartTable[[#This Row],[Selling Price]]</f>
        <v>0</v>
      </c>
      <c r="J1191" s="4">
        <f>(FlipkartTable[[#This Row],[Original Price]]-FlipkartTable[[#This Row],[Selling Price]])/FlipkartTable[[#This Row],[Original Price]]</f>
        <v>0</v>
      </c>
      <c r="K1191">
        <f>(FlipkartTable[[#This Row],[Rating]]/FlipkartTable[[#This Row],[Selling Price]])*1000</f>
        <v>7.0878274268104779E-2</v>
      </c>
      <c r="L1191" t="str">
        <f>IF(FlipkartTable[[#This Row],[Selling Price]]&lt;15000,"Budget",IF(FlipkartTable[[#This Row],[Selling Price]]&lt;50000,"Mid Range","Premium"))</f>
        <v>Premium</v>
      </c>
      <c r="M1191" t="str">
        <f>IF(FlipkartTable[[#This Row],[Rating]]&gt;4.5,"Excellent",IF(FlipkartTable[[#This Row],[Rating]]&gt;4,"Good",IF(FlipkartTable[[#This Row],[Rating]]&gt;3.5,"Average","Poor")))</f>
        <v>Excellent</v>
      </c>
    </row>
    <row r="1192" spans="1:13" x14ac:dyDescent="0.35">
      <c r="A1192" t="s">
        <v>633</v>
      </c>
      <c r="B1192" s="9" t="s">
        <v>645</v>
      </c>
      <c r="C1192" t="s">
        <v>649</v>
      </c>
      <c r="D1192" t="s">
        <v>637</v>
      </c>
      <c r="E1192" t="s">
        <v>64</v>
      </c>
      <c r="F1192">
        <v>4.7</v>
      </c>
      <c r="G1192">
        <v>131900</v>
      </c>
      <c r="H1192">
        <v>131900</v>
      </c>
      <c r="I1192">
        <f>FlipkartTable[[#This Row],[Original Price]]-FlipkartTable[[#This Row],[Selling Price]]</f>
        <v>0</v>
      </c>
      <c r="J1192" s="4">
        <f>(FlipkartTable[[#This Row],[Original Price]]-FlipkartTable[[#This Row],[Selling Price]])/FlipkartTable[[#This Row],[Original Price]]</f>
        <v>0</v>
      </c>
      <c r="K1192">
        <f>(FlipkartTable[[#This Row],[Rating]]/FlipkartTable[[#This Row],[Selling Price]])*1000</f>
        <v>3.5633055344958302E-2</v>
      </c>
      <c r="L1192" t="str">
        <f>IF(FlipkartTable[[#This Row],[Selling Price]]&lt;15000,"Budget",IF(FlipkartTable[[#This Row],[Selling Price]]&lt;50000,"Mid Range","Premium"))</f>
        <v>Premium</v>
      </c>
      <c r="M1192" t="str">
        <f>IF(FlipkartTable[[#This Row],[Rating]]&gt;4.5,"Excellent",IF(FlipkartTable[[#This Row],[Rating]]&gt;4,"Good",IF(FlipkartTable[[#This Row],[Rating]]&gt;3.5,"Average","Poor")))</f>
        <v>Excellent</v>
      </c>
    </row>
    <row r="1193" spans="1:13" x14ac:dyDescent="0.35">
      <c r="A1193" t="s">
        <v>633</v>
      </c>
      <c r="B1193" s="9" t="s">
        <v>656</v>
      </c>
      <c r="C1193" t="s">
        <v>649</v>
      </c>
      <c r="D1193" t="s">
        <v>11</v>
      </c>
      <c r="E1193" t="s">
        <v>12</v>
      </c>
      <c r="F1193">
        <v>4.5999999999999996</v>
      </c>
      <c r="G1193">
        <v>73999</v>
      </c>
      <c r="H1193">
        <v>109900</v>
      </c>
      <c r="I1193">
        <f>FlipkartTable[[#This Row],[Original Price]]-FlipkartTable[[#This Row],[Selling Price]]</f>
        <v>35901</v>
      </c>
      <c r="J1193" s="4">
        <f>(FlipkartTable[[#This Row],[Original Price]]-FlipkartTable[[#This Row],[Selling Price]])/FlipkartTable[[#This Row],[Original Price]]</f>
        <v>0.32666969972702459</v>
      </c>
      <c r="K1193">
        <f>(FlipkartTable[[#This Row],[Rating]]/FlipkartTable[[#This Row],[Selling Price]])*1000</f>
        <v>6.2163002202732472E-2</v>
      </c>
      <c r="L1193" t="str">
        <f>IF(FlipkartTable[[#This Row],[Selling Price]]&lt;15000,"Budget",IF(FlipkartTable[[#This Row],[Selling Price]]&lt;50000,"Mid Range","Premium"))</f>
        <v>Premium</v>
      </c>
      <c r="M1193" t="str">
        <f>IF(FlipkartTable[[#This Row],[Rating]]&gt;4.5,"Excellent",IF(FlipkartTable[[#This Row],[Rating]]&gt;4,"Good",IF(FlipkartTable[[#This Row],[Rating]]&gt;3.5,"Average","Poor")))</f>
        <v>Excellent</v>
      </c>
    </row>
    <row r="1194" spans="1:13" x14ac:dyDescent="0.35">
      <c r="A1194" t="s">
        <v>633</v>
      </c>
      <c r="B1194" s="9" t="s">
        <v>635</v>
      </c>
      <c r="C1194" t="s">
        <v>84</v>
      </c>
      <c r="D1194" t="s">
        <v>20</v>
      </c>
      <c r="E1194" t="s">
        <v>64</v>
      </c>
      <c r="F1194">
        <v>4.5999999999999996</v>
      </c>
      <c r="G1194">
        <v>91900</v>
      </c>
      <c r="H1194">
        <v>91900</v>
      </c>
      <c r="I1194">
        <f>FlipkartTable[[#This Row],[Original Price]]-FlipkartTable[[#This Row],[Selling Price]]</f>
        <v>0</v>
      </c>
      <c r="J1194" s="4">
        <f>(FlipkartTable[[#This Row],[Original Price]]-FlipkartTable[[#This Row],[Selling Price]])/FlipkartTable[[#This Row],[Original Price]]</f>
        <v>0</v>
      </c>
      <c r="K1194">
        <f>(FlipkartTable[[#This Row],[Rating]]/FlipkartTable[[#This Row],[Selling Price]])*1000</f>
        <v>5.00544069640914E-2</v>
      </c>
      <c r="L1194" t="str">
        <f>IF(FlipkartTable[[#This Row],[Selling Price]]&lt;15000,"Budget",IF(FlipkartTable[[#This Row],[Selling Price]]&lt;50000,"Mid Range","Premium"))</f>
        <v>Premium</v>
      </c>
      <c r="M1194" t="str">
        <f>IF(FlipkartTable[[#This Row],[Rating]]&gt;4.5,"Excellent",IF(FlipkartTable[[#This Row],[Rating]]&gt;4,"Good",IF(FlipkartTable[[#This Row],[Rating]]&gt;3.5,"Average","Poor")))</f>
        <v>Excellent</v>
      </c>
    </row>
    <row r="1195" spans="1:13" x14ac:dyDescent="0.35">
      <c r="A1195" t="s">
        <v>633</v>
      </c>
      <c r="B1195" s="9" t="s">
        <v>635</v>
      </c>
      <c r="C1195" t="s">
        <v>152</v>
      </c>
      <c r="D1195" t="s">
        <v>20</v>
      </c>
      <c r="E1195" t="s">
        <v>64</v>
      </c>
      <c r="F1195">
        <v>4.5999999999999996</v>
      </c>
      <c r="G1195">
        <v>91900</v>
      </c>
      <c r="H1195">
        <v>91900</v>
      </c>
      <c r="I1195">
        <f>FlipkartTable[[#This Row],[Original Price]]-FlipkartTable[[#This Row],[Selling Price]]</f>
        <v>0</v>
      </c>
      <c r="J1195" s="4">
        <f>(FlipkartTable[[#This Row],[Original Price]]-FlipkartTable[[#This Row],[Selling Price]])/FlipkartTable[[#This Row],[Original Price]]</f>
        <v>0</v>
      </c>
      <c r="K1195">
        <f>(FlipkartTable[[#This Row],[Rating]]/FlipkartTable[[#This Row],[Selling Price]])*1000</f>
        <v>5.00544069640914E-2</v>
      </c>
      <c r="L1195" t="str">
        <f>IF(FlipkartTable[[#This Row],[Selling Price]]&lt;15000,"Budget",IF(FlipkartTable[[#This Row],[Selling Price]]&lt;50000,"Mid Range","Premium"))</f>
        <v>Premium</v>
      </c>
      <c r="M1195" t="str">
        <f>IF(FlipkartTable[[#This Row],[Rating]]&gt;4.5,"Excellent",IF(FlipkartTable[[#This Row],[Rating]]&gt;4,"Good",IF(FlipkartTable[[#This Row],[Rating]]&gt;3.5,"Average","Poor")))</f>
        <v>Excellent</v>
      </c>
    </row>
    <row r="1196" spans="1:13" x14ac:dyDescent="0.35">
      <c r="A1196" t="s">
        <v>633</v>
      </c>
      <c r="B1196" s="9" t="s">
        <v>639</v>
      </c>
      <c r="C1196" t="s">
        <v>84</v>
      </c>
      <c r="D1196" t="s">
        <v>637</v>
      </c>
      <c r="E1196" t="s">
        <v>15</v>
      </c>
      <c r="F1196">
        <v>4.5999999999999996</v>
      </c>
      <c r="G1196">
        <v>54900</v>
      </c>
      <c r="H1196">
        <v>54900</v>
      </c>
      <c r="I1196">
        <f>FlipkartTable[[#This Row],[Original Price]]-FlipkartTable[[#This Row],[Selling Price]]</f>
        <v>0</v>
      </c>
      <c r="J1196" s="4">
        <f>(FlipkartTable[[#This Row],[Original Price]]-FlipkartTable[[#This Row],[Selling Price]])/FlipkartTable[[#This Row],[Original Price]]</f>
        <v>0</v>
      </c>
      <c r="K1196">
        <f>(FlipkartTable[[#This Row],[Rating]]/FlipkartTable[[#This Row],[Selling Price]])*1000</f>
        <v>8.3788706739526403E-2</v>
      </c>
      <c r="L1196" t="str">
        <f>IF(FlipkartTable[[#This Row],[Selling Price]]&lt;15000,"Budget",IF(FlipkartTable[[#This Row],[Selling Price]]&lt;50000,"Mid Range","Premium"))</f>
        <v>Premium</v>
      </c>
      <c r="M1196" t="str">
        <f>IF(FlipkartTable[[#This Row],[Rating]]&gt;4.5,"Excellent",IF(FlipkartTable[[#This Row],[Rating]]&gt;4,"Good",IF(FlipkartTable[[#This Row],[Rating]]&gt;3.5,"Average","Poor")))</f>
        <v>Excellent</v>
      </c>
    </row>
    <row r="1197" spans="1:13" x14ac:dyDescent="0.35">
      <c r="A1197" t="s">
        <v>633</v>
      </c>
      <c r="B1197" s="9" t="s">
        <v>634</v>
      </c>
      <c r="C1197" t="s">
        <v>19</v>
      </c>
      <c r="D1197" t="s">
        <v>35</v>
      </c>
      <c r="E1197" t="s">
        <v>64</v>
      </c>
      <c r="F1197">
        <v>4.5</v>
      </c>
      <c r="G1197">
        <v>54900</v>
      </c>
      <c r="H1197">
        <v>54900</v>
      </c>
      <c r="I1197">
        <f>FlipkartTable[[#This Row],[Original Price]]-FlipkartTable[[#This Row],[Selling Price]]</f>
        <v>0</v>
      </c>
      <c r="J1197" s="4">
        <f>(FlipkartTable[[#This Row],[Original Price]]-FlipkartTable[[#This Row],[Selling Price]])/FlipkartTable[[#This Row],[Original Price]]</f>
        <v>0</v>
      </c>
      <c r="K1197">
        <f>(FlipkartTable[[#This Row],[Rating]]/FlipkartTable[[#This Row],[Selling Price]])*1000</f>
        <v>8.1967213114754092E-2</v>
      </c>
      <c r="L1197" t="str">
        <f>IF(FlipkartTable[[#This Row],[Selling Price]]&lt;15000,"Budget",IF(FlipkartTable[[#This Row],[Selling Price]]&lt;50000,"Mid Range","Premium"))</f>
        <v>Premium</v>
      </c>
      <c r="M1197" t="str">
        <f>IF(FlipkartTable[[#This Row],[Rating]]&gt;4.5,"Excellent",IF(FlipkartTable[[#This Row],[Rating]]&gt;4,"Good",IF(FlipkartTable[[#This Row],[Rating]]&gt;3.5,"Average","Poor")))</f>
        <v>Good</v>
      </c>
    </row>
    <row r="1198" spans="1:13" x14ac:dyDescent="0.35">
      <c r="A1198" t="s">
        <v>633</v>
      </c>
      <c r="B1198" s="9" t="s">
        <v>640</v>
      </c>
      <c r="C1198" t="s">
        <v>121</v>
      </c>
      <c r="D1198" t="s">
        <v>637</v>
      </c>
      <c r="E1198" t="s">
        <v>64</v>
      </c>
      <c r="F1198">
        <v>4.5999999999999996</v>
      </c>
      <c r="G1198">
        <v>78999</v>
      </c>
      <c r="H1198">
        <v>80900</v>
      </c>
      <c r="I1198">
        <f>FlipkartTable[[#This Row],[Original Price]]-FlipkartTable[[#This Row],[Selling Price]]</f>
        <v>1901</v>
      </c>
      <c r="J1198" s="4">
        <f>(FlipkartTable[[#This Row],[Original Price]]-FlipkartTable[[#This Row],[Selling Price]])/FlipkartTable[[#This Row],[Original Price]]</f>
        <v>2.3498145859085291E-2</v>
      </c>
      <c r="K1198">
        <f>(FlipkartTable[[#This Row],[Rating]]/FlipkartTable[[#This Row],[Selling Price]])*1000</f>
        <v>5.8228585171964192E-2</v>
      </c>
      <c r="L1198" t="str">
        <f>IF(FlipkartTable[[#This Row],[Selling Price]]&lt;15000,"Budget",IF(FlipkartTable[[#This Row],[Selling Price]]&lt;50000,"Mid Range","Premium"))</f>
        <v>Premium</v>
      </c>
      <c r="M1198" t="str">
        <f>IF(FlipkartTable[[#This Row],[Rating]]&gt;4.5,"Excellent",IF(FlipkartTable[[#This Row],[Rating]]&gt;4,"Good",IF(FlipkartTable[[#This Row],[Rating]]&gt;3.5,"Average","Poor")))</f>
        <v>Excellent</v>
      </c>
    </row>
    <row r="1199" spans="1:13" x14ac:dyDescent="0.35">
      <c r="A1199" t="s">
        <v>633</v>
      </c>
      <c r="B1199" s="9" t="s">
        <v>639</v>
      </c>
      <c r="C1199" t="s">
        <v>121</v>
      </c>
      <c r="D1199" t="s">
        <v>637</v>
      </c>
      <c r="E1199" t="s">
        <v>12</v>
      </c>
      <c r="F1199">
        <v>4.5999999999999996</v>
      </c>
      <c r="G1199">
        <v>49900</v>
      </c>
      <c r="H1199">
        <v>49900</v>
      </c>
      <c r="I1199">
        <f>FlipkartTable[[#This Row],[Original Price]]-FlipkartTable[[#This Row],[Selling Price]]</f>
        <v>0</v>
      </c>
      <c r="J1199" s="4">
        <f>(FlipkartTable[[#This Row],[Original Price]]-FlipkartTable[[#This Row],[Selling Price]])/FlipkartTable[[#This Row],[Original Price]]</f>
        <v>0</v>
      </c>
      <c r="K1199">
        <f>(FlipkartTable[[#This Row],[Rating]]/FlipkartTable[[#This Row],[Selling Price]])*1000</f>
        <v>9.2184368737474945E-2</v>
      </c>
      <c r="L1199" t="str">
        <f>IF(FlipkartTable[[#This Row],[Selling Price]]&lt;15000,"Budget",IF(FlipkartTable[[#This Row],[Selling Price]]&lt;50000,"Mid Range","Premium"))</f>
        <v>Mid Range</v>
      </c>
      <c r="M1199" t="str">
        <f>IF(FlipkartTable[[#This Row],[Rating]]&gt;4.5,"Excellent",IF(FlipkartTable[[#This Row],[Rating]]&gt;4,"Good",IF(FlipkartTable[[#This Row],[Rating]]&gt;3.5,"Average","Poor")))</f>
        <v>Excellent</v>
      </c>
    </row>
    <row r="1200" spans="1:13" x14ac:dyDescent="0.35">
      <c r="A1200" t="s">
        <v>633</v>
      </c>
      <c r="B1200" s="9" t="s">
        <v>660</v>
      </c>
      <c r="C1200" t="s">
        <v>649</v>
      </c>
      <c r="D1200" t="s">
        <v>134</v>
      </c>
      <c r="E1200" t="s">
        <v>12</v>
      </c>
      <c r="F1200">
        <v>4.4000000000000004</v>
      </c>
      <c r="G1200">
        <v>44999</v>
      </c>
      <c r="H1200">
        <v>44999</v>
      </c>
      <c r="I1200">
        <f>FlipkartTable[[#This Row],[Original Price]]-FlipkartTable[[#This Row],[Selling Price]]</f>
        <v>0</v>
      </c>
      <c r="J1200" s="4">
        <f>(FlipkartTable[[#This Row],[Original Price]]-FlipkartTable[[#This Row],[Selling Price]])/FlipkartTable[[#This Row],[Original Price]]</f>
        <v>0</v>
      </c>
      <c r="K1200">
        <f>(FlipkartTable[[#This Row],[Rating]]/FlipkartTable[[#This Row],[Selling Price]])*1000</f>
        <v>9.7779950665570353E-2</v>
      </c>
      <c r="L1200" t="str">
        <f>IF(FlipkartTable[[#This Row],[Selling Price]]&lt;15000,"Budget",IF(FlipkartTable[[#This Row],[Selling Price]]&lt;50000,"Mid Range","Premium"))</f>
        <v>Mid Range</v>
      </c>
      <c r="M1200" t="str">
        <f>IF(FlipkartTable[[#This Row],[Rating]]&gt;4.5,"Excellent",IF(FlipkartTable[[#This Row],[Rating]]&gt;4,"Good",IF(FlipkartTable[[#This Row],[Rating]]&gt;3.5,"Average","Poor")))</f>
        <v>Good</v>
      </c>
    </row>
    <row r="1201" spans="1:13" x14ac:dyDescent="0.35">
      <c r="A1201" t="s">
        <v>633</v>
      </c>
      <c r="B1201" s="9" t="s">
        <v>645</v>
      </c>
      <c r="C1201" t="s">
        <v>170</v>
      </c>
      <c r="D1201" t="s">
        <v>637</v>
      </c>
      <c r="E1201" t="s">
        <v>12</v>
      </c>
      <c r="F1201">
        <v>4.7</v>
      </c>
      <c r="G1201">
        <v>117100</v>
      </c>
      <c r="H1201">
        <v>117100</v>
      </c>
      <c r="I1201">
        <f>FlipkartTable[[#This Row],[Original Price]]-FlipkartTable[[#This Row],[Selling Price]]</f>
        <v>0</v>
      </c>
      <c r="J1201" s="4">
        <f>(FlipkartTable[[#This Row],[Original Price]]-FlipkartTable[[#This Row],[Selling Price]])/FlipkartTable[[#This Row],[Original Price]]</f>
        <v>0</v>
      </c>
      <c r="K1201">
        <f>(FlipkartTable[[#This Row],[Rating]]/FlipkartTable[[#This Row],[Selling Price]])*1000</f>
        <v>4.0136635354397952E-2</v>
      </c>
      <c r="L1201" t="str">
        <f>IF(FlipkartTable[[#This Row],[Selling Price]]&lt;15000,"Budget",IF(FlipkartTable[[#This Row],[Selling Price]]&lt;50000,"Mid Range","Premium"))</f>
        <v>Premium</v>
      </c>
      <c r="M1201" t="str">
        <f>IF(FlipkartTable[[#This Row],[Rating]]&gt;4.5,"Excellent",IF(FlipkartTable[[#This Row],[Rating]]&gt;4,"Good",IF(FlipkartTable[[#This Row],[Rating]]&gt;3.5,"Average","Poor")))</f>
        <v>Excellent</v>
      </c>
    </row>
    <row r="1202" spans="1:13" x14ac:dyDescent="0.35">
      <c r="A1202" t="s">
        <v>633</v>
      </c>
      <c r="B1202" s="9" t="s">
        <v>639</v>
      </c>
      <c r="C1202" t="s">
        <v>139</v>
      </c>
      <c r="D1202" t="s">
        <v>637</v>
      </c>
      <c r="E1202" t="s">
        <v>64</v>
      </c>
      <c r="F1202">
        <v>4.5999999999999996</v>
      </c>
      <c r="G1202">
        <v>64900</v>
      </c>
      <c r="H1202">
        <v>64900</v>
      </c>
      <c r="I1202">
        <f>FlipkartTable[[#This Row],[Original Price]]-FlipkartTable[[#This Row],[Selling Price]]</f>
        <v>0</v>
      </c>
      <c r="J1202" s="4">
        <f>(FlipkartTable[[#This Row],[Original Price]]-FlipkartTable[[#This Row],[Selling Price]])/FlipkartTable[[#This Row],[Original Price]]</f>
        <v>0</v>
      </c>
      <c r="K1202">
        <f>(FlipkartTable[[#This Row],[Rating]]/FlipkartTable[[#This Row],[Selling Price]])*1000</f>
        <v>7.0878274268104779E-2</v>
      </c>
      <c r="L1202" t="str">
        <f>IF(FlipkartTable[[#This Row],[Selling Price]]&lt;15000,"Budget",IF(FlipkartTable[[#This Row],[Selling Price]]&lt;50000,"Mid Range","Premium"))</f>
        <v>Premium</v>
      </c>
      <c r="M1202" t="str">
        <f>IF(FlipkartTable[[#This Row],[Rating]]&gt;4.5,"Excellent",IF(FlipkartTable[[#This Row],[Rating]]&gt;4,"Good",IF(FlipkartTable[[#This Row],[Rating]]&gt;3.5,"Average","Poor")))</f>
        <v>Excellent</v>
      </c>
    </row>
    <row r="1203" spans="1:13" x14ac:dyDescent="0.35">
      <c r="A1203" t="s">
        <v>633</v>
      </c>
      <c r="B1203" s="9" t="s">
        <v>639</v>
      </c>
      <c r="C1203" t="s">
        <v>152</v>
      </c>
      <c r="D1203" t="s">
        <v>637</v>
      </c>
      <c r="E1203" t="s">
        <v>64</v>
      </c>
      <c r="F1203">
        <v>4.5999999999999996</v>
      </c>
      <c r="G1203">
        <v>64900</v>
      </c>
      <c r="H1203">
        <v>64900</v>
      </c>
      <c r="I1203">
        <f>FlipkartTable[[#This Row],[Original Price]]-FlipkartTable[[#This Row],[Selling Price]]</f>
        <v>0</v>
      </c>
      <c r="J1203" s="4">
        <f>(FlipkartTable[[#This Row],[Original Price]]-FlipkartTable[[#This Row],[Selling Price]])/FlipkartTable[[#This Row],[Original Price]]</f>
        <v>0</v>
      </c>
      <c r="K1203">
        <f>(FlipkartTable[[#This Row],[Rating]]/FlipkartTable[[#This Row],[Selling Price]])*1000</f>
        <v>7.0878274268104779E-2</v>
      </c>
      <c r="L1203" t="str">
        <f>IF(FlipkartTable[[#This Row],[Selling Price]]&lt;15000,"Budget",IF(FlipkartTable[[#This Row],[Selling Price]]&lt;50000,"Mid Range","Premium"))</f>
        <v>Premium</v>
      </c>
      <c r="M1203" t="str">
        <f>IF(FlipkartTable[[#This Row],[Rating]]&gt;4.5,"Excellent",IF(FlipkartTable[[#This Row],[Rating]]&gt;4,"Good",IF(FlipkartTable[[#This Row],[Rating]]&gt;3.5,"Average","Poor")))</f>
        <v>Excellent</v>
      </c>
    </row>
    <row r="1204" spans="1:13" x14ac:dyDescent="0.35">
      <c r="A1204" t="s">
        <v>633</v>
      </c>
      <c r="B1204" s="9" t="s">
        <v>655</v>
      </c>
      <c r="C1204" t="s">
        <v>170</v>
      </c>
      <c r="D1204" t="s">
        <v>134</v>
      </c>
      <c r="E1204" t="s">
        <v>15</v>
      </c>
      <c r="F1204">
        <v>4.5</v>
      </c>
      <c r="G1204">
        <v>48999</v>
      </c>
      <c r="H1204">
        <v>48999</v>
      </c>
      <c r="I1204">
        <f>FlipkartTable[[#This Row],[Original Price]]-FlipkartTable[[#This Row],[Selling Price]]</f>
        <v>0</v>
      </c>
      <c r="J1204" s="4">
        <f>(FlipkartTable[[#This Row],[Original Price]]-FlipkartTable[[#This Row],[Selling Price]])/FlipkartTable[[#This Row],[Original Price]]</f>
        <v>0</v>
      </c>
      <c r="K1204">
        <f>(FlipkartTable[[#This Row],[Rating]]/FlipkartTable[[#This Row],[Selling Price]])*1000</f>
        <v>9.1838608951203091E-2</v>
      </c>
      <c r="L1204" t="str">
        <f>IF(FlipkartTable[[#This Row],[Selling Price]]&lt;15000,"Budget",IF(FlipkartTable[[#This Row],[Selling Price]]&lt;50000,"Mid Range","Premium"))</f>
        <v>Mid Range</v>
      </c>
      <c r="M1204" t="str">
        <f>IF(FlipkartTable[[#This Row],[Rating]]&gt;4.5,"Excellent",IF(FlipkartTable[[#This Row],[Rating]]&gt;4,"Good",IF(FlipkartTable[[#This Row],[Rating]]&gt;3.5,"Average","Poor")))</f>
        <v>Good</v>
      </c>
    </row>
    <row r="1205" spans="1:13" x14ac:dyDescent="0.35">
      <c r="A1205" t="s">
        <v>633</v>
      </c>
      <c r="B1205" s="9" t="s">
        <v>650</v>
      </c>
      <c r="C1205" t="s">
        <v>649</v>
      </c>
      <c r="D1205" t="s">
        <v>637</v>
      </c>
      <c r="E1205" t="s">
        <v>338</v>
      </c>
      <c r="F1205">
        <v>4.5999999999999996</v>
      </c>
      <c r="G1205">
        <v>140300</v>
      </c>
      <c r="H1205">
        <v>140300</v>
      </c>
      <c r="I1205">
        <f>FlipkartTable[[#This Row],[Original Price]]-FlipkartTable[[#This Row],[Selling Price]]</f>
        <v>0</v>
      </c>
      <c r="J1205" s="4">
        <f>(FlipkartTable[[#This Row],[Original Price]]-FlipkartTable[[#This Row],[Selling Price]])/FlipkartTable[[#This Row],[Original Price]]</f>
        <v>0</v>
      </c>
      <c r="K1205">
        <f>(FlipkartTable[[#This Row],[Rating]]/FlipkartTable[[#This Row],[Selling Price]])*1000</f>
        <v>3.2786885245901634E-2</v>
      </c>
      <c r="L1205" t="str">
        <f>IF(FlipkartTable[[#This Row],[Selling Price]]&lt;15000,"Budget",IF(FlipkartTable[[#This Row],[Selling Price]]&lt;50000,"Mid Range","Premium"))</f>
        <v>Premium</v>
      </c>
      <c r="M1205" t="str">
        <f>IF(FlipkartTable[[#This Row],[Rating]]&gt;4.5,"Excellent",IF(FlipkartTable[[#This Row],[Rating]]&gt;4,"Good",IF(FlipkartTable[[#This Row],[Rating]]&gt;3.5,"Average","Poor")))</f>
        <v>Excellent</v>
      </c>
    </row>
    <row r="1206" spans="1:13" x14ac:dyDescent="0.35">
      <c r="A1206" t="s">
        <v>633</v>
      </c>
      <c r="B1206" s="9" t="s">
        <v>645</v>
      </c>
      <c r="C1206" t="s">
        <v>116</v>
      </c>
      <c r="D1206" t="s">
        <v>637</v>
      </c>
      <c r="E1206" t="s">
        <v>64</v>
      </c>
      <c r="F1206">
        <v>4.7</v>
      </c>
      <c r="G1206">
        <v>131900</v>
      </c>
      <c r="H1206">
        <v>131900</v>
      </c>
      <c r="I1206">
        <f>FlipkartTable[[#This Row],[Original Price]]-FlipkartTable[[#This Row],[Selling Price]]</f>
        <v>0</v>
      </c>
      <c r="J1206" s="4">
        <f>(FlipkartTable[[#This Row],[Original Price]]-FlipkartTable[[#This Row],[Selling Price]])/FlipkartTable[[#This Row],[Original Price]]</f>
        <v>0</v>
      </c>
      <c r="K1206">
        <f>(FlipkartTable[[#This Row],[Rating]]/FlipkartTable[[#This Row],[Selling Price]])*1000</f>
        <v>3.5633055344958302E-2</v>
      </c>
      <c r="L1206" t="str">
        <f>IF(FlipkartTable[[#This Row],[Selling Price]]&lt;15000,"Budget",IF(FlipkartTable[[#This Row],[Selling Price]]&lt;50000,"Mid Range","Premium"))</f>
        <v>Premium</v>
      </c>
      <c r="M1206" t="str">
        <f>IF(FlipkartTable[[#This Row],[Rating]]&gt;4.5,"Excellent",IF(FlipkartTable[[#This Row],[Rating]]&gt;4,"Good",IF(FlipkartTable[[#This Row],[Rating]]&gt;3.5,"Average","Poor")))</f>
        <v>Excellent</v>
      </c>
    </row>
    <row r="1207" spans="1:13" x14ac:dyDescent="0.35">
      <c r="A1207" t="s">
        <v>633</v>
      </c>
      <c r="B1207" s="9" t="s">
        <v>654</v>
      </c>
      <c r="C1207" t="s">
        <v>116</v>
      </c>
      <c r="D1207" t="s">
        <v>35</v>
      </c>
      <c r="E1207" t="s">
        <v>124</v>
      </c>
      <c r="F1207">
        <v>4.4000000000000004</v>
      </c>
      <c r="G1207">
        <v>49999</v>
      </c>
      <c r="H1207">
        <v>49999</v>
      </c>
      <c r="I1207">
        <f>FlipkartTable[[#This Row],[Original Price]]-FlipkartTable[[#This Row],[Selling Price]]</f>
        <v>0</v>
      </c>
      <c r="J1207" s="4">
        <f>(FlipkartTable[[#This Row],[Original Price]]-FlipkartTable[[#This Row],[Selling Price]])/FlipkartTable[[#This Row],[Original Price]]</f>
        <v>0</v>
      </c>
      <c r="K1207">
        <f>(FlipkartTable[[#This Row],[Rating]]/FlipkartTable[[#This Row],[Selling Price]])*1000</f>
        <v>8.8001760035200716E-2</v>
      </c>
      <c r="L1207" t="str">
        <f>IF(FlipkartTable[[#This Row],[Selling Price]]&lt;15000,"Budget",IF(FlipkartTable[[#This Row],[Selling Price]]&lt;50000,"Mid Range","Premium"))</f>
        <v>Mid Range</v>
      </c>
      <c r="M1207" t="str">
        <f>IF(FlipkartTable[[#This Row],[Rating]]&gt;4.5,"Excellent",IF(FlipkartTable[[#This Row],[Rating]]&gt;4,"Good",IF(FlipkartTable[[#This Row],[Rating]]&gt;3.5,"Average","Poor")))</f>
        <v>Good</v>
      </c>
    </row>
    <row r="1208" spans="1:13" x14ac:dyDescent="0.35">
      <c r="A1208" t="s">
        <v>633</v>
      </c>
      <c r="B1208" s="9" t="s">
        <v>635</v>
      </c>
      <c r="C1208" t="s">
        <v>642</v>
      </c>
      <c r="D1208" t="s">
        <v>20</v>
      </c>
      <c r="E1208" t="s">
        <v>12</v>
      </c>
      <c r="F1208">
        <v>4.5999999999999996</v>
      </c>
      <c r="G1208">
        <v>42999</v>
      </c>
      <c r="H1208">
        <v>47900</v>
      </c>
      <c r="I1208">
        <f>FlipkartTable[[#This Row],[Original Price]]-FlipkartTable[[#This Row],[Selling Price]]</f>
        <v>4901</v>
      </c>
      <c r="J1208" s="4">
        <f>(FlipkartTable[[#This Row],[Original Price]]-FlipkartTable[[#This Row],[Selling Price]])/FlipkartTable[[#This Row],[Original Price]]</f>
        <v>0.10231732776617954</v>
      </c>
      <c r="K1208">
        <f>(FlipkartTable[[#This Row],[Rating]]/FlipkartTable[[#This Row],[Selling Price]])*1000</f>
        <v>0.10697923207516452</v>
      </c>
      <c r="L1208" t="str">
        <f>IF(FlipkartTable[[#This Row],[Selling Price]]&lt;15000,"Budget",IF(FlipkartTable[[#This Row],[Selling Price]]&lt;50000,"Mid Range","Premium"))</f>
        <v>Mid Range</v>
      </c>
      <c r="M1208" t="str">
        <f>IF(FlipkartTable[[#This Row],[Rating]]&gt;4.5,"Excellent",IF(FlipkartTable[[#This Row],[Rating]]&gt;4,"Good",IF(FlipkartTable[[#This Row],[Rating]]&gt;3.5,"Average","Poor")))</f>
        <v>Excellent</v>
      </c>
    </row>
    <row r="1209" spans="1:13" x14ac:dyDescent="0.35">
      <c r="A1209" t="s">
        <v>633</v>
      </c>
      <c r="B1209" s="9" t="s">
        <v>650</v>
      </c>
      <c r="C1209" t="s">
        <v>116</v>
      </c>
      <c r="D1209" t="s">
        <v>637</v>
      </c>
      <c r="E1209" t="s">
        <v>338</v>
      </c>
      <c r="F1209">
        <v>4.5999999999999996</v>
      </c>
      <c r="G1209">
        <v>140300</v>
      </c>
      <c r="H1209">
        <v>140300</v>
      </c>
      <c r="I1209">
        <f>FlipkartTable[[#This Row],[Original Price]]-FlipkartTable[[#This Row],[Selling Price]]</f>
        <v>0</v>
      </c>
      <c r="J1209" s="4">
        <f>(FlipkartTable[[#This Row],[Original Price]]-FlipkartTable[[#This Row],[Selling Price]])/FlipkartTable[[#This Row],[Original Price]]</f>
        <v>0</v>
      </c>
      <c r="K1209">
        <f>(FlipkartTable[[#This Row],[Rating]]/FlipkartTable[[#This Row],[Selling Price]])*1000</f>
        <v>3.2786885245901634E-2</v>
      </c>
      <c r="L1209" t="str">
        <f>IF(FlipkartTable[[#This Row],[Selling Price]]&lt;15000,"Budget",IF(FlipkartTable[[#This Row],[Selling Price]]&lt;50000,"Mid Range","Premium"))</f>
        <v>Premium</v>
      </c>
      <c r="M1209" t="str">
        <f>IF(FlipkartTable[[#This Row],[Rating]]&gt;4.5,"Excellent",IF(FlipkartTable[[#This Row],[Rating]]&gt;4,"Good",IF(FlipkartTable[[#This Row],[Rating]]&gt;3.5,"Average","Poor")))</f>
        <v>Excellent</v>
      </c>
    </row>
    <row r="1210" spans="1:13" x14ac:dyDescent="0.35">
      <c r="A1210" t="s">
        <v>633</v>
      </c>
      <c r="B1210" s="9" t="s">
        <v>652</v>
      </c>
      <c r="C1210" t="s">
        <v>84</v>
      </c>
      <c r="D1210" t="s">
        <v>35</v>
      </c>
      <c r="E1210" t="s">
        <v>12</v>
      </c>
      <c r="F1210">
        <v>4.7</v>
      </c>
      <c r="G1210">
        <v>38999</v>
      </c>
      <c r="H1210">
        <v>39900</v>
      </c>
      <c r="I1210">
        <f>FlipkartTable[[#This Row],[Original Price]]-FlipkartTable[[#This Row],[Selling Price]]</f>
        <v>901</v>
      </c>
      <c r="J1210" s="4">
        <f>(FlipkartTable[[#This Row],[Original Price]]-FlipkartTable[[#This Row],[Selling Price]])/FlipkartTable[[#This Row],[Original Price]]</f>
        <v>2.2581453634085213E-2</v>
      </c>
      <c r="K1210">
        <f>(FlipkartTable[[#This Row],[Rating]]/FlipkartTable[[#This Row],[Selling Price]])*1000</f>
        <v>0.12051591066437602</v>
      </c>
      <c r="L1210" t="str">
        <f>IF(FlipkartTable[[#This Row],[Selling Price]]&lt;15000,"Budget",IF(FlipkartTable[[#This Row],[Selling Price]]&lt;50000,"Mid Range","Premium"))</f>
        <v>Mid Range</v>
      </c>
      <c r="M1210" t="str">
        <f>IF(FlipkartTable[[#This Row],[Rating]]&gt;4.5,"Excellent",IF(FlipkartTable[[#This Row],[Rating]]&gt;4,"Good",IF(FlipkartTable[[#This Row],[Rating]]&gt;3.5,"Average","Poor")))</f>
        <v>Excellent</v>
      </c>
    </row>
    <row r="1211" spans="1:13" x14ac:dyDescent="0.35">
      <c r="A1211" t="s">
        <v>633</v>
      </c>
      <c r="B1211" s="9" t="s">
        <v>650</v>
      </c>
      <c r="C1211" t="s">
        <v>170</v>
      </c>
      <c r="D1211" t="s">
        <v>637</v>
      </c>
      <c r="E1211" t="s">
        <v>12</v>
      </c>
      <c r="F1211">
        <v>4.5999999999999996</v>
      </c>
      <c r="G1211">
        <v>79999</v>
      </c>
      <c r="H1211">
        <v>106600</v>
      </c>
      <c r="I1211">
        <f>FlipkartTable[[#This Row],[Original Price]]-FlipkartTable[[#This Row],[Selling Price]]</f>
        <v>26601</v>
      </c>
      <c r="J1211" s="4">
        <f>(FlipkartTable[[#This Row],[Original Price]]-FlipkartTable[[#This Row],[Selling Price]])/FlipkartTable[[#This Row],[Original Price]]</f>
        <v>0.24954033771106943</v>
      </c>
      <c r="K1211">
        <f>(FlipkartTable[[#This Row],[Rating]]/FlipkartTable[[#This Row],[Selling Price]])*1000</f>
        <v>5.7500718758984479E-2</v>
      </c>
      <c r="L1211" t="str">
        <f>IF(FlipkartTable[[#This Row],[Selling Price]]&lt;15000,"Budget",IF(FlipkartTable[[#This Row],[Selling Price]]&lt;50000,"Mid Range","Premium"))</f>
        <v>Premium</v>
      </c>
      <c r="M1211" t="str">
        <f>IF(FlipkartTable[[#This Row],[Rating]]&gt;4.5,"Excellent",IF(FlipkartTable[[#This Row],[Rating]]&gt;4,"Good",IF(FlipkartTable[[#This Row],[Rating]]&gt;3.5,"Average","Poor")))</f>
        <v>Excellent</v>
      </c>
    </row>
    <row r="1212" spans="1:13" x14ac:dyDescent="0.35">
      <c r="A1212" t="s">
        <v>633</v>
      </c>
      <c r="B1212" s="9" t="s">
        <v>639</v>
      </c>
      <c r="C1212" t="s">
        <v>152</v>
      </c>
      <c r="D1212" t="s">
        <v>637</v>
      </c>
      <c r="E1212" t="s">
        <v>15</v>
      </c>
      <c r="F1212">
        <v>4.5999999999999996</v>
      </c>
      <c r="G1212">
        <v>54900</v>
      </c>
      <c r="H1212">
        <v>54900</v>
      </c>
      <c r="I1212">
        <f>FlipkartTable[[#This Row],[Original Price]]-FlipkartTable[[#This Row],[Selling Price]]</f>
        <v>0</v>
      </c>
      <c r="J1212" s="4">
        <f>(FlipkartTable[[#This Row],[Original Price]]-FlipkartTable[[#This Row],[Selling Price]])/FlipkartTable[[#This Row],[Original Price]]</f>
        <v>0</v>
      </c>
      <c r="K1212">
        <f>(FlipkartTable[[#This Row],[Rating]]/FlipkartTable[[#This Row],[Selling Price]])*1000</f>
        <v>8.3788706739526403E-2</v>
      </c>
      <c r="L1212" t="str">
        <f>IF(FlipkartTable[[#This Row],[Selling Price]]&lt;15000,"Budget",IF(FlipkartTable[[#This Row],[Selling Price]]&lt;50000,"Mid Range","Premium"))</f>
        <v>Premium</v>
      </c>
      <c r="M1212" t="str">
        <f>IF(FlipkartTable[[#This Row],[Rating]]&gt;4.5,"Excellent",IF(FlipkartTable[[#This Row],[Rating]]&gt;4,"Good",IF(FlipkartTable[[#This Row],[Rating]]&gt;3.5,"Average","Poor")))</f>
        <v>Excellent</v>
      </c>
    </row>
    <row r="1213" spans="1:13" x14ac:dyDescent="0.35">
      <c r="A1213" t="s">
        <v>633</v>
      </c>
      <c r="B1213" s="9" t="s">
        <v>655</v>
      </c>
      <c r="C1213" t="s">
        <v>649</v>
      </c>
      <c r="D1213" t="s">
        <v>134</v>
      </c>
      <c r="E1213" t="s">
        <v>124</v>
      </c>
      <c r="F1213">
        <v>4.5</v>
      </c>
      <c r="G1213">
        <v>39999</v>
      </c>
      <c r="H1213">
        <v>39999</v>
      </c>
      <c r="I1213">
        <f>FlipkartTable[[#This Row],[Original Price]]-FlipkartTable[[#This Row],[Selling Price]]</f>
        <v>0</v>
      </c>
      <c r="J1213" s="4">
        <f>(FlipkartTable[[#This Row],[Original Price]]-FlipkartTable[[#This Row],[Selling Price]])/FlipkartTable[[#This Row],[Original Price]]</f>
        <v>0</v>
      </c>
      <c r="K1213">
        <f>(FlipkartTable[[#This Row],[Rating]]/FlipkartTable[[#This Row],[Selling Price]])*1000</f>
        <v>0.11250281257031426</v>
      </c>
      <c r="L1213" t="str">
        <f>IF(FlipkartTable[[#This Row],[Selling Price]]&lt;15000,"Budget",IF(FlipkartTable[[#This Row],[Selling Price]]&lt;50000,"Mid Range","Premium"))</f>
        <v>Mid Range</v>
      </c>
      <c r="M1213" t="str">
        <f>IF(FlipkartTable[[#This Row],[Rating]]&gt;4.5,"Excellent",IF(FlipkartTable[[#This Row],[Rating]]&gt;4,"Good",IF(FlipkartTable[[#This Row],[Rating]]&gt;3.5,"Average","Poor")))</f>
        <v>Good</v>
      </c>
    </row>
    <row r="1214" spans="1:13" x14ac:dyDescent="0.35">
      <c r="A1214" t="s">
        <v>633</v>
      </c>
      <c r="B1214" s="9" t="s">
        <v>656</v>
      </c>
      <c r="C1214" t="s">
        <v>170</v>
      </c>
      <c r="D1214" t="s">
        <v>11</v>
      </c>
      <c r="E1214" t="s">
        <v>338</v>
      </c>
      <c r="F1214">
        <v>4.5999999999999996</v>
      </c>
      <c r="G1214">
        <v>144900</v>
      </c>
      <c r="H1214">
        <v>144900</v>
      </c>
      <c r="I1214">
        <f>FlipkartTable[[#This Row],[Original Price]]-FlipkartTable[[#This Row],[Selling Price]]</f>
        <v>0</v>
      </c>
      <c r="J1214" s="4">
        <f>(FlipkartTable[[#This Row],[Original Price]]-FlipkartTable[[#This Row],[Selling Price]])/FlipkartTable[[#This Row],[Original Price]]</f>
        <v>0</v>
      </c>
      <c r="K1214">
        <f>(FlipkartTable[[#This Row],[Rating]]/FlipkartTable[[#This Row],[Selling Price]])*1000</f>
        <v>3.1746031746031744E-2</v>
      </c>
      <c r="L1214" t="str">
        <f>IF(FlipkartTable[[#This Row],[Selling Price]]&lt;15000,"Budget",IF(FlipkartTable[[#This Row],[Selling Price]]&lt;50000,"Mid Range","Premium"))</f>
        <v>Premium</v>
      </c>
      <c r="M1214" t="str">
        <f>IF(FlipkartTable[[#This Row],[Rating]]&gt;4.5,"Excellent",IF(FlipkartTable[[#This Row],[Rating]]&gt;4,"Good",IF(FlipkartTable[[#This Row],[Rating]]&gt;3.5,"Average","Poor")))</f>
        <v>Excellent</v>
      </c>
    </row>
    <row r="1215" spans="1:13" x14ac:dyDescent="0.35">
      <c r="A1215" t="s">
        <v>633</v>
      </c>
      <c r="B1215" s="9" t="s">
        <v>657</v>
      </c>
      <c r="C1215" t="s">
        <v>84</v>
      </c>
      <c r="D1215" t="s">
        <v>20</v>
      </c>
      <c r="E1215" t="s">
        <v>64</v>
      </c>
      <c r="F1215">
        <v>5</v>
      </c>
      <c r="G1215">
        <v>85400</v>
      </c>
      <c r="H1215">
        <v>85400</v>
      </c>
      <c r="I1215">
        <f>FlipkartTable[[#This Row],[Original Price]]-FlipkartTable[[#This Row],[Selling Price]]</f>
        <v>0</v>
      </c>
      <c r="J1215" s="4">
        <f>(FlipkartTable[[#This Row],[Original Price]]-FlipkartTable[[#This Row],[Selling Price]])/FlipkartTable[[#This Row],[Original Price]]</f>
        <v>0</v>
      </c>
      <c r="K1215">
        <f>(FlipkartTable[[#This Row],[Rating]]/FlipkartTable[[#This Row],[Selling Price]])*1000</f>
        <v>5.8548009367681501E-2</v>
      </c>
      <c r="L1215" t="str">
        <f>IF(FlipkartTable[[#This Row],[Selling Price]]&lt;15000,"Budget",IF(FlipkartTable[[#This Row],[Selling Price]]&lt;50000,"Mid Range","Premium"))</f>
        <v>Premium</v>
      </c>
      <c r="M1215" t="str">
        <f>IF(FlipkartTable[[#This Row],[Rating]]&gt;4.5,"Excellent",IF(FlipkartTable[[#This Row],[Rating]]&gt;4,"Good",IF(FlipkartTable[[#This Row],[Rating]]&gt;3.5,"Average","Poor")))</f>
        <v>Excellent</v>
      </c>
    </row>
    <row r="1216" spans="1:13" x14ac:dyDescent="0.35">
      <c r="A1216" t="s">
        <v>633</v>
      </c>
      <c r="B1216" s="9" t="s">
        <v>658</v>
      </c>
      <c r="C1216" t="s">
        <v>170</v>
      </c>
      <c r="D1216" t="s">
        <v>35</v>
      </c>
      <c r="E1216" t="s">
        <v>21</v>
      </c>
      <c r="F1216">
        <v>4.5</v>
      </c>
      <c r="G1216">
        <v>25299</v>
      </c>
      <c r="H1216">
        <v>29900</v>
      </c>
      <c r="I1216">
        <f>FlipkartTable[[#This Row],[Original Price]]-FlipkartTable[[#This Row],[Selling Price]]</f>
        <v>4601</v>
      </c>
      <c r="J1216" s="4">
        <f>(FlipkartTable[[#This Row],[Original Price]]-FlipkartTable[[#This Row],[Selling Price]])/FlipkartTable[[#This Row],[Original Price]]</f>
        <v>0.15387959866220735</v>
      </c>
      <c r="K1216">
        <f>(FlipkartTable[[#This Row],[Rating]]/FlipkartTable[[#This Row],[Selling Price]])*1000</f>
        <v>0.17787264318747775</v>
      </c>
      <c r="L1216" t="str">
        <f>IF(FlipkartTable[[#This Row],[Selling Price]]&lt;15000,"Budget",IF(FlipkartTable[[#This Row],[Selling Price]]&lt;50000,"Mid Range","Premium"))</f>
        <v>Mid Range</v>
      </c>
      <c r="M1216" t="str">
        <f>IF(FlipkartTable[[#This Row],[Rating]]&gt;4.5,"Excellent",IF(FlipkartTable[[#This Row],[Rating]]&gt;4,"Good",IF(FlipkartTable[[#This Row],[Rating]]&gt;3.5,"Average","Poor")))</f>
        <v>Good</v>
      </c>
    </row>
    <row r="1217" spans="1:13" x14ac:dyDescent="0.35">
      <c r="A1217" t="s">
        <v>633</v>
      </c>
      <c r="B1217" s="9" t="s">
        <v>650</v>
      </c>
      <c r="C1217" t="s">
        <v>116</v>
      </c>
      <c r="D1217" t="s">
        <v>637</v>
      </c>
      <c r="E1217" t="s">
        <v>12</v>
      </c>
      <c r="F1217">
        <v>4.5999999999999996</v>
      </c>
      <c r="G1217">
        <v>79999</v>
      </c>
      <c r="H1217">
        <v>106600</v>
      </c>
      <c r="I1217">
        <f>FlipkartTable[[#This Row],[Original Price]]-FlipkartTable[[#This Row],[Selling Price]]</f>
        <v>26601</v>
      </c>
      <c r="J1217" s="4">
        <f>(FlipkartTable[[#This Row],[Original Price]]-FlipkartTable[[#This Row],[Selling Price]])/FlipkartTable[[#This Row],[Original Price]]</f>
        <v>0.24954033771106943</v>
      </c>
      <c r="K1217">
        <f>(FlipkartTable[[#This Row],[Rating]]/FlipkartTable[[#This Row],[Selling Price]])*1000</f>
        <v>5.7500718758984479E-2</v>
      </c>
      <c r="L1217" t="str">
        <f>IF(FlipkartTable[[#This Row],[Selling Price]]&lt;15000,"Budget",IF(FlipkartTable[[#This Row],[Selling Price]]&lt;50000,"Mid Range","Premium"))</f>
        <v>Premium</v>
      </c>
      <c r="M1217" t="str">
        <f>IF(FlipkartTable[[#This Row],[Rating]]&gt;4.5,"Excellent",IF(FlipkartTable[[#This Row],[Rating]]&gt;4,"Good",IF(FlipkartTable[[#This Row],[Rating]]&gt;3.5,"Average","Poor")))</f>
        <v>Excellent</v>
      </c>
    </row>
    <row r="1218" spans="1:13" x14ac:dyDescent="0.35">
      <c r="A1218" t="s">
        <v>633</v>
      </c>
      <c r="B1218" s="9" t="s">
        <v>650</v>
      </c>
      <c r="C1218" t="s">
        <v>646</v>
      </c>
      <c r="D1218" t="s">
        <v>637</v>
      </c>
      <c r="E1218" t="s">
        <v>12</v>
      </c>
      <c r="F1218">
        <v>4.5999999999999996</v>
      </c>
      <c r="G1218">
        <v>79999</v>
      </c>
      <c r="H1218">
        <v>106600</v>
      </c>
      <c r="I1218">
        <f>FlipkartTable[[#This Row],[Original Price]]-FlipkartTable[[#This Row],[Selling Price]]</f>
        <v>26601</v>
      </c>
      <c r="J1218" s="4">
        <f>(FlipkartTable[[#This Row],[Original Price]]-FlipkartTable[[#This Row],[Selling Price]])/FlipkartTable[[#This Row],[Original Price]]</f>
        <v>0.24954033771106943</v>
      </c>
      <c r="K1218">
        <f>(FlipkartTable[[#This Row],[Rating]]/FlipkartTable[[#This Row],[Selling Price]])*1000</f>
        <v>5.7500718758984479E-2</v>
      </c>
      <c r="L1218" t="str">
        <f>IF(FlipkartTable[[#This Row],[Selling Price]]&lt;15000,"Budget",IF(FlipkartTable[[#This Row],[Selling Price]]&lt;50000,"Mid Range","Premium"))</f>
        <v>Premium</v>
      </c>
      <c r="M1218" t="str">
        <f>IF(FlipkartTable[[#This Row],[Rating]]&gt;4.5,"Excellent",IF(FlipkartTable[[#This Row],[Rating]]&gt;4,"Good",IF(FlipkartTable[[#This Row],[Rating]]&gt;3.5,"Average","Poor")))</f>
        <v>Excellent</v>
      </c>
    </row>
    <row r="1219" spans="1:13" x14ac:dyDescent="0.35">
      <c r="A1219" t="s">
        <v>633</v>
      </c>
      <c r="B1219" s="9" t="s">
        <v>650</v>
      </c>
      <c r="C1219" t="s">
        <v>170</v>
      </c>
      <c r="D1219" t="s">
        <v>637</v>
      </c>
      <c r="E1219" t="s">
        <v>338</v>
      </c>
      <c r="F1219">
        <v>4.5999999999999996</v>
      </c>
      <c r="G1219">
        <v>140300</v>
      </c>
      <c r="H1219">
        <v>140300</v>
      </c>
      <c r="I1219">
        <f>FlipkartTable[[#This Row],[Original Price]]-FlipkartTable[[#This Row],[Selling Price]]</f>
        <v>0</v>
      </c>
      <c r="J1219" s="4">
        <f>(FlipkartTable[[#This Row],[Original Price]]-FlipkartTable[[#This Row],[Selling Price]])/FlipkartTable[[#This Row],[Original Price]]</f>
        <v>0</v>
      </c>
      <c r="K1219">
        <f>(FlipkartTable[[#This Row],[Rating]]/FlipkartTable[[#This Row],[Selling Price]])*1000</f>
        <v>3.2786885245901634E-2</v>
      </c>
      <c r="L1219" t="str">
        <f>IF(FlipkartTable[[#This Row],[Selling Price]]&lt;15000,"Budget",IF(FlipkartTable[[#This Row],[Selling Price]]&lt;50000,"Mid Range","Premium"))</f>
        <v>Premium</v>
      </c>
      <c r="M1219" t="str">
        <f>IF(FlipkartTable[[#This Row],[Rating]]&gt;4.5,"Excellent",IF(FlipkartTable[[#This Row],[Rating]]&gt;4,"Good",IF(FlipkartTable[[#This Row],[Rating]]&gt;3.5,"Average","Poor")))</f>
        <v>Excellent</v>
      </c>
    </row>
    <row r="1220" spans="1:13" x14ac:dyDescent="0.35">
      <c r="A1220" t="s">
        <v>633</v>
      </c>
      <c r="B1220" s="9" t="s">
        <v>659</v>
      </c>
      <c r="C1220" t="s">
        <v>19</v>
      </c>
      <c r="D1220" t="s">
        <v>35</v>
      </c>
      <c r="E1220" t="s">
        <v>21</v>
      </c>
      <c r="F1220">
        <v>4.5</v>
      </c>
      <c r="G1220">
        <v>24999</v>
      </c>
      <c r="H1220">
        <v>31500</v>
      </c>
      <c r="I1220">
        <f>FlipkartTable[[#This Row],[Original Price]]-FlipkartTable[[#This Row],[Selling Price]]</f>
        <v>6501</v>
      </c>
      <c r="J1220" s="4">
        <f>(FlipkartTable[[#This Row],[Original Price]]-FlipkartTable[[#This Row],[Selling Price]])/FlipkartTable[[#This Row],[Original Price]]</f>
        <v>0.20638095238095239</v>
      </c>
      <c r="K1220">
        <f>(FlipkartTable[[#This Row],[Rating]]/FlipkartTable[[#This Row],[Selling Price]])*1000</f>
        <v>0.18000720028801154</v>
      </c>
      <c r="L1220" t="str">
        <f>IF(FlipkartTable[[#This Row],[Selling Price]]&lt;15000,"Budget",IF(FlipkartTable[[#This Row],[Selling Price]]&lt;50000,"Mid Range","Premium"))</f>
        <v>Mid Range</v>
      </c>
      <c r="M1220" t="str">
        <f>IF(FlipkartTable[[#This Row],[Rating]]&gt;4.5,"Excellent",IF(FlipkartTable[[#This Row],[Rating]]&gt;4,"Good",IF(FlipkartTable[[#This Row],[Rating]]&gt;3.5,"Average","Poor")))</f>
        <v>Good</v>
      </c>
    </row>
    <row r="1221" spans="1:13" x14ac:dyDescent="0.35">
      <c r="A1221" t="s">
        <v>633</v>
      </c>
      <c r="B1221" s="9" t="s">
        <v>651</v>
      </c>
      <c r="C1221" t="s">
        <v>649</v>
      </c>
      <c r="D1221" t="s">
        <v>11</v>
      </c>
      <c r="E1221" t="s">
        <v>64</v>
      </c>
      <c r="F1221">
        <v>4.7</v>
      </c>
      <c r="G1221">
        <v>76999</v>
      </c>
      <c r="H1221">
        <v>103900</v>
      </c>
      <c r="I1221">
        <f>FlipkartTable[[#This Row],[Original Price]]-FlipkartTable[[#This Row],[Selling Price]]</f>
        <v>26901</v>
      </c>
      <c r="J1221" s="4">
        <f>(FlipkartTable[[#This Row],[Original Price]]-FlipkartTable[[#This Row],[Selling Price]])/FlipkartTable[[#This Row],[Original Price]]</f>
        <v>0.2589124157844081</v>
      </c>
      <c r="K1221">
        <f>(FlipkartTable[[#This Row],[Rating]]/FlipkartTable[[#This Row],[Selling Price]])*1000</f>
        <v>6.1039753763035887E-2</v>
      </c>
      <c r="L1221" t="str">
        <f>IF(FlipkartTable[[#This Row],[Selling Price]]&lt;15000,"Budget",IF(FlipkartTable[[#This Row],[Selling Price]]&lt;50000,"Mid Range","Premium"))</f>
        <v>Premium</v>
      </c>
      <c r="M1221" t="str">
        <f>IF(FlipkartTable[[#This Row],[Rating]]&gt;4.5,"Excellent",IF(FlipkartTable[[#This Row],[Rating]]&gt;4,"Good",IF(FlipkartTable[[#This Row],[Rating]]&gt;3.5,"Average","Poor")))</f>
        <v>Excellent</v>
      </c>
    </row>
    <row r="1222" spans="1:13" x14ac:dyDescent="0.35">
      <c r="A1222" t="s">
        <v>633</v>
      </c>
      <c r="B1222" s="9" t="s">
        <v>651</v>
      </c>
      <c r="C1222" t="s">
        <v>649</v>
      </c>
      <c r="D1222" t="s">
        <v>11</v>
      </c>
      <c r="E1222" t="s">
        <v>12</v>
      </c>
      <c r="F1222">
        <v>4.7</v>
      </c>
      <c r="G1222">
        <v>62999</v>
      </c>
      <c r="H1222">
        <v>89900</v>
      </c>
      <c r="I1222">
        <f>FlipkartTable[[#This Row],[Original Price]]-FlipkartTable[[#This Row],[Selling Price]]</f>
        <v>26901</v>
      </c>
      <c r="J1222" s="4">
        <f>(FlipkartTable[[#This Row],[Original Price]]-FlipkartTable[[#This Row],[Selling Price]])/FlipkartTable[[#This Row],[Original Price]]</f>
        <v>0.29923248053392659</v>
      </c>
      <c r="K1222">
        <f>(FlipkartTable[[#This Row],[Rating]]/FlipkartTable[[#This Row],[Selling Price]])*1000</f>
        <v>7.4604358799346016E-2</v>
      </c>
      <c r="L1222" t="str">
        <f>IF(FlipkartTable[[#This Row],[Selling Price]]&lt;15000,"Budget",IF(FlipkartTable[[#This Row],[Selling Price]]&lt;50000,"Mid Range","Premium"))</f>
        <v>Premium</v>
      </c>
      <c r="M1222" t="str">
        <f>IF(FlipkartTable[[#This Row],[Rating]]&gt;4.5,"Excellent",IF(FlipkartTable[[#This Row],[Rating]]&gt;4,"Good",IF(FlipkartTable[[#This Row],[Rating]]&gt;3.5,"Average","Poor")))</f>
        <v>Excellent</v>
      </c>
    </row>
    <row r="1223" spans="1:13" x14ac:dyDescent="0.35">
      <c r="A1223" t="s">
        <v>633</v>
      </c>
      <c r="B1223" s="9" t="s">
        <v>650</v>
      </c>
      <c r="C1223" t="s">
        <v>649</v>
      </c>
      <c r="D1223" t="s">
        <v>637</v>
      </c>
      <c r="E1223" t="s">
        <v>12</v>
      </c>
      <c r="F1223">
        <v>4.5999999999999996</v>
      </c>
      <c r="G1223">
        <v>79999</v>
      </c>
      <c r="H1223">
        <v>106600</v>
      </c>
      <c r="I1223">
        <f>FlipkartTable[[#This Row],[Original Price]]-FlipkartTable[[#This Row],[Selling Price]]</f>
        <v>26601</v>
      </c>
      <c r="J1223" s="4">
        <f>(FlipkartTable[[#This Row],[Original Price]]-FlipkartTable[[#This Row],[Selling Price]])/FlipkartTable[[#This Row],[Original Price]]</f>
        <v>0.24954033771106943</v>
      </c>
      <c r="K1223">
        <f>(FlipkartTable[[#This Row],[Rating]]/FlipkartTable[[#This Row],[Selling Price]])*1000</f>
        <v>5.7500718758984479E-2</v>
      </c>
      <c r="L1223" t="str">
        <f>IF(FlipkartTable[[#This Row],[Selling Price]]&lt;15000,"Budget",IF(FlipkartTable[[#This Row],[Selling Price]]&lt;50000,"Mid Range","Premium"))</f>
        <v>Premium</v>
      </c>
      <c r="M1223" t="str">
        <f>IF(FlipkartTable[[#This Row],[Rating]]&gt;4.5,"Excellent",IF(FlipkartTable[[#This Row],[Rating]]&gt;4,"Good",IF(FlipkartTable[[#This Row],[Rating]]&gt;3.5,"Average","Poor")))</f>
        <v>Excellent</v>
      </c>
    </row>
    <row r="1224" spans="1:13" x14ac:dyDescent="0.35">
      <c r="A1224" t="s">
        <v>633</v>
      </c>
      <c r="B1224" s="9" t="s">
        <v>659</v>
      </c>
      <c r="C1224" t="s">
        <v>179</v>
      </c>
      <c r="D1224" t="s">
        <v>35</v>
      </c>
      <c r="E1224" t="s">
        <v>21</v>
      </c>
      <c r="F1224">
        <v>4.5</v>
      </c>
      <c r="G1224">
        <v>24999</v>
      </c>
      <c r="H1224">
        <v>31500</v>
      </c>
      <c r="I1224">
        <f>FlipkartTable[[#This Row],[Original Price]]-FlipkartTable[[#This Row],[Selling Price]]</f>
        <v>6501</v>
      </c>
      <c r="J1224" s="4">
        <f>(FlipkartTable[[#This Row],[Original Price]]-FlipkartTable[[#This Row],[Selling Price]])/FlipkartTable[[#This Row],[Original Price]]</f>
        <v>0.20638095238095239</v>
      </c>
      <c r="K1224">
        <f>(FlipkartTable[[#This Row],[Rating]]/FlipkartTable[[#This Row],[Selling Price]])*1000</f>
        <v>0.18000720028801154</v>
      </c>
      <c r="L1224" t="str">
        <f>IF(FlipkartTable[[#This Row],[Selling Price]]&lt;15000,"Budget",IF(FlipkartTable[[#This Row],[Selling Price]]&lt;50000,"Mid Range","Premium"))</f>
        <v>Mid Range</v>
      </c>
      <c r="M1224" t="str">
        <f>IF(FlipkartTable[[#This Row],[Rating]]&gt;4.5,"Excellent",IF(FlipkartTable[[#This Row],[Rating]]&gt;4,"Good",IF(FlipkartTable[[#This Row],[Rating]]&gt;3.5,"Average","Poor")))</f>
        <v>Good</v>
      </c>
    </row>
    <row r="1225" spans="1:13" x14ac:dyDescent="0.35">
      <c r="A1225" t="s">
        <v>633</v>
      </c>
      <c r="B1225" s="9" t="s">
        <v>654</v>
      </c>
      <c r="C1225" t="s">
        <v>114</v>
      </c>
      <c r="D1225" t="s">
        <v>35</v>
      </c>
      <c r="E1225" t="s">
        <v>21</v>
      </c>
      <c r="F1225">
        <v>4.4000000000000004</v>
      </c>
      <c r="G1225">
        <v>34900</v>
      </c>
      <c r="H1225">
        <v>34900</v>
      </c>
      <c r="I1225">
        <f>FlipkartTable[[#This Row],[Original Price]]-FlipkartTable[[#This Row],[Selling Price]]</f>
        <v>0</v>
      </c>
      <c r="J1225" s="4">
        <f>(FlipkartTable[[#This Row],[Original Price]]-FlipkartTable[[#This Row],[Selling Price]])/FlipkartTable[[#This Row],[Original Price]]</f>
        <v>0</v>
      </c>
      <c r="K1225">
        <f>(FlipkartTable[[#This Row],[Rating]]/FlipkartTable[[#This Row],[Selling Price]])*1000</f>
        <v>0.12607449856733527</v>
      </c>
      <c r="L1225" t="str">
        <f>IF(FlipkartTable[[#This Row],[Selling Price]]&lt;15000,"Budget",IF(FlipkartTable[[#This Row],[Selling Price]]&lt;50000,"Mid Range","Premium"))</f>
        <v>Mid Range</v>
      </c>
      <c r="M1225" t="str">
        <f>IF(FlipkartTable[[#This Row],[Rating]]&gt;4.5,"Excellent",IF(FlipkartTable[[#This Row],[Rating]]&gt;4,"Good",IF(FlipkartTable[[#This Row],[Rating]]&gt;3.5,"Average","Poor")))</f>
        <v>Good</v>
      </c>
    </row>
    <row r="1226" spans="1:13" x14ac:dyDescent="0.35">
      <c r="A1226" t="s">
        <v>633</v>
      </c>
      <c r="B1226" s="9" t="s">
        <v>657</v>
      </c>
      <c r="C1226" t="s">
        <v>116</v>
      </c>
      <c r="D1226" t="s">
        <v>20</v>
      </c>
      <c r="E1226" t="s">
        <v>21</v>
      </c>
      <c r="F1226">
        <v>4.5</v>
      </c>
      <c r="G1226">
        <v>36999</v>
      </c>
      <c r="H1226">
        <v>37900</v>
      </c>
      <c r="I1226">
        <f>FlipkartTable[[#This Row],[Original Price]]-FlipkartTable[[#This Row],[Selling Price]]</f>
        <v>901</v>
      </c>
      <c r="J1226" s="4">
        <f>(FlipkartTable[[#This Row],[Original Price]]-FlipkartTable[[#This Row],[Selling Price]])/FlipkartTable[[#This Row],[Original Price]]</f>
        <v>2.3773087071240106E-2</v>
      </c>
      <c r="K1226">
        <f>(FlipkartTable[[#This Row],[Rating]]/FlipkartTable[[#This Row],[Selling Price]])*1000</f>
        <v>0.12162490878131842</v>
      </c>
      <c r="L1226" t="str">
        <f>IF(FlipkartTable[[#This Row],[Selling Price]]&lt;15000,"Budget",IF(FlipkartTable[[#This Row],[Selling Price]]&lt;50000,"Mid Range","Premium"))</f>
        <v>Mid Range</v>
      </c>
      <c r="M1226" t="str">
        <f>IF(FlipkartTable[[#This Row],[Rating]]&gt;4.5,"Excellent",IF(FlipkartTable[[#This Row],[Rating]]&gt;4,"Good",IF(FlipkartTable[[#This Row],[Rating]]&gt;3.5,"Average","Poor")))</f>
        <v>Good</v>
      </c>
    </row>
    <row r="1227" spans="1:13" x14ac:dyDescent="0.35">
      <c r="A1227" t="s">
        <v>633</v>
      </c>
      <c r="B1227" s="9" t="s">
        <v>648</v>
      </c>
      <c r="C1227" t="s">
        <v>116</v>
      </c>
      <c r="D1227" t="s">
        <v>20</v>
      </c>
      <c r="E1227" t="s">
        <v>64</v>
      </c>
      <c r="F1227">
        <v>4.5999999999999996</v>
      </c>
      <c r="G1227">
        <v>84900</v>
      </c>
      <c r="H1227">
        <v>84900</v>
      </c>
      <c r="I1227">
        <f>FlipkartTable[[#This Row],[Original Price]]-FlipkartTable[[#This Row],[Selling Price]]</f>
        <v>0</v>
      </c>
      <c r="J1227" s="4">
        <f>(FlipkartTable[[#This Row],[Original Price]]-FlipkartTable[[#This Row],[Selling Price]])/FlipkartTable[[#This Row],[Original Price]]</f>
        <v>0</v>
      </c>
      <c r="K1227">
        <f>(FlipkartTable[[#This Row],[Rating]]/FlipkartTable[[#This Row],[Selling Price]])*1000</f>
        <v>5.4181389870435803E-2</v>
      </c>
      <c r="L1227" t="str">
        <f>IF(FlipkartTable[[#This Row],[Selling Price]]&lt;15000,"Budget",IF(FlipkartTable[[#This Row],[Selling Price]]&lt;50000,"Mid Range","Premium"))</f>
        <v>Premium</v>
      </c>
      <c r="M1227" t="str">
        <f>IF(FlipkartTable[[#This Row],[Rating]]&gt;4.5,"Excellent",IF(FlipkartTable[[#This Row],[Rating]]&gt;4,"Good",IF(FlipkartTable[[#This Row],[Rating]]&gt;3.5,"Average","Poor")))</f>
        <v>Excellent</v>
      </c>
    </row>
    <row r="1228" spans="1:13" x14ac:dyDescent="0.35">
      <c r="A1228" t="s">
        <v>633</v>
      </c>
      <c r="B1228" s="9" t="s">
        <v>650</v>
      </c>
      <c r="C1228" t="s">
        <v>170</v>
      </c>
      <c r="D1228" t="s">
        <v>637</v>
      </c>
      <c r="E1228" t="s">
        <v>64</v>
      </c>
      <c r="F1228">
        <v>4.5999999999999996</v>
      </c>
      <c r="G1228">
        <v>121300</v>
      </c>
      <c r="H1228">
        <v>121300</v>
      </c>
      <c r="I1228">
        <f>FlipkartTable[[#This Row],[Original Price]]-FlipkartTable[[#This Row],[Selling Price]]</f>
        <v>0</v>
      </c>
      <c r="J1228" s="4">
        <f>(FlipkartTable[[#This Row],[Original Price]]-FlipkartTable[[#This Row],[Selling Price]])/FlipkartTable[[#This Row],[Original Price]]</f>
        <v>0</v>
      </c>
      <c r="K1228">
        <f>(FlipkartTable[[#This Row],[Rating]]/FlipkartTable[[#This Row],[Selling Price]])*1000</f>
        <v>3.7922506183017311E-2</v>
      </c>
      <c r="L1228" t="str">
        <f>IF(FlipkartTable[[#This Row],[Selling Price]]&lt;15000,"Budget",IF(FlipkartTable[[#This Row],[Selling Price]]&lt;50000,"Mid Range","Premium"))</f>
        <v>Premium</v>
      </c>
      <c r="M1228" t="str">
        <f>IF(FlipkartTable[[#This Row],[Rating]]&gt;4.5,"Excellent",IF(FlipkartTable[[#This Row],[Rating]]&gt;4,"Good",IF(FlipkartTable[[#This Row],[Rating]]&gt;3.5,"Average","Poor")))</f>
        <v>Excellent</v>
      </c>
    </row>
    <row r="1229" spans="1:13" x14ac:dyDescent="0.35">
      <c r="A1229" t="s">
        <v>633</v>
      </c>
      <c r="B1229" s="9" t="s">
        <v>659</v>
      </c>
      <c r="C1229" t="s">
        <v>84</v>
      </c>
      <c r="D1229" t="s">
        <v>35</v>
      </c>
      <c r="E1229" t="s">
        <v>64</v>
      </c>
      <c r="F1229">
        <v>4.7</v>
      </c>
      <c r="G1229">
        <v>74400</v>
      </c>
      <c r="H1229">
        <v>74400</v>
      </c>
      <c r="I1229">
        <f>FlipkartTable[[#This Row],[Original Price]]-FlipkartTable[[#This Row],[Selling Price]]</f>
        <v>0</v>
      </c>
      <c r="J1229" s="4">
        <f>(FlipkartTable[[#This Row],[Original Price]]-FlipkartTable[[#This Row],[Selling Price]])/FlipkartTable[[#This Row],[Original Price]]</f>
        <v>0</v>
      </c>
      <c r="K1229">
        <f>(FlipkartTable[[#This Row],[Rating]]/FlipkartTable[[#This Row],[Selling Price]])*1000</f>
        <v>6.3172043010752688E-2</v>
      </c>
      <c r="L1229" t="str">
        <f>IF(FlipkartTable[[#This Row],[Selling Price]]&lt;15000,"Budget",IF(FlipkartTable[[#This Row],[Selling Price]]&lt;50000,"Mid Range","Premium"))</f>
        <v>Premium</v>
      </c>
      <c r="M1229" t="str">
        <f>IF(FlipkartTable[[#This Row],[Rating]]&gt;4.5,"Excellent",IF(FlipkartTable[[#This Row],[Rating]]&gt;4,"Good",IF(FlipkartTable[[#This Row],[Rating]]&gt;3.5,"Average","Poor")))</f>
        <v>Excellent</v>
      </c>
    </row>
    <row r="1230" spans="1:13" x14ac:dyDescent="0.35">
      <c r="A1230" t="s">
        <v>633</v>
      </c>
      <c r="B1230" s="9" t="s">
        <v>659</v>
      </c>
      <c r="C1230" t="s">
        <v>19</v>
      </c>
      <c r="D1230" t="s">
        <v>35</v>
      </c>
      <c r="E1230" t="s">
        <v>15</v>
      </c>
      <c r="F1230">
        <v>4.5</v>
      </c>
      <c r="G1230">
        <v>34900</v>
      </c>
      <c r="H1230">
        <v>34900</v>
      </c>
      <c r="I1230">
        <f>FlipkartTable[[#This Row],[Original Price]]-FlipkartTable[[#This Row],[Selling Price]]</f>
        <v>0</v>
      </c>
      <c r="J1230" s="4">
        <f>(FlipkartTable[[#This Row],[Original Price]]-FlipkartTable[[#This Row],[Selling Price]])/FlipkartTable[[#This Row],[Original Price]]</f>
        <v>0</v>
      </c>
      <c r="K1230">
        <f>(FlipkartTable[[#This Row],[Rating]]/FlipkartTable[[#This Row],[Selling Price]])*1000</f>
        <v>0.12893982808022922</v>
      </c>
      <c r="L1230" t="str">
        <f>IF(FlipkartTable[[#This Row],[Selling Price]]&lt;15000,"Budget",IF(FlipkartTable[[#This Row],[Selling Price]]&lt;50000,"Mid Range","Premium"))</f>
        <v>Mid Range</v>
      </c>
      <c r="M1230" t="str">
        <f>IF(FlipkartTable[[#This Row],[Rating]]&gt;4.5,"Excellent",IF(FlipkartTable[[#This Row],[Rating]]&gt;4,"Good",IF(FlipkartTable[[#This Row],[Rating]]&gt;3.5,"Average","Poor")))</f>
        <v>Good</v>
      </c>
    </row>
    <row r="1231" spans="1:13" x14ac:dyDescent="0.35">
      <c r="A1231" t="s">
        <v>633</v>
      </c>
      <c r="B1231" s="9" t="s">
        <v>660</v>
      </c>
      <c r="C1231" t="s">
        <v>116</v>
      </c>
      <c r="D1231" t="s">
        <v>134</v>
      </c>
      <c r="E1231" t="s">
        <v>12</v>
      </c>
      <c r="F1231">
        <v>4.4000000000000004</v>
      </c>
      <c r="G1231">
        <v>62500</v>
      </c>
      <c r="H1231">
        <v>62500</v>
      </c>
      <c r="I1231">
        <f>FlipkartTable[[#This Row],[Original Price]]-FlipkartTable[[#This Row],[Selling Price]]</f>
        <v>0</v>
      </c>
      <c r="J1231" s="4">
        <f>(FlipkartTable[[#This Row],[Original Price]]-FlipkartTable[[#This Row],[Selling Price]])/FlipkartTable[[#This Row],[Original Price]]</f>
        <v>0</v>
      </c>
      <c r="K1231">
        <f>(FlipkartTable[[#This Row],[Rating]]/FlipkartTable[[#This Row],[Selling Price]])*1000</f>
        <v>7.0400000000000004E-2</v>
      </c>
      <c r="L1231" t="str">
        <f>IF(FlipkartTable[[#This Row],[Selling Price]]&lt;15000,"Budget",IF(FlipkartTable[[#This Row],[Selling Price]]&lt;50000,"Mid Range","Premium"))</f>
        <v>Premium</v>
      </c>
      <c r="M1231" t="str">
        <f>IF(FlipkartTable[[#This Row],[Rating]]&gt;4.5,"Excellent",IF(FlipkartTable[[#This Row],[Rating]]&gt;4,"Good",IF(FlipkartTable[[#This Row],[Rating]]&gt;3.5,"Average","Poor")))</f>
        <v>Good</v>
      </c>
    </row>
    <row r="1232" spans="1:13" x14ac:dyDescent="0.35">
      <c r="A1232" t="s">
        <v>633</v>
      </c>
      <c r="B1232" s="9" t="s">
        <v>658</v>
      </c>
      <c r="C1232" t="s">
        <v>649</v>
      </c>
      <c r="D1232" t="s">
        <v>35</v>
      </c>
      <c r="E1232" t="s">
        <v>21</v>
      </c>
      <c r="F1232">
        <v>4.5</v>
      </c>
      <c r="G1232">
        <v>25299</v>
      </c>
      <c r="H1232">
        <v>29900</v>
      </c>
      <c r="I1232">
        <f>FlipkartTable[[#This Row],[Original Price]]-FlipkartTable[[#This Row],[Selling Price]]</f>
        <v>4601</v>
      </c>
      <c r="J1232" s="4">
        <f>(FlipkartTable[[#This Row],[Original Price]]-FlipkartTable[[#This Row],[Selling Price]])/FlipkartTable[[#This Row],[Original Price]]</f>
        <v>0.15387959866220735</v>
      </c>
      <c r="K1232">
        <f>(FlipkartTable[[#This Row],[Rating]]/FlipkartTable[[#This Row],[Selling Price]])*1000</f>
        <v>0.17787264318747775</v>
      </c>
      <c r="L1232" t="str">
        <f>IF(FlipkartTable[[#This Row],[Selling Price]]&lt;15000,"Budget",IF(FlipkartTable[[#This Row],[Selling Price]]&lt;50000,"Mid Range","Premium"))</f>
        <v>Mid Range</v>
      </c>
      <c r="M1232" t="str">
        <f>IF(FlipkartTable[[#This Row],[Rating]]&gt;4.5,"Excellent",IF(FlipkartTable[[#This Row],[Rating]]&gt;4,"Good",IF(FlipkartTable[[#This Row],[Rating]]&gt;3.5,"Average","Poor")))</f>
        <v>Good</v>
      </c>
    </row>
    <row r="1233" spans="1:13" x14ac:dyDescent="0.35">
      <c r="A1233" t="s">
        <v>633</v>
      </c>
      <c r="B1233" s="9" t="s">
        <v>659</v>
      </c>
      <c r="C1233" t="s">
        <v>114</v>
      </c>
      <c r="D1233" t="s">
        <v>35</v>
      </c>
      <c r="E1233" t="s">
        <v>21</v>
      </c>
      <c r="F1233">
        <v>4.5</v>
      </c>
      <c r="G1233">
        <v>24999</v>
      </c>
      <c r="H1233">
        <v>31500</v>
      </c>
      <c r="I1233">
        <f>FlipkartTable[[#This Row],[Original Price]]-FlipkartTable[[#This Row],[Selling Price]]</f>
        <v>6501</v>
      </c>
      <c r="J1233" s="4">
        <f>(FlipkartTable[[#This Row],[Original Price]]-FlipkartTable[[#This Row],[Selling Price]])/FlipkartTable[[#This Row],[Original Price]]</f>
        <v>0.20638095238095239</v>
      </c>
      <c r="K1233">
        <f>(FlipkartTable[[#This Row],[Rating]]/FlipkartTable[[#This Row],[Selling Price]])*1000</f>
        <v>0.18000720028801154</v>
      </c>
      <c r="L1233" t="str">
        <f>IF(FlipkartTable[[#This Row],[Selling Price]]&lt;15000,"Budget",IF(FlipkartTable[[#This Row],[Selling Price]]&lt;50000,"Mid Range","Premium"))</f>
        <v>Mid Range</v>
      </c>
      <c r="M1233" t="str">
        <f>IF(FlipkartTable[[#This Row],[Rating]]&gt;4.5,"Excellent",IF(FlipkartTable[[#This Row],[Rating]]&gt;4,"Good",IF(FlipkartTable[[#This Row],[Rating]]&gt;3.5,"Average","Poor")))</f>
        <v>Good</v>
      </c>
    </row>
    <row r="1234" spans="1:13" x14ac:dyDescent="0.35">
      <c r="A1234" t="s">
        <v>633</v>
      </c>
      <c r="B1234" s="9" t="s">
        <v>651</v>
      </c>
      <c r="C1234" t="s">
        <v>170</v>
      </c>
      <c r="D1234" t="s">
        <v>11</v>
      </c>
      <c r="E1234" t="s">
        <v>64</v>
      </c>
      <c r="F1234">
        <v>4.7</v>
      </c>
      <c r="G1234">
        <v>76999</v>
      </c>
      <c r="H1234">
        <v>103900</v>
      </c>
      <c r="I1234">
        <f>FlipkartTable[[#This Row],[Original Price]]-FlipkartTable[[#This Row],[Selling Price]]</f>
        <v>26901</v>
      </c>
      <c r="J1234" s="4">
        <f>(FlipkartTable[[#This Row],[Original Price]]-FlipkartTable[[#This Row],[Selling Price]])/FlipkartTable[[#This Row],[Original Price]]</f>
        <v>0.2589124157844081</v>
      </c>
      <c r="K1234">
        <f>(FlipkartTable[[#This Row],[Rating]]/FlipkartTable[[#This Row],[Selling Price]])*1000</f>
        <v>6.1039753763035887E-2</v>
      </c>
      <c r="L1234" t="str">
        <f>IF(FlipkartTable[[#This Row],[Selling Price]]&lt;15000,"Budget",IF(FlipkartTable[[#This Row],[Selling Price]]&lt;50000,"Mid Range","Premium"))</f>
        <v>Premium</v>
      </c>
      <c r="M1234" t="str">
        <f>IF(FlipkartTable[[#This Row],[Rating]]&gt;4.5,"Excellent",IF(FlipkartTable[[#This Row],[Rating]]&gt;4,"Good",IF(FlipkartTable[[#This Row],[Rating]]&gt;3.5,"Average","Poor")))</f>
        <v>Excellent</v>
      </c>
    </row>
    <row r="1235" spans="1:13" x14ac:dyDescent="0.35">
      <c r="A1235" t="s">
        <v>633</v>
      </c>
      <c r="B1235" s="9" t="s">
        <v>657</v>
      </c>
      <c r="C1235" t="s">
        <v>19</v>
      </c>
      <c r="D1235" t="s">
        <v>20</v>
      </c>
      <c r="E1235" t="s">
        <v>15</v>
      </c>
      <c r="F1235">
        <v>4.5</v>
      </c>
      <c r="G1235">
        <v>42900</v>
      </c>
      <c r="H1235">
        <v>42900</v>
      </c>
      <c r="I1235">
        <f>FlipkartTable[[#This Row],[Original Price]]-FlipkartTable[[#This Row],[Selling Price]]</f>
        <v>0</v>
      </c>
      <c r="J1235" s="4">
        <f>(FlipkartTable[[#This Row],[Original Price]]-FlipkartTable[[#This Row],[Selling Price]])/FlipkartTable[[#This Row],[Original Price]]</f>
        <v>0</v>
      </c>
      <c r="K1235">
        <f>(FlipkartTable[[#This Row],[Rating]]/FlipkartTable[[#This Row],[Selling Price]])*1000</f>
        <v>0.1048951048951049</v>
      </c>
      <c r="L1235" t="str">
        <f>IF(FlipkartTable[[#This Row],[Selling Price]]&lt;15000,"Budget",IF(FlipkartTable[[#This Row],[Selling Price]]&lt;50000,"Mid Range","Premium"))</f>
        <v>Mid Range</v>
      </c>
      <c r="M1235" t="str">
        <f>IF(FlipkartTable[[#This Row],[Rating]]&gt;4.5,"Excellent",IF(FlipkartTable[[#This Row],[Rating]]&gt;4,"Good",IF(FlipkartTable[[#This Row],[Rating]]&gt;3.5,"Average","Poor")))</f>
        <v>Good</v>
      </c>
    </row>
    <row r="1236" spans="1:13" x14ac:dyDescent="0.35">
      <c r="A1236" t="s">
        <v>633</v>
      </c>
      <c r="B1236" s="9" t="s">
        <v>657</v>
      </c>
      <c r="C1236" t="s">
        <v>170</v>
      </c>
      <c r="D1236" t="s">
        <v>20</v>
      </c>
      <c r="E1236" t="s">
        <v>21</v>
      </c>
      <c r="F1236">
        <v>4.5</v>
      </c>
      <c r="G1236">
        <v>36999</v>
      </c>
      <c r="H1236">
        <v>37900</v>
      </c>
      <c r="I1236">
        <f>FlipkartTable[[#This Row],[Original Price]]-FlipkartTable[[#This Row],[Selling Price]]</f>
        <v>901</v>
      </c>
      <c r="J1236" s="4">
        <f>(FlipkartTable[[#This Row],[Original Price]]-FlipkartTable[[#This Row],[Selling Price]])/FlipkartTable[[#This Row],[Original Price]]</f>
        <v>2.3773087071240106E-2</v>
      </c>
      <c r="K1236">
        <f>(FlipkartTable[[#This Row],[Rating]]/FlipkartTable[[#This Row],[Selling Price]])*1000</f>
        <v>0.12162490878131842</v>
      </c>
      <c r="L1236" t="str">
        <f>IF(FlipkartTable[[#This Row],[Selling Price]]&lt;15000,"Budget",IF(FlipkartTable[[#This Row],[Selling Price]]&lt;50000,"Mid Range","Premium"))</f>
        <v>Mid Range</v>
      </c>
      <c r="M1236" t="str">
        <f>IF(FlipkartTable[[#This Row],[Rating]]&gt;4.5,"Excellent",IF(FlipkartTable[[#This Row],[Rating]]&gt;4,"Good",IF(FlipkartTable[[#This Row],[Rating]]&gt;3.5,"Average","Poor")))</f>
        <v>Good</v>
      </c>
    </row>
    <row r="1237" spans="1:13" x14ac:dyDescent="0.35">
      <c r="A1237" t="s">
        <v>633</v>
      </c>
      <c r="B1237" s="9" t="s">
        <v>650</v>
      </c>
      <c r="C1237" t="s">
        <v>646</v>
      </c>
      <c r="D1237" t="s">
        <v>637</v>
      </c>
      <c r="E1237" t="s">
        <v>64</v>
      </c>
      <c r="F1237">
        <v>4.5999999999999996</v>
      </c>
      <c r="G1237">
        <v>121300</v>
      </c>
      <c r="H1237">
        <v>121300</v>
      </c>
      <c r="I1237">
        <f>FlipkartTable[[#This Row],[Original Price]]-FlipkartTable[[#This Row],[Selling Price]]</f>
        <v>0</v>
      </c>
      <c r="J1237" s="4">
        <f>(FlipkartTable[[#This Row],[Original Price]]-FlipkartTable[[#This Row],[Selling Price]])/FlipkartTable[[#This Row],[Original Price]]</f>
        <v>0</v>
      </c>
      <c r="K1237">
        <f>(FlipkartTable[[#This Row],[Rating]]/FlipkartTable[[#This Row],[Selling Price]])*1000</f>
        <v>3.7922506183017311E-2</v>
      </c>
      <c r="L1237" t="str">
        <f>IF(FlipkartTable[[#This Row],[Selling Price]]&lt;15000,"Budget",IF(FlipkartTable[[#This Row],[Selling Price]]&lt;50000,"Mid Range","Premium"))</f>
        <v>Premium</v>
      </c>
      <c r="M1237" t="str">
        <f>IF(FlipkartTable[[#This Row],[Rating]]&gt;4.5,"Excellent",IF(FlipkartTable[[#This Row],[Rating]]&gt;4,"Good",IF(FlipkartTable[[#This Row],[Rating]]&gt;3.5,"Average","Poor")))</f>
        <v>Excellent</v>
      </c>
    </row>
    <row r="1238" spans="1:13" x14ac:dyDescent="0.35">
      <c r="A1238" t="s">
        <v>633</v>
      </c>
      <c r="B1238" s="9" t="s">
        <v>658</v>
      </c>
      <c r="C1238" t="s">
        <v>114</v>
      </c>
      <c r="D1238" t="s">
        <v>35</v>
      </c>
      <c r="E1238" t="s">
        <v>124</v>
      </c>
      <c r="F1238">
        <v>4.5</v>
      </c>
      <c r="G1238">
        <v>31999</v>
      </c>
      <c r="H1238">
        <v>31999</v>
      </c>
      <c r="I1238">
        <f>FlipkartTable[[#This Row],[Original Price]]-FlipkartTable[[#This Row],[Selling Price]]</f>
        <v>0</v>
      </c>
      <c r="J1238" s="4">
        <f>(FlipkartTable[[#This Row],[Original Price]]-FlipkartTable[[#This Row],[Selling Price]])/FlipkartTable[[#This Row],[Original Price]]</f>
        <v>0</v>
      </c>
      <c r="K1238">
        <f>(FlipkartTable[[#This Row],[Rating]]/FlipkartTable[[#This Row],[Selling Price]])*1000</f>
        <v>0.1406293946685834</v>
      </c>
      <c r="L1238" t="str">
        <f>IF(FlipkartTable[[#This Row],[Selling Price]]&lt;15000,"Budget",IF(FlipkartTable[[#This Row],[Selling Price]]&lt;50000,"Mid Range","Premium"))</f>
        <v>Mid Range</v>
      </c>
      <c r="M1238" t="str">
        <f>IF(FlipkartTable[[#This Row],[Rating]]&gt;4.5,"Excellent",IF(FlipkartTable[[#This Row],[Rating]]&gt;4,"Good",IF(FlipkartTable[[#This Row],[Rating]]&gt;3.5,"Average","Poor")))</f>
        <v>Good</v>
      </c>
    </row>
    <row r="1239" spans="1:13" x14ac:dyDescent="0.35">
      <c r="A1239" t="s">
        <v>633</v>
      </c>
      <c r="B1239" s="9" t="s">
        <v>659</v>
      </c>
      <c r="C1239" t="s">
        <v>116</v>
      </c>
      <c r="D1239" t="s">
        <v>35</v>
      </c>
      <c r="E1239" t="s">
        <v>21</v>
      </c>
      <c r="F1239">
        <v>4.5</v>
      </c>
      <c r="G1239">
        <v>24999</v>
      </c>
      <c r="H1239">
        <v>31500</v>
      </c>
      <c r="I1239">
        <f>FlipkartTable[[#This Row],[Original Price]]-FlipkartTable[[#This Row],[Selling Price]]</f>
        <v>6501</v>
      </c>
      <c r="J1239" s="4">
        <f>(FlipkartTable[[#This Row],[Original Price]]-FlipkartTable[[#This Row],[Selling Price]])/FlipkartTable[[#This Row],[Original Price]]</f>
        <v>0.20638095238095239</v>
      </c>
      <c r="K1239">
        <f>(FlipkartTable[[#This Row],[Rating]]/FlipkartTable[[#This Row],[Selling Price]])*1000</f>
        <v>0.18000720028801154</v>
      </c>
      <c r="L1239" t="str">
        <f>IF(FlipkartTable[[#This Row],[Selling Price]]&lt;15000,"Budget",IF(FlipkartTable[[#This Row],[Selling Price]]&lt;50000,"Mid Range","Premium"))</f>
        <v>Mid Range</v>
      </c>
      <c r="M1239" t="str">
        <f>IF(FlipkartTable[[#This Row],[Rating]]&gt;4.5,"Excellent",IF(FlipkartTable[[#This Row],[Rating]]&gt;4,"Good",IF(FlipkartTable[[#This Row],[Rating]]&gt;3.5,"Average","Poor")))</f>
        <v>Good</v>
      </c>
    </row>
    <row r="1240" spans="1:13" x14ac:dyDescent="0.35">
      <c r="A1240" t="s">
        <v>633</v>
      </c>
      <c r="B1240" s="9" t="s">
        <v>645</v>
      </c>
      <c r="C1240" t="s">
        <v>646</v>
      </c>
      <c r="D1240" t="s">
        <v>637</v>
      </c>
      <c r="E1240" t="s">
        <v>64</v>
      </c>
      <c r="F1240">
        <v>4.7</v>
      </c>
      <c r="G1240">
        <v>131900</v>
      </c>
      <c r="H1240">
        <v>131900</v>
      </c>
      <c r="I1240">
        <f>FlipkartTable[[#This Row],[Original Price]]-FlipkartTable[[#This Row],[Selling Price]]</f>
        <v>0</v>
      </c>
      <c r="J1240" s="4">
        <f>(FlipkartTable[[#This Row],[Original Price]]-FlipkartTable[[#This Row],[Selling Price]])/FlipkartTable[[#This Row],[Original Price]]</f>
        <v>0</v>
      </c>
      <c r="K1240">
        <f>(FlipkartTable[[#This Row],[Rating]]/FlipkartTable[[#This Row],[Selling Price]])*1000</f>
        <v>3.5633055344958302E-2</v>
      </c>
      <c r="L1240" t="str">
        <f>IF(FlipkartTable[[#This Row],[Selling Price]]&lt;15000,"Budget",IF(FlipkartTable[[#This Row],[Selling Price]]&lt;50000,"Mid Range","Premium"))</f>
        <v>Premium</v>
      </c>
      <c r="M1240" t="str">
        <f>IF(FlipkartTable[[#This Row],[Rating]]&gt;4.5,"Excellent",IF(FlipkartTable[[#This Row],[Rating]]&gt;4,"Good",IF(FlipkartTable[[#This Row],[Rating]]&gt;3.5,"Average","Poor")))</f>
        <v>Excellent</v>
      </c>
    </row>
    <row r="1241" spans="1:13" x14ac:dyDescent="0.35">
      <c r="A1241" t="s">
        <v>633</v>
      </c>
      <c r="B1241" s="9" t="s">
        <v>658</v>
      </c>
      <c r="C1241" t="s">
        <v>116</v>
      </c>
      <c r="D1241" t="s">
        <v>35</v>
      </c>
      <c r="E1241" t="s">
        <v>21</v>
      </c>
      <c r="F1241">
        <v>4.5</v>
      </c>
      <c r="G1241">
        <v>25299</v>
      </c>
      <c r="H1241">
        <v>29900</v>
      </c>
      <c r="I1241">
        <f>FlipkartTable[[#This Row],[Original Price]]-FlipkartTable[[#This Row],[Selling Price]]</f>
        <v>4601</v>
      </c>
      <c r="J1241" s="4">
        <f>(FlipkartTable[[#This Row],[Original Price]]-FlipkartTable[[#This Row],[Selling Price]])/FlipkartTable[[#This Row],[Original Price]]</f>
        <v>0.15387959866220735</v>
      </c>
      <c r="K1241">
        <f>(FlipkartTable[[#This Row],[Rating]]/FlipkartTable[[#This Row],[Selling Price]])*1000</f>
        <v>0.17787264318747775</v>
      </c>
      <c r="L1241" t="str">
        <f>IF(FlipkartTable[[#This Row],[Selling Price]]&lt;15000,"Budget",IF(FlipkartTable[[#This Row],[Selling Price]]&lt;50000,"Mid Range","Premium"))</f>
        <v>Mid Range</v>
      </c>
      <c r="M1241" t="str">
        <f>IF(FlipkartTable[[#This Row],[Rating]]&gt;4.5,"Excellent",IF(FlipkartTable[[#This Row],[Rating]]&gt;4,"Good",IF(FlipkartTable[[#This Row],[Rating]]&gt;3.5,"Average","Poor")))</f>
        <v>Good</v>
      </c>
    </row>
    <row r="1242" spans="1:13" x14ac:dyDescent="0.35">
      <c r="A1242" t="s">
        <v>633</v>
      </c>
      <c r="B1242" s="9" t="s">
        <v>658</v>
      </c>
      <c r="C1242" t="s">
        <v>114</v>
      </c>
      <c r="D1242" t="s">
        <v>35</v>
      </c>
      <c r="E1242" t="s">
        <v>21</v>
      </c>
      <c r="F1242">
        <v>4.5</v>
      </c>
      <c r="G1242">
        <v>25299</v>
      </c>
      <c r="H1242">
        <v>29900</v>
      </c>
      <c r="I1242">
        <f>FlipkartTable[[#This Row],[Original Price]]-FlipkartTable[[#This Row],[Selling Price]]</f>
        <v>4601</v>
      </c>
      <c r="J1242" s="4">
        <f>(FlipkartTable[[#This Row],[Original Price]]-FlipkartTable[[#This Row],[Selling Price]])/FlipkartTable[[#This Row],[Original Price]]</f>
        <v>0.15387959866220735</v>
      </c>
      <c r="K1242">
        <f>(FlipkartTable[[#This Row],[Rating]]/FlipkartTable[[#This Row],[Selling Price]])*1000</f>
        <v>0.17787264318747775</v>
      </c>
      <c r="L1242" t="str">
        <f>IF(FlipkartTable[[#This Row],[Selling Price]]&lt;15000,"Budget",IF(FlipkartTable[[#This Row],[Selling Price]]&lt;50000,"Mid Range","Premium"))</f>
        <v>Mid Range</v>
      </c>
      <c r="M1242" t="str">
        <f>IF(FlipkartTable[[#This Row],[Rating]]&gt;4.5,"Excellent",IF(FlipkartTable[[#This Row],[Rating]]&gt;4,"Good",IF(FlipkartTable[[#This Row],[Rating]]&gt;3.5,"Average","Poor")))</f>
        <v>Good</v>
      </c>
    </row>
    <row r="1243" spans="1:13" x14ac:dyDescent="0.35">
      <c r="A1243" t="s">
        <v>633</v>
      </c>
      <c r="B1243" s="9" t="s">
        <v>635</v>
      </c>
      <c r="C1243" t="s">
        <v>19</v>
      </c>
      <c r="D1243" t="s">
        <v>20</v>
      </c>
      <c r="E1243" t="s">
        <v>64</v>
      </c>
      <c r="F1243">
        <v>4.5999999999999996</v>
      </c>
      <c r="G1243">
        <v>91900</v>
      </c>
      <c r="H1243">
        <v>91900</v>
      </c>
      <c r="I1243">
        <f>FlipkartTable[[#This Row],[Original Price]]-FlipkartTable[[#This Row],[Selling Price]]</f>
        <v>0</v>
      </c>
      <c r="J1243" s="4">
        <f>(FlipkartTable[[#This Row],[Original Price]]-FlipkartTable[[#This Row],[Selling Price]])/FlipkartTable[[#This Row],[Original Price]]</f>
        <v>0</v>
      </c>
      <c r="K1243">
        <f>(FlipkartTable[[#This Row],[Rating]]/FlipkartTable[[#This Row],[Selling Price]])*1000</f>
        <v>5.00544069640914E-2</v>
      </c>
      <c r="L1243" t="str">
        <f>IF(FlipkartTable[[#This Row],[Selling Price]]&lt;15000,"Budget",IF(FlipkartTable[[#This Row],[Selling Price]]&lt;50000,"Mid Range","Premium"))</f>
        <v>Premium</v>
      </c>
      <c r="M1243" t="str">
        <f>IF(FlipkartTable[[#This Row],[Rating]]&gt;4.5,"Excellent",IF(FlipkartTable[[#This Row],[Rating]]&gt;4,"Good",IF(FlipkartTable[[#This Row],[Rating]]&gt;3.5,"Average","Poor")))</f>
        <v>Excellent</v>
      </c>
    </row>
    <row r="1244" spans="1:13" x14ac:dyDescent="0.35">
      <c r="A1244" t="s">
        <v>633</v>
      </c>
      <c r="B1244" s="9" t="s">
        <v>660</v>
      </c>
      <c r="C1244" t="s">
        <v>170</v>
      </c>
      <c r="D1244" t="s">
        <v>134</v>
      </c>
      <c r="E1244" t="s">
        <v>124</v>
      </c>
      <c r="F1244">
        <v>4.4000000000000004</v>
      </c>
      <c r="G1244">
        <v>36990</v>
      </c>
      <c r="H1244">
        <v>36990</v>
      </c>
      <c r="I1244">
        <f>FlipkartTable[[#This Row],[Original Price]]-FlipkartTable[[#This Row],[Selling Price]]</f>
        <v>0</v>
      </c>
      <c r="J1244" s="4">
        <f>(FlipkartTable[[#This Row],[Original Price]]-FlipkartTable[[#This Row],[Selling Price]])/FlipkartTable[[#This Row],[Original Price]]</f>
        <v>0</v>
      </c>
      <c r="K1244">
        <f>(FlipkartTable[[#This Row],[Rating]]/FlipkartTable[[#This Row],[Selling Price]])*1000</f>
        <v>0.11895106785617734</v>
      </c>
      <c r="L1244" t="str">
        <f>IF(FlipkartTable[[#This Row],[Selling Price]]&lt;15000,"Budget",IF(FlipkartTable[[#This Row],[Selling Price]]&lt;50000,"Mid Range","Premium"))</f>
        <v>Mid Range</v>
      </c>
      <c r="M1244" t="str">
        <f>IF(FlipkartTable[[#This Row],[Rating]]&gt;4.5,"Excellent",IF(FlipkartTable[[#This Row],[Rating]]&gt;4,"Good",IF(FlipkartTable[[#This Row],[Rating]]&gt;3.5,"Average","Poor")))</f>
        <v>Good</v>
      </c>
    </row>
    <row r="1245" spans="1:13" x14ac:dyDescent="0.35">
      <c r="A1245" t="s">
        <v>633</v>
      </c>
      <c r="B1245" s="9" t="s">
        <v>660</v>
      </c>
      <c r="C1245" t="s">
        <v>116</v>
      </c>
      <c r="D1245" t="s">
        <v>134</v>
      </c>
      <c r="E1245" t="s">
        <v>15</v>
      </c>
      <c r="F1245">
        <v>4.4000000000000004</v>
      </c>
      <c r="G1245">
        <v>49999</v>
      </c>
      <c r="H1245">
        <v>49999</v>
      </c>
      <c r="I1245">
        <f>FlipkartTable[[#This Row],[Original Price]]-FlipkartTable[[#This Row],[Selling Price]]</f>
        <v>0</v>
      </c>
      <c r="J1245" s="4">
        <f>(FlipkartTable[[#This Row],[Original Price]]-FlipkartTable[[#This Row],[Selling Price]])/FlipkartTable[[#This Row],[Original Price]]</f>
        <v>0</v>
      </c>
      <c r="K1245">
        <f>(FlipkartTable[[#This Row],[Rating]]/FlipkartTable[[#This Row],[Selling Price]])*1000</f>
        <v>8.8001760035200716E-2</v>
      </c>
      <c r="L1245" t="str">
        <f>IF(FlipkartTable[[#This Row],[Selling Price]]&lt;15000,"Budget",IF(FlipkartTable[[#This Row],[Selling Price]]&lt;50000,"Mid Range","Premium"))</f>
        <v>Mid Range</v>
      </c>
      <c r="M1245" t="str">
        <f>IF(FlipkartTable[[#This Row],[Rating]]&gt;4.5,"Excellent",IF(FlipkartTable[[#This Row],[Rating]]&gt;4,"Good",IF(FlipkartTable[[#This Row],[Rating]]&gt;3.5,"Average","Poor")))</f>
        <v>Good</v>
      </c>
    </row>
    <row r="1246" spans="1:13" x14ac:dyDescent="0.35">
      <c r="A1246" t="s">
        <v>633</v>
      </c>
      <c r="B1246" s="9" t="s">
        <v>635</v>
      </c>
      <c r="C1246" t="s">
        <v>329</v>
      </c>
      <c r="D1246" t="s">
        <v>20</v>
      </c>
      <c r="E1246" t="s">
        <v>64</v>
      </c>
      <c r="F1246">
        <v>4.5999999999999996</v>
      </c>
      <c r="G1246">
        <v>91900</v>
      </c>
      <c r="H1246">
        <v>91900</v>
      </c>
      <c r="I1246">
        <f>FlipkartTable[[#This Row],[Original Price]]-FlipkartTable[[#This Row],[Selling Price]]</f>
        <v>0</v>
      </c>
      <c r="J1246" s="4">
        <f>(FlipkartTable[[#This Row],[Original Price]]-FlipkartTable[[#This Row],[Selling Price]])/FlipkartTable[[#This Row],[Original Price]]</f>
        <v>0</v>
      </c>
      <c r="K1246">
        <f>(FlipkartTable[[#This Row],[Rating]]/FlipkartTable[[#This Row],[Selling Price]])*1000</f>
        <v>5.00544069640914E-2</v>
      </c>
      <c r="L1246" t="str">
        <f>IF(FlipkartTable[[#This Row],[Selling Price]]&lt;15000,"Budget",IF(FlipkartTable[[#This Row],[Selling Price]]&lt;50000,"Mid Range","Premium"))</f>
        <v>Premium</v>
      </c>
      <c r="M1246" t="str">
        <f>IF(FlipkartTable[[#This Row],[Rating]]&gt;4.5,"Excellent",IF(FlipkartTable[[#This Row],[Rating]]&gt;4,"Good",IF(FlipkartTable[[#This Row],[Rating]]&gt;3.5,"Average","Poor")))</f>
        <v>Excellent</v>
      </c>
    </row>
    <row r="1247" spans="1:13" x14ac:dyDescent="0.35">
      <c r="A1247" t="s">
        <v>633</v>
      </c>
      <c r="B1247" s="9" t="s">
        <v>635</v>
      </c>
      <c r="C1247" t="s">
        <v>642</v>
      </c>
      <c r="D1247" t="s">
        <v>20</v>
      </c>
      <c r="E1247" t="s">
        <v>15</v>
      </c>
      <c r="F1247">
        <v>4.5999999999999996</v>
      </c>
      <c r="G1247">
        <v>47999</v>
      </c>
      <c r="H1247">
        <v>52900</v>
      </c>
      <c r="I1247">
        <f>FlipkartTable[[#This Row],[Original Price]]-FlipkartTable[[#This Row],[Selling Price]]</f>
        <v>4901</v>
      </c>
      <c r="J1247" s="4">
        <f>(FlipkartTable[[#This Row],[Original Price]]-FlipkartTable[[#This Row],[Selling Price]])/FlipkartTable[[#This Row],[Original Price]]</f>
        <v>9.2646502835538755E-2</v>
      </c>
      <c r="K1247">
        <f>(FlipkartTable[[#This Row],[Rating]]/FlipkartTable[[#This Row],[Selling Price]])*1000</f>
        <v>9.5835329902706295E-2</v>
      </c>
      <c r="L1247" t="str">
        <f>IF(FlipkartTable[[#This Row],[Selling Price]]&lt;15000,"Budget",IF(FlipkartTable[[#This Row],[Selling Price]]&lt;50000,"Mid Range","Premium"))</f>
        <v>Mid Range</v>
      </c>
      <c r="M1247" t="str">
        <f>IF(FlipkartTable[[#This Row],[Rating]]&gt;4.5,"Excellent",IF(FlipkartTable[[#This Row],[Rating]]&gt;4,"Good",IF(FlipkartTable[[#This Row],[Rating]]&gt;3.5,"Average","Poor")))</f>
        <v>Excellent</v>
      </c>
    </row>
    <row r="1248" spans="1:13" x14ac:dyDescent="0.35">
      <c r="A1248" t="s">
        <v>633</v>
      </c>
      <c r="B1248" s="9" t="s">
        <v>659</v>
      </c>
      <c r="C1248" t="s">
        <v>170</v>
      </c>
      <c r="D1248" t="s">
        <v>35</v>
      </c>
      <c r="E1248" t="s">
        <v>21</v>
      </c>
      <c r="F1248">
        <v>4.5</v>
      </c>
      <c r="G1248">
        <v>24999</v>
      </c>
      <c r="H1248">
        <v>31500</v>
      </c>
      <c r="I1248">
        <f>FlipkartTable[[#This Row],[Original Price]]-FlipkartTable[[#This Row],[Selling Price]]</f>
        <v>6501</v>
      </c>
      <c r="J1248" s="4">
        <f>(FlipkartTable[[#This Row],[Original Price]]-FlipkartTable[[#This Row],[Selling Price]])/FlipkartTable[[#This Row],[Original Price]]</f>
        <v>0.20638095238095239</v>
      </c>
      <c r="K1248">
        <f>(FlipkartTable[[#This Row],[Rating]]/FlipkartTable[[#This Row],[Selling Price]])*1000</f>
        <v>0.18000720028801154</v>
      </c>
      <c r="L1248" t="str">
        <f>IF(FlipkartTable[[#This Row],[Selling Price]]&lt;15000,"Budget",IF(FlipkartTable[[#This Row],[Selling Price]]&lt;50000,"Mid Range","Premium"))</f>
        <v>Mid Range</v>
      </c>
      <c r="M1248" t="str">
        <f>IF(FlipkartTable[[#This Row],[Rating]]&gt;4.5,"Excellent",IF(FlipkartTable[[#This Row],[Rating]]&gt;4,"Good",IF(FlipkartTable[[#This Row],[Rating]]&gt;3.5,"Average","Poor")))</f>
        <v>Good</v>
      </c>
    </row>
    <row r="1249" spans="1:13" x14ac:dyDescent="0.35">
      <c r="A1249" t="s">
        <v>633</v>
      </c>
      <c r="B1249" s="9" t="s">
        <v>645</v>
      </c>
      <c r="C1249" t="s">
        <v>646</v>
      </c>
      <c r="D1249" t="s">
        <v>637</v>
      </c>
      <c r="E1249" t="s">
        <v>338</v>
      </c>
      <c r="F1249">
        <v>4.7</v>
      </c>
      <c r="G1249">
        <v>150800</v>
      </c>
      <c r="H1249">
        <v>150800</v>
      </c>
      <c r="I1249">
        <f>FlipkartTable[[#This Row],[Original Price]]-FlipkartTable[[#This Row],[Selling Price]]</f>
        <v>0</v>
      </c>
      <c r="J1249" s="4">
        <f>(FlipkartTable[[#This Row],[Original Price]]-FlipkartTable[[#This Row],[Selling Price]])/FlipkartTable[[#This Row],[Original Price]]</f>
        <v>0</v>
      </c>
      <c r="K1249">
        <f>(FlipkartTable[[#This Row],[Rating]]/FlipkartTable[[#This Row],[Selling Price]])*1000</f>
        <v>3.1167108753315655E-2</v>
      </c>
      <c r="L1249" t="str">
        <f>IF(FlipkartTable[[#This Row],[Selling Price]]&lt;15000,"Budget",IF(FlipkartTable[[#This Row],[Selling Price]]&lt;50000,"Mid Range","Premium"))</f>
        <v>Premium</v>
      </c>
      <c r="M1249" t="str">
        <f>IF(FlipkartTable[[#This Row],[Rating]]&gt;4.5,"Excellent",IF(FlipkartTable[[#This Row],[Rating]]&gt;4,"Good",IF(FlipkartTable[[#This Row],[Rating]]&gt;3.5,"Average","Poor")))</f>
        <v>Excellent</v>
      </c>
    </row>
    <row r="1250" spans="1:13" x14ac:dyDescent="0.35">
      <c r="A1250" t="s">
        <v>633</v>
      </c>
      <c r="B1250" s="9" t="s">
        <v>654</v>
      </c>
      <c r="C1250" t="s">
        <v>114</v>
      </c>
      <c r="D1250" t="s">
        <v>35</v>
      </c>
      <c r="E1250" t="s">
        <v>15</v>
      </c>
      <c r="F1250">
        <v>4.4000000000000004</v>
      </c>
      <c r="G1250">
        <v>70000</v>
      </c>
      <c r="H1250">
        <v>70000</v>
      </c>
      <c r="I1250">
        <f>FlipkartTable[[#This Row],[Original Price]]-FlipkartTable[[#This Row],[Selling Price]]</f>
        <v>0</v>
      </c>
      <c r="J1250" s="4">
        <f>(FlipkartTable[[#This Row],[Original Price]]-FlipkartTable[[#This Row],[Selling Price]])/FlipkartTable[[#This Row],[Original Price]]</f>
        <v>0</v>
      </c>
      <c r="K1250">
        <f>(FlipkartTable[[#This Row],[Rating]]/FlipkartTable[[#This Row],[Selling Price]])*1000</f>
        <v>6.2857142857142861E-2</v>
      </c>
      <c r="L1250" t="str">
        <f>IF(FlipkartTable[[#This Row],[Selling Price]]&lt;15000,"Budget",IF(FlipkartTable[[#This Row],[Selling Price]]&lt;50000,"Mid Range","Premium"))</f>
        <v>Premium</v>
      </c>
      <c r="M1250" t="str">
        <f>IF(FlipkartTable[[#This Row],[Rating]]&gt;4.5,"Excellent",IF(FlipkartTable[[#This Row],[Rating]]&gt;4,"Good",IF(FlipkartTable[[#This Row],[Rating]]&gt;3.5,"Average","Poor")))</f>
        <v>Good</v>
      </c>
    </row>
    <row r="1251" spans="1:13" x14ac:dyDescent="0.35">
      <c r="A1251" t="s">
        <v>633</v>
      </c>
      <c r="B1251" s="9" t="s">
        <v>657</v>
      </c>
      <c r="C1251" t="s">
        <v>170</v>
      </c>
      <c r="D1251" t="s">
        <v>20</v>
      </c>
      <c r="E1251" t="s">
        <v>64</v>
      </c>
      <c r="F1251">
        <v>4.5</v>
      </c>
      <c r="G1251">
        <v>85400</v>
      </c>
      <c r="H1251">
        <v>85400</v>
      </c>
      <c r="I1251">
        <f>FlipkartTable[[#This Row],[Original Price]]-FlipkartTable[[#This Row],[Selling Price]]</f>
        <v>0</v>
      </c>
      <c r="J1251" s="4">
        <f>(FlipkartTable[[#This Row],[Original Price]]-FlipkartTable[[#This Row],[Selling Price]])/FlipkartTable[[#This Row],[Original Price]]</f>
        <v>0</v>
      </c>
      <c r="K1251">
        <f>(FlipkartTable[[#This Row],[Rating]]/FlipkartTable[[#This Row],[Selling Price]])*1000</f>
        <v>5.2693208430913352E-2</v>
      </c>
      <c r="L1251" t="str">
        <f>IF(FlipkartTable[[#This Row],[Selling Price]]&lt;15000,"Budget",IF(FlipkartTable[[#This Row],[Selling Price]]&lt;50000,"Mid Range","Premium"))</f>
        <v>Premium</v>
      </c>
      <c r="M1251" t="str">
        <f>IF(FlipkartTable[[#This Row],[Rating]]&gt;4.5,"Excellent",IF(FlipkartTable[[#This Row],[Rating]]&gt;4,"Good",IF(FlipkartTable[[#This Row],[Rating]]&gt;3.5,"Average","Poor")))</f>
        <v>Good</v>
      </c>
    </row>
    <row r="1252" spans="1:13" x14ac:dyDescent="0.35">
      <c r="A1252" t="s">
        <v>633</v>
      </c>
      <c r="B1252" s="9" t="s">
        <v>659</v>
      </c>
      <c r="C1252" t="s">
        <v>179</v>
      </c>
      <c r="D1252" t="s">
        <v>35</v>
      </c>
      <c r="E1252" t="s">
        <v>15</v>
      </c>
      <c r="F1252">
        <v>4.5</v>
      </c>
      <c r="G1252">
        <v>34900</v>
      </c>
      <c r="H1252">
        <v>34900</v>
      </c>
      <c r="I1252">
        <f>FlipkartTable[[#This Row],[Original Price]]-FlipkartTable[[#This Row],[Selling Price]]</f>
        <v>0</v>
      </c>
      <c r="J1252" s="4">
        <f>(FlipkartTable[[#This Row],[Original Price]]-FlipkartTable[[#This Row],[Selling Price]])/FlipkartTable[[#This Row],[Original Price]]</f>
        <v>0</v>
      </c>
      <c r="K1252">
        <f>(FlipkartTable[[#This Row],[Rating]]/FlipkartTable[[#This Row],[Selling Price]])*1000</f>
        <v>0.12893982808022922</v>
      </c>
      <c r="L1252" t="str">
        <f>IF(FlipkartTable[[#This Row],[Selling Price]]&lt;15000,"Budget",IF(FlipkartTable[[#This Row],[Selling Price]]&lt;50000,"Mid Range","Premium"))</f>
        <v>Mid Range</v>
      </c>
      <c r="M1252" t="str">
        <f>IF(FlipkartTable[[#This Row],[Rating]]&gt;4.5,"Excellent",IF(FlipkartTable[[#This Row],[Rating]]&gt;4,"Good",IF(FlipkartTable[[#This Row],[Rating]]&gt;3.5,"Average","Poor")))</f>
        <v>Good</v>
      </c>
    </row>
    <row r="1253" spans="1:13" x14ac:dyDescent="0.35">
      <c r="A1253" t="s">
        <v>633</v>
      </c>
      <c r="B1253" s="9" t="s">
        <v>658</v>
      </c>
      <c r="C1253" t="s">
        <v>116</v>
      </c>
      <c r="D1253" t="s">
        <v>35</v>
      </c>
      <c r="E1253" t="s">
        <v>12</v>
      </c>
      <c r="F1253">
        <v>4.5</v>
      </c>
      <c r="G1253">
        <v>49999</v>
      </c>
      <c r="H1253">
        <v>49999</v>
      </c>
      <c r="I1253">
        <f>FlipkartTable[[#This Row],[Original Price]]-FlipkartTable[[#This Row],[Selling Price]]</f>
        <v>0</v>
      </c>
      <c r="J1253" s="4">
        <f>(FlipkartTable[[#This Row],[Original Price]]-FlipkartTable[[#This Row],[Selling Price]])/FlipkartTable[[#This Row],[Original Price]]</f>
        <v>0</v>
      </c>
      <c r="K1253">
        <f>(FlipkartTable[[#This Row],[Rating]]/FlipkartTable[[#This Row],[Selling Price]])*1000</f>
        <v>9.0001800036000723E-2</v>
      </c>
      <c r="L1253" t="str">
        <f>IF(FlipkartTable[[#This Row],[Selling Price]]&lt;15000,"Budget",IF(FlipkartTable[[#This Row],[Selling Price]]&lt;50000,"Mid Range","Premium"))</f>
        <v>Mid Range</v>
      </c>
      <c r="M1253" t="str">
        <f>IF(FlipkartTable[[#This Row],[Rating]]&gt;4.5,"Excellent",IF(FlipkartTable[[#This Row],[Rating]]&gt;4,"Good",IF(FlipkartTable[[#This Row],[Rating]]&gt;3.5,"Average","Poor")))</f>
        <v>Good</v>
      </c>
    </row>
    <row r="1254" spans="1:13" x14ac:dyDescent="0.35">
      <c r="A1254" t="s">
        <v>633</v>
      </c>
      <c r="B1254" s="9" t="s">
        <v>657</v>
      </c>
      <c r="C1254" t="s">
        <v>179</v>
      </c>
      <c r="D1254" t="s">
        <v>20</v>
      </c>
      <c r="E1254" t="s">
        <v>64</v>
      </c>
      <c r="F1254">
        <v>4.5</v>
      </c>
      <c r="G1254">
        <v>85400</v>
      </c>
      <c r="H1254">
        <v>85400</v>
      </c>
      <c r="I1254">
        <f>FlipkartTable[[#This Row],[Original Price]]-FlipkartTable[[#This Row],[Selling Price]]</f>
        <v>0</v>
      </c>
      <c r="J1254" s="4">
        <f>(FlipkartTable[[#This Row],[Original Price]]-FlipkartTable[[#This Row],[Selling Price]])/FlipkartTable[[#This Row],[Original Price]]</f>
        <v>0</v>
      </c>
      <c r="K1254">
        <f>(FlipkartTable[[#This Row],[Rating]]/FlipkartTable[[#This Row],[Selling Price]])*1000</f>
        <v>5.2693208430913352E-2</v>
      </c>
      <c r="L1254" t="str">
        <f>IF(FlipkartTable[[#This Row],[Selling Price]]&lt;15000,"Budget",IF(FlipkartTable[[#This Row],[Selling Price]]&lt;50000,"Mid Range","Premium"))</f>
        <v>Premium</v>
      </c>
      <c r="M1254" t="str">
        <f>IF(FlipkartTable[[#This Row],[Rating]]&gt;4.5,"Excellent",IF(FlipkartTable[[#This Row],[Rating]]&gt;4,"Good",IF(FlipkartTable[[#This Row],[Rating]]&gt;3.5,"Average","Poor")))</f>
        <v>Good</v>
      </c>
    </row>
    <row r="1255" spans="1:13" x14ac:dyDescent="0.35">
      <c r="A1255" t="s">
        <v>633</v>
      </c>
      <c r="B1255" s="9" t="s">
        <v>639</v>
      </c>
      <c r="C1255" t="s">
        <v>121</v>
      </c>
      <c r="D1255" t="s">
        <v>637</v>
      </c>
      <c r="E1255" t="s">
        <v>15</v>
      </c>
      <c r="F1255">
        <v>4.5999999999999996</v>
      </c>
      <c r="G1255">
        <v>54900</v>
      </c>
      <c r="H1255">
        <v>54900</v>
      </c>
      <c r="I1255">
        <f>FlipkartTable[[#This Row],[Original Price]]-FlipkartTable[[#This Row],[Selling Price]]</f>
        <v>0</v>
      </c>
      <c r="J1255" s="4">
        <f>(FlipkartTable[[#This Row],[Original Price]]-FlipkartTable[[#This Row],[Selling Price]])/FlipkartTable[[#This Row],[Original Price]]</f>
        <v>0</v>
      </c>
      <c r="K1255">
        <f>(FlipkartTable[[#This Row],[Rating]]/FlipkartTable[[#This Row],[Selling Price]])*1000</f>
        <v>8.3788706739526403E-2</v>
      </c>
      <c r="L1255" t="str">
        <f>IF(FlipkartTable[[#This Row],[Selling Price]]&lt;15000,"Budget",IF(FlipkartTable[[#This Row],[Selling Price]]&lt;50000,"Mid Range","Premium"))</f>
        <v>Premium</v>
      </c>
      <c r="M1255" t="str">
        <f>IF(FlipkartTable[[#This Row],[Rating]]&gt;4.5,"Excellent",IF(FlipkartTable[[#This Row],[Rating]]&gt;4,"Good",IF(FlipkartTable[[#This Row],[Rating]]&gt;3.5,"Average","Poor")))</f>
        <v>Excellent</v>
      </c>
    </row>
    <row r="1256" spans="1:13" x14ac:dyDescent="0.35">
      <c r="A1256" t="s">
        <v>633</v>
      </c>
      <c r="B1256" s="9" t="s">
        <v>658</v>
      </c>
      <c r="C1256" t="s">
        <v>116</v>
      </c>
      <c r="D1256" t="s">
        <v>35</v>
      </c>
      <c r="E1256" t="s">
        <v>15</v>
      </c>
      <c r="F1256">
        <v>4.5</v>
      </c>
      <c r="G1256">
        <v>55999</v>
      </c>
      <c r="H1256">
        <v>55999</v>
      </c>
      <c r="I1256">
        <f>FlipkartTable[[#This Row],[Original Price]]-FlipkartTable[[#This Row],[Selling Price]]</f>
        <v>0</v>
      </c>
      <c r="J1256" s="4">
        <f>(FlipkartTable[[#This Row],[Original Price]]-FlipkartTable[[#This Row],[Selling Price]])/FlipkartTable[[#This Row],[Original Price]]</f>
        <v>0</v>
      </c>
      <c r="K1256">
        <f>(FlipkartTable[[#This Row],[Rating]]/FlipkartTable[[#This Row],[Selling Price]])*1000</f>
        <v>8.0358577831747005E-2</v>
      </c>
      <c r="L1256" t="str">
        <f>IF(FlipkartTable[[#This Row],[Selling Price]]&lt;15000,"Budget",IF(FlipkartTable[[#This Row],[Selling Price]]&lt;50000,"Mid Range","Premium"))</f>
        <v>Premium</v>
      </c>
      <c r="M1256" t="str">
        <f>IF(FlipkartTable[[#This Row],[Rating]]&gt;4.5,"Excellent",IF(FlipkartTable[[#This Row],[Rating]]&gt;4,"Good",IF(FlipkartTable[[#This Row],[Rating]]&gt;3.5,"Average","Poor")))</f>
        <v>Good</v>
      </c>
    </row>
    <row r="1257" spans="1:13" x14ac:dyDescent="0.35">
      <c r="A1257" t="s">
        <v>633</v>
      </c>
      <c r="B1257" s="9" t="s">
        <v>645</v>
      </c>
      <c r="C1257" t="s">
        <v>649</v>
      </c>
      <c r="D1257" t="s">
        <v>637</v>
      </c>
      <c r="E1257" t="s">
        <v>338</v>
      </c>
      <c r="F1257">
        <v>4.7</v>
      </c>
      <c r="G1257">
        <v>150800</v>
      </c>
      <c r="H1257">
        <v>150800</v>
      </c>
      <c r="I1257">
        <f>FlipkartTable[[#This Row],[Original Price]]-FlipkartTable[[#This Row],[Selling Price]]</f>
        <v>0</v>
      </c>
      <c r="J1257" s="4">
        <f>(FlipkartTable[[#This Row],[Original Price]]-FlipkartTable[[#This Row],[Selling Price]])/FlipkartTable[[#This Row],[Original Price]]</f>
        <v>0</v>
      </c>
      <c r="K1257">
        <f>(FlipkartTable[[#This Row],[Rating]]/FlipkartTable[[#This Row],[Selling Price]])*1000</f>
        <v>3.1167108753315655E-2</v>
      </c>
      <c r="L1257" t="str">
        <f>IF(FlipkartTable[[#This Row],[Selling Price]]&lt;15000,"Budget",IF(FlipkartTable[[#This Row],[Selling Price]]&lt;50000,"Mid Range","Premium"))</f>
        <v>Premium</v>
      </c>
      <c r="M1257" t="str">
        <f>IF(FlipkartTable[[#This Row],[Rating]]&gt;4.5,"Excellent",IF(FlipkartTable[[#This Row],[Rating]]&gt;4,"Good",IF(FlipkartTable[[#This Row],[Rating]]&gt;3.5,"Average","Poor")))</f>
        <v>Excellent</v>
      </c>
    </row>
    <row r="1258" spans="1:13" x14ac:dyDescent="0.35">
      <c r="A1258" t="s">
        <v>633</v>
      </c>
      <c r="B1258" s="9" t="s">
        <v>660</v>
      </c>
      <c r="C1258" t="s">
        <v>116</v>
      </c>
      <c r="D1258" t="s">
        <v>134</v>
      </c>
      <c r="E1258" t="s">
        <v>124</v>
      </c>
      <c r="F1258">
        <v>4.4000000000000004</v>
      </c>
      <c r="G1258">
        <v>36499</v>
      </c>
      <c r="H1258">
        <v>36499</v>
      </c>
      <c r="I1258">
        <f>FlipkartTable[[#This Row],[Original Price]]-FlipkartTable[[#This Row],[Selling Price]]</f>
        <v>0</v>
      </c>
      <c r="J1258" s="4">
        <f>(FlipkartTable[[#This Row],[Original Price]]-FlipkartTable[[#This Row],[Selling Price]])/FlipkartTable[[#This Row],[Original Price]]</f>
        <v>0</v>
      </c>
      <c r="K1258">
        <f>(FlipkartTable[[#This Row],[Rating]]/FlipkartTable[[#This Row],[Selling Price]])*1000</f>
        <v>0.1205512479793967</v>
      </c>
      <c r="L1258" t="str">
        <f>IF(FlipkartTable[[#This Row],[Selling Price]]&lt;15000,"Budget",IF(FlipkartTable[[#This Row],[Selling Price]]&lt;50000,"Mid Range","Premium"))</f>
        <v>Mid Range</v>
      </c>
      <c r="M1258" t="str">
        <f>IF(FlipkartTable[[#This Row],[Rating]]&gt;4.5,"Excellent",IF(FlipkartTable[[#This Row],[Rating]]&gt;4,"Good",IF(FlipkartTable[[#This Row],[Rating]]&gt;3.5,"Average","Poor")))</f>
        <v>Good</v>
      </c>
    </row>
    <row r="1259" spans="1:13" x14ac:dyDescent="0.35">
      <c r="A1259" t="s">
        <v>633</v>
      </c>
      <c r="B1259" s="9" t="s">
        <v>654</v>
      </c>
      <c r="C1259" t="s">
        <v>114</v>
      </c>
      <c r="D1259" t="s">
        <v>35</v>
      </c>
      <c r="E1259" t="s">
        <v>124</v>
      </c>
      <c r="F1259">
        <v>4.4000000000000004</v>
      </c>
      <c r="G1259">
        <v>49999</v>
      </c>
      <c r="H1259">
        <v>49999</v>
      </c>
      <c r="I1259">
        <f>FlipkartTable[[#This Row],[Original Price]]-FlipkartTable[[#This Row],[Selling Price]]</f>
        <v>0</v>
      </c>
      <c r="J1259" s="4">
        <f>(FlipkartTable[[#This Row],[Original Price]]-FlipkartTable[[#This Row],[Selling Price]])/FlipkartTable[[#This Row],[Original Price]]</f>
        <v>0</v>
      </c>
      <c r="K1259">
        <f>(FlipkartTable[[#This Row],[Rating]]/FlipkartTable[[#This Row],[Selling Price]])*1000</f>
        <v>8.8001760035200716E-2</v>
      </c>
      <c r="L1259" t="str">
        <f>IF(FlipkartTable[[#This Row],[Selling Price]]&lt;15000,"Budget",IF(FlipkartTable[[#This Row],[Selling Price]]&lt;50000,"Mid Range","Premium"))</f>
        <v>Mid Range</v>
      </c>
      <c r="M1259" t="str">
        <f>IF(FlipkartTable[[#This Row],[Rating]]&gt;4.5,"Excellent",IF(FlipkartTable[[#This Row],[Rating]]&gt;4,"Good",IF(FlipkartTable[[#This Row],[Rating]]&gt;3.5,"Average","Poor")))</f>
        <v>Good</v>
      </c>
    </row>
    <row r="1260" spans="1:13" x14ac:dyDescent="0.35">
      <c r="A1260" t="s">
        <v>633</v>
      </c>
      <c r="B1260" s="9" t="s">
        <v>648</v>
      </c>
      <c r="C1260" t="s">
        <v>84</v>
      </c>
      <c r="D1260" t="s">
        <v>20</v>
      </c>
      <c r="E1260" t="s">
        <v>12</v>
      </c>
      <c r="F1260">
        <v>4.5999999999999996</v>
      </c>
      <c r="G1260">
        <v>49900</v>
      </c>
      <c r="H1260">
        <v>49900</v>
      </c>
      <c r="I1260">
        <f>FlipkartTable[[#This Row],[Original Price]]-FlipkartTable[[#This Row],[Selling Price]]</f>
        <v>0</v>
      </c>
      <c r="J1260" s="4">
        <f>(FlipkartTable[[#This Row],[Original Price]]-FlipkartTable[[#This Row],[Selling Price]])/FlipkartTable[[#This Row],[Original Price]]</f>
        <v>0</v>
      </c>
      <c r="K1260">
        <f>(FlipkartTable[[#This Row],[Rating]]/FlipkartTable[[#This Row],[Selling Price]])*1000</f>
        <v>9.2184368737474945E-2</v>
      </c>
      <c r="L1260" t="str">
        <f>IF(FlipkartTable[[#This Row],[Selling Price]]&lt;15000,"Budget",IF(FlipkartTable[[#This Row],[Selling Price]]&lt;50000,"Mid Range","Premium"))</f>
        <v>Mid Range</v>
      </c>
      <c r="M1260" t="str">
        <f>IF(FlipkartTable[[#This Row],[Rating]]&gt;4.5,"Excellent",IF(FlipkartTable[[#This Row],[Rating]]&gt;4,"Good",IF(FlipkartTable[[#This Row],[Rating]]&gt;3.5,"Average","Poor")))</f>
        <v>Excellent</v>
      </c>
    </row>
    <row r="1261" spans="1:13" x14ac:dyDescent="0.35">
      <c r="A1261" t="s">
        <v>633</v>
      </c>
      <c r="B1261" s="9" t="s">
        <v>658</v>
      </c>
      <c r="C1261" t="s">
        <v>116</v>
      </c>
      <c r="D1261" t="s">
        <v>35</v>
      </c>
      <c r="E1261" t="s">
        <v>124</v>
      </c>
      <c r="F1261">
        <v>4.5</v>
      </c>
      <c r="G1261">
        <v>41999</v>
      </c>
      <c r="H1261">
        <v>41999</v>
      </c>
      <c r="I1261">
        <f>FlipkartTable[[#This Row],[Original Price]]-FlipkartTable[[#This Row],[Selling Price]]</f>
        <v>0</v>
      </c>
      <c r="J1261" s="4">
        <f>(FlipkartTable[[#This Row],[Original Price]]-FlipkartTable[[#This Row],[Selling Price]])/FlipkartTable[[#This Row],[Original Price]]</f>
        <v>0</v>
      </c>
      <c r="K1261">
        <f>(FlipkartTable[[#This Row],[Rating]]/FlipkartTable[[#This Row],[Selling Price]])*1000</f>
        <v>0.10714540822400533</v>
      </c>
      <c r="L1261" t="str">
        <f>IF(FlipkartTable[[#This Row],[Selling Price]]&lt;15000,"Budget",IF(FlipkartTable[[#This Row],[Selling Price]]&lt;50000,"Mid Range","Premium"))</f>
        <v>Mid Range</v>
      </c>
      <c r="M1261" t="str">
        <f>IF(FlipkartTable[[#This Row],[Rating]]&gt;4.5,"Excellent",IF(FlipkartTable[[#This Row],[Rating]]&gt;4,"Good",IF(FlipkartTable[[#This Row],[Rating]]&gt;3.5,"Average","Poor")))</f>
        <v>Good</v>
      </c>
    </row>
    <row r="1262" spans="1:13" x14ac:dyDescent="0.35">
      <c r="A1262" t="s">
        <v>633</v>
      </c>
      <c r="B1262" s="9" t="s">
        <v>654</v>
      </c>
      <c r="C1262" t="s">
        <v>170</v>
      </c>
      <c r="D1262" t="s">
        <v>35</v>
      </c>
      <c r="E1262" t="s">
        <v>124</v>
      </c>
      <c r="F1262">
        <v>4.4000000000000004</v>
      </c>
      <c r="G1262">
        <v>49999</v>
      </c>
      <c r="H1262">
        <v>49999</v>
      </c>
      <c r="I1262">
        <f>FlipkartTable[[#This Row],[Original Price]]-FlipkartTable[[#This Row],[Selling Price]]</f>
        <v>0</v>
      </c>
      <c r="J1262" s="4">
        <f>(FlipkartTable[[#This Row],[Original Price]]-FlipkartTable[[#This Row],[Selling Price]])/FlipkartTable[[#This Row],[Original Price]]</f>
        <v>0</v>
      </c>
      <c r="K1262">
        <f>(FlipkartTable[[#This Row],[Rating]]/FlipkartTable[[#This Row],[Selling Price]])*1000</f>
        <v>8.8001760035200716E-2</v>
      </c>
      <c r="L1262" t="str">
        <f>IF(FlipkartTable[[#This Row],[Selling Price]]&lt;15000,"Budget",IF(FlipkartTable[[#This Row],[Selling Price]]&lt;50000,"Mid Range","Premium"))</f>
        <v>Mid Range</v>
      </c>
      <c r="M1262" t="str">
        <f>IF(FlipkartTable[[#This Row],[Rating]]&gt;4.5,"Excellent",IF(FlipkartTable[[#This Row],[Rating]]&gt;4,"Good",IF(FlipkartTable[[#This Row],[Rating]]&gt;3.5,"Average","Poor")))</f>
        <v>Good</v>
      </c>
    </row>
    <row r="1263" spans="1:13" x14ac:dyDescent="0.35">
      <c r="A1263" t="s">
        <v>633</v>
      </c>
      <c r="B1263" s="9" t="s">
        <v>660</v>
      </c>
      <c r="C1263" t="s">
        <v>141</v>
      </c>
      <c r="D1263" t="s">
        <v>134</v>
      </c>
      <c r="E1263" t="s">
        <v>15</v>
      </c>
      <c r="F1263">
        <v>4.4000000000000004</v>
      </c>
      <c r="G1263">
        <v>71500</v>
      </c>
      <c r="H1263">
        <v>71500</v>
      </c>
      <c r="I1263">
        <f>FlipkartTable[[#This Row],[Original Price]]-FlipkartTable[[#This Row],[Selling Price]]</f>
        <v>0</v>
      </c>
      <c r="J1263" s="4">
        <f>(FlipkartTable[[#This Row],[Original Price]]-FlipkartTable[[#This Row],[Selling Price]])/FlipkartTable[[#This Row],[Original Price]]</f>
        <v>0</v>
      </c>
      <c r="K1263">
        <f>(FlipkartTable[[#This Row],[Rating]]/FlipkartTable[[#This Row],[Selling Price]])*1000</f>
        <v>6.1538461538461549E-2</v>
      </c>
      <c r="L1263" t="str">
        <f>IF(FlipkartTable[[#This Row],[Selling Price]]&lt;15000,"Budget",IF(FlipkartTable[[#This Row],[Selling Price]]&lt;50000,"Mid Range","Premium"))</f>
        <v>Premium</v>
      </c>
      <c r="M1263" t="str">
        <f>IF(FlipkartTable[[#This Row],[Rating]]&gt;4.5,"Excellent",IF(FlipkartTable[[#This Row],[Rating]]&gt;4,"Good",IF(FlipkartTable[[#This Row],[Rating]]&gt;3.5,"Average","Poor")))</f>
        <v>Good</v>
      </c>
    </row>
    <row r="1264" spans="1:13" x14ac:dyDescent="0.35">
      <c r="A1264" t="s">
        <v>633</v>
      </c>
      <c r="B1264" s="9" t="s">
        <v>645</v>
      </c>
      <c r="C1264" t="s">
        <v>170</v>
      </c>
      <c r="D1264" t="s">
        <v>637</v>
      </c>
      <c r="E1264" t="s">
        <v>338</v>
      </c>
      <c r="F1264">
        <v>4.7</v>
      </c>
      <c r="G1264">
        <v>150800</v>
      </c>
      <c r="H1264">
        <v>150800</v>
      </c>
      <c r="I1264">
        <f>FlipkartTable[[#This Row],[Original Price]]-FlipkartTable[[#This Row],[Selling Price]]</f>
        <v>0</v>
      </c>
      <c r="J1264" s="4">
        <f>(FlipkartTable[[#This Row],[Original Price]]-FlipkartTable[[#This Row],[Selling Price]])/FlipkartTable[[#This Row],[Original Price]]</f>
        <v>0</v>
      </c>
      <c r="K1264">
        <f>(FlipkartTable[[#This Row],[Rating]]/FlipkartTable[[#This Row],[Selling Price]])*1000</f>
        <v>3.1167108753315655E-2</v>
      </c>
      <c r="L1264" t="str">
        <f>IF(FlipkartTable[[#This Row],[Selling Price]]&lt;15000,"Budget",IF(FlipkartTable[[#This Row],[Selling Price]]&lt;50000,"Mid Range","Premium"))</f>
        <v>Premium</v>
      </c>
      <c r="M1264" t="str">
        <f>IF(FlipkartTable[[#This Row],[Rating]]&gt;4.5,"Excellent",IF(FlipkartTable[[#This Row],[Rating]]&gt;4,"Good",IF(FlipkartTable[[#This Row],[Rating]]&gt;3.5,"Average","Poor")))</f>
        <v>Excellent</v>
      </c>
    </row>
    <row r="1265" spans="1:13" x14ac:dyDescent="0.35">
      <c r="A1265" t="s">
        <v>633</v>
      </c>
      <c r="B1265" s="9" t="s">
        <v>654</v>
      </c>
      <c r="C1265" t="s">
        <v>116</v>
      </c>
      <c r="D1265" t="s">
        <v>35</v>
      </c>
      <c r="E1265" t="s">
        <v>12</v>
      </c>
      <c r="F1265">
        <v>4.4000000000000004</v>
      </c>
      <c r="G1265">
        <v>59999</v>
      </c>
      <c r="H1265">
        <v>59999</v>
      </c>
      <c r="I1265">
        <f>FlipkartTable[[#This Row],[Original Price]]-FlipkartTable[[#This Row],[Selling Price]]</f>
        <v>0</v>
      </c>
      <c r="J1265" s="4">
        <f>(FlipkartTable[[#This Row],[Original Price]]-FlipkartTable[[#This Row],[Selling Price]])/FlipkartTable[[#This Row],[Original Price]]</f>
        <v>0</v>
      </c>
      <c r="K1265">
        <f>(FlipkartTable[[#This Row],[Rating]]/FlipkartTable[[#This Row],[Selling Price]])*1000</f>
        <v>7.3334555575926275E-2</v>
      </c>
      <c r="L1265" t="str">
        <f>IF(FlipkartTable[[#This Row],[Selling Price]]&lt;15000,"Budget",IF(FlipkartTable[[#This Row],[Selling Price]]&lt;50000,"Mid Range","Premium"))</f>
        <v>Premium</v>
      </c>
      <c r="M1265" t="str">
        <f>IF(FlipkartTable[[#This Row],[Rating]]&gt;4.5,"Excellent",IF(FlipkartTable[[#This Row],[Rating]]&gt;4,"Good",IF(FlipkartTable[[#This Row],[Rating]]&gt;3.5,"Average","Poor")))</f>
        <v>Good</v>
      </c>
    </row>
    <row r="1266" spans="1:13" x14ac:dyDescent="0.35">
      <c r="A1266" t="s">
        <v>633</v>
      </c>
      <c r="B1266" s="9" t="s">
        <v>654</v>
      </c>
      <c r="C1266" t="s">
        <v>649</v>
      </c>
      <c r="D1266" t="s">
        <v>35</v>
      </c>
      <c r="E1266" t="s">
        <v>12</v>
      </c>
      <c r="F1266">
        <v>4.4000000000000004</v>
      </c>
      <c r="G1266">
        <v>59999</v>
      </c>
      <c r="H1266">
        <v>59999</v>
      </c>
      <c r="I1266">
        <f>FlipkartTable[[#This Row],[Original Price]]-FlipkartTable[[#This Row],[Selling Price]]</f>
        <v>0</v>
      </c>
      <c r="J1266" s="4">
        <f>(FlipkartTable[[#This Row],[Original Price]]-FlipkartTable[[#This Row],[Selling Price]])/FlipkartTable[[#This Row],[Original Price]]</f>
        <v>0</v>
      </c>
      <c r="K1266">
        <f>(FlipkartTable[[#This Row],[Rating]]/FlipkartTable[[#This Row],[Selling Price]])*1000</f>
        <v>7.3334555575926275E-2</v>
      </c>
      <c r="L1266" t="str">
        <f>IF(FlipkartTable[[#This Row],[Selling Price]]&lt;15000,"Budget",IF(FlipkartTable[[#This Row],[Selling Price]]&lt;50000,"Mid Range","Premium"))</f>
        <v>Premium</v>
      </c>
      <c r="M1266" t="str">
        <f>IF(FlipkartTable[[#This Row],[Rating]]&gt;4.5,"Excellent",IF(FlipkartTable[[#This Row],[Rating]]&gt;4,"Good",IF(FlipkartTable[[#This Row],[Rating]]&gt;3.5,"Average","Poor")))</f>
        <v>Good</v>
      </c>
    </row>
    <row r="1267" spans="1:13" x14ac:dyDescent="0.35">
      <c r="A1267" t="s">
        <v>633</v>
      </c>
      <c r="B1267" s="9" t="s">
        <v>658</v>
      </c>
      <c r="C1267" t="s">
        <v>170</v>
      </c>
      <c r="D1267" t="s">
        <v>35</v>
      </c>
      <c r="E1267" t="s">
        <v>12</v>
      </c>
      <c r="F1267">
        <v>4.5</v>
      </c>
      <c r="G1267">
        <v>49999</v>
      </c>
      <c r="H1267">
        <v>49999</v>
      </c>
      <c r="I1267">
        <f>FlipkartTable[[#This Row],[Original Price]]-FlipkartTable[[#This Row],[Selling Price]]</f>
        <v>0</v>
      </c>
      <c r="J1267" s="4">
        <f>(FlipkartTable[[#This Row],[Original Price]]-FlipkartTable[[#This Row],[Selling Price]])/FlipkartTable[[#This Row],[Original Price]]</f>
        <v>0</v>
      </c>
      <c r="K1267">
        <f>(FlipkartTable[[#This Row],[Rating]]/FlipkartTable[[#This Row],[Selling Price]])*1000</f>
        <v>9.0001800036000723E-2</v>
      </c>
      <c r="L1267" t="str">
        <f>IF(FlipkartTable[[#This Row],[Selling Price]]&lt;15000,"Budget",IF(FlipkartTable[[#This Row],[Selling Price]]&lt;50000,"Mid Range","Premium"))</f>
        <v>Mid Range</v>
      </c>
      <c r="M1267" t="str">
        <f>IF(FlipkartTable[[#This Row],[Rating]]&gt;4.5,"Excellent",IF(FlipkartTable[[#This Row],[Rating]]&gt;4,"Good",IF(FlipkartTable[[#This Row],[Rating]]&gt;3.5,"Average","Poor")))</f>
        <v>Good</v>
      </c>
    </row>
    <row r="1268" spans="1:13" x14ac:dyDescent="0.35">
      <c r="A1268" t="s">
        <v>633</v>
      </c>
      <c r="B1268" s="9" t="s">
        <v>656</v>
      </c>
      <c r="C1268" t="s">
        <v>116</v>
      </c>
      <c r="D1268" t="s">
        <v>11</v>
      </c>
      <c r="E1268" t="s">
        <v>338</v>
      </c>
      <c r="F1268">
        <v>4.5999999999999996</v>
      </c>
      <c r="G1268">
        <v>144900</v>
      </c>
      <c r="H1268">
        <v>144900</v>
      </c>
      <c r="I1268">
        <f>FlipkartTable[[#This Row],[Original Price]]-FlipkartTable[[#This Row],[Selling Price]]</f>
        <v>0</v>
      </c>
      <c r="J1268" s="4">
        <f>(FlipkartTable[[#This Row],[Original Price]]-FlipkartTable[[#This Row],[Selling Price]])/FlipkartTable[[#This Row],[Original Price]]</f>
        <v>0</v>
      </c>
      <c r="K1268">
        <f>(FlipkartTable[[#This Row],[Rating]]/FlipkartTable[[#This Row],[Selling Price]])*1000</f>
        <v>3.1746031746031744E-2</v>
      </c>
      <c r="L1268" t="str">
        <f>IF(FlipkartTable[[#This Row],[Selling Price]]&lt;15000,"Budget",IF(FlipkartTable[[#This Row],[Selling Price]]&lt;50000,"Mid Range","Premium"))</f>
        <v>Premium</v>
      </c>
      <c r="M1268" t="str">
        <f>IF(FlipkartTable[[#This Row],[Rating]]&gt;4.5,"Excellent",IF(FlipkartTable[[#This Row],[Rating]]&gt;4,"Good",IF(FlipkartTable[[#This Row],[Rating]]&gt;3.5,"Average","Poor")))</f>
        <v>Excellent</v>
      </c>
    </row>
    <row r="1269" spans="1:13" x14ac:dyDescent="0.35">
      <c r="A1269" t="s">
        <v>633</v>
      </c>
      <c r="B1269" s="9" t="s">
        <v>661</v>
      </c>
      <c r="C1269" t="s">
        <v>170</v>
      </c>
      <c r="D1269" t="s">
        <v>20</v>
      </c>
      <c r="E1269" t="s">
        <v>12</v>
      </c>
      <c r="F1269">
        <v>4.5999999999999996</v>
      </c>
      <c r="G1269">
        <v>91900</v>
      </c>
      <c r="H1269">
        <v>91900</v>
      </c>
      <c r="I1269">
        <f>FlipkartTable[[#This Row],[Original Price]]-FlipkartTable[[#This Row],[Selling Price]]</f>
        <v>0</v>
      </c>
      <c r="J1269" s="4">
        <f>(FlipkartTable[[#This Row],[Original Price]]-FlipkartTable[[#This Row],[Selling Price]])/FlipkartTable[[#This Row],[Original Price]]</f>
        <v>0</v>
      </c>
      <c r="K1269">
        <f>(FlipkartTable[[#This Row],[Rating]]/FlipkartTable[[#This Row],[Selling Price]])*1000</f>
        <v>5.00544069640914E-2</v>
      </c>
      <c r="L1269" t="str">
        <f>IF(FlipkartTable[[#This Row],[Selling Price]]&lt;15000,"Budget",IF(FlipkartTable[[#This Row],[Selling Price]]&lt;50000,"Mid Range","Premium"))</f>
        <v>Premium</v>
      </c>
      <c r="M1269" t="str">
        <f>IF(FlipkartTable[[#This Row],[Rating]]&gt;4.5,"Excellent",IF(FlipkartTable[[#This Row],[Rating]]&gt;4,"Good",IF(FlipkartTable[[#This Row],[Rating]]&gt;3.5,"Average","Poor")))</f>
        <v>Excellent</v>
      </c>
    </row>
    <row r="1270" spans="1:13" x14ac:dyDescent="0.35">
      <c r="A1270" t="s">
        <v>633</v>
      </c>
      <c r="B1270" s="9" t="s">
        <v>657</v>
      </c>
      <c r="C1270" t="s">
        <v>170</v>
      </c>
      <c r="D1270" t="s">
        <v>20</v>
      </c>
      <c r="E1270" t="s">
        <v>15</v>
      </c>
      <c r="F1270">
        <v>4.5</v>
      </c>
      <c r="G1270">
        <v>42900</v>
      </c>
      <c r="H1270">
        <v>42900</v>
      </c>
      <c r="I1270">
        <f>FlipkartTable[[#This Row],[Original Price]]-FlipkartTable[[#This Row],[Selling Price]]</f>
        <v>0</v>
      </c>
      <c r="J1270" s="4">
        <f>(FlipkartTable[[#This Row],[Original Price]]-FlipkartTable[[#This Row],[Selling Price]])/FlipkartTable[[#This Row],[Original Price]]</f>
        <v>0</v>
      </c>
      <c r="K1270">
        <f>(FlipkartTable[[#This Row],[Rating]]/FlipkartTable[[#This Row],[Selling Price]])*1000</f>
        <v>0.1048951048951049</v>
      </c>
      <c r="L1270" t="str">
        <f>IF(FlipkartTable[[#This Row],[Selling Price]]&lt;15000,"Budget",IF(FlipkartTable[[#This Row],[Selling Price]]&lt;50000,"Mid Range","Premium"))</f>
        <v>Mid Range</v>
      </c>
      <c r="M1270" t="str">
        <f>IF(FlipkartTable[[#This Row],[Rating]]&gt;4.5,"Excellent",IF(FlipkartTable[[#This Row],[Rating]]&gt;4,"Good",IF(FlipkartTable[[#This Row],[Rating]]&gt;3.5,"Average","Poor")))</f>
        <v>Good</v>
      </c>
    </row>
    <row r="1271" spans="1:13" x14ac:dyDescent="0.35">
      <c r="A1271" t="s">
        <v>633</v>
      </c>
      <c r="B1271" s="9" t="s">
        <v>651</v>
      </c>
      <c r="C1271" t="s">
        <v>170</v>
      </c>
      <c r="D1271" t="s">
        <v>11</v>
      </c>
      <c r="E1271" t="s">
        <v>338</v>
      </c>
      <c r="F1271">
        <v>4.7</v>
      </c>
      <c r="G1271">
        <v>134900</v>
      </c>
      <c r="H1271">
        <v>134900</v>
      </c>
      <c r="I1271">
        <f>FlipkartTable[[#This Row],[Original Price]]-FlipkartTable[[#This Row],[Selling Price]]</f>
        <v>0</v>
      </c>
      <c r="J1271" s="4">
        <f>(FlipkartTable[[#This Row],[Original Price]]-FlipkartTable[[#This Row],[Selling Price]])/FlipkartTable[[#This Row],[Original Price]]</f>
        <v>0</v>
      </c>
      <c r="K1271">
        <f>(FlipkartTable[[#This Row],[Rating]]/FlipkartTable[[#This Row],[Selling Price]])*1000</f>
        <v>3.4840622683469241E-2</v>
      </c>
      <c r="L1271" t="str">
        <f>IF(FlipkartTable[[#This Row],[Selling Price]]&lt;15000,"Budget",IF(FlipkartTable[[#This Row],[Selling Price]]&lt;50000,"Mid Range","Premium"))</f>
        <v>Premium</v>
      </c>
      <c r="M1271" t="str">
        <f>IF(FlipkartTable[[#This Row],[Rating]]&gt;4.5,"Excellent",IF(FlipkartTable[[#This Row],[Rating]]&gt;4,"Good",IF(FlipkartTable[[#This Row],[Rating]]&gt;3.5,"Average","Poor")))</f>
        <v>Excellent</v>
      </c>
    </row>
    <row r="1272" spans="1:13" x14ac:dyDescent="0.35">
      <c r="A1272" t="s">
        <v>633</v>
      </c>
      <c r="B1272" s="9" t="s">
        <v>660</v>
      </c>
      <c r="C1272" t="s">
        <v>116</v>
      </c>
      <c r="D1272" t="s">
        <v>134</v>
      </c>
      <c r="E1272" t="s">
        <v>21</v>
      </c>
      <c r="F1272">
        <v>4.4000000000000004</v>
      </c>
      <c r="G1272">
        <v>30780</v>
      </c>
      <c r="H1272">
        <v>30780</v>
      </c>
      <c r="I1272">
        <f>FlipkartTable[[#This Row],[Original Price]]-FlipkartTable[[#This Row],[Selling Price]]</f>
        <v>0</v>
      </c>
      <c r="J1272" s="4">
        <f>(FlipkartTable[[#This Row],[Original Price]]-FlipkartTable[[#This Row],[Selling Price]])/FlipkartTable[[#This Row],[Original Price]]</f>
        <v>0</v>
      </c>
      <c r="K1272">
        <f>(FlipkartTable[[#This Row],[Rating]]/FlipkartTable[[#This Row],[Selling Price]])*1000</f>
        <v>0.14294996751137104</v>
      </c>
      <c r="L1272" t="str">
        <f>IF(FlipkartTable[[#This Row],[Selling Price]]&lt;15000,"Budget",IF(FlipkartTable[[#This Row],[Selling Price]]&lt;50000,"Mid Range","Premium"))</f>
        <v>Mid Range</v>
      </c>
      <c r="M1272" t="str">
        <f>IF(FlipkartTable[[#This Row],[Rating]]&gt;4.5,"Excellent",IF(FlipkartTable[[#This Row],[Rating]]&gt;4,"Good",IF(FlipkartTable[[#This Row],[Rating]]&gt;3.5,"Average","Poor")))</f>
        <v>Good</v>
      </c>
    </row>
    <row r="1273" spans="1:13" x14ac:dyDescent="0.35">
      <c r="A1273" t="s">
        <v>633</v>
      </c>
      <c r="B1273" s="9" t="s">
        <v>660</v>
      </c>
      <c r="C1273" t="s">
        <v>649</v>
      </c>
      <c r="D1273" t="s">
        <v>134</v>
      </c>
      <c r="E1273" t="s">
        <v>21</v>
      </c>
      <c r="F1273">
        <v>4.4000000000000004</v>
      </c>
      <c r="G1273">
        <v>30780</v>
      </c>
      <c r="H1273">
        <v>30780</v>
      </c>
      <c r="I1273">
        <f>FlipkartTable[[#This Row],[Original Price]]-FlipkartTable[[#This Row],[Selling Price]]</f>
        <v>0</v>
      </c>
      <c r="J1273" s="4">
        <f>(FlipkartTable[[#This Row],[Original Price]]-FlipkartTable[[#This Row],[Selling Price]])/FlipkartTable[[#This Row],[Original Price]]</f>
        <v>0</v>
      </c>
      <c r="K1273">
        <f>(FlipkartTable[[#This Row],[Rating]]/FlipkartTable[[#This Row],[Selling Price]])*1000</f>
        <v>0.14294996751137104</v>
      </c>
      <c r="L1273" t="str">
        <f>IF(FlipkartTable[[#This Row],[Selling Price]]&lt;15000,"Budget",IF(FlipkartTable[[#This Row],[Selling Price]]&lt;50000,"Mid Range","Premium"))</f>
        <v>Mid Range</v>
      </c>
      <c r="M1273" t="str">
        <f>IF(FlipkartTable[[#This Row],[Rating]]&gt;4.5,"Excellent",IF(FlipkartTable[[#This Row],[Rating]]&gt;4,"Good",IF(FlipkartTable[[#This Row],[Rating]]&gt;3.5,"Average","Poor")))</f>
        <v>Good</v>
      </c>
    </row>
    <row r="1274" spans="1:13" x14ac:dyDescent="0.35">
      <c r="A1274" t="s">
        <v>633</v>
      </c>
      <c r="B1274" s="9" t="s">
        <v>660</v>
      </c>
      <c r="C1274" t="s">
        <v>170</v>
      </c>
      <c r="D1274" t="s">
        <v>134</v>
      </c>
      <c r="E1274" t="s">
        <v>15</v>
      </c>
      <c r="F1274">
        <v>4.4000000000000004</v>
      </c>
      <c r="G1274">
        <v>71500</v>
      </c>
      <c r="H1274">
        <v>71500</v>
      </c>
      <c r="I1274">
        <f>FlipkartTable[[#This Row],[Original Price]]-FlipkartTable[[#This Row],[Selling Price]]</f>
        <v>0</v>
      </c>
      <c r="J1274" s="4">
        <f>(FlipkartTable[[#This Row],[Original Price]]-FlipkartTable[[#This Row],[Selling Price]])/FlipkartTable[[#This Row],[Original Price]]</f>
        <v>0</v>
      </c>
      <c r="K1274">
        <f>(FlipkartTable[[#This Row],[Rating]]/FlipkartTable[[#This Row],[Selling Price]])*1000</f>
        <v>6.1538461538461549E-2</v>
      </c>
      <c r="L1274" t="str">
        <f>IF(FlipkartTable[[#This Row],[Selling Price]]&lt;15000,"Budget",IF(FlipkartTable[[#This Row],[Selling Price]]&lt;50000,"Mid Range","Premium"))</f>
        <v>Premium</v>
      </c>
      <c r="M1274" t="str">
        <f>IF(FlipkartTable[[#This Row],[Rating]]&gt;4.5,"Excellent",IF(FlipkartTable[[#This Row],[Rating]]&gt;4,"Good",IF(FlipkartTable[[#This Row],[Rating]]&gt;3.5,"Average","Poor")))</f>
        <v>Good</v>
      </c>
    </row>
    <row r="1275" spans="1:13" x14ac:dyDescent="0.35">
      <c r="A1275" t="s">
        <v>633</v>
      </c>
      <c r="B1275" s="9" t="s">
        <v>654</v>
      </c>
      <c r="C1275" t="s">
        <v>114</v>
      </c>
      <c r="D1275" t="s">
        <v>35</v>
      </c>
      <c r="E1275" t="s">
        <v>12</v>
      </c>
      <c r="F1275">
        <v>4.4000000000000004</v>
      </c>
      <c r="G1275">
        <v>59999</v>
      </c>
      <c r="H1275">
        <v>59999</v>
      </c>
      <c r="I1275">
        <f>FlipkartTable[[#This Row],[Original Price]]-FlipkartTable[[#This Row],[Selling Price]]</f>
        <v>0</v>
      </c>
      <c r="J1275" s="4">
        <f>(FlipkartTable[[#This Row],[Original Price]]-FlipkartTable[[#This Row],[Selling Price]])/FlipkartTable[[#This Row],[Original Price]]</f>
        <v>0</v>
      </c>
      <c r="K1275">
        <f>(FlipkartTable[[#This Row],[Rating]]/FlipkartTable[[#This Row],[Selling Price]])*1000</f>
        <v>7.3334555575926275E-2</v>
      </c>
      <c r="L1275" t="str">
        <f>IF(FlipkartTable[[#This Row],[Selling Price]]&lt;15000,"Budget",IF(FlipkartTable[[#This Row],[Selling Price]]&lt;50000,"Mid Range","Premium"))</f>
        <v>Premium</v>
      </c>
      <c r="M1275" t="str">
        <f>IF(FlipkartTable[[#This Row],[Rating]]&gt;4.5,"Excellent",IF(FlipkartTable[[#This Row],[Rating]]&gt;4,"Good",IF(FlipkartTable[[#This Row],[Rating]]&gt;3.5,"Average","Poor")))</f>
        <v>Good</v>
      </c>
    </row>
    <row r="1276" spans="1:13" x14ac:dyDescent="0.35">
      <c r="A1276" t="s">
        <v>633</v>
      </c>
      <c r="B1276" s="9" t="s">
        <v>654</v>
      </c>
      <c r="C1276" t="s">
        <v>649</v>
      </c>
      <c r="D1276" t="s">
        <v>35</v>
      </c>
      <c r="E1276" t="s">
        <v>21</v>
      </c>
      <c r="F1276">
        <v>4.4000000000000004</v>
      </c>
      <c r="G1276">
        <v>34900</v>
      </c>
      <c r="H1276">
        <v>34900</v>
      </c>
      <c r="I1276">
        <f>FlipkartTable[[#This Row],[Original Price]]-FlipkartTable[[#This Row],[Selling Price]]</f>
        <v>0</v>
      </c>
      <c r="J1276" s="4">
        <f>(FlipkartTable[[#This Row],[Original Price]]-FlipkartTable[[#This Row],[Selling Price]])/FlipkartTable[[#This Row],[Original Price]]</f>
        <v>0</v>
      </c>
      <c r="K1276">
        <f>(FlipkartTable[[#This Row],[Rating]]/FlipkartTable[[#This Row],[Selling Price]])*1000</f>
        <v>0.12607449856733527</v>
      </c>
      <c r="L1276" t="str">
        <f>IF(FlipkartTable[[#This Row],[Selling Price]]&lt;15000,"Budget",IF(FlipkartTable[[#This Row],[Selling Price]]&lt;50000,"Mid Range","Premium"))</f>
        <v>Mid Range</v>
      </c>
      <c r="M1276" t="str">
        <f>IF(FlipkartTable[[#This Row],[Rating]]&gt;4.5,"Excellent",IF(FlipkartTable[[#This Row],[Rating]]&gt;4,"Good",IF(FlipkartTable[[#This Row],[Rating]]&gt;3.5,"Average","Poor")))</f>
        <v>Good</v>
      </c>
    </row>
    <row r="1277" spans="1:13" x14ac:dyDescent="0.35">
      <c r="A1277" t="s">
        <v>633</v>
      </c>
      <c r="B1277" s="9" t="s">
        <v>657</v>
      </c>
      <c r="C1277" t="s">
        <v>114</v>
      </c>
      <c r="D1277" t="s">
        <v>20</v>
      </c>
      <c r="E1277" t="s">
        <v>64</v>
      </c>
      <c r="F1277">
        <v>4.5</v>
      </c>
      <c r="G1277">
        <v>85400</v>
      </c>
      <c r="H1277">
        <v>85400</v>
      </c>
      <c r="I1277">
        <f>FlipkartTable[[#This Row],[Original Price]]-FlipkartTable[[#This Row],[Selling Price]]</f>
        <v>0</v>
      </c>
      <c r="J1277" s="4">
        <f>(FlipkartTable[[#This Row],[Original Price]]-FlipkartTable[[#This Row],[Selling Price]])/FlipkartTable[[#This Row],[Original Price]]</f>
        <v>0</v>
      </c>
      <c r="K1277">
        <f>(FlipkartTable[[#This Row],[Rating]]/FlipkartTable[[#This Row],[Selling Price]])*1000</f>
        <v>5.2693208430913352E-2</v>
      </c>
      <c r="L1277" t="str">
        <f>IF(FlipkartTable[[#This Row],[Selling Price]]&lt;15000,"Budget",IF(FlipkartTable[[#This Row],[Selling Price]]&lt;50000,"Mid Range","Premium"))</f>
        <v>Premium</v>
      </c>
      <c r="M1277" t="str">
        <f>IF(FlipkartTable[[#This Row],[Rating]]&gt;4.5,"Excellent",IF(FlipkartTable[[#This Row],[Rating]]&gt;4,"Good",IF(FlipkartTable[[#This Row],[Rating]]&gt;3.5,"Average","Poor")))</f>
        <v>Good</v>
      </c>
    </row>
    <row r="1278" spans="1:13" x14ac:dyDescent="0.35">
      <c r="A1278" t="s">
        <v>633</v>
      </c>
      <c r="B1278" s="9" t="s">
        <v>660</v>
      </c>
      <c r="C1278" t="s">
        <v>649</v>
      </c>
      <c r="D1278" t="s">
        <v>134</v>
      </c>
      <c r="E1278" t="s">
        <v>124</v>
      </c>
      <c r="F1278">
        <v>4.4000000000000004</v>
      </c>
      <c r="G1278">
        <v>52000</v>
      </c>
      <c r="H1278">
        <v>52000</v>
      </c>
      <c r="I1278">
        <f>FlipkartTable[[#This Row],[Original Price]]-FlipkartTable[[#This Row],[Selling Price]]</f>
        <v>0</v>
      </c>
      <c r="J1278" s="4">
        <f>(FlipkartTable[[#This Row],[Original Price]]-FlipkartTable[[#This Row],[Selling Price]])/FlipkartTable[[#This Row],[Original Price]]</f>
        <v>0</v>
      </c>
      <c r="K1278">
        <f>(FlipkartTable[[#This Row],[Rating]]/FlipkartTable[[#This Row],[Selling Price]])*1000</f>
        <v>8.4615384615384634E-2</v>
      </c>
      <c r="L1278" t="str">
        <f>IF(FlipkartTable[[#This Row],[Selling Price]]&lt;15000,"Budget",IF(FlipkartTable[[#This Row],[Selling Price]]&lt;50000,"Mid Range","Premium"))</f>
        <v>Premium</v>
      </c>
      <c r="M1278" t="str">
        <f>IF(FlipkartTable[[#This Row],[Rating]]&gt;4.5,"Excellent",IF(FlipkartTable[[#This Row],[Rating]]&gt;4,"Good",IF(FlipkartTable[[#This Row],[Rating]]&gt;3.5,"Average","Poor")))</f>
        <v>Good</v>
      </c>
    </row>
    <row r="1279" spans="1:13" x14ac:dyDescent="0.35">
      <c r="A1279" t="s">
        <v>633</v>
      </c>
      <c r="B1279" s="9" t="s">
        <v>657</v>
      </c>
      <c r="C1279" t="s">
        <v>114</v>
      </c>
      <c r="D1279" t="s">
        <v>20</v>
      </c>
      <c r="E1279" t="s">
        <v>21</v>
      </c>
      <c r="F1279">
        <v>4.5</v>
      </c>
      <c r="G1279">
        <v>36999</v>
      </c>
      <c r="H1279">
        <v>37900</v>
      </c>
      <c r="I1279">
        <f>FlipkartTable[[#This Row],[Original Price]]-FlipkartTable[[#This Row],[Selling Price]]</f>
        <v>901</v>
      </c>
      <c r="J1279" s="4">
        <f>(FlipkartTable[[#This Row],[Original Price]]-FlipkartTable[[#This Row],[Selling Price]])/FlipkartTable[[#This Row],[Original Price]]</f>
        <v>2.3773087071240106E-2</v>
      </c>
      <c r="K1279">
        <f>(FlipkartTable[[#This Row],[Rating]]/FlipkartTable[[#This Row],[Selling Price]])*1000</f>
        <v>0.12162490878131842</v>
      </c>
      <c r="L1279" t="str">
        <f>IF(FlipkartTable[[#This Row],[Selling Price]]&lt;15000,"Budget",IF(FlipkartTable[[#This Row],[Selling Price]]&lt;50000,"Mid Range","Premium"))</f>
        <v>Mid Range</v>
      </c>
      <c r="M1279" t="str">
        <f>IF(FlipkartTable[[#This Row],[Rating]]&gt;4.5,"Excellent",IF(FlipkartTable[[#This Row],[Rating]]&gt;4,"Good",IF(FlipkartTable[[#This Row],[Rating]]&gt;3.5,"Average","Poor")))</f>
        <v>Good</v>
      </c>
    </row>
    <row r="1280" spans="1:13" x14ac:dyDescent="0.35">
      <c r="A1280" t="s">
        <v>633</v>
      </c>
      <c r="B1280" s="9" t="s">
        <v>658</v>
      </c>
      <c r="C1280" t="s">
        <v>649</v>
      </c>
      <c r="D1280" t="s">
        <v>35</v>
      </c>
      <c r="E1280" t="s">
        <v>124</v>
      </c>
      <c r="F1280">
        <v>4.5</v>
      </c>
      <c r="G1280">
        <v>62000</v>
      </c>
      <c r="H1280">
        <v>62000</v>
      </c>
      <c r="I1280">
        <f>FlipkartTable[[#This Row],[Original Price]]-FlipkartTable[[#This Row],[Selling Price]]</f>
        <v>0</v>
      </c>
      <c r="J1280" s="4">
        <f>(FlipkartTable[[#This Row],[Original Price]]-FlipkartTable[[#This Row],[Selling Price]])/FlipkartTable[[#This Row],[Original Price]]</f>
        <v>0</v>
      </c>
      <c r="K1280">
        <f>(FlipkartTable[[#This Row],[Rating]]/FlipkartTable[[#This Row],[Selling Price]])*1000</f>
        <v>7.2580645161290314E-2</v>
      </c>
      <c r="L1280" t="str">
        <f>IF(FlipkartTable[[#This Row],[Selling Price]]&lt;15000,"Budget",IF(FlipkartTable[[#This Row],[Selling Price]]&lt;50000,"Mid Range","Premium"))</f>
        <v>Premium</v>
      </c>
      <c r="M1280" t="str">
        <f>IF(FlipkartTable[[#This Row],[Rating]]&gt;4.5,"Excellent",IF(FlipkartTable[[#This Row],[Rating]]&gt;4,"Good",IF(FlipkartTable[[#This Row],[Rating]]&gt;3.5,"Average","Poor")))</f>
        <v>Good</v>
      </c>
    </row>
    <row r="1281" spans="1:13" x14ac:dyDescent="0.35">
      <c r="A1281" t="s">
        <v>633</v>
      </c>
      <c r="B1281" s="9" t="s">
        <v>652</v>
      </c>
      <c r="C1281" t="s">
        <v>170</v>
      </c>
      <c r="D1281" t="s">
        <v>35</v>
      </c>
      <c r="E1281" t="s">
        <v>12</v>
      </c>
      <c r="F1281">
        <v>4.5</v>
      </c>
      <c r="G1281">
        <v>38999</v>
      </c>
      <c r="H1281">
        <v>39900</v>
      </c>
      <c r="I1281">
        <f>FlipkartTable[[#This Row],[Original Price]]-FlipkartTable[[#This Row],[Selling Price]]</f>
        <v>901</v>
      </c>
      <c r="J1281" s="4">
        <f>(FlipkartTable[[#This Row],[Original Price]]-FlipkartTable[[#This Row],[Selling Price]])/FlipkartTable[[#This Row],[Original Price]]</f>
        <v>2.2581453634085213E-2</v>
      </c>
      <c r="K1281">
        <f>(FlipkartTable[[#This Row],[Rating]]/FlipkartTable[[#This Row],[Selling Price]])*1000</f>
        <v>0.11538757404036</v>
      </c>
      <c r="L1281" t="str">
        <f>IF(FlipkartTable[[#This Row],[Selling Price]]&lt;15000,"Budget",IF(FlipkartTable[[#This Row],[Selling Price]]&lt;50000,"Mid Range","Premium"))</f>
        <v>Mid Range</v>
      </c>
      <c r="M1281" t="str">
        <f>IF(FlipkartTable[[#This Row],[Rating]]&gt;4.5,"Excellent",IF(FlipkartTable[[#This Row],[Rating]]&gt;4,"Good",IF(FlipkartTable[[#This Row],[Rating]]&gt;3.5,"Average","Poor")))</f>
        <v>Good</v>
      </c>
    </row>
    <row r="1282" spans="1:13" x14ac:dyDescent="0.35">
      <c r="A1282" t="s">
        <v>633</v>
      </c>
      <c r="B1282" s="9" t="s">
        <v>657</v>
      </c>
      <c r="C1282" t="s">
        <v>116</v>
      </c>
      <c r="D1282" t="s">
        <v>20</v>
      </c>
      <c r="E1282" t="s">
        <v>64</v>
      </c>
      <c r="F1282">
        <v>4.5</v>
      </c>
      <c r="G1282">
        <v>85400</v>
      </c>
      <c r="H1282">
        <v>85400</v>
      </c>
      <c r="I1282">
        <f>FlipkartTable[[#This Row],[Original Price]]-FlipkartTable[[#This Row],[Selling Price]]</f>
        <v>0</v>
      </c>
      <c r="J1282" s="4">
        <f>(FlipkartTable[[#This Row],[Original Price]]-FlipkartTable[[#This Row],[Selling Price]])/FlipkartTable[[#This Row],[Original Price]]</f>
        <v>0</v>
      </c>
      <c r="K1282">
        <f>(FlipkartTable[[#This Row],[Rating]]/FlipkartTable[[#This Row],[Selling Price]])*1000</f>
        <v>5.2693208430913352E-2</v>
      </c>
      <c r="L1282" t="str">
        <f>IF(FlipkartTable[[#This Row],[Selling Price]]&lt;15000,"Budget",IF(FlipkartTable[[#This Row],[Selling Price]]&lt;50000,"Mid Range","Premium"))</f>
        <v>Premium</v>
      </c>
      <c r="M1282" t="str">
        <f>IF(FlipkartTable[[#This Row],[Rating]]&gt;4.5,"Excellent",IF(FlipkartTable[[#This Row],[Rating]]&gt;4,"Good",IF(FlipkartTable[[#This Row],[Rating]]&gt;3.5,"Average","Poor")))</f>
        <v>Good</v>
      </c>
    </row>
    <row r="1283" spans="1:13" x14ac:dyDescent="0.35">
      <c r="A1283" t="s">
        <v>633</v>
      </c>
      <c r="B1283" s="9" t="s">
        <v>656</v>
      </c>
      <c r="C1283" t="s">
        <v>116</v>
      </c>
      <c r="D1283" t="s">
        <v>11</v>
      </c>
      <c r="E1283" t="s">
        <v>12</v>
      </c>
      <c r="F1283">
        <v>4.5999999999999996</v>
      </c>
      <c r="G1283">
        <v>73999</v>
      </c>
      <c r="H1283">
        <v>109900</v>
      </c>
      <c r="I1283">
        <f>FlipkartTable[[#This Row],[Original Price]]-FlipkartTable[[#This Row],[Selling Price]]</f>
        <v>35901</v>
      </c>
      <c r="J1283" s="4">
        <f>(FlipkartTable[[#This Row],[Original Price]]-FlipkartTable[[#This Row],[Selling Price]])/FlipkartTable[[#This Row],[Original Price]]</f>
        <v>0.32666969972702459</v>
      </c>
      <c r="K1283">
        <f>(FlipkartTable[[#This Row],[Rating]]/FlipkartTable[[#This Row],[Selling Price]])*1000</f>
        <v>6.2163002202732472E-2</v>
      </c>
      <c r="L1283" t="str">
        <f>IF(FlipkartTable[[#This Row],[Selling Price]]&lt;15000,"Budget",IF(FlipkartTable[[#This Row],[Selling Price]]&lt;50000,"Mid Range","Premium"))</f>
        <v>Premium</v>
      </c>
      <c r="M1283" t="str">
        <f>IF(FlipkartTable[[#This Row],[Rating]]&gt;4.5,"Excellent",IF(FlipkartTable[[#This Row],[Rating]]&gt;4,"Good",IF(FlipkartTable[[#This Row],[Rating]]&gt;3.5,"Average","Poor")))</f>
        <v>Excellent</v>
      </c>
    </row>
    <row r="1284" spans="1:13" x14ac:dyDescent="0.35">
      <c r="A1284" t="s">
        <v>633</v>
      </c>
      <c r="B1284" s="9" t="s">
        <v>656</v>
      </c>
      <c r="C1284" t="s">
        <v>170</v>
      </c>
      <c r="D1284" t="s">
        <v>11</v>
      </c>
      <c r="E1284" t="s">
        <v>12</v>
      </c>
      <c r="F1284">
        <v>4.5999999999999996</v>
      </c>
      <c r="G1284">
        <v>73999</v>
      </c>
      <c r="H1284">
        <v>109900</v>
      </c>
      <c r="I1284">
        <f>FlipkartTable[[#This Row],[Original Price]]-FlipkartTable[[#This Row],[Selling Price]]</f>
        <v>35901</v>
      </c>
      <c r="J1284" s="4">
        <f>(FlipkartTable[[#This Row],[Original Price]]-FlipkartTable[[#This Row],[Selling Price]])/FlipkartTable[[#This Row],[Original Price]]</f>
        <v>0.32666969972702459</v>
      </c>
      <c r="K1284">
        <f>(FlipkartTable[[#This Row],[Rating]]/FlipkartTable[[#This Row],[Selling Price]])*1000</f>
        <v>6.2163002202732472E-2</v>
      </c>
      <c r="L1284" t="str">
        <f>IF(FlipkartTable[[#This Row],[Selling Price]]&lt;15000,"Budget",IF(FlipkartTable[[#This Row],[Selling Price]]&lt;50000,"Mid Range","Premium"))</f>
        <v>Premium</v>
      </c>
      <c r="M1284" t="str">
        <f>IF(FlipkartTable[[#This Row],[Rating]]&gt;4.5,"Excellent",IF(FlipkartTable[[#This Row],[Rating]]&gt;4,"Good",IF(FlipkartTable[[#This Row],[Rating]]&gt;3.5,"Average","Poor")))</f>
        <v>Excellent</v>
      </c>
    </row>
    <row r="1285" spans="1:13" x14ac:dyDescent="0.35">
      <c r="A1285" t="s">
        <v>633</v>
      </c>
      <c r="B1285" s="9" t="s">
        <v>654</v>
      </c>
      <c r="C1285" t="s">
        <v>116</v>
      </c>
      <c r="D1285" t="s">
        <v>35</v>
      </c>
      <c r="E1285" t="s">
        <v>21</v>
      </c>
      <c r="F1285">
        <v>4.4000000000000004</v>
      </c>
      <c r="G1285">
        <v>34900</v>
      </c>
      <c r="H1285">
        <v>34900</v>
      </c>
      <c r="I1285">
        <f>FlipkartTable[[#This Row],[Original Price]]-FlipkartTable[[#This Row],[Selling Price]]</f>
        <v>0</v>
      </c>
      <c r="J1285" s="4">
        <f>(FlipkartTable[[#This Row],[Original Price]]-FlipkartTable[[#This Row],[Selling Price]])/FlipkartTable[[#This Row],[Original Price]]</f>
        <v>0</v>
      </c>
      <c r="K1285">
        <f>(FlipkartTable[[#This Row],[Rating]]/FlipkartTable[[#This Row],[Selling Price]])*1000</f>
        <v>0.12607449856733527</v>
      </c>
      <c r="L1285" t="str">
        <f>IF(FlipkartTable[[#This Row],[Selling Price]]&lt;15000,"Budget",IF(FlipkartTable[[#This Row],[Selling Price]]&lt;50000,"Mid Range","Premium"))</f>
        <v>Mid Range</v>
      </c>
      <c r="M1285" t="str">
        <f>IF(FlipkartTable[[#This Row],[Rating]]&gt;4.5,"Excellent",IF(FlipkartTable[[#This Row],[Rating]]&gt;4,"Good",IF(FlipkartTable[[#This Row],[Rating]]&gt;3.5,"Average","Poor")))</f>
        <v>Good</v>
      </c>
    </row>
    <row r="1286" spans="1:13" x14ac:dyDescent="0.35">
      <c r="A1286" t="s">
        <v>633</v>
      </c>
      <c r="B1286" s="9" t="s">
        <v>655</v>
      </c>
      <c r="C1286" t="s">
        <v>170</v>
      </c>
      <c r="D1286" t="s">
        <v>134</v>
      </c>
      <c r="E1286" t="s">
        <v>12</v>
      </c>
      <c r="F1286">
        <v>4.5</v>
      </c>
      <c r="G1286">
        <v>48999</v>
      </c>
      <c r="H1286">
        <v>48999</v>
      </c>
      <c r="I1286">
        <f>FlipkartTable[[#This Row],[Original Price]]-FlipkartTable[[#This Row],[Selling Price]]</f>
        <v>0</v>
      </c>
      <c r="J1286" s="4">
        <f>(FlipkartTable[[#This Row],[Original Price]]-FlipkartTable[[#This Row],[Selling Price]])/FlipkartTable[[#This Row],[Original Price]]</f>
        <v>0</v>
      </c>
      <c r="K1286">
        <f>(FlipkartTable[[#This Row],[Rating]]/FlipkartTable[[#This Row],[Selling Price]])*1000</f>
        <v>9.1838608951203091E-2</v>
      </c>
      <c r="L1286" t="str">
        <f>IF(FlipkartTable[[#This Row],[Selling Price]]&lt;15000,"Budget",IF(FlipkartTable[[#This Row],[Selling Price]]&lt;50000,"Mid Range","Premium"))</f>
        <v>Mid Range</v>
      </c>
      <c r="M1286" t="str">
        <f>IF(FlipkartTable[[#This Row],[Rating]]&gt;4.5,"Excellent",IF(FlipkartTable[[#This Row],[Rating]]&gt;4,"Good",IF(FlipkartTable[[#This Row],[Rating]]&gt;3.5,"Average","Poor")))</f>
        <v>Good</v>
      </c>
    </row>
    <row r="1287" spans="1:13" x14ac:dyDescent="0.35">
      <c r="A1287" t="s">
        <v>633</v>
      </c>
      <c r="B1287" s="9" t="s">
        <v>651</v>
      </c>
      <c r="C1287" t="s">
        <v>116</v>
      </c>
      <c r="D1287" t="s">
        <v>11</v>
      </c>
      <c r="E1287" t="s">
        <v>64</v>
      </c>
      <c r="F1287">
        <v>4.7</v>
      </c>
      <c r="G1287">
        <v>76999</v>
      </c>
      <c r="H1287">
        <v>103900</v>
      </c>
      <c r="I1287">
        <f>FlipkartTable[[#This Row],[Original Price]]-FlipkartTable[[#This Row],[Selling Price]]</f>
        <v>26901</v>
      </c>
      <c r="J1287" s="4">
        <f>(FlipkartTable[[#This Row],[Original Price]]-FlipkartTable[[#This Row],[Selling Price]])/FlipkartTable[[#This Row],[Original Price]]</f>
        <v>0.2589124157844081</v>
      </c>
      <c r="K1287">
        <f>(FlipkartTable[[#This Row],[Rating]]/FlipkartTable[[#This Row],[Selling Price]])*1000</f>
        <v>6.1039753763035887E-2</v>
      </c>
      <c r="L1287" t="str">
        <f>IF(FlipkartTable[[#This Row],[Selling Price]]&lt;15000,"Budget",IF(FlipkartTable[[#This Row],[Selling Price]]&lt;50000,"Mid Range","Premium"))</f>
        <v>Premium</v>
      </c>
      <c r="M1287" t="str">
        <f>IF(FlipkartTable[[#This Row],[Rating]]&gt;4.5,"Excellent",IF(FlipkartTable[[#This Row],[Rating]]&gt;4,"Good",IF(FlipkartTable[[#This Row],[Rating]]&gt;3.5,"Average","Poor")))</f>
        <v>Excellent</v>
      </c>
    </row>
    <row r="1288" spans="1:13" x14ac:dyDescent="0.35">
      <c r="A1288" t="s">
        <v>633</v>
      </c>
      <c r="B1288" s="9" t="s">
        <v>655</v>
      </c>
      <c r="C1288" t="s">
        <v>649</v>
      </c>
      <c r="D1288" t="s">
        <v>134</v>
      </c>
      <c r="E1288" t="s">
        <v>12</v>
      </c>
      <c r="F1288">
        <v>4.5</v>
      </c>
      <c r="G1288">
        <v>48999</v>
      </c>
      <c r="H1288">
        <v>48999</v>
      </c>
      <c r="I1288">
        <f>FlipkartTable[[#This Row],[Original Price]]-FlipkartTable[[#This Row],[Selling Price]]</f>
        <v>0</v>
      </c>
      <c r="J1288" s="4">
        <f>(FlipkartTable[[#This Row],[Original Price]]-FlipkartTable[[#This Row],[Selling Price]])/FlipkartTable[[#This Row],[Original Price]]</f>
        <v>0</v>
      </c>
      <c r="K1288">
        <f>(FlipkartTable[[#This Row],[Rating]]/FlipkartTable[[#This Row],[Selling Price]])*1000</f>
        <v>9.1838608951203091E-2</v>
      </c>
      <c r="L1288" t="str">
        <f>IF(FlipkartTable[[#This Row],[Selling Price]]&lt;15000,"Budget",IF(FlipkartTable[[#This Row],[Selling Price]]&lt;50000,"Mid Range","Premium"))</f>
        <v>Mid Range</v>
      </c>
      <c r="M1288" t="str">
        <f>IF(FlipkartTable[[#This Row],[Rating]]&gt;4.5,"Excellent",IF(FlipkartTable[[#This Row],[Rating]]&gt;4,"Good",IF(FlipkartTable[[#This Row],[Rating]]&gt;3.5,"Average","Poor")))</f>
        <v>Good</v>
      </c>
    </row>
    <row r="1289" spans="1:13" x14ac:dyDescent="0.35">
      <c r="A1289" t="s">
        <v>633</v>
      </c>
      <c r="B1289" s="9" t="s">
        <v>651</v>
      </c>
      <c r="C1289" t="s">
        <v>170</v>
      </c>
      <c r="D1289" t="s">
        <v>11</v>
      </c>
      <c r="E1289" t="s">
        <v>12</v>
      </c>
      <c r="F1289">
        <v>4.7</v>
      </c>
      <c r="G1289">
        <v>62999</v>
      </c>
      <c r="H1289">
        <v>89900</v>
      </c>
      <c r="I1289">
        <f>FlipkartTable[[#This Row],[Original Price]]-FlipkartTable[[#This Row],[Selling Price]]</f>
        <v>26901</v>
      </c>
      <c r="J1289" s="4">
        <f>(FlipkartTable[[#This Row],[Original Price]]-FlipkartTable[[#This Row],[Selling Price]])/FlipkartTable[[#This Row],[Original Price]]</f>
        <v>0.29923248053392659</v>
      </c>
      <c r="K1289">
        <f>(FlipkartTable[[#This Row],[Rating]]/FlipkartTable[[#This Row],[Selling Price]])*1000</f>
        <v>7.4604358799346016E-2</v>
      </c>
      <c r="L1289" t="str">
        <f>IF(FlipkartTable[[#This Row],[Selling Price]]&lt;15000,"Budget",IF(FlipkartTable[[#This Row],[Selling Price]]&lt;50000,"Mid Range","Premium"))</f>
        <v>Premium</v>
      </c>
      <c r="M1289" t="str">
        <f>IF(FlipkartTable[[#This Row],[Rating]]&gt;4.5,"Excellent",IF(FlipkartTable[[#This Row],[Rating]]&gt;4,"Good",IF(FlipkartTable[[#This Row],[Rating]]&gt;3.5,"Average","Poor")))</f>
        <v>Excellent</v>
      </c>
    </row>
    <row r="1290" spans="1:13" x14ac:dyDescent="0.35">
      <c r="A1290" t="s">
        <v>633</v>
      </c>
      <c r="B1290" s="9" t="s">
        <v>657</v>
      </c>
      <c r="C1290" t="s">
        <v>179</v>
      </c>
      <c r="D1290" t="s">
        <v>20</v>
      </c>
      <c r="E1290" t="s">
        <v>15</v>
      </c>
      <c r="F1290">
        <v>4.5</v>
      </c>
      <c r="G1290">
        <v>42900</v>
      </c>
      <c r="H1290">
        <v>42900</v>
      </c>
      <c r="I1290">
        <f>FlipkartTable[[#This Row],[Original Price]]-FlipkartTable[[#This Row],[Selling Price]]</f>
        <v>0</v>
      </c>
      <c r="J1290" s="4">
        <f>(FlipkartTable[[#This Row],[Original Price]]-FlipkartTable[[#This Row],[Selling Price]])/FlipkartTable[[#This Row],[Original Price]]</f>
        <v>0</v>
      </c>
      <c r="K1290">
        <f>(FlipkartTable[[#This Row],[Rating]]/FlipkartTable[[#This Row],[Selling Price]])*1000</f>
        <v>0.1048951048951049</v>
      </c>
      <c r="L1290" t="str">
        <f>IF(FlipkartTable[[#This Row],[Selling Price]]&lt;15000,"Budget",IF(FlipkartTable[[#This Row],[Selling Price]]&lt;50000,"Mid Range","Premium"))</f>
        <v>Mid Range</v>
      </c>
      <c r="M1290" t="str">
        <f>IF(FlipkartTable[[#This Row],[Rating]]&gt;4.5,"Excellent",IF(FlipkartTable[[#This Row],[Rating]]&gt;4,"Good",IF(FlipkartTable[[#This Row],[Rating]]&gt;3.5,"Average","Poor")))</f>
        <v>Good</v>
      </c>
    </row>
    <row r="1291" spans="1:13" x14ac:dyDescent="0.35">
      <c r="A1291" t="s">
        <v>633</v>
      </c>
      <c r="B1291" s="9" t="s">
        <v>657</v>
      </c>
      <c r="C1291" t="s">
        <v>116</v>
      </c>
      <c r="D1291" t="s">
        <v>20</v>
      </c>
      <c r="E1291" t="s">
        <v>15</v>
      </c>
      <c r="F1291">
        <v>4.5</v>
      </c>
      <c r="G1291">
        <v>42900</v>
      </c>
      <c r="H1291">
        <v>42900</v>
      </c>
      <c r="I1291">
        <f>FlipkartTable[[#This Row],[Original Price]]-FlipkartTable[[#This Row],[Selling Price]]</f>
        <v>0</v>
      </c>
      <c r="J1291" s="4">
        <f>(FlipkartTable[[#This Row],[Original Price]]-FlipkartTable[[#This Row],[Selling Price]])/FlipkartTable[[#This Row],[Original Price]]</f>
        <v>0</v>
      </c>
      <c r="K1291">
        <f>(FlipkartTable[[#This Row],[Rating]]/FlipkartTable[[#This Row],[Selling Price]])*1000</f>
        <v>0.1048951048951049</v>
      </c>
      <c r="L1291" t="str">
        <f>IF(FlipkartTable[[#This Row],[Selling Price]]&lt;15000,"Budget",IF(FlipkartTable[[#This Row],[Selling Price]]&lt;50000,"Mid Range","Premium"))</f>
        <v>Mid Range</v>
      </c>
      <c r="M1291" t="str">
        <f>IF(FlipkartTable[[#This Row],[Rating]]&gt;4.5,"Excellent",IF(FlipkartTable[[#This Row],[Rating]]&gt;4,"Good",IF(FlipkartTable[[#This Row],[Rating]]&gt;3.5,"Average","Poor")))</f>
        <v>Good</v>
      </c>
    </row>
    <row r="1292" spans="1:13" x14ac:dyDescent="0.35">
      <c r="A1292" t="s">
        <v>633</v>
      </c>
      <c r="B1292" s="9" t="s">
        <v>657</v>
      </c>
      <c r="C1292" t="s">
        <v>19</v>
      </c>
      <c r="D1292" t="s">
        <v>20</v>
      </c>
      <c r="E1292" t="s">
        <v>64</v>
      </c>
      <c r="F1292">
        <v>4.5</v>
      </c>
      <c r="G1292">
        <v>85400</v>
      </c>
      <c r="H1292">
        <v>85400</v>
      </c>
      <c r="I1292">
        <f>FlipkartTable[[#This Row],[Original Price]]-FlipkartTable[[#This Row],[Selling Price]]</f>
        <v>0</v>
      </c>
      <c r="J1292" s="4">
        <f>(FlipkartTable[[#This Row],[Original Price]]-FlipkartTable[[#This Row],[Selling Price]])/FlipkartTable[[#This Row],[Original Price]]</f>
        <v>0</v>
      </c>
      <c r="K1292">
        <f>(FlipkartTable[[#This Row],[Rating]]/FlipkartTable[[#This Row],[Selling Price]])*1000</f>
        <v>5.2693208430913352E-2</v>
      </c>
      <c r="L1292" t="str">
        <f>IF(FlipkartTable[[#This Row],[Selling Price]]&lt;15000,"Budget",IF(FlipkartTable[[#This Row],[Selling Price]]&lt;50000,"Mid Range","Premium"))</f>
        <v>Premium</v>
      </c>
      <c r="M1292" t="str">
        <f>IF(FlipkartTable[[#This Row],[Rating]]&gt;4.5,"Excellent",IF(FlipkartTable[[#This Row],[Rating]]&gt;4,"Good",IF(FlipkartTable[[#This Row],[Rating]]&gt;3.5,"Average","Poor")))</f>
        <v>Good</v>
      </c>
    </row>
    <row r="1293" spans="1:13" x14ac:dyDescent="0.35">
      <c r="A1293" t="s">
        <v>633</v>
      </c>
      <c r="B1293" s="9" t="s">
        <v>659</v>
      </c>
      <c r="C1293" t="s">
        <v>170</v>
      </c>
      <c r="D1293" t="s">
        <v>35</v>
      </c>
      <c r="E1293" t="s">
        <v>15</v>
      </c>
      <c r="F1293">
        <v>4.5</v>
      </c>
      <c r="G1293">
        <v>34900</v>
      </c>
      <c r="H1293">
        <v>34900</v>
      </c>
      <c r="I1293">
        <f>FlipkartTable[[#This Row],[Original Price]]-FlipkartTable[[#This Row],[Selling Price]]</f>
        <v>0</v>
      </c>
      <c r="J1293" s="4">
        <f>(FlipkartTable[[#This Row],[Original Price]]-FlipkartTable[[#This Row],[Selling Price]])/FlipkartTable[[#This Row],[Original Price]]</f>
        <v>0</v>
      </c>
      <c r="K1293">
        <f>(FlipkartTable[[#This Row],[Rating]]/FlipkartTable[[#This Row],[Selling Price]])*1000</f>
        <v>0.12893982808022922</v>
      </c>
      <c r="L1293" t="str">
        <f>IF(FlipkartTable[[#This Row],[Selling Price]]&lt;15000,"Budget",IF(FlipkartTable[[#This Row],[Selling Price]]&lt;50000,"Mid Range","Premium"))</f>
        <v>Mid Range</v>
      </c>
      <c r="M1293" t="str">
        <f>IF(FlipkartTable[[#This Row],[Rating]]&gt;4.5,"Excellent",IF(FlipkartTable[[#This Row],[Rating]]&gt;4,"Good",IF(FlipkartTable[[#This Row],[Rating]]&gt;3.5,"Average","Poor")))</f>
        <v>Good</v>
      </c>
    </row>
    <row r="1294" spans="1:13" x14ac:dyDescent="0.35">
      <c r="A1294" t="s">
        <v>633</v>
      </c>
      <c r="B1294" s="9" t="s">
        <v>658</v>
      </c>
      <c r="C1294" t="s">
        <v>170</v>
      </c>
      <c r="D1294" t="s">
        <v>35</v>
      </c>
      <c r="E1294" t="s">
        <v>15</v>
      </c>
      <c r="F1294">
        <v>4.5</v>
      </c>
      <c r="G1294">
        <v>55999</v>
      </c>
      <c r="H1294">
        <v>55999</v>
      </c>
      <c r="I1294">
        <f>FlipkartTable[[#This Row],[Original Price]]-FlipkartTable[[#This Row],[Selling Price]]</f>
        <v>0</v>
      </c>
      <c r="J1294" s="4">
        <f>(FlipkartTable[[#This Row],[Original Price]]-FlipkartTable[[#This Row],[Selling Price]])/FlipkartTable[[#This Row],[Original Price]]</f>
        <v>0</v>
      </c>
      <c r="K1294">
        <f>(FlipkartTable[[#This Row],[Rating]]/FlipkartTable[[#This Row],[Selling Price]])*1000</f>
        <v>8.0358577831747005E-2</v>
      </c>
      <c r="L1294" t="str">
        <f>IF(FlipkartTable[[#This Row],[Selling Price]]&lt;15000,"Budget",IF(FlipkartTable[[#This Row],[Selling Price]]&lt;50000,"Mid Range","Premium"))</f>
        <v>Premium</v>
      </c>
      <c r="M1294" t="str">
        <f>IF(FlipkartTable[[#This Row],[Rating]]&gt;4.5,"Excellent",IF(FlipkartTable[[#This Row],[Rating]]&gt;4,"Good",IF(FlipkartTable[[#This Row],[Rating]]&gt;3.5,"Average","Poor")))</f>
        <v>Good</v>
      </c>
    </row>
    <row r="1295" spans="1:13" x14ac:dyDescent="0.35">
      <c r="A1295" t="s">
        <v>633</v>
      </c>
      <c r="B1295" s="9" t="s">
        <v>654</v>
      </c>
      <c r="C1295" t="s">
        <v>170</v>
      </c>
      <c r="D1295" t="s">
        <v>35</v>
      </c>
      <c r="E1295" t="s">
        <v>21</v>
      </c>
      <c r="F1295">
        <v>4.4000000000000004</v>
      </c>
      <c r="G1295">
        <v>34900</v>
      </c>
      <c r="H1295">
        <v>34900</v>
      </c>
      <c r="I1295">
        <f>FlipkartTable[[#This Row],[Original Price]]-FlipkartTable[[#This Row],[Selling Price]]</f>
        <v>0</v>
      </c>
      <c r="J1295" s="4">
        <f>(FlipkartTable[[#This Row],[Original Price]]-FlipkartTable[[#This Row],[Selling Price]])/FlipkartTable[[#This Row],[Original Price]]</f>
        <v>0</v>
      </c>
      <c r="K1295">
        <f>(FlipkartTable[[#This Row],[Rating]]/FlipkartTable[[#This Row],[Selling Price]])*1000</f>
        <v>0.12607449856733527</v>
      </c>
      <c r="L1295" t="str">
        <f>IF(FlipkartTable[[#This Row],[Selling Price]]&lt;15000,"Budget",IF(FlipkartTable[[#This Row],[Selling Price]]&lt;50000,"Mid Range","Premium"))</f>
        <v>Mid Range</v>
      </c>
      <c r="M1295" t="str">
        <f>IF(FlipkartTable[[#This Row],[Rating]]&gt;4.5,"Excellent",IF(FlipkartTable[[#This Row],[Rating]]&gt;4,"Good",IF(FlipkartTable[[#This Row],[Rating]]&gt;3.5,"Average","Poor")))</f>
        <v>Good</v>
      </c>
    </row>
    <row r="1296" spans="1:13" x14ac:dyDescent="0.35">
      <c r="A1296" t="s">
        <v>633</v>
      </c>
      <c r="B1296" s="9" t="s">
        <v>650</v>
      </c>
      <c r="C1296" t="s">
        <v>116</v>
      </c>
      <c r="D1296" t="s">
        <v>637</v>
      </c>
      <c r="E1296" t="s">
        <v>64</v>
      </c>
      <c r="F1296">
        <v>4.5999999999999996</v>
      </c>
      <c r="G1296">
        <v>121300</v>
      </c>
      <c r="H1296">
        <v>121300</v>
      </c>
      <c r="I1296">
        <f>FlipkartTable[[#This Row],[Original Price]]-FlipkartTable[[#This Row],[Selling Price]]</f>
        <v>0</v>
      </c>
      <c r="J1296" s="4">
        <f>(FlipkartTable[[#This Row],[Original Price]]-FlipkartTable[[#This Row],[Selling Price]])/FlipkartTable[[#This Row],[Original Price]]</f>
        <v>0</v>
      </c>
      <c r="K1296">
        <f>(FlipkartTable[[#This Row],[Rating]]/FlipkartTable[[#This Row],[Selling Price]])*1000</f>
        <v>3.7922506183017311E-2</v>
      </c>
      <c r="L1296" t="str">
        <f>IF(FlipkartTable[[#This Row],[Selling Price]]&lt;15000,"Budget",IF(FlipkartTable[[#This Row],[Selling Price]]&lt;50000,"Mid Range","Premium"))</f>
        <v>Premium</v>
      </c>
      <c r="M1296" t="str">
        <f>IF(FlipkartTable[[#This Row],[Rating]]&gt;4.5,"Excellent",IF(FlipkartTable[[#This Row],[Rating]]&gt;4,"Good",IF(FlipkartTable[[#This Row],[Rating]]&gt;3.5,"Average","Poor")))</f>
        <v>Excellent</v>
      </c>
    </row>
    <row r="1297" spans="1:13" x14ac:dyDescent="0.35">
      <c r="A1297" t="s">
        <v>633</v>
      </c>
      <c r="B1297" s="9" t="s">
        <v>657</v>
      </c>
      <c r="C1297" t="s">
        <v>84</v>
      </c>
      <c r="D1297" t="s">
        <v>20</v>
      </c>
      <c r="E1297" t="s">
        <v>15</v>
      </c>
      <c r="F1297">
        <v>4.5</v>
      </c>
      <c r="G1297">
        <v>42900</v>
      </c>
      <c r="H1297">
        <v>42900</v>
      </c>
      <c r="I1297">
        <f>FlipkartTable[[#This Row],[Original Price]]-FlipkartTable[[#This Row],[Selling Price]]</f>
        <v>0</v>
      </c>
      <c r="J1297" s="4">
        <f>(FlipkartTable[[#This Row],[Original Price]]-FlipkartTable[[#This Row],[Selling Price]])/FlipkartTable[[#This Row],[Original Price]]</f>
        <v>0</v>
      </c>
      <c r="K1297">
        <f>(FlipkartTable[[#This Row],[Rating]]/FlipkartTable[[#This Row],[Selling Price]])*1000</f>
        <v>0.1048951048951049</v>
      </c>
      <c r="L1297" t="str">
        <f>IF(FlipkartTable[[#This Row],[Selling Price]]&lt;15000,"Budget",IF(FlipkartTable[[#This Row],[Selling Price]]&lt;50000,"Mid Range","Premium"))</f>
        <v>Mid Range</v>
      </c>
      <c r="M1297" t="str">
        <f>IF(FlipkartTable[[#This Row],[Rating]]&gt;4.5,"Excellent",IF(FlipkartTable[[#This Row],[Rating]]&gt;4,"Good",IF(FlipkartTable[[#This Row],[Rating]]&gt;3.5,"Average","Poor")))</f>
        <v>Good</v>
      </c>
    </row>
    <row r="1298" spans="1:13" x14ac:dyDescent="0.35">
      <c r="A1298" t="s">
        <v>633</v>
      </c>
      <c r="B1298" s="9" t="s">
        <v>659</v>
      </c>
      <c r="C1298" t="s">
        <v>114</v>
      </c>
      <c r="D1298" t="s">
        <v>35</v>
      </c>
      <c r="E1298" t="s">
        <v>15</v>
      </c>
      <c r="F1298">
        <v>4.5</v>
      </c>
      <c r="G1298">
        <v>34900</v>
      </c>
      <c r="H1298">
        <v>34900</v>
      </c>
      <c r="I1298">
        <f>FlipkartTable[[#This Row],[Original Price]]-FlipkartTable[[#This Row],[Selling Price]]</f>
        <v>0</v>
      </c>
      <c r="J1298" s="4">
        <f>(FlipkartTable[[#This Row],[Original Price]]-FlipkartTable[[#This Row],[Selling Price]])/FlipkartTable[[#This Row],[Original Price]]</f>
        <v>0</v>
      </c>
      <c r="K1298">
        <f>(FlipkartTable[[#This Row],[Rating]]/FlipkartTable[[#This Row],[Selling Price]])*1000</f>
        <v>0.12893982808022922</v>
      </c>
      <c r="L1298" t="str">
        <f>IF(FlipkartTable[[#This Row],[Selling Price]]&lt;15000,"Budget",IF(FlipkartTable[[#This Row],[Selling Price]]&lt;50000,"Mid Range","Premium"))</f>
        <v>Mid Range</v>
      </c>
      <c r="M1298" t="str">
        <f>IF(FlipkartTable[[#This Row],[Rating]]&gt;4.5,"Excellent",IF(FlipkartTable[[#This Row],[Rating]]&gt;4,"Good",IF(FlipkartTable[[#This Row],[Rating]]&gt;3.5,"Average","Poor")))</f>
        <v>Good</v>
      </c>
    </row>
    <row r="1299" spans="1:13" x14ac:dyDescent="0.35">
      <c r="A1299" t="s">
        <v>633</v>
      </c>
      <c r="B1299" s="9" t="s">
        <v>651</v>
      </c>
      <c r="C1299" t="s">
        <v>116</v>
      </c>
      <c r="D1299" t="s">
        <v>11</v>
      </c>
      <c r="E1299" t="s">
        <v>12</v>
      </c>
      <c r="F1299">
        <v>4.7</v>
      </c>
      <c r="G1299">
        <v>62999</v>
      </c>
      <c r="H1299">
        <v>89900</v>
      </c>
      <c r="I1299">
        <f>FlipkartTable[[#This Row],[Original Price]]-FlipkartTable[[#This Row],[Selling Price]]</f>
        <v>26901</v>
      </c>
      <c r="J1299" s="4">
        <f>(FlipkartTable[[#This Row],[Original Price]]-FlipkartTable[[#This Row],[Selling Price]])/FlipkartTable[[#This Row],[Original Price]]</f>
        <v>0.29923248053392659</v>
      </c>
      <c r="K1299">
        <f>(FlipkartTable[[#This Row],[Rating]]/FlipkartTable[[#This Row],[Selling Price]])*1000</f>
        <v>7.4604358799346016E-2</v>
      </c>
      <c r="L1299" t="str">
        <f>IF(FlipkartTable[[#This Row],[Selling Price]]&lt;15000,"Budget",IF(FlipkartTable[[#This Row],[Selling Price]]&lt;50000,"Mid Range","Premium"))</f>
        <v>Premium</v>
      </c>
      <c r="M1299" t="str">
        <f>IF(FlipkartTable[[#This Row],[Rating]]&gt;4.5,"Excellent",IF(FlipkartTable[[#This Row],[Rating]]&gt;4,"Good",IF(FlipkartTable[[#This Row],[Rating]]&gt;3.5,"Average","Poor")))</f>
        <v>Excellent</v>
      </c>
    </row>
    <row r="1300" spans="1:13" x14ac:dyDescent="0.35">
      <c r="A1300" t="s">
        <v>633</v>
      </c>
      <c r="B1300" s="9" t="s">
        <v>651</v>
      </c>
      <c r="C1300" t="s">
        <v>116</v>
      </c>
      <c r="D1300" t="s">
        <v>11</v>
      </c>
      <c r="E1300" t="s">
        <v>12</v>
      </c>
      <c r="F1300">
        <v>4.7</v>
      </c>
      <c r="G1300">
        <v>62999</v>
      </c>
      <c r="H1300">
        <v>89900</v>
      </c>
      <c r="I1300">
        <f>FlipkartTable[[#This Row],[Original Price]]-FlipkartTable[[#This Row],[Selling Price]]</f>
        <v>26901</v>
      </c>
      <c r="J1300" s="4">
        <f>(FlipkartTable[[#This Row],[Original Price]]-FlipkartTable[[#This Row],[Selling Price]])/FlipkartTable[[#This Row],[Original Price]]</f>
        <v>0.29923248053392659</v>
      </c>
      <c r="K1300">
        <f>(FlipkartTable[[#This Row],[Rating]]/FlipkartTable[[#This Row],[Selling Price]])*1000</f>
        <v>7.4604358799346016E-2</v>
      </c>
      <c r="L1300" t="str">
        <f>IF(FlipkartTable[[#This Row],[Selling Price]]&lt;15000,"Budget",IF(FlipkartTable[[#This Row],[Selling Price]]&lt;50000,"Mid Range","Premium"))</f>
        <v>Premium</v>
      </c>
      <c r="M1300" t="str">
        <f>IF(FlipkartTable[[#This Row],[Rating]]&gt;4.5,"Excellent",IF(FlipkartTable[[#This Row],[Rating]]&gt;4,"Good",IF(FlipkartTable[[#This Row],[Rating]]&gt;3.5,"Average","Poor")))</f>
        <v>Excellent</v>
      </c>
    </row>
    <row r="1301" spans="1:13" x14ac:dyDescent="0.35">
      <c r="A1301" t="s">
        <v>633</v>
      </c>
      <c r="B1301" s="9" t="s">
        <v>656</v>
      </c>
      <c r="C1301" t="s">
        <v>170</v>
      </c>
      <c r="D1301" t="s">
        <v>11</v>
      </c>
      <c r="E1301" t="s">
        <v>64</v>
      </c>
      <c r="F1301">
        <v>4.5999999999999996</v>
      </c>
      <c r="G1301">
        <v>78999</v>
      </c>
      <c r="H1301">
        <v>124900</v>
      </c>
      <c r="I1301">
        <f>FlipkartTable[[#This Row],[Original Price]]-FlipkartTable[[#This Row],[Selling Price]]</f>
        <v>45901</v>
      </c>
      <c r="J1301" s="4">
        <f>(FlipkartTable[[#This Row],[Original Price]]-FlipkartTable[[#This Row],[Selling Price]])/FlipkartTable[[#This Row],[Original Price]]</f>
        <v>0.36750200160128105</v>
      </c>
      <c r="K1301">
        <f>(FlipkartTable[[#This Row],[Rating]]/FlipkartTable[[#This Row],[Selling Price]])*1000</f>
        <v>5.8228585171964192E-2</v>
      </c>
      <c r="L1301" t="str">
        <f>IF(FlipkartTable[[#This Row],[Selling Price]]&lt;15000,"Budget",IF(FlipkartTable[[#This Row],[Selling Price]]&lt;50000,"Mid Range","Premium"))</f>
        <v>Premium</v>
      </c>
      <c r="M1301" t="str">
        <f>IF(FlipkartTable[[#This Row],[Rating]]&gt;4.5,"Excellent",IF(FlipkartTable[[#This Row],[Rating]]&gt;4,"Good",IF(FlipkartTable[[#This Row],[Rating]]&gt;3.5,"Average","Poor")))</f>
        <v>Excellent</v>
      </c>
    </row>
    <row r="1302" spans="1:13" x14ac:dyDescent="0.35">
      <c r="A1302" t="s">
        <v>633</v>
      </c>
      <c r="B1302" s="9" t="s">
        <v>659</v>
      </c>
      <c r="C1302" t="s">
        <v>84</v>
      </c>
      <c r="D1302" t="s">
        <v>35</v>
      </c>
      <c r="E1302" t="s">
        <v>15</v>
      </c>
      <c r="F1302">
        <v>4.5</v>
      </c>
      <c r="G1302">
        <v>34900</v>
      </c>
      <c r="H1302">
        <v>34900</v>
      </c>
      <c r="I1302">
        <f>FlipkartTable[[#This Row],[Original Price]]-FlipkartTable[[#This Row],[Selling Price]]</f>
        <v>0</v>
      </c>
      <c r="J1302" s="4">
        <f>(FlipkartTable[[#This Row],[Original Price]]-FlipkartTable[[#This Row],[Selling Price]])/FlipkartTable[[#This Row],[Original Price]]</f>
        <v>0</v>
      </c>
      <c r="K1302">
        <f>(FlipkartTable[[#This Row],[Rating]]/FlipkartTable[[#This Row],[Selling Price]])*1000</f>
        <v>0.12893982808022922</v>
      </c>
      <c r="L1302" t="str">
        <f>IF(FlipkartTable[[#This Row],[Selling Price]]&lt;15000,"Budget",IF(FlipkartTable[[#This Row],[Selling Price]]&lt;50000,"Mid Range","Premium"))</f>
        <v>Mid Range</v>
      </c>
      <c r="M1302" t="str">
        <f>IF(FlipkartTable[[#This Row],[Rating]]&gt;4.5,"Excellent",IF(FlipkartTable[[#This Row],[Rating]]&gt;4,"Good",IF(FlipkartTable[[#This Row],[Rating]]&gt;3.5,"Average","Poor")))</f>
        <v>Good</v>
      </c>
    </row>
    <row r="1303" spans="1:13" x14ac:dyDescent="0.35">
      <c r="A1303" t="s">
        <v>633</v>
      </c>
      <c r="B1303" s="9" t="s">
        <v>650</v>
      </c>
      <c r="C1303" t="s">
        <v>649</v>
      </c>
      <c r="D1303" t="s">
        <v>637</v>
      </c>
      <c r="E1303" t="s">
        <v>64</v>
      </c>
      <c r="F1303">
        <v>4.5999999999999996</v>
      </c>
      <c r="G1303">
        <v>99900</v>
      </c>
      <c r="H1303">
        <v>121300</v>
      </c>
      <c r="I1303">
        <f>FlipkartTable[[#This Row],[Original Price]]-FlipkartTable[[#This Row],[Selling Price]]</f>
        <v>21400</v>
      </c>
      <c r="J1303" s="4">
        <f>(FlipkartTable[[#This Row],[Original Price]]-FlipkartTable[[#This Row],[Selling Price]])/FlipkartTable[[#This Row],[Original Price]]</f>
        <v>0.17642209398186315</v>
      </c>
      <c r="K1303">
        <f>(FlipkartTable[[#This Row],[Rating]]/FlipkartTable[[#This Row],[Selling Price]])*1000</f>
        <v>4.6046046046046042E-2</v>
      </c>
      <c r="L1303" t="str">
        <f>IF(FlipkartTable[[#This Row],[Selling Price]]&lt;15000,"Budget",IF(FlipkartTable[[#This Row],[Selling Price]]&lt;50000,"Mid Range","Premium"))</f>
        <v>Premium</v>
      </c>
      <c r="M1303" t="str">
        <f>IF(FlipkartTable[[#This Row],[Rating]]&gt;4.5,"Excellent",IF(FlipkartTable[[#This Row],[Rating]]&gt;4,"Good",IF(FlipkartTable[[#This Row],[Rating]]&gt;3.5,"Average","Poor")))</f>
        <v>Excellent</v>
      </c>
    </row>
    <row r="1304" spans="1:13" x14ac:dyDescent="0.35">
      <c r="A1304" t="s">
        <v>633</v>
      </c>
      <c r="B1304" s="9" t="s">
        <v>657</v>
      </c>
      <c r="C1304" t="s">
        <v>114</v>
      </c>
      <c r="D1304" t="s">
        <v>20</v>
      </c>
      <c r="E1304" t="s">
        <v>15</v>
      </c>
      <c r="F1304">
        <v>4.5</v>
      </c>
      <c r="G1304">
        <v>42900</v>
      </c>
      <c r="H1304">
        <v>42900</v>
      </c>
      <c r="I1304">
        <f>FlipkartTable[[#This Row],[Original Price]]-FlipkartTable[[#This Row],[Selling Price]]</f>
        <v>0</v>
      </c>
      <c r="J1304" s="4">
        <f>(FlipkartTable[[#This Row],[Original Price]]-FlipkartTable[[#This Row],[Selling Price]])/FlipkartTable[[#This Row],[Original Price]]</f>
        <v>0</v>
      </c>
      <c r="K1304">
        <f>(FlipkartTable[[#This Row],[Rating]]/FlipkartTable[[#This Row],[Selling Price]])*1000</f>
        <v>0.1048951048951049</v>
      </c>
      <c r="L1304" t="str">
        <f>IF(FlipkartTable[[#This Row],[Selling Price]]&lt;15000,"Budget",IF(FlipkartTable[[#This Row],[Selling Price]]&lt;50000,"Mid Range","Premium"))</f>
        <v>Mid Range</v>
      </c>
      <c r="M1304" t="str">
        <f>IF(FlipkartTable[[#This Row],[Rating]]&gt;4.5,"Excellent",IF(FlipkartTable[[#This Row],[Rating]]&gt;4,"Good",IF(FlipkartTable[[#This Row],[Rating]]&gt;3.5,"Average","Poor")))</f>
        <v>Good</v>
      </c>
    </row>
    <row r="1305" spans="1:13" x14ac:dyDescent="0.35">
      <c r="A1305" t="s">
        <v>633</v>
      </c>
      <c r="B1305" s="9" t="s">
        <v>654</v>
      </c>
      <c r="C1305" t="s">
        <v>170</v>
      </c>
      <c r="D1305" t="s">
        <v>35</v>
      </c>
      <c r="E1305" t="s">
        <v>12</v>
      </c>
      <c r="F1305">
        <v>4.4000000000000004</v>
      </c>
      <c r="G1305">
        <v>59999</v>
      </c>
      <c r="H1305">
        <v>59999</v>
      </c>
      <c r="I1305">
        <f>FlipkartTable[[#This Row],[Original Price]]-FlipkartTable[[#This Row],[Selling Price]]</f>
        <v>0</v>
      </c>
      <c r="J1305" s="4">
        <f>(FlipkartTable[[#This Row],[Original Price]]-FlipkartTable[[#This Row],[Selling Price]])/FlipkartTable[[#This Row],[Original Price]]</f>
        <v>0</v>
      </c>
      <c r="K1305">
        <f>(FlipkartTable[[#This Row],[Rating]]/FlipkartTable[[#This Row],[Selling Price]])*1000</f>
        <v>7.3334555575926275E-2</v>
      </c>
      <c r="L1305" t="str">
        <f>IF(FlipkartTable[[#This Row],[Selling Price]]&lt;15000,"Budget",IF(FlipkartTable[[#This Row],[Selling Price]]&lt;50000,"Mid Range","Premium"))</f>
        <v>Premium</v>
      </c>
      <c r="M1305" t="str">
        <f>IF(FlipkartTable[[#This Row],[Rating]]&gt;4.5,"Excellent",IF(FlipkartTable[[#This Row],[Rating]]&gt;4,"Good",IF(FlipkartTable[[#This Row],[Rating]]&gt;3.5,"Average","Poor")))</f>
        <v>Good</v>
      </c>
    </row>
    <row r="1306" spans="1:13" x14ac:dyDescent="0.35">
      <c r="A1306" t="s">
        <v>633</v>
      </c>
      <c r="B1306" s="9" t="s">
        <v>656</v>
      </c>
      <c r="C1306" t="s">
        <v>116</v>
      </c>
      <c r="D1306" t="s">
        <v>11</v>
      </c>
      <c r="E1306" t="s">
        <v>64</v>
      </c>
      <c r="F1306">
        <v>4.5999999999999996</v>
      </c>
      <c r="G1306">
        <v>78999</v>
      </c>
      <c r="H1306">
        <v>124900</v>
      </c>
      <c r="I1306">
        <f>FlipkartTable[[#This Row],[Original Price]]-FlipkartTable[[#This Row],[Selling Price]]</f>
        <v>45901</v>
      </c>
      <c r="J1306" s="4">
        <f>(FlipkartTable[[#This Row],[Original Price]]-FlipkartTable[[#This Row],[Selling Price]])/FlipkartTable[[#This Row],[Original Price]]</f>
        <v>0.36750200160128105</v>
      </c>
      <c r="K1306">
        <f>(FlipkartTable[[#This Row],[Rating]]/FlipkartTable[[#This Row],[Selling Price]])*1000</f>
        <v>5.8228585171964192E-2</v>
      </c>
      <c r="L1306" t="str">
        <f>IF(FlipkartTable[[#This Row],[Selling Price]]&lt;15000,"Budget",IF(FlipkartTable[[#This Row],[Selling Price]]&lt;50000,"Mid Range","Premium"))</f>
        <v>Premium</v>
      </c>
      <c r="M1306" t="str">
        <f>IF(FlipkartTable[[#This Row],[Rating]]&gt;4.5,"Excellent",IF(FlipkartTable[[#This Row],[Rating]]&gt;4,"Good",IF(FlipkartTable[[#This Row],[Rating]]&gt;3.5,"Average","Poor")))</f>
        <v>Excellent</v>
      </c>
    </row>
    <row r="1307" spans="1:13" x14ac:dyDescent="0.35">
      <c r="A1307" t="s">
        <v>633</v>
      </c>
      <c r="B1307" s="9" t="s">
        <v>656</v>
      </c>
      <c r="C1307" t="s">
        <v>649</v>
      </c>
      <c r="D1307" t="s">
        <v>11</v>
      </c>
      <c r="E1307" t="s">
        <v>338</v>
      </c>
      <c r="F1307">
        <v>4.5999999999999996</v>
      </c>
      <c r="G1307">
        <v>144900</v>
      </c>
      <c r="H1307">
        <v>144900</v>
      </c>
      <c r="I1307">
        <f>FlipkartTable[[#This Row],[Original Price]]-FlipkartTable[[#This Row],[Selling Price]]</f>
        <v>0</v>
      </c>
      <c r="J1307" s="4">
        <f>(FlipkartTable[[#This Row],[Original Price]]-FlipkartTable[[#This Row],[Selling Price]])/FlipkartTable[[#This Row],[Original Price]]</f>
        <v>0</v>
      </c>
      <c r="K1307">
        <f>(FlipkartTable[[#This Row],[Rating]]/FlipkartTable[[#This Row],[Selling Price]])*1000</f>
        <v>3.1746031746031744E-2</v>
      </c>
      <c r="L1307" t="str">
        <f>IF(FlipkartTable[[#This Row],[Selling Price]]&lt;15000,"Budget",IF(FlipkartTable[[#This Row],[Selling Price]]&lt;50000,"Mid Range","Premium"))</f>
        <v>Premium</v>
      </c>
      <c r="M1307" t="str">
        <f>IF(FlipkartTable[[#This Row],[Rating]]&gt;4.5,"Excellent",IF(FlipkartTable[[#This Row],[Rating]]&gt;4,"Good",IF(FlipkartTable[[#This Row],[Rating]]&gt;3.5,"Average","Poor")))</f>
        <v>Excellent</v>
      </c>
    </row>
    <row r="1308" spans="1:13" x14ac:dyDescent="0.35">
      <c r="A1308" t="s">
        <v>633</v>
      </c>
      <c r="B1308" s="9" t="s">
        <v>659</v>
      </c>
      <c r="C1308" t="s">
        <v>19</v>
      </c>
      <c r="D1308" t="s">
        <v>35</v>
      </c>
      <c r="E1308" t="s">
        <v>64</v>
      </c>
      <c r="F1308">
        <v>4.5</v>
      </c>
      <c r="G1308">
        <v>74400</v>
      </c>
      <c r="H1308">
        <v>74400</v>
      </c>
      <c r="I1308">
        <f>FlipkartTable[[#This Row],[Original Price]]-FlipkartTable[[#This Row],[Selling Price]]</f>
        <v>0</v>
      </c>
      <c r="J1308" s="4">
        <f>(FlipkartTable[[#This Row],[Original Price]]-FlipkartTable[[#This Row],[Selling Price]])/FlipkartTable[[#This Row],[Original Price]]</f>
        <v>0</v>
      </c>
      <c r="K1308">
        <f>(FlipkartTable[[#This Row],[Rating]]/FlipkartTable[[#This Row],[Selling Price]])*1000</f>
        <v>6.0483870967741937E-2</v>
      </c>
      <c r="L1308" t="str">
        <f>IF(FlipkartTable[[#This Row],[Selling Price]]&lt;15000,"Budget",IF(FlipkartTable[[#This Row],[Selling Price]]&lt;50000,"Mid Range","Premium"))</f>
        <v>Premium</v>
      </c>
      <c r="M1308" t="str">
        <f>IF(FlipkartTable[[#This Row],[Rating]]&gt;4.5,"Excellent",IF(FlipkartTable[[#This Row],[Rating]]&gt;4,"Good",IF(FlipkartTable[[#This Row],[Rating]]&gt;3.5,"Average","Poor")))</f>
        <v>Good</v>
      </c>
    </row>
    <row r="1309" spans="1:13" x14ac:dyDescent="0.35">
      <c r="A1309" t="s">
        <v>633</v>
      </c>
      <c r="B1309" s="9" t="s">
        <v>655</v>
      </c>
      <c r="C1309" t="s">
        <v>170</v>
      </c>
      <c r="D1309" t="s">
        <v>134</v>
      </c>
      <c r="E1309" t="s">
        <v>124</v>
      </c>
      <c r="F1309">
        <v>4.5</v>
      </c>
      <c r="G1309">
        <v>40999</v>
      </c>
      <c r="H1309">
        <v>40999</v>
      </c>
      <c r="I1309">
        <f>FlipkartTable[[#This Row],[Original Price]]-FlipkartTable[[#This Row],[Selling Price]]</f>
        <v>0</v>
      </c>
      <c r="J1309" s="4">
        <f>(FlipkartTable[[#This Row],[Original Price]]-FlipkartTable[[#This Row],[Selling Price]])/FlipkartTable[[#This Row],[Original Price]]</f>
        <v>0</v>
      </c>
      <c r="K1309">
        <f>(FlipkartTable[[#This Row],[Rating]]/FlipkartTable[[#This Row],[Selling Price]])*1000</f>
        <v>0.10975877460425865</v>
      </c>
      <c r="L1309" t="str">
        <f>IF(FlipkartTable[[#This Row],[Selling Price]]&lt;15000,"Budget",IF(FlipkartTable[[#This Row],[Selling Price]]&lt;50000,"Mid Range","Premium"))</f>
        <v>Mid Range</v>
      </c>
      <c r="M1309" t="str">
        <f>IF(FlipkartTable[[#This Row],[Rating]]&gt;4.5,"Excellent",IF(FlipkartTable[[#This Row],[Rating]]&gt;4,"Good",IF(FlipkartTable[[#This Row],[Rating]]&gt;3.5,"Average","Poor")))</f>
        <v>Good</v>
      </c>
    </row>
    <row r="1310" spans="1:13" x14ac:dyDescent="0.35">
      <c r="A1310" t="s">
        <v>633</v>
      </c>
      <c r="B1310" s="9" t="s">
        <v>659</v>
      </c>
      <c r="C1310" t="s">
        <v>116</v>
      </c>
      <c r="D1310" t="s">
        <v>35</v>
      </c>
      <c r="E1310" t="s">
        <v>64</v>
      </c>
      <c r="F1310">
        <v>4.5</v>
      </c>
      <c r="G1310">
        <v>74400</v>
      </c>
      <c r="H1310">
        <v>74400</v>
      </c>
      <c r="I1310">
        <f>FlipkartTable[[#This Row],[Original Price]]-FlipkartTable[[#This Row],[Selling Price]]</f>
        <v>0</v>
      </c>
      <c r="J1310" s="4">
        <f>(FlipkartTable[[#This Row],[Original Price]]-FlipkartTable[[#This Row],[Selling Price]])/FlipkartTable[[#This Row],[Original Price]]</f>
        <v>0</v>
      </c>
      <c r="K1310">
        <f>(FlipkartTable[[#This Row],[Rating]]/FlipkartTable[[#This Row],[Selling Price]])*1000</f>
        <v>6.0483870967741937E-2</v>
      </c>
      <c r="L1310" t="str">
        <f>IF(FlipkartTable[[#This Row],[Selling Price]]&lt;15000,"Budget",IF(FlipkartTable[[#This Row],[Selling Price]]&lt;50000,"Mid Range","Premium"))</f>
        <v>Premium</v>
      </c>
      <c r="M1310" t="str">
        <f>IF(FlipkartTable[[#This Row],[Rating]]&gt;4.5,"Excellent",IF(FlipkartTable[[#This Row],[Rating]]&gt;4,"Good",IF(FlipkartTable[[#This Row],[Rating]]&gt;3.5,"Average","Poor")))</f>
        <v>Good</v>
      </c>
    </row>
    <row r="1311" spans="1:13" x14ac:dyDescent="0.35">
      <c r="A1311" t="s">
        <v>633</v>
      </c>
      <c r="B1311" s="9" t="s">
        <v>656</v>
      </c>
      <c r="C1311" t="s">
        <v>649</v>
      </c>
      <c r="D1311" t="s">
        <v>11</v>
      </c>
      <c r="E1311" t="s">
        <v>64</v>
      </c>
      <c r="F1311">
        <v>4.5999999999999996</v>
      </c>
      <c r="G1311">
        <v>78999</v>
      </c>
      <c r="H1311">
        <v>124900</v>
      </c>
      <c r="I1311">
        <f>FlipkartTable[[#This Row],[Original Price]]-FlipkartTable[[#This Row],[Selling Price]]</f>
        <v>45901</v>
      </c>
      <c r="J1311" s="4">
        <f>(FlipkartTable[[#This Row],[Original Price]]-FlipkartTable[[#This Row],[Selling Price]])/FlipkartTable[[#This Row],[Original Price]]</f>
        <v>0.36750200160128105</v>
      </c>
      <c r="K1311">
        <f>(FlipkartTable[[#This Row],[Rating]]/FlipkartTable[[#This Row],[Selling Price]])*1000</f>
        <v>5.8228585171964192E-2</v>
      </c>
      <c r="L1311" t="str">
        <f>IF(FlipkartTable[[#This Row],[Selling Price]]&lt;15000,"Budget",IF(FlipkartTable[[#This Row],[Selling Price]]&lt;50000,"Mid Range","Premium"))</f>
        <v>Premium</v>
      </c>
      <c r="M1311" t="str">
        <f>IF(FlipkartTable[[#This Row],[Rating]]&gt;4.5,"Excellent",IF(FlipkartTable[[#This Row],[Rating]]&gt;4,"Good",IF(FlipkartTable[[#This Row],[Rating]]&gt;3.5,"Average","Poor")))</f>
        <v>Excellent</v>
      </c>
    </row>
    <row r="1312" spans="1:13" x14ac:dyDescent="0.35">
      <c r="A1312" t="s">
        <v>633</v>
      </c>
      <c r="B1312" s="9" t="s">
        <v>659</v>
      </c>
      <c r="C1312" t="s">
        <v>114</v>
      </c>
      <c r="D1312" t="s">
        <v>35</v>
      </c>
      <c r="E1312" t="s">
        <v>64</v>
      </c>
      <c r="F1312">
        <v>4.5</v>
      </c>
      <c r="G1312">
        <v>74400</v>
      </c>
      <c r="H1312">
        <v>74400</v>
      </c>
      <c r="I1312">
        <f>FlipkartTable[[#This Row],[Original Price]]-FlipkartTable[[#This Row],[Selling Price]]</f>
        <v>0</v>
      </c>
      <c r="J1312" s="4">
        <f>(FlipkartTable[[#This Row],[Original Price]]-FlipkartTable[[#This Row],[Selling Price]])/FlipkartTable[[#This Row],[Original Price]]</f>
        <v>0</v>
      </c>
      <c r="K1312">
        <f>(FlipkartTable[[#This Row],[Rating]]/FlipkartTable[[#This Row],[Selling Price]])*1000</f>
        <v>6.0483870967741937E-2</v>
      </c>
      <c r="L1312" t="str">
        <f>IF(FlipkartTable[[#This Row],[Selling Price]]&lt;15000,"Budget",IF(FlipkartTable[[#This Row],[Selling Price]]&lt;50000,"Mid Range","Premium"))</f>
        <v>Premium</v>
      </c>
      <c r="M1312" t="str">
        <f>IF(FlipkartTable[[#This Row],[Rating]]&gt;4.5,"Excellent",IF(FlipkartTable[[#This Row],[Rating]]&gt;4,"Good",IF(FlipkartTable[[#This Row],[Rating]]&gt;3.5,"Average","Poor")))</f>
        <v>Good</v>
      </c>
    </row>
    <row r="1313" spans="1:13" x14ac:dyDescent="0.35">
      <c r="A1313" t="s">
        <v>633</v>
      </c>
      <c r="B1313" s="9" t="s">
        <v>661</v>
      </c>
      <c r="C1313" t="s">
        <v>662</v>
      </c>
      <c r="D1313" t="s">
        <v>20</v>
      </c>
      <c r="E1313" t="s">
        <v>64</v>
      </c>
      <c r="F1313">
        <v>4.5999999999999996</v>
      </c>
      <c r="G1313">
        <v>106900</v>
      </c>
      <c r="H1313">
        <v>106900</v>
      </c>
      <c r="I1313">
        <f>FlipkartTable[[#This Row],[Original Price]]-FlipkartTable[[#This Row],[Selling Price]]</f>
        <v>0</v>
      </c>
      <c r="J1313" s="4">
        <f>(FlipkartTable[[#This Row],[Original Price]]-FlipkartTable[[#This Row],[Selling Price]])/FlipkartTable[[#This Row],[Original Price]]</f>
        <v>0</v>
      </c>
      <c r="K1313">
        <f>(FlipkartTable[[#This Row],[Rating]]/FlipkartTable[[#This Row],[Selling Price]])*1000</f>
        <v>4.3030869971936392E-2</v>
      </c>
      <c r="L1313" t="str">
        <f>IF(FlipkartTable[[#This Row],[Selling Price]]&lt;15000,"Budget",IF(FlipkartTable[[#This Row],[Selling Price]]&lt;50000,"Mid Range","Premium"))</f>
        <v>Premium</v>
      </c>
      <c r="M1313" t="str">
        <f>IF(FlipkartTable[[#This Row],[Rating]]&gt;4.5,"Excellent",IF(FlipkartTable[[#This Row],[Rating]]&gt;4,"Good",IF(FlipkartTable[[#This Row],[Rating]]&gt;3.5,"Average","Poor")))</f>
        <v>Excellent</v>
      </c>
    </row>
    <row r="1314" spans="1:13" x14ac:dyDescent="0.35">
      <c r="A1314" t="s">
        <v>633</v>
      </c>
      <c r="B1314" s="9" t="s">
        <v>659</v>
      </c>
      <c r="C1314" t="s">
        <v>179</v>
      </c>
      <c r="D1314" t="s">
        <v>35</v>
      </c>
      <c r="E1314" t="s">
        <v>64</v>
      </c>
      <c r="F1314">
        <v>4.5</v>
      </c>
      <c r="G1314">
        <v>74400</v>
      </c>
      <c r="H1314">
        <v>74400</v>
      </c>
      <c r="I1314">
        <f>FlipkartTable[[#This Row],[Original Price]]-FlipkartTable[[#This Row],[Selling Price]]</f>
        <v>0</v>
      </c>
      <c r="J1314" s="4">
        <f>(FlipkartTable[[#This Row],[Original Price]]-FlipkartTable[[#This Row],[Selling Price]])/FlipkartTable[[#This Row],[Original Price]]</f>
        <v>0</v>
      </c>
      <c r="K1314">
        <f>(FlipkartTable[[#This Row],[Rating]]/FlipkartTable[[#This Row],[Selling Price]])*1000</f>
        <v>6.0483870967741937E-2</v>
      </c>
      <c r="L1314" t="str">
        <f>IF(FlipkartTable[[#This Row],[Selling Price]]&lt;15000,"Budget",IF(FlipkartTable[[#This Row],[Selling Price]]&lt;50000,"Mid Range","Premium"))</f>
        <v>Premium</v>
      </c>
      <c r="M1314" t="str">
        <f>IF(FlipkartTable[[#This Row],[Rating]]&gt;4.5,"Excellent",IF(FlipkartTable[[#This Row],[Rating]]&gt;4,"Good",IF(FlipkartTable[[#This Row],[Rating]]&gt;3.5,"Average","Poor")))</f>
        <v>Good</v>
      </c>
    </row>
    <row r="1315" spans="1:13" x14ac:dyDescent="0.35">
      <c r="A1315" t="s">
        <v>633</v>
      </c>
      <c r="B1315" s="9" t="s">
        <v>658</v>
      </c>
      <c r="C1315" t="s">
        <v>114</v>
      </c>
      <c r="D1315" t="s">
        <v>35</v>
      </c>
      <c r="E1315" t="s">
        <v>12</v>
      </c>
      <c r="F1315">
        <v>4.5</v>
      </c>
      <c r="G1315">
        <v>72000</v>
      </c>
      <c r="H1315">
        <v>72000</v>
      </c>
      <c r="I1315">
        <f>FlipkartTable[[#This Row],[Original Price]]-FlipkartTable[[#This Row],[Selling Price]]</f>
        <v>0</v>
      </c>
      <c r="J1315" s="4">
        <f>(FlipkartTable[[#This Row],[Original Price]]-FlipkartTable[[#This Row],[Selling Price]])/FlipkartTable[[#This Row],[Original Price]]</f>
        <v>0</v>
      </c>
      <c r="K1315">
        <f>(FlipkartTable[[#This Row],[Rating]]/FlipkartTable[[#This Row],[Selling Price]])*1000</f>
        <v>6.25E-2</v>
      </c>
      <c r="L1315" t="str">
        <f>IF(FlipkartTable[[#This Row],[Selling Price]]&lt;15000,"Budget",IF(FlipkartTable[[#This Row],[Selling Price]]&lt;50000,"Mid Range","Premium"))</f>
        <v>Premium</v>
      </c>
      <c r="M1315" t="str">
        <f>IF(FlipkartTable[[#This Row],[Rating]]&gt;4.5,"Excellent",IF(FlipkartTable[[#This Row],[Rating]]&gt;4,"Good",IF(FlipkartTable[[#This Row],[Rating]]&gt;3.5,"Average","Poor")))</f>
        <v>Good</v>
      </c>
    </row>
    <row r="1316" spans="1:13" x14ac:dyDescent="0.35">
      <c r="A1316" t="s">
        <v>633</v>
      </c>
      <c r="B1316" s="9" t="s">
        <v>654</v>
      </c>
      <c r="C1316" t="s">
        <v>170</v>
      </c>
      <c r="D1316" t="s">
        <v>35</v>
      </c>
      <c r="E1316" t="s">
        <v>15</v>
      </c>
      <c r="F1316">
        <v>4.4000000000000004</v>
      </c>
      <c r="G1316">
        <v>70000</v>
      </c>
      <c r="H1316">
        <v>70000</v>
      </c>
      <c r="I1316">
        <f>FlipkartTable[[#This Row],[Original Price]]-FlipkartTable[[#This Row],[Selling Price]]</f>
        <v>0</v>
      </c>
      <c r="J1316" s="4">
        <f>(FlipkartTable[[#This Row],[Original Price]]-FlipkartTable[[#This Row],[Selling Price]])/FlipkartTable[[#This Row],[Original Price]]</f>
        <v>0</v>
      </c>
      <c r="K1316">
        <f>(FlipkartTable[[#This Row],[Rating]]/FlipkartTable[[#This Row],[Selling Price]])*1000</f>
        <v>6.2857142857142861E-2</v>
      </c>
      <c r="L1316" t="str">
        <f>IF(FlipkartTable[[#This Row],[Selling Price]]&lt;15000,"Budget",IF(FlipkartTable[[#This Row],[Selling Price]]&lt;50000,"Mid Range","Premium"))</f>
        <v>Premium</v>
      </c>
      <c r="M1316" t="str">
        <f>IF(FlipkartTable[[#This Row],[Rating]]&gt;4.5,"Excellent",IF(FlipkartTable[[#This Row],[Rating]]&gt;4,"Good",IF(FlipkartTable[[#This Row],[Rating]]&gt;3.5,"Average","Poor")))</f>
        <v>Good</v>
      </c>
    </row>
    <row r="1317" spans="1:13" x14ac:dyDescent="0.35">
      <c r="A1317" t="s">
        <v>633</v>
      </c>
      <c r="B1317" s="9" t="s">
        <v>639</v>
      </c>
      <c r="C1317" t="s">
        <v>19</v>
      </c>
      <c r="D1317" t="s">
        <v>637</v>
      </c>
      <c r="E1317" t="s">
        <v>12</v>
      </c>
      <c r="F1317">
        <v>4.5999999999999996</v>
      </c>
      <c r="G1317">
        <v>49900</v>
      </c>
      <c r="H1317">
        <v>49900</v>
      </c>
      <c r="I1317">
        <f>FlipkartTable[[#This Row],[Original Price]]-FlipkartTable[[#This Row],[Selling Price]]</f>
        <v>0</v>
      </c>
      <c r="J1317" s="4">
        <f>(FlipkartTable[[#This Row],[Original Price]]-FlipkartTable[[#This Row],[Selling Price]])/FlipkartTable[[#This Row],[Original Price]]</f>
        <v>0</v>
      </c>
      <c r="K1317">
        <f>(FlipkartTable[[#This Row],[Rating]]/FlipkartTable[[#This Row],[Selling Price]])*1000</f>
        <v>9.2184368737474945E-2</v>
      </c>
      <c r="L1317" t="str">
        <f>IF(FlipkartTable[[#This Row],[Selling Price]]&lt;15000,"Budget",IF(FlipkartTable[[#This Row],[Selling Price]]&lt;50000,"Mid Range","Premium"))</f>
        <v>Mid Range</v>
      </c>
      <c r="M1317" t="str">
        <f>IF(FlipkartTable[[#This Row],[Rating]]&gt;4.5,"Excellent",IF(FlipkartTable[[#This Row],[Rating]]&gt;4,"Good",IF(FlipkartTable[[#This Row],[Rating]]&gt;3.5,"Average","Poor")))</f>
        <v>Excellent</v>
      </c>
    </row>
    <row r="1318" spans="1:13" x14ac:dyDescent="0.35">
      <c r="A1318" t="s">
        <v>633</v>
      </c>
      <c r="B1318" s="9" t="s">
        <v>655</v>
      </c>
      <c r="C1318" t="s">
        <v>649</v>
      </c>
      <c r="D1318" t="s">
        <v>134</v>
      </c>
      <c r="E1318" t="s">
        <v>15</v>
      </c>
      <c r="F1318">
        <v>4.5</v>
      </c>
      <c r="G1318">
        <v>80500</v>
      </c>
      <c r="H1318">
        <v>80500</v>
      </c>
      <c r="I1318">
        <f>FlipkartTable[[#This Row],[Original Price]]-FlipkartTable[[#This Row],[Selling Price]]</f>
        <v>0</v>
      </c>
      <c r="J1318" s="4">
        <f>(FlipkartTable[[#This Row],[Original Price]]-FlipkartTable[[#This Row],[Selling Price]])/FlipkartTable[[#This Row],[Original Price]]</f>
        <v>0</v>
      </c>
      <c r="K1318">
        <f>(FlipkartTable[[#This Row],[Rating]]/FlipkartTable[[#This Row],[Selling Price]])*1000</f>
        <v>5.5900621118012424E-2</v>
      </c>
      <c r="L1318" t="str">
        <f>IF(FlipkartTable[[#This Row],[Selling Price]]&lt;15000,"Budget",IF(FlipkartTable[[#This Row],[Selling Price]]&lt;50000,"Mid Range","Premium"))</f>
        <v>Premium</v>
      </c>
      <c r="M1318" t="str">
        <f>IF(FlipkartTable[[#This Row],[Rating]]&gt;4.5,"Excellent",IF(FlipkartTable[[#This Row],[Rating]]&gt;4,"Good",IF(FlipkartTable[[#This Row],[Rating]]&gt;3.5,"Average","Poor")))</f>
        <v>Good</v>
      </c>
    </row>
    <row r="1319" spans="1:13" x14ac:dyDescent="0.35">
      <c r="A1319" t="s">
        <v>633</v>
      </c>
      <c r="B1319" s="9" t="s">
        <v>655</v>
      </c>
      <c r="C1319" t="s">
        <v>116</v>
      </c>
      <c r="D1319" t="s">
        <v>134</v>
      </c>
      <c r="E1319" t="s">
        <v>12</v>
      </c>
      <c r="F1319">
        <v>4.5</v>
      </c>
      <c r="G1319">
        <v>71500</v>
      </c>
      <c r="H1319">
        <v>71500</v>
      </c>
      <c r="I1319">
        <f>FlipkartTable[[#This Row],[Original Price]]-FlipkartTable[[#This Row],[Selling Price]]</f>
        <v>0</v>
      </c>
      <c r="J1319" s="4">
        <f>(FlipkartTable[[#This Row],[Original Price]]-FlipkartTable[[#This Row],[Selling Price]])/FlipkartTable[[#This Row],[Original Price]]</f>
        <v>0</v>
      </c>
      <c r="K1319">
        <f>(FlipkartTable[[#This Row],[Rating]]/FlipkartTable[[#This Row],[Selling Price]])*1000</f>
        <v>6.2937062937062929E-2</v>
      </c>
      <c r="L1319" t="str">
        <f>IF(FlipkartTable[[#This Row],[Selling Price]]&lt;15000,"Budget",IF(FlipkartTable[[#This Row],[Selling Price]]&lt;50000,"Mid Range","Premium"))</f>
        <v>Premium</v>
      </c>
      <c r="M1319" t="str">
        <f>IF(FlipkartTable[[#This Row],[Rating]]&gt;4.5,"Excellent",IF(FlipkartTable[[#This Row],[Rating]]&gt;4,"Good",IF(FlipkartTable[[#This Row],[Rating]]&gt;3.5,"Average","Poor")))</f>
        <v>Good</v>
      </c>
    </row>
    <row r="1320" spans="1:13" x14ac:dyDescent="0.35">
      <c r="A1320" t="s">
        <v>633</v>
      </c>
      <c r="B1320" s="9" t="s">
        <v>639</v>
      </c>
      <c r="C1320" t="s">
        <v>329</v>
      </c>
      <c r="D1320" t="s">
        <v>637</v>
      </c>
      <c r="E1320" t="s">
        <v>12</v>
      </c>
      <c r="F1320">
        <v>4.5999999999999996</v>
      </c>
      <c r="G1320">
        <v>49900</v>
      </c>
      <c r="H1320">
        <v>49900</v>
      </c>
      <c r="I1320">
        <f>FlipkartTable[[#This Row],[Original Price]]-FlipkartTable[[#This Row],[Selling Price]]</f>
        <v>0</v>
      </c>
      <c r="J1320" s="4">
        <f>(FlipkartTable[[#This Row],[Original Price]]-FlipkartTable[[#This Row],[Selling Price]])/FlipkartTable[[#This Row],[Original Price]]</f>
        <v>0</v>
      </c>
      <c r="K1320">
        <f>(FlipkartTable[[#This Row],[Rating]]/FlipkartTable[[#This Row],[Selling Price]])*1000</f>
        <v>9.2184368737474945E-2</v>
      </c>
      <c r="L1320" t="str">
        <f>IF(FlipkartTable[[#This Row],[Selling Price]]&lt;15000,"Budget",IF(FlipkartTable[[#This Row],[Selling Price]]&lt;50000,"Mid Range","Premium"))</f>
        <v>Mid Range</v>
      </c>
      <c r="M1320" t="str">
        <f>IF(FlipkartTable[[#This Row],[Rating]]&gt;4.5,"Excellent",IF(FlipkartTable[[#This Row],[Rating]]&gt;4,"Good",IF(FlipkartTable[[#This Row],[Rating]]&gt;3.5,"Average","Poor")))</f>
        <v>Excellent</v>
      </c>
    </row>
    <row r="1321" spans="1:13" x14ac:dyDescent="0.35">
      <c r="A1321" t="s">
        <v>633</v>
      </c>
      <c r="B1321" s="9" t="s">
        <v>660</v>
      </c>
      <c r="C1321" t="s">
        <v>170</v>
      </c>
      <c r="D1321" t="s">
        <v>134</v>
      </c>
      <c r="E1321" t="s">
        <v>12</v>
      </c>
      <c r="F1321">
        <v>4.4000000000000004</v>
      </c>
      <c r="G1321">
        <v>62000</v>
      </c>
      <c r="H1321">
        <v>62000</v>
      </c>
      <c r="I1321">
        <f>FlipkartTable[[#This Row],[Original Price]]-FlipkartTable[[#This Row],[Selling Price]]</f>
        <v>0</v>
      </c>
      <c r="J1321" s="4">
        <f>(FlipkartTable[[#This Row],[Original Price]]-FlipkartTable[[#This Row],[Selling Price]])/FlipkartTable[[#This Row],[Original Price]]</f>
        <v>0</v>
      </c>
      <c r="K1321">
        <f>(FlipkartTable[[#This Row],[Rating]]/FlipkartTable[[#This Row],[Selling Price]])*1000</f>
        <v>7.0967741935483872E-2</v>
      </c>
      <c r="L1321" t="str">
        <f>IF(FlipkartTable[[#This Row],[Selling Price]]&lt;15000,"Budget",IF(FlipkartTable[[#This Row],[Selling Price]]&lt;50000,"Mid Range","Premium"))</f>
        <v>Premium</v>
      </c>
      <c r="M1321" t="str">
        <f>IF(FlipkartTable[[#This Row],[Rating]]&gt;4.5,"Excellent",IF(FlipkartTable[[#This Row],[Rating]]&gt;4,"Good",IF(FlipkartTable[[#This Row],[Rating]]&gt;3.5,"Average","Poor")))</f>
        <v>Good</v>
      </c>
    </row>
    <row r="1322" spans="1:13" x14ac:dyDescent="0.35">
      <c r="A1322" t="s">
        <v>633</v>
      </c>
      <c r="B1322" s="9" t="s">
        <v>661</v>
      </c>
      <c r="C1322" t="s">
        <v>170</v>
      </c>
      <c r="D1322" t="s">
        <v>20</v>
      </c>
      <c r="E1322" t="s">
        <v>64</v>
      </c>
      <c r="F1322">
        <v>4.5999999999999996</v>
      </c>
      <c r="G1322">
        <v>106900</v>
      </c>
      <c r="H1322">
        <v>106900</v>
      </c>
      <c r="I1322">
        <f>FlipkartTable[[#This Row],[Original Price]]-FlipkartTable[[#This Row],[Selling Price]]</f>
        <v>0</v>
      </c>
      <c r="J1322" s="4">
        <f>(FlipkartTable[[#This Row],[Original Price]]-FlipkartTable[[#This Row],[Selling Price]])/FlipkartTable[[#This Row],[Original Price]]</f>
        <v>0</v>
      </c>
      <c r="K1322">
        <f>(FlipkartTable[[#This Row],[Rating]]/FlipkartTable[[#This Row],[Selling Price]])*1000</f>
        <v>4.3030869971936392E-2</v>
      </c>
      <c r="L1322" t="str">
        <f>IF(FlipkartTable[[#This Row],[Selling Price]]&lt;15000,"Budget",IF(FlipkartTable[[#This Row],[Selling Price]]&lt;50000,"Mid Range","Premium"))</f>
        <v>Premium</v>
      </c>
      <c r="M1322" t="str">
        <f>IF(FlipkartTable[[#This Row],[Rating]]&gt;4.5,"Excellent",IF(FlipkartTable[[#This Row],[Rating]]&gt;4,"Good",IF(FlipkartTable[[#This Row],[Rating]]&gt;3.5,"Average","Poor")))</f>
        <v>Excellent</v>
      </c>
    </row>
    <row r="1323" spans="1:13" x14ac:dyDescent="0.35">
      <c r="A1323" t="s">
        <v>633</v>
      </c>
      <c r="B1323" s="9" t="s">
        <v>639</v>
      </c>
      <c r="C1323" t="s">
        <v>19</v>
      </c>
      <c r="D1323" t="s">
        <v>637</v>
      </c>
      <c r="E1323" t="s">
        <v>15</v>
      </c>
      <c r="F1323">
        <v>4.5999999999999996</v>
      </c>
      <c r="G1323">
        <v>54900</v>
      </c>
      <c r="H1323">
        <v>54900</v>
      </c>
      <c r="I1323">
        <f>FlipkartTable[[#This Row],[Original Price]]-FlipkartTable[[#This Row],[Selling Price]]</f>
        <v>0</v>
      </c>
      <c r="J1323" s="4">
        <f>(FlipkartTable[[#This Row],[Original Price]]-FlipkartTable[[#This Row],[Selling Price]])/FlipkartTable[[#This Row],[Original Price]]</f>
        <v>0</v>
      </c>
      <c r="K1323">
        <f>(FlipkartTable[[#This Row],[Rating]]/FlipkartTable[[#This Row],[Selling Price]])*1000</f>
        <v>8.3788706739526403E-2</v>
      </c>
      <c r="L1323" t="str">
        <f>IF(FlipkartTable[[#This Row],[Selling Price]]&lt;15000,"Budget",IF(FlipkartTable[[#This Row],[Selling Price]]&lt;50000,"Mid Range","Premium"))</f>
        <v>Premium</v>
      </c>
      <c r="M1323" t="str">
        <f>IF(FlipkartTable[[#This Row],[Rating]]&gt;4.5,"Excellent",IF(FlipkartTable[[#This Row],[Rating]]&gt;4,"Good",IF(FlipkartTable[[#This Row],[Rating]]&gt;3.5,"Average","Poor")))</f>
        <v>Excellent</v>
      </c>
    </row>
    <row r="1324" spans="1:13" x14ac:dyDescent="0.35">
      <c r="A1324" t="s">
        <v>633</v>
      </c>
      <c r="B1324" s="9" t="s">
        <v>658</v>
      </c>
      <c r="C1324" t="s">
        <v>649</v>
      </c>
      <c r="D1324" t="s">
        <v>35</v>
      </c>
      <c r="E1324" t="s">
        <v>12</v>
      </c>
      <c r="F1324">
        <v>4.5</v>
      </c>
      <c r="G1324">
        <v>49999</v>
      </c>
      <c r="H1324">
        <v>49999</v>
      </c>
      <c r="I1324">
        <f>FlipkartTable[[#This Row],[Original Price]]-FlipkartTable[[#This Row],[Selling Price]]</f>
        <v>0</v>
      </c>
      <c r="J1324" s="4">
        <f>(FlipkartTable[[#This Row],[Original Price]]-FlipkartTable[[#This Row],[Selling Price]])/FlipkartTable[[#This Row],[Original Price]]</f>
        <v>0</v>
      </c>
      <c r="K1324">
        <f>(FlipkartTable[[#This Row],[Rating]]/FlipkartTable[[#This Row],[Selling Price]])*1000</f>
        <v>9.0001800036000723E-2</v>
      </c>
      <c r="L1324" t="str">
        <f>IF(FlipkartTable[[#This Row],[Selling Price]]&lt;15000,"Budget",IF(FlipkartTable[[#This Row],[Selling Price]]&lt;50000,"Mid Range","Premium"))</f>
        <v>Mid Range</v>
      </c>
      <c r="M1324" t="str">
        <f>IF(FlipkartTable[[#This Row],[Rating]]&gt;4.5,"Excellent",IF(FlipkartTable[[#This Row],[Rating]]&gt;4,"Good",IF(FlipkartTable[[#This Row],[Rating]]&gt;3.5,"Average","Poor")))</f>
        <v>Good</v>
      </c>
    </row>
    <row r="1325" spans="1:13" x14ac:dyDescent="0.35">
      <c r="A1325" t="s">
        <v>633</v>
      </c>
      <c r="B1325" s="9" t="s">
        <v>639</v>
      </c>
      <c r="C1325" t="s">
        <v>139</v>
      </c>
      <c r="D1325" t="s">
        <v>637</v>
      </c>
      <c r="E1325" t="s">
        <v>64</v>
      </c>
      <c r="F1325">
        <v>4.5999999999999996</v>
      </c>
      <c r="G1325">
        <v>64900</v>
      </c>
      <c r="H1325">
        <v>64900</v>
      </c>
      <c r="I1325">
        <f>FlipkartTable[[#This Row],[Original Price]]-FlipkartTable[[#This Row],[Selling Price]]</f>
        <v>0</v>
      </c>
      <c r="J1325" s="4">
        <f>(FlipkartTable[[#This Row],[Original Price]]-FlipkartTable[[#This Row],[Selling Price]])/FlipkartTable[[#This Row],[Original Price]]</f>
        <v>0</v>
      </c>
      <c r="K1325">
        <f>(FlipkartTable[[#This Row],[Rating]]/FlipkartTable[[#This Row],[Selling Price]])*1000</f>
        <v>7.0878274268104779E-2</v>
      </c>
      <c r="L1325" t="str">
        <f>IF(FlipkartTable[[#This Row],[Selling Price]]&lt;15000,"Budget",IF(FlipkartTable[[#This Row],[Selling Price]]&lt;50000,"Mid Range","Premium"))</f>
        <v>Premium</v>
      </c>
      <c r="M1325" t="str">
        <f>IF(FlipkartTable[[#This Row],[Rating]]&gt;4.5,"Excellent",IF(FlipkartTable[[#This Row],[Rating]]&gt;4,"Good",IF(FlipkartTable[[#This Row],[Rating]]&gt;3.5,"Average","Poor")))</f>
        <v>Excellent</v>
      </c>
    </row>
    <row r="1326" spans="1:13" x14ac:dyDescent="0.35">
      <c r="A1326" t="s">
        <v>633</v>
      </c>
      <c r="B1326" s="9" t="s">
        <v>658</v>
      </c>
      <c r="C1326" t="s">
        <v>114</v>
      </c>
      <c r="D1326" t="s">
        <v>35</v>
      </c>
      <c r="E1326" t="s">
        <v>15</v>
      </c>
      <c r="F1326">
        <v>4.5</v>
      </c>
      <c r="G1326">
        <v>55999</v>
      </c>
      <c r="H1326">
        <v>55999</v>
      </c>
      <c r="I1326">
        <f>FlipkartTable[[#This Row],[Original Price]]-FlipkartTable[[#This Row],[Selling Price]]</f>
        <v>0</v>
      </c>
      <c r="J1326" s="4">
        <f>(FlipkartTable[[#This Row],[Original Price]]-FlipkartTable[[#This Row],[Selling Price]])/FlipkartTable[[#This Row],[Original Price]]</f>
        <v>0</v>
      </c>
      <c r="K1326">
        <f>(FlipkartTable[[#This Row],[Rating]]/FlipkartTable[[#This Row],[Selling Price]])*1000</f>
        <v>8.0358577831747005E-2</v>
      </c>
      <c r="L1326" t="str">
        <f>IF(FlipkartTable[[#This Row],[Selling Price]]&lt;15000,"Budget",IF(FlipkartTable[[#This Row],[Selling Price]]&lt;50000,"Mid Range","Premium"))</f>
        <v>Premium</v>
      </c>
      <c r="M1326" t="str">
        <f>IF(FlipkartTable[[#This Row],[Rating]]&gt;4.5,"Excellent",IF(FlipkartTable[[#This Row],[Rating]]&gt;4,"Good",IF(FlipkartTable[[#This Row],[Rating]]&gt;3.5,"Average","Poor")))</f>
        <v>Good</v>
      </c>
    </row>
    <row r="1327" spans="1:13" x14ac:dyDescent="0.35">
      <c r="A1327" t="s">
        <v>633</v>
      </c>
      <c r="B1327" s="9" t="s">
        <v>654</v>
      </c>
      <c r="C1327" t="s">
        <v>649</v>
      </c>
      <c r="D1327" t="s">
        <v>35</v>
      </c>
      <c r="E1327" t="s">
        <v>124</v>
      </c>
      <c r="F1327">
        <v>4.4000000000000004</v>
      </c>
      <c r="G1327">
        <v>72000</v>
      </c>
      <c r="H1327">
        <v>72000</v>
      </c>
      <c r="I1327">
        <f>FlipkartTable[[#This Row],[Original Price]]-FlipkartTable[[#This Row],[Selling Price]]</f>
        <v>0</v>
      </c>
      <c r="J1327" s="4">
        <f>(FlipkartTable[[#This Row],[Original Price]]-FlipkartTable[[#This Row],[Selling Price]])/FlipkartTable[[#This Row],[Original Price]]</f>
        <v>0</v>
      </c>
      <c r="K1327">
        <f>(FlipkartTable[[#This Row],[Rating]]/FlipkartTable[[#This Row],[Selling Price]])*1000</f>
        <v>6.1111111111111123E-2</v>
      </c>
      <c r="L1327" t="str">
        <f>IF(FlipkartTable[[#This Row],[Selling Price]]&lt;15000,"Budget",IF(FlipkartTable[[#This Row],[Selling Price]]&lt;50000,"Mid Range","Premium"))</f>
        <v>Premium</v>
      </c>
      <c r="M1327" t="str">
        <f>IF(FlipkartTable[[#This Row],[Rating]]&gt;4.5,"Excellent",IF(FlipkartTable[[#This Row],[Rating]]&gt;4,"Good",IF(FlipkartTable[[#This Row],[Rating]]&gt;3.5,"Average","Poor")))</f>
        <v>Good</v>
      </c>
    </row>
    <row r="1328" spans="1:13" x14ac:dyDescent="0.35">
      <c r="A1328" t="s">
        <v>633</v>
      </c>
      <c r="B1328" s="9" t="s">
        <v>657</v>
      </c>
      <c r="C1328" t="s">
        <v>179</v>
      </c>
      <c r="D1328" t="s">
        <v>20</v>
      </c>
      <c r="E1328" t="s">
        <v>21</v>
      </c>
      <c r="F1328">
        <v>4.5</v>
      </c>
      <c r="G1328">
        <v>36999</v>
      </c>
      <c r="H1328">
        <v>37900</v>
      </c>
      <c r="I1328">
        <f>FlipkartTable[[#This Row],[Original Price]]-FlipkartTable[[#This Row],[Selling Price]]</f>
        <v>901</v>
      </c>
      <c r="J1328" s="4">
        <f>(FlipkartTable[[#This Row],[Original Price]]-FlipkartTable[[#This Row],[Selling Price]])/FlipkartTable[[#This Row],[Original Price]]</f>
        <v>2.3773087071240106E-2</v>
      </c>
      <c r="K1328">
        <f>(FlipkartTable[[#This Row],[Rating]]/FlipkartTable[[#This Row],[Selling Price]])*1000</f>
        <v>0.12162490878131842</v>
      </c>
      <c r="L1328" t="str">
        <f>IF(FlipkartTable[[#This Row],[Selling Price]]&lt;15000,"Budget",IF(FlipkartTable[[#This Row],[Selling Price]]&lt;50000,"Mid Range","Premium"))</f>
        <v>Mid Range</v>
      </c>
      <c r="M1328" t="str">
        <f>IF(FlipkartTable[[#This Row],[Rating]]&gt;4.5,"Excellent",IF(FlipkartTable[[#This Row],[Rating]]&gt;4,"Good",IF(FlipkartTable[[#This Row],[Rating]]&gt;3.5,"Average","Poor")))</f>
        <v>Good</v>
      </c>
    </row>
    <row r="1329" spans="1:13" x14ac:dyDescent="0.35">
      <c r="A1329" t="s">
        <v>633</v>
      </c>
      <c r="B1329" s="9" t="s">
        <v>658</v>
      </c>
      <c r="C1329" t="s">
        <v>170</v>
      </c>
      <c r="D1329" t="s">
        <v>35</v>
      </c>
      <c r="E1329" t="s">
        <v>124</v>
      </c>
      <c r="F1329">
        <v>4.5</v>
      </c>
      <c r="G1329">
        <v>41999</v>
      </c>
      <c r="H1329">
        <v>41999</v>
      </c>
      <c r="I1329">
        <f>FlipkartTable[[#This Row],[Original Price]]-FlipkartTable[[#This Row],[Selling Price]]</f>
        <v>0</v>
      </c>
      <c r="J1329" s="4">
        <f>(FlipkartTable[[#This Row],[Original Price]]-FlipkartTable[[#This Row],[Selling Price]])/FlipkartTable[[#This Row],[Original Price]]</f>
        <v>0</v>
      </c>
      <c r="K1329">
        <f>(FlipkartTable[[#This Row],[Rating]]/FlipkartTable[[#This Row],[Selling Price]])*1000</f>
        <v>0.10714540822400533</v>
      </c>
      <c r="L1329" t="str">
        <f>IF(FlipkartTable[[#This Row],[Selling Price]]&lt;15000,"Budget",IF(FlipkartTable[[#This Row],[Selling Price]]&lt;50000,"Mid Range","Premium"))</f>
        <v>Mid Range</v>
      </c>
      <c r="M1329" t="str">
        <f>IF(FlipkartTable[[#This Row],[Rating]]&gt;4.5,"Excellent",IF(FlipkartTable[[#This Row],[Rating]]&gt;4,"Good",IF(FlipkartTable[[#This Row],[Rating]]&gt;3.5,"Average","Poor")))</f>
        <v>Good</v>
      </c>
    </row>
    <row r="1330" spans="1:13" x14ac:dyDescent="0.35">
      <c r="A1330" t="s">
        <v>633</v>
      </c>
      <c r="B1330" s="9" t="s">
        <v>661</v>
      </c>
      <c r="C1330" t="s">
        <v>662</v>
      </c>
      <c r="D1330" t="s">
        <v>20</v>
      </c>
      <c r="E1330" t="s">
        <v>12</v>
      </c>
      <c r="F1330">
        <v>4.5999999999999996</v>
      </c>
      <c r="G1330">
        <v>91900</v>
      </c>
      <c r="H1330">
        <v>91900</v>
      </c>
      <c r="I1330">
        <f>FlipkartTable[[#This Row],[Original Price]]-FlipkartTable[[#This Row],[Selling Price]]</f>
        <v>0</v>
      </c>
      <c r="J1330" s="4">
        <f>(FlipkartTable[[#This Row],[Original Price]]-FlipkartTable[[#This Row],[Selling Price]])/FlipkartTable[[#This Row],[Original Price]]</f>
        <v>0</v>
      </c>
      <c r="K1330">
        <f>(FlipkartTable[[#This Row],[Rating]]/FlipkartTable[[#This Row],[Selling Price]])*1000</f>
        <v>5.00544069640914E-2</v>
      </c>
      <c r="L1330" t="str">
        <f>IF(FlipkartTable[[#This Row],[Selling Price]]&lt;15000,"Budget",IF(FlipkartTable[[#This Row],[Selling Price]]&lt;50000,"Mid Range","Premium"))</f>
        <v>Premium</v>
      </c>
      <c r="M1330" t="str">
        <f>IF(FlipkartTable[[#This Row],[Rating]]&gt;4.5,"Excellent",IF(FlipkartTable[[#This Row],[Rating]]&gt;4,"Good",IF(FlipkartTable[[#This Row],[Rating]]&gt;3.5,"Average","Poor")))</f>
        <v>Excellent</v>
      </c>
    </row>
    <row r="1331" spans="1:13" x14ac:dyDescent="0.35">
      <c r="A1331" t="s">
        <v>663</v>
      </c>
      <c r="B1331" s="9" t="s">
        <v>664</v>
      </c>
      <c r="C1331" t="s">
        <v>665</v>
      </c>
      <c r="D1331" t="s">
        <v>14</v>
      </c>
      <c r="E1331" t="s">
        <v>15</v>
      </c>
      <c r="F1331">
        <v>4.3</v>
      </c>
      <c r="G1331">
        <v>14999</v>
      </c>
      <c r="H1331">
        <v>16999</v>
      </c>
      <c r="I1331">
        <f>FlipkartTable[[#This Row],[Original Price]]-FlipkartTable[[#This Row],[Selling Price]]</f>
        <v>2000</v>
      </c>
      <c r="J1331" s="4">
        <f>(FlipkartTable[[#This Row],[Original Price]]-FlipkartTable[[#This Row],[Selling Price]])/FlipkartTable[[#This Row],[Original Price]]</f>
        <v>0.11765397964586152</v>
      </c>
      <c r="K1331">
        <f>(FlipkartTable[[#This Row],[Rating]]/FlipkartTable[[#This Row],[Selling Price]])*1000</f>
        <v>0.28668577905193682</v>
      </c>
      <c r="L1331" t="str">
        <f>IF(FlipkartTable[[#This Row],[Selling Price]]&lt;15000,"Budget",IF(FlipkartTable[[#This Row],[Selling Price]]&lt;50000,"Mid Range","Premium"))</f>
        <v>Budget</v>
      </c>
      <c r="M1331" t="str">
        <f>IF(FlipkartTable[[#This Row],[Rating]]&gt;4.5,"Excellent",IF(FlipkartTable[[#This Row],[Rating]]&gt;4,"Good",IF(FlipkartTable[[#This Row],[Rating]]&gt;3.5,"Average","Poor")))</f>
        <v>Good</v>
      </c>
    </row>
    <row r="1332" spans="1:13" x14ac:dyDescent="0.35">
      <c r="A1332" t="s">
        <v>663</v>
      </c>
      <c r="B1332" s="9" t="s">
        <v>664</v>
      </c>
      <c r="C1332" t="s">
        <v>665</v>
      </c>
      <c r="D1332" t="s">
        <v>11</v>
      </c>
      <c r="E1332" t="s">
        <v>12</v>
      </c>
      <c r="F1332">
        <v>4.3</v>
      </c>
      <c r="G1332">
        <v>12999</v>
      </c>
      <c r="H1332">
        <v>14999</v>
      </c>
      <c r="I1332">
        <f>FlipkartTable[[#This Row],[Original Price]]-FlipkartTable[[#This Row],[Selling Price]]</f>
        <v>2000</v>
      </c>
      <c r="J1332" s="4">
        <f>(FlipkartTable[[#This Row],[Original Price]]-FlipkartTable[[#This Row],[Selling Price]])/FlipkartTable[[#This Row],[Original Price]]</f>
        <v>0.13334222281485433</v>
      </c>
      <c r="K1332">
        <f>(FlipkartTable[[#This Row],[Rating]]/FlipkartTable[[#This Row],[Selling Price]])*1000</f>
        <v>0.33079467651357791</v>
      </c>
      <c r="L1332" t="str">
        <f>IF(FlipkartTable[[#This Row],[Selling Price]]&lt;15000,"Budget",IF(FlipkartTable[[#This Row],[Selling Price]]&lt;50000,"Mid Range","Premium"))</f>
        <v>Budget</v>
      </c>
      <c r="M1332" t="str">
        <f>IF(FlipkartTable[[#This Row],[Rating]]&gt;4.5,"Excellent",IF(FlipkartTable[[#This Row],[Rating]]&gt;4,"Good",IF(FlipkartTable[[#This Row],[Rating]]&gt;3.5,"Average","Poor")))</f>
        <v>Good</v>
      </c>
    </row>
    <row r="1333" spans="1:13" x14ac:dyDescent="0.35">
      <c r="A1333" t="s">
        <v>663</v>
      </c>
      <c r="B1333" s="9" t="s">
        <v>664</v>
      </c>
      <c r="C1333" t="s">
        <v>666</v>
      </c>
      <c r="D1333" t="s">
        <v>14</v>
      </c>
      <c r="E1333" t="s">
        <v>15</v>
      </c>
      <c r="F1333">
        <v>4.3</v>
      </c>
      <c r="G1333">
        <v>14999</v>
      </c>
      <c r="H1333">
        <v>16999</v>
      </c>
      <c r="I1333">
        <f>FlipkartTable[[#This Row],[Original Price]]-FlipkartTable[[#This Row],[Selling Price]]</f>
        <v>2000</v>
      </c>
      <c r="J1333" s="4">
        <f>(FlipkartTable[[#This Row],[Original Price]]-FlipkartTable[[#This Row],[Selling Price]])/FlipkartTable[[#This Row],[Original Price]]</f>
        <v>0.11765397964586152</v>
      </c>
      <c r="K1333">
        <f>(FlipkartTable[[#This Row],[Rating]]/FlipkartTable[[#This Row],[Selling Price]])*1000</f>
        <v>0.28668577905193682</v>
      </c>
      <c r="L1333" t="str">
        <f>IF(FlipkartTable[[#This Row],[Selling Price]]&lt;15000,"Budget",IF(FlipkartTable[[#This Row],[Selling Price]]&lt;50000,"Mid Range","Premium"))</f>
        <v>Budget</v>
      </c>
      <c r="M1333" t="str">
        <f>IF(FlipkartTable[[#This Row],[Rating]]&gt;4.5,"Excellent",IF(FlipkartTable[[#This Row],[Rating]]&gt;4,"Good",IF(FlipkartTable[[#This Row],[Rating]]&gt;3.5,"Average","Poor")))</f>
        <v>Good</v>
      </c>
    </row>
    <row r="1334" spans="1:13" x14ac:dyDescent="0.35">
      <c r="A1334" t="s">
        <v>663</v>
      </c>
      <c r="B1334" s="9" t="s">
        <v>664</v>
      </c>
      <c r="C1334" t="s">
        <v>666</v>
      </c>
      <c r="D1334" t="s">
        <v>11</v>
      </c>
      <c r="E1334" t="s">
        <v>12</v>
      </c>
      <c r="F1334">
        <v>4.3</v>
      </c>
      <c r="G1334">
        <v>12999</v>
      </c>
      <c r="H1334">
        <v>14999</v>
      </c>
      <c r="I1334">
        <f>FlipkartTable[[#This Row],[Original Price]]-FlipkartTable[[#This Row],[Selling Price]]</f>
        <v>2000</v>
      </c>
      <c r="J1334" s="4">
        <f>(FlipkartTable[[#This Row],[Original Price]]-FlipkartTable[[#This Row],[Selling Price]])/FlipkartTable[[#This Row],[Original Price]]</f>
        <v>0.13334222281485433</v>
      </c>
      <c r="K1334">
        <f>(FlipkartTable[[#This Row],[Rating]]/FlipkartTable[[#This Row],[Selling Price]])*1000</f>
        <v>0.33079467651357791</v>
      </c>
      <c r="L1334" t="str">
        <f>IF(FlipkartTable[[#This Row],[Selling Price]]&lt;15000,"Budget",IF(FlipkartTable[[#This Row],[Selling Price]]&lt;50000,"Mid Range","Premium"))</f>
        <v>Budget</v>
      </c>
      <c r="M1334" t="str">
        <f>IF(FlipkartTable[[#This Row],[Rating]]&gt;4.5,"Excellent",IF(FlipkartTable[[#This Row],[Rating]]&gt;4,"Good",IF(FlipkartTable[[#This Row],[Rating]]&gt;3.5,"Average","Poor")))</f>
        <v>Good</v>
      </c>
    </row>
    <row r="1335" spans="1:13" x14ac:dyDescent="0.35">
      <c r="A1335" t="s">
        <v>663</v>
      </c>
      <c r="B1335" s="9" t="s">
        <v>667</v>
      </c>
      <c r="C1335" t="s">
        <v>668</v>
      </c>
      <c r="D1335" t="s">
        <v>11</v>
      </c>
      <c r="E1335" t="s">
        <v>12</v>
      </c>
      <c r="F1335">
        <v>4.2</v>
      </c>
      <c r="G1335">
        <v>11499</v>
      </c>
      <c r="H1335">
        <v>12999</v>
      </c>
      <c r="I1335">
        <f>FlipkartTable[[#This Row],[Original Price]]-FlipkartTable[[#This Row],[Selling Price]]</f>
        <v>1500</v>
      </c>
      <c r="J1335" s="4">
        <f>(FlipkartTable[[#This Row],[Original Price]]-FlipkartTable[[#This Row],[Selling Price]])/FlipkartTable[[#This Row],[Original Price]]</f>
        <v>0.11539349180706208</v>
      </c>
      <c r="K1335">
        <f>(FlipkartTable[[#This Row],[Rating]]/FlipkartTable[[#This Row],[Selling Price]])*1000</f>
        <v>0.36524915210018266</v>
      </c>
      <c r="L1335" t="str">
        <f>IF(FlipkartTable[[#This Row],[Selling Price]]&lt;15000,"Budget",IF(FlipkartTable[[#This Row],[Selling Price]]&lt;50000,"Mid Range","Premium"))</f>
        <v>Budget</v>
      </c>
      <c r="M1335" t="str">
        <f>IF(FlipkartTable[[#This Row],[Rating]]&gt;4.5,"Excellent",IF(FlipkartTable[[#This Row],[Rating]]&gt;4,"Good",IF(FlipkartTable[[#This Row],[Rating]]&gt;3.5,"Average","Poor")))</f>
        <v>Good</v>
      </c>
    </row>
    <row r="1336" spans="1:13" x14ac:dyDescent="0.35">
      <c r="A1336" t="s">
        <v>663</v>
      </c>
      <c r="B1336" s="9" t="s">
        <v>667</v>
      </c>
      <c r="C1336" t="s">
        <v>669</v>
      </c>
      <c r="D1336" t="s">
        <v>11</v>
      </c>
      <c r="E1336" t="s">
        <v>12</v>
      </c>
      <c r="F1336">
        <v>4.2</v>
      </c>
      <c r="G1336">
        <v>11499</v>
      </c>
      <c r="H1336">
        <v>12999</v>
      </c>
      <c r="I1336">
        <f>FlipkartTable[[#This Row],[Original Price]]-FlipkartTable[[#This Row],[Selling Price]]</f>
        <v>1500</v>
      </c>
      <c r="J1336" s="4">
        <f>(FlipkartTable[[#This Row],[Original Price]]-FlipkartTable[[#This Row],[Selling Price]])/FlipkartTable[[#This Row],[Original Price]]</f>
        <v>0.11539349180706208</v>
      </c>
      <c r="K1336">
        <f>(FlipkartTable[[#This Row],[Rating]]/FlipkartTable[[#This Row],[Selling Price]])*1000</f>
        <v>0.36524915210018266</v>
      </c>
      <c r="L1336" t="str">
        <f>IF(FlipkartTable[[#This Row],[Selling Price]]&lt;15000,"Budget",IF(FlipkartTable[[#This Row],[Selling Price]]&lt;50000,"Mid Range","Premium"))</f>
        <v>Budget</v>
      </c>
      <c r="M1336" t="str">
        <f>IF(FlipkartTable[[#This Row],[Rating]]&gt;4.5,"Excellent",IF(FlipkartTable[[#This Row],[Rating]]&gt;4,"Good",IF(FlipkartTable[[#This Row],[Rating]]&gt;3.5,"Average","Poor")))</f>
        <v>Good</v>
      </c>
    </row>
    <row r="1337" spans="1:13" x14ac:dyDescent="0.35">
      <c r="A1337" t="s">
        <v>663</v>
      </c>
      <c r="B1337" s="9" t="s">
        <v>670</v>
      </c>
      <c r="C1337" t="s">
        <v>671</v>
      </c>
      <c r="D1337" t="s">
        <v>27</v>
      </c>
      <c r="E1337" t="s">
        <v>15</v>
      </c>
      <c r="F1337">
        <v>4.3</v>
      </c>
      <c r="G1337">
        <v>20949</v>
      </c>
      <c r="H1337">
        <v>20949</v>
      </c>
      <c r="I1337">
        <f>FlipkartTable[[#This Row],[Original Price]]-FlipkartTable[[#This Row],[Selling Price]]</f>
        <v>0</v>
      </c>
      <c r="J1337" s="4">
        <f>(FlipkartTable[[#This Row],[Original Price]]-FlipkartTable[[#This Row],[Selling Price]])/FlipkartTable[[#This Row],[Original Price]]</f>
        <v>0</v>
      </c>
      <c r="K1337">
        <f>(FlipkartTable[[#This Row],[Rating]]/FlipkartTable[[#This Row],[Selling Price]])*1000</f>
        <v>0.20526039429089693</v>
      </c>
      <c r="L1337" t="str">
        <f>IF(FlipkartTable[[#This Row],[Selling Price]]&lt;15000,"Budget",IF(FlipkartTable[[#This Row],[Selling Price]]&lt;50000,"Mid Range","Premium"))</f>
        <v>Mid Range</v>
      </c>
      <c r="M1337" t="str">
        <f>IF(FlipkartTable[[#This Row],[Rating]]&gt;4.5,"Excellent",IF(FlipkartTable[[#This Row],[Rating]]&gt;4,"Good",IF(FlipkartTable[[#This Row],[Rating]]&gt;3.5,"Average","Poor")))</f>
        <v>Good</v>
      </c>
    </row>
    <row r="1338" spans="1:13" x14ac:dyDescent="0.35">
      <c r="A1338" t="s">
        <v>663</v>
      </c>
      <c r="B1338" s="9" t="s">
        <v>672</v>
      </c>
      <c r="C1338" t="s">
        <v>22</v>
      </c>
      <c r="D1338" t="s">
        <v>20</v>
      </c>
      <c r="E1338" t="s">
        <v>21</v>
      </c>
      <c r="F1338">
        <v>4.2</v>
      </c>
      <c r="G1338">
        <v>9539</v>
      </c>
      <c r="H1338">
        <v>10389</v>
      </c>
      <c r="I1338">
        <f>FlipkartTable[[#This Row],[Original Price]]-FlipkartTable[[#This Row],[Selling Price]]</f>
        <v>850</v>
      </c>
      <c r="J1338" s="4">
        <f>(FlipkartTable[[#This Row],[Original Price]]-FlipkartTable[[#This Row],[Selling Price]])/FlipkartTable[[#This Row],[Original Price]]</f>
        <v>8.1817306766772555E-2</v>
      </c>
      <c r="K1338">
        <f>(FlipkartTable[[#This Row],[Rating]]/FlipkartTable[[#This Row],[Selling Price]])*1000</f>
        <v>0.44029772512842019</v>
      </c>
      <c r="L1338" t="str">
        <f>IF(FlipkartTable[[#This Row],[Selling Price]]&lt;15000,"Budget",IF(FlipkartTable[[#This Row],[Selling Price]]&lt;50000,"Mid Range","Premium"))</f>
        <v>Budget</v>
      </c>
      <c r="M1338" t="str">
        <f>IF(FlipkartTable[[#This Row],[Rating]]&gt;4.5,"Excellent",IF(FlipkartTable[[#This Row],[Rating]]&gt;4,"Good",IF(FlipkartTable[[#This Row],[Rating]]&gt;3.5,"Average","Poor")))</f>
        <v>Good</v>
      </c>
    </row>
    <row r="1339" spans="1:13" x14ac:dyDescent="0.35">
      <c r="A1339" t="s">
        <v>663</v>
      </c>
      <c r="B1339" s="9" t="s">
        <v>667</v>
      </c>
      <c r="C1339" t="s">
        <v>673</v>
      </c>
      <c r="D1339" t="s">
        <v>11</v>
      </c>
      <c r="E1339" t="s">
        <v>12</v>
      </c>
      <c r="F1339">
        <v>4.2</v>
      </c>
      <c r="G1339">
        <v>11499</v>
      </c>
      <c r="H1339">
        <v>12999</v>
      </c>
      <c r="I1339">
        <f>FlipkartTable[[#This Row],[Original Price]]-FlipkartTable[[#This Row],[Selling Price]]</f>
        <v>1500</v>
      </c>
      <c r="J1339" s="4">
        <f>(FlipkartTable[[#This Row],[Original Price]]-FlipkartTable[[#This Row],[Selling Price]])/FlipkartTable[[#This Row],[Original Price]]</f>
        <v>0.11539349180706208</v>
      </c>
      <c r="K1339">
        <f>(FlipkartTable[[#This Row],[Rating]]/FlipkartTable[[#This Row],[Selling Price]])*1000</f>
        <v>0.36524915210018266</v>
      </c>
      <c r="L1339" t="str">
        <f>IF(FlipkartTable[[#This Row],[Selling Price]]&lt;15000,"Budget",IF(FlipkartTable[[#This Row],[Selling Price]]&lt;50000,"Mid Range","Premium"))</f>
        <v>Budget</v>
      </c>
      <c r="M1339" t="str">
        <f>IF(FlipkartTable[[#This Row],[Rating]]&gt;4.5,"Excellent",IF(FlipkartTable[[#This Row],[Rating]]&gt;4,"Good",IF(FlipkartTable[[#This Row],[Rating]]&gt;3.5,"Average","Poor")))</f>
        <v>Good</v>
      </c>
    </row>
    <row r="1340" spans="1:13" x14ac:dyDescent="0.35">
      <c r="A1340" t="s">
        <v>663</v>
      </c>
      <c r="B1340" s="9" t="s">
        <v>674</v>
      </c>
      <c r="C1340" t="s">
        <v>22</v>
      </c>
      <c r="D1340" t="s">
        <v>35</v>
      </c>
      <c r="E1340" t="s">
        <v>21</v>
      </c>
      <c r="F1340">
        <v>4</v>
      </c>
      <c r="G1340">
        <v>8299</v>
      </c>
      <c r="H1340">
        <v>8499</v>
      </c>
      <c r="I1340">
        <f>FlipkartTable[[#This Row],[Original Price]]-FlipkartTable[[#This Row],[Selling Price]]</f>
        <v>200</v>
      </c>
      <c r="J1340" s="4">
        <f>(FlipkartTable[[#This Row],[Original Price]]-FlipkartTable[[#This Row],[Selling Price]])/FlipkartTable[[#This Row],[Original Price]]</f>
        <v>2.3532180256500765E-2</v>
      </c>
      <c r="K1340">
        <f>(FlipkartTable[[#This Row],[Rating]]/FlipkartTable[[#This Row],[Selling Price]])*1000</f>
        <v>0.48198578141944814</v>
      </c>
      <c r="L1340" t="str">
        <f>IF(FlipkartTable[[#This Row],[Selling Price]]&lt;15000,"Budget",IF(FlipkartTable[[#This Row],[Selling Price]]&lt;50000,"Mid Range","Premium"))</f>
        <v>Budget</v>
      </c>
      <c r="M1340" t="str">
        <f>IF(FlipkartTable[[#This Row],[Rating]]&gt;4.5,"Excellent",IF(FlipkartTable[[#This Row],[Rating]]&gt;4,"Good",IF(FlipkartTable[[#This Row],[Rating]]&gt;3.5,"Average","Poor")))</f>
        <v>Average</v>
      </c>
    </row>
    <row r="1341" spans="1:13" x14ac:dyDescent="0.35">
      <c r="A1341" t="s">
        <v>663</v>
      </c>
      <c r="B1341" s="9" t="s">
        <v>675</v>
      </c>
      <c r="C1341" t="s">
        <v>22</v>
      </c>
      <c r="D1341" t="s">
        <v>11</v>
      </c>
      <c r="E1341" t="s">
        <v>12</v>
      </c>
      <c r="F1341">
        <v>4.2</v>
      </c>
      <c r="G1341">
        <v>15999</v>
      </c>
      <c r="H1341">
        <v>15999</v>
      </c>
      <c r="I1341">
        <f>FlipkartTable[[#This Row],[Original Price]]-FlipkartTable[[#This Row],[Selling Price]]</f>
        <v>0</v>
      </c>
      <c r="J1341" s="4">
        <f>(FlipkartTable[[#This Row],[Original Price]]-FlipkartTable[[#This Row],[Selling Price]])/FlipkartTable[[#This Row],[Original Price]]</f>
        <v>0</v>
      </c>
      <c r="K1341">
        <f>(FlipkartTable[[#This Row],[Rating]]/FlipkartTable[[#This Row],[Selling Price]])*1000</f>
        <v>0.26251640727545478</v>
      </c>
      <c r="L1341" t="str">
        <f>IF(FlipkartTable[[#This Row],[Selling Price]]&lt;15000,"Budget",IF(FlipkartTable[[#This Row],[Selling Price]]&lt;50000,"Mid Range","Premium"))</f>
        <v>Mid Range</v>
      </c>
      <c r="M1341" t="str">
        <f>IF(FlipkartTable[[#This Row],[Rating]]&gt;4.5,"Excellent",IF(FlipkartTable[[#This Row],[Rating]]&gt;4,"Good",IF(FlipkartTable[[#This Row],[Rating]]&gt;3.5,"Average","Poor")))</f>
        <v>Good</v>
      </c>
    </row>
    <row r="1342" spans="1:13" x14ac:dyDescent="0.35">
      <c r="A1342" t="s">
        <v>663</v>
      </c>
      <c r="B1342" s="9" t="s">
        <v>676</v>
      </c>
      <c r="C1342" t="s">
        <v>19</v>
      </c>
      <c r="D1342" t="s">
        <v>14</v>
      </c>
      <c r="E1342" t="s">
        <v>15</v>
      </c>
      <c r="F1342">
        <v>4.3</v>
      </c>
      <c r="G1342">
        <v>18499</v>
      </c>
      <c r="H1342">
        <v>20499</v>
      </c>
      <c r="I1342">
        <f>FlipkartTable[[#This Row],[Original Price]]-FlipkartTable[[#This Row],[Selling Price]]</f>
        <v>2000</v>
      </c>
      <c r="J1342" s="4">
        <f>(FlipkartTable[[#This Row],[Original Price]]-FlipkartTable[[#This Row],[Selling Price]])/FlipkartTable[[#This Row],[Original Price]]</f>
        <v>9.7565734913898236E-2</v>
      </c>
      <c r="K1342">
        <f>(FlipkartTable[[#This Row],[Rating]]/FlipkartTable[[#This Row],[Selling Price]])*1000</f>
        <v>0.2324449970268663</v>
      </c>
      <c r="L1342" t="str">
        <f>IF(FlipkartTable[[#This Row],[Selling Price]]&lt;15000,"Budget",IF(FlipkartTable[[#This Row],[Selling Price]]&lt;50000,"Mid Range","Premium"))</f>
        <v>Mid Range</v>
      </c>
      <c r="M1342" t="str">
        <f>IF(FlipkartTable[[#This Row],[Rating]]&gt;4.5,"Excellent",IF(FlipkartTable[[#This Row],[Rating]]&gt;4,"Good",IF(FlipkartTable[[#This Row],[Rating]]&gt;3.5,"Average","Poor")))</f>
        <v>Good</v>
      </c>
    </row>
    <row r="1343" spans="1:13" x14ac:dyDescent="0.35">
      <c r="A1343" t="s">
        <v>663</v>
      </c>
      <c r="B1343" s="9" t="s">
        <v>667</v>
      </c>
      <c r="C1343" t="s">
        <v>668</v>
      </c>
      <c r="D1343" t="s">
        <v>11</v>
      </c>
      <c r="E1343" t="s">
        <v>15</v>
      </c>
      <c r="F1343">
        <v>4.2</v>
      </c>
      <c r="G1343">
        <v>12499</v>
      </c>
      <c r="H1343">
        <v>13999</v>
      </c>
      <c r="I1343">
        <f>FlipkartTable[[#This Row],[Original Price]]-FlipkartTable[[#This Row],[Selling Price]]</f>
        <v>1500</v>
      </c>
      <c r="J1343" s="4">
        <f>(FlipkartTable[[#This Row],[Original Price]]-FlipkartTable[[#This Row],[Selling Price]])/FlipkartTable[[#This Row],[Original Price]]</f>
        <v>0.10715051075076791</v>
      </c>
      <c r="K1343">
        <f>(FlipkartTable[[#This Row],[Rating]]/FlipkartTable[[#This Row],[Selling Price]])*1000</f>
        <v>0.33602688215057208</v>
      </c>
      <c r="L1343" t="str">
        <f>IF(FlipkartTable[[#This Row],[Selling Price]]&lt;15000,"Budget",IF(FlipkartTable[[#This Row],[Selling Price]]&lt;50000,"Mid Range","Premium"))</f>
        <v>Budget</v>
      </c>
      <c r="M1343" t="str">
        <f>IF(FlipkartTable[[#This Row],[Rating]]&gt;4.5,"Excellent",IF(FlipkartTable[[#This Row],[Rating]]&gt;4,"Good",IF(FlipkartTable[[#This Row],[Rating]]&gt;3.5,"Average","Poor")))</f>
        <v>Good</v>
      </c>
    </row>
    <row r="1344" spans="1:13" x14ac:dyDescent="0.35">
      <c r="A1344" t="s">
        <v>663</v>
      </c>
      <c r="B1344" s="9" t="s">
        <v>677</v>
      </c>
      <c r="C1344" t="s">
        <v>678</v>
      </c>
      <c r="D1344" t="s">
        <v>14</v>
      </c>
      <c r="E1344" t="s">
        <v>15</v>
      </c>
      <c r="F1344">
        <v>4.3</v>
      </c>
      <c r="G1344">
        <v>19818</v>
      </c>
      <c r="H1344">
        <v>20969</v>
      </c>
      <c r="I1344">
        <f>FlipkartTable[[#This Row],[Original Price]]-FlipkartTable[[#This Row],[Selling Price]]</f>
        <v>1151</v>
      </c>
      <c r="J1344" s="4">
        <f>(FlipkartTable[[#This Row],[Original Price]]-FlipkartTable[[#This Row],[Selling Price]])/FlipkartTable[[#This Row],[Original Price]]</f>
        <v>5.4890552720682911E-2</v>
      </c>
      <c r="K1344">
        <f>(FlipkartTable[[#This Row],[Rating]]/FlipkartTable[[#This Row],[Selling Price]])*1000</f>
        <v>0.21697446765566655</v>
      </c>
      <c r="L1344" t="str">
        <f>IF(FlipkartTable[[#This Row],[Selling Price]]&lt;15000,"Budget",IF(FlipkartTable[[#This Row],[Selling Price]]&lt;50000,"Mid Range","Premium"))</f>
        <v>Mid Range</v>
      </c>
      <c r="M1344" t="str">
        <f>IF(FlipkartTable[[#This Row],[Rating]]&gt;4.5,"Excellent",IF(FlipkartTable[[#This Row],[Rating]]&gt;4,"Good",IF(FlipkartTable[[#This Row],[Rating]]&gt;3.5,"Average","Poor")))</f>
        <v>Good</v>
      </c>
    </row>
    <row r="1345" spans="1:13" x14ac:dyDescent="0.35">
      <c r="A1345" t="s">
        <v>663</v>
      </c>
      <c r="B1345" s="9" t="s">
        <v>679</v>
      </c>
      <c r="C1345" t="s">
        <v>22</v>
      </c>
      <c r="D1345" t="s">
        <v>11</v>
      </c>
      <c r="E1345" t="s">
        <v>12</v>
      </c>
      <c r="F1345">
        <v>4.2</v>
      </c>
      <c r="G1345">
        <v>11510</v>
      </c>
      <c r="H1345">
        <v>11510</v>
      </c>
      <c r="I1345">
        <f>FlipkartTable[[#This Row],[Original Price]]-FlipkartTable[[#This Row],[Selling Price]]</f>
        <v>0</v>
      </c>
      <c r="J1345" s="4">
        <f>(FlipkartTable[[#This Row],[Original Price]]-FlipkartTable[[#This Row],[Selling Price]])/FlipkartTable[[#This Row],[Original Price]]</f>
        <v>0</v>
      </c>
      <c r="K1345">
        <f>(FlipkartTable[[#This Row],[Rating]]/FlipkartTable[[#This Row],[Selling Price]])*1000</f>
        <v>0.36490008688097308</v>
      </c>
      <c r="L1345" t="str">
        <f>IF(FlipkartTable[[#This Row],[Selling Price]]&lt;15000,"Budget",IF(FlipkartTable[[#This Row],[Selling Price]]&lt;50000,"Mid Range","Premium"))</f>
        <v>Budget</v>
      </c>
      <c r="M1345" t="str">
        <f>IF(FlipkartTable[[#This Row],[Rating]]&gt;4.5,"Excellent",IF(FlipkartTable[[#This Row],[Rating]]&gt;4,"Good",IF(FlipkartTable[[#This Row],[Rating]]&gt;3.5,"Average","Poor")))</f>
        <v>Good</v>
      </c>
    </row>
    <row r="1346" spans="1:13" x14ac:dyDescent="0.35">
      <c r="A1346" t="s">
        <v>663</v>
      </c>
      <c r="B1346" s="9" t="s">
        <v>680</v>
      </c>
      <c r="C1346" t="s">
        <v>183</v>
      </c>
      <c r="D1346" t="s">
        <v>14</v>
      </c>
      <c r="E1346" t="s">
        <v>15</v>
      </c>
      <c r="F1346">
        <v>4.3</v>
      </c>
      <c r="G1346">
        <v>17845</v>
      </c>
      <c r="H1346">
        <v>17999</v>
      </c>
      <c r="I1346">
        <f>FlipkartTable[[#This Row],[Original Price]]-FlipkartTable[[#This Row],[Selling Price]]</f>
        <v>154</v>
      </c>
      <c r="J1346" s="4">
        <f>(FlipkartTable[[#This Row],[Original Price]]-FlipkartTable[[#This Row],[Selling Price]])/FlipkartTable[[#This Row],[Original Price]]</f>
        <v>8.5560308906050334E-3</v>
      </c>
      <c r="K1346">
        <f>(FlipkartTable[[#This Row],[Rating]]/FlipkartTable[[#This Row],[Selling Price]])*1000</f>
        <v>0.24096385542168675</v>
      </c>
      <c r="L1346" t="str">
        <f>IF(FlipkartTable[[#This Row],[Selling Price]]&lt;15000,"Budget",IF(FlipkartTable[[#This Row],[Selling Price]]&lt;50000,"Mid Range","Premium"))</f>
        <v>Mid Range</v>
      </c>
      <c r="M1346" t="str">
        <f>IF(FlipkartTable[[#This Row],[Rating]]&gt;4.5,"Excellent",IF(FlipkartTable[[#This Row],[Rating]]&gt;4,"Good",IF(FlipkartTable[[#This Row],[Rating]]&gt;3.5,"Average","Poor")))</f>
        <v>Good</v>
      </c>
    </row>
    <row r="1347" spans="1:13" x14ac:dyDescent="0.35">
      <c r="A1347" t="s">
        <v>663</v>
      </c>
      <c r="B1347" s="9" t="s">
        <v>672</v>
      </c>
      <c r="C1347" t="s">
        <v>19</v>
      </c>
      <c r="D1347" t="s">
        <v>20</v>
      </c>
      <c r="E1347" t="s">
        <v>21</v>
      </c>
      <c r="F1347">
        <v>4.2</v>
      </c>
      <c r="G1347">
        <v>9639</v>
      </c>
      <c r="H1347">
        <v>9639</v>
      </c>
      <c r="I1347">
        <f>FlipkartTable[[#This Row],[Original Price]]-FlipkartTable[[#This Row],[Selling Price]]</f>
        <v>0</v>
      </c>
      <c r="J1347" s="4">
        <f>(FlipkartTable[[#This Row],[Original Price]]-FlipkartTable[[#This Row],[Selling Price]])/FlipkartTable[[#This Row],[Original Price]]</f>
        <v>0</v>
      </c>
      <c r="K1347">
        <f>(FlipkartTable[[#This Row],[Rating]]/FlipkartTable[[#This Row],[Selling Price]])*1000</f>
        <v>0.4357298474945534</v>
      </c>
      <c r="L1347" t="str">
        <f>IF(FlipkartTable[[#This Row],[Selling Price]]&lt;15000,"Budget",IF(FlipkartTable[[#This Row],[Selling Price]]&lt;50000,"Mid Range","Premium"))</f>
        <v>Budget</v>
      </c>
      <c r="M1347" t="str">
        <f>IF(FlipkartTable[[#This Row],[Rating]]&gt;4.5,"Excellent",IF(FlipkartTable[[#This Row],[Rating]]&gt;4,"Good",IF(FlipkartTable[[#This Row],[Rating]]&gt;3.5,"Average","Poor")))</f>
        <v>Good</v>
      </c>
    </row>
    <row r="1348" spans="1:13" x14ac:dyDescent="0.35">
      <c r="A1348" t="s">
        <v>663</v>
      </c>
      <c r="B1348" s="9" t="s">
        <v>675</v>
      </c>
      <c r="C1348" t="s">
        <v>19</v>
      </c>
      <c r="D1348" t="s">
        <v>11</v>
      </c>
      <c r="E1348" t="s">
        <v>12</v>
      </c>
      <c r="F1348">
        <v>4.2</v>
      </c>
      <c r="G1348">
        <v>11989</v>
      </c>
      <c r="H1348">
        <v>11989</v>
      </c>
      <c r="I1348">
        <f>FlipkartTable[[#This Row],[Original Price]]-FlipkartTable[[#This Row],[Selling Price]]</f>
        <v>0</v>
      </c>
      <c r="J1348" s="4">
        <f>(FlipkartTable[[#This Row],[Original Price]]-FlipkartTable[[#This Row],[Selling Price]])/FlipkartTable[[#This Row],[Original Price]]</f>
        <v>0</v>
      </c>
      <c r="K1348">
        <f>(FlipkartTable[[#This Row],[Rating]]/FlipkartTable[[#This Row],[Selling Price]])*1000</f>
        <v>0.35032112770039203</v>
      </c>
      <c r="L1348" t="str">
        <f>IF(FlipkartTable[[#This Row],[Selling Price]]&lt;15000,"Budget",IF(FlipkartTable[[#This Row],[Selling Price]]&lt;50000,"Mid Range","Premium"))</f>
        <v>Budget</v>
      </c>
      <c r="M1348" t="str">
        <f>IF(FlipkartTable[[#This Row],[Rating]]&gt;4.5,"Excellent",IF(FlipkartTable[[#This Row],[Rating]]&gt;4,"Good",IF(FlipkartTable[[#This Row],[Rating]]&gt;3.5,"Average","Poor")))</f>
        <v>Good</v>
      </c>
    </row>
    <row r="1349" spans="1:13" x14ac:dyDescent="0.35">
      <c r="A1349" t="s">
        <v>663</v>
      </c>
      <c r="B1349" s="9" t="s">
        <v>674</v>
      </c>
      <c r="C1349" t="s">
        <v>141</v>
      </c>
      <c r="D1349" t="s">
        <v>20</v>
      </c>
      <c r="E1349" t="s">
        <v>21</v>
      </c>
      <c r="F1349">
        <v>4</v>
      </c>
      <c r="G1349">
        <v>8850</v>
      </c>
      <c r="H1349">
        <v>9998</v>
      </c>
      <c r="I1349">
        <f>FlipkartTable[[#This Row],[Original Price]]-FlipkartTable[[#This Row],[Selling Price]]</f>
        <v>1148</v>
      </c>
      <c r="J1349" s="4">
        <f>(FlipkartTable[[#This Row],[Original Price]]-FlipkartTable[[#This Row],[Selling Price]])/FlipkartTable[[#This Row],[Original Price]]</f>
        <v>0.11482296459291859</v>
      </c>
      <c r="K1349">
        <f>(FlipkartTable[[#This Row],[Rating]]/FlipkartTable[[#This Row],[Selling Price]])*1000</f>
        <v>0.4519774011299435</v>
      </c>
      <c r="L1349" t="str">
        <f>IF(FlipkartTable[[#This Row],[Selling Price]]&lt;15000,"Budget",IF(FlipkartTable[[#This Row],[Selling Price]]&lt;50000,"Mid Range","Premium"))</f>
        <v>Budget</v>
      </c>
      <c r="M1349" t="str">
        <f>IF(FlipkartTable[[#This Row],[Rating]]&gt;4.5,"Excellent",IF(FlipkartTable[[#This Row],[Rating]]&gt;4,"Good",IF(FlipkartTable[[#This Row],[Rating]]&gt;3.5,"Average","Poor")))</f>
        <v>Average</v>
      </c>
    </row>
    <row r="1350" spans="1:13" x14ac:dyDescent="0.35">
      <c r="A1350" t="s">
        <v>663</v>
      </c>
      <c r="B1350" s="9" t="s">
        <v>675</v>
      </c>
      <c r="C1350" t="s">
        <v>22</v>
      </c>
      <c r="D1350" t="s">
        <v>11</v>
      </c>
      <c r="E1350" t="s">
        <v>12</v>
      </c>
      <c r="F1350">
        <v>4.2</v>
      </c>
      <c r="G1350">
        <v>12144</v>
      </c>
      <c r="H1350">
        <v>12144</v>
      </c>
      <c r="I1350">
        <f>FlipkartTable[[#This Row],[Original Price]]-FlipkartTable[[#This Row],[Selling Price]]</f>
        <v>0</v>
      </c>
      <c r="J1350" s="4">
        <f>(FlipkartTable[[#This Row],[Original Price]]-FlipkartTable[[#This Row],[Selling Price]])/FlipkartTable[[#This Row],[Original Price]]</f>
        <v>0</v>
      </c>
      <c r="K1350">
        <f>(FlipkartTable[[#This Row],[Rating]]/FlipkartTable[[#This Row],[Selling Price]])*1000</f>
        <v>0.3458498023715415</v>
      </c>
      <c r="L1350" t="str">
        <f>IF(FlipkartTable[[#This Row],[Selling Price]]&lt;15000,"Budget",IF(FlipkartTable[[#This Row],[Selling Price]]&lt;50000,"Mid Range","Premium"))</f>
        <v>Budget</v>
      </c>
      <c r="M1350" t="str">
        <f>IF(FlipkartTable[[#This Row],[Rating]]&gt;4.5,"Excellent",IF(FlipkartTable[[#This Row],[Rating]]&gt;4,"Good",IF(FlipkartTable[[#This Row],[Rating]]&gt;3.5,"Average","Poor")))</f>
        <v>Good</v>
      </c>
    </row>
    <row r="1351" spans="1:13" x14ac:dyDescent="0.35">
      <c r="A1351" t="s">
        <v>663</v>
      </c>
      <c r="B1351" s="9" t="s">
        <v>667</v>
      </c>
      <c r="C1351" t="s">
        <v>669</v>
      </c>
      <c r="D1351" t="s">
        <v>11</v>
      </c>
      <c r="E1351" t="s">
        <v>15</v>
      </c>
      <c r="F1351">
        <v>4.2</v>
      </c>
      <c r="G1351">
        <v>12499</v>
      </c>
      <c r="H1351">
        <v>13999</v>
      </c>
      <c r="I1351">
        <f>FlipkartTable[[#This Row],[Original Price]]-FlipkartTable[[#This Row],[Selling Price]]</f>
        <v>1500</v>
      </c>
      <c r="J1351" s="4">
        <f>(FlipkartTable[[#This Row],[Original Price]]-FlipkartTable[[#This Row],[Selling Price]])/FlipkartTable[[#This Row],[Original Price]]</f>
        <v>0.10715051075076791</v>
      </c>
      <c r="K1351">
        <f>(FlipkartTable[[#This Row],[Rating]]/FlipkartTable[[#This Row],[Selling Price]])*1000</f>
        <v>0.33602688215057208</v>
      </c>
      <c r="L1351" t="str">
        <f>IF(FlipkartTable[[#This Row],[Selling Price]]&lt;15000,"Budget",IF(FlipkartTable[[#This Row],[Selling Price]]&lt;50000,"Mid Range","Premium"))</f>
        <v>Budget</v>
      </c>
      <c r="M1351" t="str">
        <f>IF(FlipkartTable[[#This Row],[Rating]]&gt;4.5,"Excellent",IF(FlipkartTable[[#This Row],[Rating]]&gt;4,"Good",IF(FlipkartTable[[#This Row],[Rating]]&gt;3.5,"Average","Poor")))</f>
        <v>Good</v>
      </c>
    </row>
    <row r="1352" spans="1:13" x14ac:dyDescent="0.35">
      <c r="A1352" t="s">
        <v>663</v>
      </c>
      <c r="B1352" s="9" t="s">
        <v>681</v>
      </c>
      <c r="C1352" t="s">
        <v>682</v>
      </c>
      <c r="D1352" t="s">
        <v>11</v>
      </c>
      <c r="E1352" t="s">
        <v>12</v>
      </c>
      <c r="F1352">
        <v>4</v>
      </c>
      <c r="G1352">
        <v>13224</v>
      </c>
      <c r="H1352">
        <v>13899</v>
      </c>
      <c r="I1352">
        <f>FlipkartTable[[#This Row],[Original Price]]-FlipkartTable[[#This Row],[Selling Price]]</f>
        <v>675</v>
      </c>
      <c r="J1352" s="4">
        <f>(FlipkartTable[[#This Row],[Original Price]]-FlipkartTable[[#This Row],[Selling Price]])/FlipkartTable[[#This Row],[Original Price]]</f>
        <v>4.856464493848478E-2</v>
      </c>
      <c r="K1352">
        <f>(FlipkartTable[[#This Row],[Rating]]/FlipkartTable[[#This Row],[Selling Price]])*1000</f>
        <v>0.30248033877797947</v>
      </c>
      <c r="L1352" t="str">
        <f>IF(FlipkartTable[[#This Row],[Selling Price]]&lt;15000,"Budget",IF(FlipkartTable[[#This Row],[Selling Price]]&lt;50000,"Mid Range","Premium"))</f>
        <v>Budget</v>
      </c>
      <c r="M1352" t="str">
        <f>IF(FlipkartTable[[#This Row],[Rating]]&gt;4.5,"Excellent",IF(FlipkartTable[[#This Row],[Rating]]&gt;4,"Good",IF(FlipkartTable[[#This Row],[Rating]]&gt;3.5,"Average","Poor")))</f>
        <v>Average</v>
      </c>
    </row>
    <row r="1353" spans="1:13" x14ac:dyDescent="0.35">
      <c r="A1353" t="s">
        <v>663</v>
      </c>
      <c r="B1353" s="9" t="s">
        <v>667</v>
      </c>
      <c r="C1353" t="s">
        <v>673</v>
      </c>
      <c r="D1353" t="s">
        <v>11</v>
      </c>
      <c r="E1353" t="s">
        <v>15</v>
      </c>
      <c r="F1353">
        <v>4.2</v>
      </c>
      <c r="G1353">
        <v>12499</v>
      </c>
      <c r="H1353">
        <v>13999</v>
      </c>
      <c r="I1353">
        <f>FlipkartTable[[#This Row],[Original Price]]-FlipkartTable[[#This Row],[Selling Price]]</f>
        <v>1500</v>
      </c>
      <c r="J1353" s="4">
        <f>(FlipkartTable[[#This Row],[Original Price]]-FlipkartTable[[#This Row],[Selling Price]])/FlipkartTable[[#This Row],[Original Price]]</f>
        <v>0.10715051075076791</v>
      </c>
      <c r="K1353">
        <f>(FlipkartTable[[#This Row],[Rating]]/FlipkartTable[[#This Row],[Selling Price]])*1000</f>
        <v>0.33602688215057208</v>
      </c>
      <c r="L1353" t="str">
        <f>IF(FlipkartTable[[#This Row],[Selling Price]]&lt;15000,"Budget",IF(FlipkartTable[[#This Row],[Selling Price]]&lt;50000,"Mid Range","Premium"))</f>
        <v>Budget</v>
      </c>
      <c r="M1353" t="str">
        <f>IF(FlipkartTable[[#This Row],[Rating]]&gt;4.5,"Excellent",IF(FlipkartTable[[#This Row],[Rating]]&gt;4,"Good",IF(FlipkartTable[[#This Row],[Rating]]&gt;3.5,"Average","Poor")))</f>
        <v>Good</v>
      </c>
    </row>
    <row r="1354" spans="1:13" x14ac:dyDescent="0.35">
      <c r="A1354" t="s">
        <v>663</v>
      </c>
      <c r="B1354" s="9" t="s">
        <v>677</v>
      </c>
      <c r="C1354" t="s">
        <v>678</v>
      </c>
      <c r="D1354" t="s">
        <v>27</v>
      </c>
      <c r="E1354" t="s">
        <v>15</v>
      </c>
      <c r="F1354">
        <v>4.2</v>
      </c>
      <c r="G1354">
        <v>23596</v>
      </c>
      <c r="H1354">
        <v>23696</v>
      </c>
      <c r="I1354">
        <f>FlipkartTable[[#This Row],[Original Price]]-FlipkartTable[[#This Row],[Selling Price]]</f>
        <v>100</v>
      </c>
      <c r="J1354" s="4">
        <f>(FlipkartTable[[#This Row],[Original Price]]-FlipkartTable[[#This Row],[Selling Price]])/FlipkartTable[[#This Row],[Original Price]]</f>
        <v>4.2201215395003379E-3</v>
      </c>
      <c r="K1354">
        <f>(FlipkartTable[[#This Row],[Rating]]/FlipkartTable[[#This Row],[Selling Price]])*1000</f>
        <v>0.17799627055433126</v>
      </c>
      <c r="L1354" t="str">
        <f>IF(FlipkartTable[[#This Row],[Selling Price]]&lt;15000,"Budget",IF(FlipkartTable[[#This Row],[Selling Price]]&lt;50000,"Mid Range","Premium"))</f>
        <v>Mid Range</v>
      </c>
      <c r="M1354" t="str">
        <f>IF(FlipkartTable[[#This Row],[Rating]]&gt;4.5,"Excellent",IF(FlipkartTable[[#This Row],[Rating]]&gt;4,"Good",IF(FlipkartTable[[#This Row],[Rating]]&gt;3.5,"Average","Poor")))</f>
        <v>Good</v>
      </c>
    </row>
    <row r="1355" spans="1:13" x14ac:dyDescent="0.35">
      <c r="A1355" t="s">
        <v>663</v>
      </c>
      <c r="B1355" s="9" t="s">
        <v>683</v>
      </c>
      <c r="C1355" t="s">
        <v>22</v>
      </c>
      <c r="D1355" t="s">
        <v>14</v>
      </c>
      <c r="E1355" t="s">
        <v>12</v>
      </c>
      <c r="F1355">
        <v>4.2</v>
      </c>
      <c r="G1355">
        <v>14839</v>
      </c>
      <c r="H1355">
        <v>16900</v>
      </c>
      <c r="I1355">
        <f>FlipkartTable[[#This Row],[Original Price]]-FlipkartTable[[#This Row],[Selling Price]]</f>
        <v>2061</v>
      </c>
      <c r="J1355" s="4">
        <f>(FlipkartTable[[#This Row],[Original Price]]-FlipkartTable[[#This Row],[Selling Price]])/FlipkartTable[[#This Row],[Original Price]]</f>
        <v>0.12195266272189349</v>
      </c>
      <c r="K1355">
        <f>(FlipkartTable[[#This Row],[Rating]]/FlipkartTable[[#This Row],[Selling Price]])*1000</f>
        <v>0.28303794056203246</v>
      </c>
      <c r="L1355" t="str">
        <f>IF(FlipkartTable[[#This Row],[Selling Price]]&lt;15000,"Budget",IF(FlipkartTable[[#This Row],[Selling Price]]&lt;50000,"Mid Range","Premium"))</f>
        <v>Budget</v>
      </c>
      <c r="M1355" t="str">
        <f>IF(FlipkartTable[[#This Row],[Rating]]&gt;4.5,"Excellent",IF(FlipkartTable[[#This Row],[Rating]]&gt;4,"Good",IF(FlipkartTable[[#This Row],[Rating]]&gt;3.5,"Average","Poor")))</f>
        <v>Good</v>
      </c>
    </row>
    <row r="1356" spans="1:13" x14ac:dyDescent="0.35">
      <c r="A1356" t="s">
        <v>663</v>
      </c>
      <c r="B1356" s="9" t="s">
        <v>684</v>
      </c>
      <c r="C1356" t="s">
        <v>685</v>
      </c>
      <c r="D1356" t="s">
        <v>27</v>
      </c>
      <c r="E1356" t="s">
        <v>15</v>
      </c>
      <c r="F1356">
        <v>4.3</v>
      </c>
      <c r="G1356">
        <v>19330</v>
      </c>
      <c r="H1356">
        <v>20999</v>
      </c>
      <c r="I1356">
        <f>FlipkartTable[[#This Row],[Original Price]]-FlipkartTable[[#This Row],[Selling Price]]</f>
        <v>1669</v>
      </c>
      <c r="J1356" s="4">
        <f>(FlipkartTable[[#This Row],[Original Price]]-FlipkartTable[[#This Row],[Selling Price]])/FlipkartTable[[#This Row],[Original Price]]</f>
        <v>7.9479975236916037E-2</v>
      </c>
      <c r="K1356">
        <f>(FlipkartTable[[#This Row],[Rating]]/FlipkartTable[[#This Row],[Selling Price]])*1000</f>
        <v>0.22245214692188306</v>
      </c>
      <c r="L1356" t="str">
        <f>IF(FlipkartTable[[#This Row],[Selling Price]]&lt;15000,"Budget",IF(FlipkartTable[[#This Row],[Selling Price]]&lt;50000,"Mid Range","Premium"))</f>
        <v>Mid Range</v>
      </c>
      <c r="M1356" t="str">
        <f>IF(FlipkartTable[[#This Row],[Rating]]&gt;4.5,"Excellent",IF(FlipkartTable[[#This Row],[Rating]]&gt;4,"Good",IF(FlipkartTable[[#This Row],[Rating]]&gt;3.5,"Average","Poor")))</f>
        <v>Good</v>
      </c>
    </row>
    <row r="1357" spans="1:13" x14ac:dyDescent="0.35">
      <c r="A1357" t="s">
        <v>663</v>
      </c>
      <c r="B1357" s="9" t="s">
        <v>675</v>
      </c>
      <c r="C1357" t="s">
        <v>152</v>
      </c>
      <c r="D1357" t="s">
        <v>11</v>
      </c>
      <c r="E1357" t="s">
        <v>12</v>
      </c>
      <c r="F1357">
        <v>4.2</v>
      </c>
      <c r="G1357">
        <v>15999</v>
      </c>
      <c r="H1357">
        <v>15999</v>
      </c>
      <c r="I1357">
        <f>FlipkartTable[[#This Row],[Original Price]]-FlipkartTable[[#This Row],[Selling Price]]</f>
        <v>0</v>
      </c>
      <c r="J1357" s="4">
        <f>(FlipkartTable[[#This Row],[Original Price]]-FlipkartTable[[#This Row],[Selling Price]])/FlipkartTable[[#This Row],[Original Price]]</f>
        <v>0</v>
      </c>
      <c r="K1357">
        <f>(FlipkartTable[[#This Row],[Rating]]/FlipkartTable[[#This Row],[Selling Price]])*1000</f>
        <v>0.26251640727545478</v>
      </c>
      <c r="L1357" t="str">
        <f>IF(FlipkartTable[[#This Row],[Selling Price]]&lt;15000,"Budget",IF(FlipkartTable[[#This Row],[Selling Price]]&lt;50000,"Mid Range","Premium"))</f>
        <v>Mid Range</v>
      </c>
      <c r="M1357" t="str">
        <f>IF(FlipkartTable[[#This Row],[Rating]]&gt;4.5,"Excellent",IF(FlipkartTable[[#This Row],[Rating]]&gt;4,"Good",IF(FlipkartTable[[#This Row],[Rating]]&gt;3.5,"Average","Poor")))</f>
        <v>Good</v>
      </c>
    </row>
    <row r="1358" spans="1:13" x14ac:dyDescent="0.35">
      <c r="A1358" t="s">
        <v>663</v>
      </c>
      <c r="B1358" s="9" t="s">
        <v>674</v>
      </c>
      <c r="C1358" t="s">
        <v>19</v>
      </c>
      <c r="D1358" t="s">
        <v>35</v>
      </c>
      <c r="E1358" t="s">
        <v>21</v>
      </c>
      <c r="F1358">
        <v>4</v>
      </c>
      <c r="G1358">
        <v>8229</v>
      </c>
      <c r="H1358">
        <v>8229</v>
      </c>
      <c r="I1358">
        <f>FlipkartTable[[#This Row],[Original Price]]-FlipkartTable[[#This Row],[Selling Price]]</f>
        <v>0</v>
      </c>
      <c r="J1358" s="4">
        <f>(FlipkartTable[[#This Row],[Original Price]]-FlipkartTable[[#This Row],[Selling Price]])/FlipkartTable[[#This Row],[Original Price]]</f>
        <v>0</v>
      </c>
      <c r="K1358">
        <f>(FlipkartTable[[#This Row],[Rating]]/FlipkartTable[[#This Row],[Selling Price]])*1000</f>
        <v>0.48608579414266617</v>
      </c>
      <c r="L1358" t="str">
        <f>IF(FlipkartTable[[#This Row],[Selling Price]]&lt;15000,"Budget",IF(FlipkartTable[[#This Row],[Selling Price]]&lt;50000,"Mid Range","Premium"))</f>
        <v>Budget</v>
      </c>
      <c r="M1358" t="str">
        <f>IF(FlipkartTable[[#This Row],[Rating]]&gt;4.5,"Excellent",IF(FlipkartTable[[#This Row],[Rating]]&gt;4,"Good",IF(FlipkartTable[[#This Row],[Rating]]&gt;3.5,"Average","Poor")))</f>
        <v>Average</v>
      </c>
    </row>
    <row r="1359" spans="1:13" x14ac:dyDescent="0.35">
      <c r="A1359" t="s">
        <v>663</v>
      </c>
      <c r="B1359" s="9" t="s">
        <v>675</v>
      </c>
      <c r="C1359" t="s">
        <v>22</v>
      </c>
      <c r="D1359" t="s">
        <v>14</v>
      </c>
      <c r="E1359" t="s">
        <v>15</v>
      </c>
      <c r="F1359">
        <v>3.9</v>
      </c>
      <c r="G1359">
        <v>14999</v>
      </c>
      <c r="H1359">
        <v>14999</v>
      </c>
      <c r="I1359">
        <f>FlipkartTable[[#This Row],[Original Price]]-FlipkartTable[[#This Row],[Selling Price]]</f>
        <v>0</v>
      </c>
      <c r="J1359" s="4">
        <f>(FlipkartTable[[#This Row],[Original Price]]-FlipkartTable[[#This Row],[Selling Price]])/FlipkartTable[[#This Row],[Original Price]]</f>
        <v>0</v>
      </c>
      <c r="K1359">
        <f>(FlipkartTable[[#This Row],[Rating]]/FlipkartTable[[#This Row],[Selling Price]])*1000</f>
        <v>0.26001733448896591</v>
      </c>
      <c r="L1359" t="str">
        <f>IF(FlipkartTable[[#This Row],[Selling Price]]&lt;15000,"Budget",IF(FlipkartTable[[#This Row],[Selling Price]]&lt;50000,"Mid Range","Premium"))</f>
        <v>Budget</v>
      </c>
      <c r="M1359" t="str">
        <f>IF(FlipkartTable[[#This Row],[Rating]]&gt;4.5,"Excellent",IF(FlipkartTable[[#This Row],[Rating]]&gt;4,"Good",IF(FlipkartTable[[#This Row],[Rating]]&gt;3.5,"Average","Poor")))</f>
        <v>Average</v>
      </c>
    </row>
    <row r="1360" spans="1:13" x14ac:dyDescent="0.35">
      <c r="A1360" t="s">
        <v>663</v>
      </c>
      <c r="B1360" s="9" t="s">
        <v>686</v>
      </c>
      <c r="C1360" t="s">
        <v>19</v>
      </c>
      <c r="D1360" t="s">
        <v>552</v>
      </c>
      <c r="E1360" t="s">
        <v>539</v>
      </c>
      <c r="F1360">
        <v>4.3</v>
      </c>
      <c r="G1360">
        <v>2340</v>
      </c>
      <c r="H1360">
        <v>2340</v>
      </c>
      <c r="I1360">
        <f>FlipkartTable[[#This Row],[Original Price]]-FlipkartTable[[#This Row],[Selling Price]]</f>
        <v>0</v>
      </c>
      <c r="J1360" s="4">
        <f>(FlipkartTable[[#This Row],[Original Price]]-FlipkartTable[[#This Row],[Selling Price]])/FlipkartTable[[#This Row],[Original Price]]</f>
        <v>0</v>
      </c>
      <c r="K1360">
        <f>(FlipkartTable[[#This Row],[Rating]]/FlipkartTable[[#This Row],[Selling Price]])*1000</f>
        <v>1.8376068376068375</v>
      </c>
      <c r="L1360" t="str">
        <f>IF(FlipkartTable[[#This Row],[Selling Price]]&lt;15000,"Budget",IF(FlipkartTable[[#This Row],[Selling Price]]&lt;50000,"Mid Range","Premium"))</f>
        <v>Budget</v>
      </c>
      <c r="M1360" t="str">
        <f>IF(FlipkartTable[[#This Row],[Rating]]&gt;4.5,"Excellent",IF(FlipkartTable[[#This Row],[Rating]]&gt;4,"Good",IF(FlipkartTable[[#This Row],[Rating]]&gt;3.5,"Average","Poor")))</f>
        <v>Good</v>
      </c>
    </row>
    <row r="1361" spans="1:13" x14ac:dyDescent="0.35">
      <c r="A1361" t="s">
        <v>663</v>
      </c>
      <c r="B1361" s="9" t="s">
        <v>674</v>
      </c>
      <c r="C1361" t="s">
        <v>19</v>
      </c>
      <c r="D1361" t="s">
        <v>20</v>
      </c>
      <c r="E1361" t="s">
        <v>21</v>
      </c>
      <c r="F1361">
        <v>4</v>
      </c>
      <c r="G1361">
        <v>8897</v>
      </c>
      <c r="H1361">
        <v>8897</v>
      </c>
      <c r="I1361">
        <f>FlipkartTable[[#This Row],[Original Price]]-FlipkartTable[[#This Row],[Selling Price]]</f>
        <v>0</v>
      </c>
      <c r="J1361" s="4">
        <f>(FlipkartTable[[#This Row],[Original Price]]-FlipkartTable[[#This Row],[Selling Price]])/FlipkartTable[[#This Row],[Original Price]]</f>
        <v>0</v>
      </c>
      <c r="K1361">
        <f>(FlipkartTable[[#This Row],[Rating]]/FlipkartTable[[#This Row],[Selling Price]])*1000</f>
        <v>0.44958974935371476</v>
      </c>
      <c r="L1361" t="str">
        <f>IF(FlipkartTable[[#This Row],[Selling Price]]&lt;15000,"Budget",IF(FlipkartTable[[#This Row],[Selling Price]]&lt;50000,"Mid Range","Premium"))</f>
        <v>Budget</v>
      </c>
      <c r="M1361" t="str">
        <f>IF(FlipkartTable[[#This Row],[Rating]]&gt;4.5,"Excellent",IF(FlipkartTable[[#This Row],[Rating]]&gt;4,"Good",IF(FlipkartTable[[#This Row],[Rating]]&gt;3.5,"Average","Poor")))</f>
        <v>Average</v>
      </c>
    </row>
    <row r="1362" spans="1:13" x14ac:dyDescent="0.35">
      <c r="A1362" t="s">
        <v>663</v>
      </c>
      <c r="B1362" s="9" t="s">
        <v>687</v>
      </c>
      <c r="C1362" t="s">
        <v>354</v>
      </c>
      <c r="D1362" t="s">
        <v>14</v>
      </c>
      <c r="E1362" t="s">
        <v>12</v>
      </c>
      <c r="F1362">
        <v>4.3</v>
      </c>
      <c r="G1362">
        <v>16299</v>
      </c>
      <c r="H1362">
        <v>16299</v>
      </c>
      <c r="I1362">
        <f>FlipkartTable[[#This Row],[Original Price]]-FlipkartTable[[#This Row],[Selling Price]]</f>
        <v>0</v>
      </c>
      <c r="J1362" s="4">
        <f>(FlipkartTable[[#This Row],[Original Price]]-FlipkartTable[[#This Row],[Selling Price]])/FlipkartTable[[#This Row],[Original Price]]</f>
        <v>0</v>
      </c>
      <c r="K1362">
        <f>(FlipkartTable[[#This Row],[Rating]]/FlipkartTable[[#This Row],[Selling Price]])*1000</f>
        <v>0.26381986624946313</v>
      </c>
      <c r="L1362" t="str">
        <f>IF(FlipkartTable[[#This Row],[Selling Price]]&lt;15000,"Budget",IF(FlipkartTable[[#This Row],[Selling Price]]&lt;50000,"Mid Range","Premium"))</f>
        <v>Mid Range</v>
      </c>
      <c r="M1362" t="str">
        <f>IF(FlipkartTable[[#This Row],[Rating]]&gt;4.5,"Excellent",IF(FlipkartTable[[#This Row],[Rating]]&gt;4,"Good",IF(FlipkartTable[[#This Row],[Rating]]&gt;3.5,"Average","Poor")))</f>
        <v>Good</v>
      </c>
    </row>
    <row r="1363" spans="1:13" x14ac:dyDescent="0.35">
      <c r="A1363" t="s">
        <v>663</v>
      </c>
      <c r="B1363" s="9" t="s">
        <v>683</v>
      </c>
      <c r="C1363" t="s">
        <v>19</v>
      </c>
      <c r="D1363" t="s">
        <v>14</v>
      </c>
      <c r="E1363" t="s">
        <v>15</v>
      </c>
      <c r="F1363">
        <v>4.2</v>
      </c>
      <c r="G1363">
        <v>17499</v>
      </c>
      <c r="H1363">
        <v>18999</v>
      </c>
      <c r="I1363">
        <f>FlipkartTable[[#This Row],[Original Price]]-FlipkartTable[[#This Row],[Selling Price]]</f>
        <v>1500</v>
      </c>
      <c r="J1363" s="4">
        <f>(FlipkartTable[[#This Row],[Original Price]]-FlipkartTable[[#This Row],[Selling Price]])/FlipkartTable[[#This Row],[Original Price]]</f>
        <v>7.8951523764408657E-2</v>
      </c>
      <c r="K1363">
        <f>(FlipkartTable[[#This Row],[Rating]]/FlipkartTable[[#This Row],[Selling Price]])*1000</f>
        <v>0.24001371506943256</v>
      </c>
      <c r="L1363" t="str">
        <f>IF(FlipkartTable[[#This Row],[Selling Price]]&lt;15000,"Budget",IF(FlipkartTable[[#This Row],[Selling Price]]&lt;50000,"Mid Range","Premium"))</f>
        <v>Mid Range</v>
      </c>
      <c r="M1363" t="str">
        <f>IF(FlipkartTable[[#This Row],[Rating]]&gt;4.5,"Excellent",IF(FlipkartTable[[#This Row],[Rating]]&gt;4,"Good",IF(FlipkartTable[[#This Row],[Rating]]&gt;3.5,"Average","Poor")))</f>
        <v>Good</v>
      </c>
    </row>
    <row r="1364" spans="1:13" x14ac:dyDescent="0.35">
      <c r="A1364" t="s">
        <v>663</v>
      </c>
      <c r="B1364" s="9" t="s">
        <v>677</v>
      </c>
      <c r="C1364" t="s">
        <v>141</v>
      </c>
      <c r="D1364" t="s">
        <v>27</v>
      </c>
      <c r="E1364" t="s">
        <v>15</v>
      </c>
      <c r="F1364">
        <v>4.2</v>
      </c>
      <c r="G1364">
        <v>21999</v>
      </c>
      <c r="H1364">
        <v>23999</v>
      </c>
      <c r="I1364">
        <f>FlipkartTable[[#This Row],[Original Price]]-FlipkartTable[[#This Row],[Selling Price]]</f>
        <v>2000</v>
      </c>
      <c r="J1364" s="4">
        <f>(FlipkartTable[[#This Row],[Original Price]]-FlipkartTable[[#This Row],[Selling Price]])/FlipkartTable[[#This Row],[Original Price]]</f>
        <v>8.3336805700237507E-2</v>
      </c>
      <c r="K1364">
        <f>(FlipkartTable[[#This Row],[Rating]]/FlipkartTable[[#This Row],[Selling Price]])*1000</f>
        <v>0.19091776898949953</v>
      </c>
      <c r="L1364" t="str">
        <f>IF(FlipkartTable[[#This Row],[Selling Price]]&lt;15000,"Budget",IF(FlipkartTable[[#This Row],[Selling Price]]&lt;50000,"Mid Range","Premium"))</f>
        <v>Mid Range</v>
      </c>
      <c r="M1364" t="str">
        <f>IF(FlipkartTable[[#This Row],[Rating]]&gt;4.5,"Excellent",IF(FlipkartTable[[#This Row],[Rating]]&gt;4,"Good",IF(FlipkartTable[[#This Row],[Rating]]&gt;3.5,"Average","Poor")))</f>
        <v>Good</v>
      </c>
    </row>
    <row r="1365" spans="1:13" x14ac:dyDescent="0.35">
      <c r="A1365" t="s">
        <v>663</v>
      </c>
      <c r="B1365" s="9" t="s">
        <v>688</v>
      </c>
      <c r="C1365" t="s">
        <v>689</v>
      </c>
      <c r="D1365" t="s">
        <v>27</v>
      </c>
      <c r="E1365" t="s">
        <v>64</v>
      </c>
      <c r="F1365">
        <v>4.3</v>
      </c>
      <c r="G1365">
        <v>88999</v>
      </c>
      <c r="H1365">
        <v>99999</v>
      </c>
      <c r="I1365">
        <f>FlipkartTable[[#This Row],[Original Price]]-FlipkartTable[[#This Row],[Selling Price]]</f>
        <v>11000</v>
      </c>
      <c r="J1365" s="4">
        <f>(FlipkartTable[[#This Row],[Original Price]]-FlipkartTable[[#This Row],[Selling Price]])/FlipkartTable[[#This Row],[Original Price]]</f>
        <v>0.11000110001100011</v>
      </c>
      <c r="K1365">
        <f>(FlipkartTable[[#This Row],[Rating]]/FlipkartTable[[#This Row],[Selling Price]])*1000</f>
        <v>4.8315149608422564E-2</v>
      </c>
      <c r="L1365" t="str">
        <f>IF(FlipkartTable[[#This Row],[Selling Price]]&lt;15000,"Budget",IF(FlipkartTable[[#This Row],[Selling Price]]&lt;50000,"Mid Range","Premium"))</f>
        <v>Premium</v>
      </c>
      <c r="M1365" t="str">
        <f>IF(FlipkartTable[[#This Row],[Rating]]&gt;4.5,"Excellent",IF(FlipkartTable[[#This Row],[Rating]]&gt;4,"Good",IF(FlipkartTable[[#This Row],[Rating]]&gt;3.5,"Average","Poor")))</f>
        <v>Good</v>
      </c>
    </row>
    <row r="1366" spans="1:13" x14ac:dyDescent="0.35">
      <c r="A1366" t="s">
        <v>663</v>
      </c>
      <c r="B1366" s="9" t="s">
        <v>690</v>
      </c>
      <c r="C1366" t="s">
        <v>22</v>
      </c>
      <c r="D1366" t="s">
        <v>20</v>
      </c>
      <c r="E1366" t="s">
        <v>21</v>
      </c>
      <c r="F1366">
        <v>4.2</v>
      </c>
      <c r="G1366">
        <v>9990</v>
      </c>
      <c r="H1366">
        <v>9990</v>
      </c>
      <c r="I1366">
        <f>FlipkartTable[[#This Row],[Original Price]]-FlipkartTable[[#This Row],[Selling Price]]</f>
        <v>0</v>
      </c>
      <c r="J1366" s="4">
        <f>(FlipkartTable[[#This Row],[Original Price]]-FlipkartTable[[#This Row],[Selling Price]])/FlipkartTable[[#This Row],[Original Price]]</f>
        <v>0</v>
      </c>
      <c r="K1366">
        <f>(FlipkartTable[[#This Row],[Rating]]/FlipkartTable[[#This Row],[Selling Price]])*1000</f>
        <v>0.42042042042042044</v>
      </c>
      <c r="L1366" t="str">
        <f>IF(FlipkartTable[[#This Row],[Selling Price]]&lt;15000,"Budget",IF(FlipkartTable[[#This Row],[Selling Price]]&lt;50000,"Mid Range","Premium"))</f>
        <v>Budget</v>
      </c>
      <c r="M1366" t="str">
        <f>IF(FlipkartTable[[#This Row],[Rating]]&gt;4.5,"Excellent",IF(FlipkartTable[[#This Row],[Rating]]&gt;4,"Good",IF(FlipkartTable[[#This Row],[Rating]]&gt;3.5,"Average","Poor")))</f>
        <v>Good</v>
      </c>
    </row>
    <row r="1367" spans="1:13" x14ac:dyDescent="0.35">
      <c r="A1367" t="s">
        <v>663</v>
      </c>
      <c r="B1367" s="9" t="s">
        <v>691</v>
      </c>
      <c r="C1367" t="s">
        <v>19</v>
      </c>
      <c r="D1367" t="s">
        <v>11</v>
      </c>
      <c r="E1367" t="s">
        <v>12</v>
      </c>
      <c r="F1367">
        <v>4.2</v>
      </c>
      <c r="G1367">
        <v>12499</v>
      </c>
      <c r="H1367">
        <v>14499</v>
      </c>
      <c r="I1367">
        <f>FlipkartTable[[#This Row],[Original Price]]-FlipkartTable[[#This Row],[Selling Price]]</f>
        <v>2000</v>
      </c>
      <c r="J1367" s="4">
        <f>(FlipkartTable[[#This Row],[Original Price]]-FlipkartTable[[#This Row],[Selling Price]])/FlipkartTable[[#This Row],[Original Price]]</f>
        <v>0.13794054762397406</v>
      </c>
      <c r="K1367">
        <f>(FlipkartTable[[#This Row],[Rating]]/FlipkartTable[[#This Row],[Selling Price]])*1000</f>
        <v>0.33602688215057208</v>
      </c>
      <c r="L1367" t="str">
        <f>IF(FlipkartTable[[#This Row],[Selling Price]]&lt;15000,"Budget",IF(FlipkartTable[[#This Row],[Selling Price]]&lt;50000,"Mid Range","Premium"))</f>
        <v>Budget</v>
      </c>
      <c r="M1367" t="str">
        <f>IF(FlipkartTable[[#This Row],[Rating]]&gt;4.5,"Excellent",IF(FlipkartTable[[#This Row],[Rating]]&gt;4,"Good",IF(FlipkartTable[[#This Row],[Rating]]&gt;3.5,"Average","Poor")))</f>
        <v>Good</v>
      </c>
    </row>
    <row r="1368" spans="1:13" x14ac:dyDescent="0.35">
      <c r="A1368" t="s">
        <v>663</v>
      </c>
      <c r="B1368" s="9" t="s">
        <v>692</v>
      </c>
      <c r="C1368" t="s">
        <v>106</v>
      </c>
      <c r="D1368" t="s">
        <v>20</v>
      </c>
      <c r="E1368" t="s">
        <v>21</v>
      </c>
      <c r="F1368">
        <v>4.2</v>
      </c>
      <c r="G1368">
        <v>9499</v>
      </c>
      <c r="H1368">
        <v>10499</v>
      </c>
      <c r="I1368">
        <f>FlipkartTable[[#This Row],[Original Price]]-FlipkartTable[[#This Row],[Selling Price]]</f>
        <v>1000</v>
      </c>
      <c r="J1368" s="4">
        <f>(FlipkartTable[[#This Row],[Original Price]]-FlipkartTable[[#This Row],[Selling Price]])/FlipkartTable[[#This Row],[Original Price]]</f>
        <v>9.5247166396799698E-2</v>
      </c>
      <c r="K1368">
        <f>(FlipkartTable[[#This Row],[Rating]]/FlipkartTable[[#This Row],[Selling Price]])*1000</f>
        <v>0.44215180545320559</v>
      </c>
      <c r="L1368" t="str">
        <f>IF(FlipkartTable[[#This Row],[Selling Price]]&lt;15000,"Budget",IF(FlipkartTable[[#This Row],[Selling Price]]&lt;50000,"Mid Range","Premium"))</f>
        <v>Budget</v>
      </c>
      <c r="M1368" t="str">
        <f>IF(FlipkartTable[[#This Row],[Rating]]&gt;4.5,"Excellent",IF(FlipkartTable[[#This Row],[Rating]]&gt;4,"Good",IF(FlipkartTable[[#This Row],[Rating]]&gt;3.5,"Average","Poor")))</f>
        <v>Good</v>
      </c>
    </row>
    <row r="1369" spans="1:13" x14ac:dyDescent="0.35">
      <c r="A1369" t="s">
        <v>663</v>
      </c>
      <c r="B1369" s="9" t="s">
        <v>693</v>
      </c>
      <c r="C1369" t="s">
        <v>694</v>
      </c>
      <c r="D1369" t="s">
        <v>27</v>
      </c>
      <c r="E1369" t="s">
        <v>15</v>
      </c>
      <c r="F1369">
        <v>4.3</v>
      </c>
      <c r="G1369">
        <v>34999</v>
      </c>
      <c r="H1369">
        <v>41999</v>
      </c>
      <c r="I1369">
        <f>FlipkartTable[[#This Row],[Original Price]]-FlipkartTable[[#This Row],[Selling Price]]</f>
        <v>7000</v>
      </c>
      <c r="J1369" s="4">
        <f>(FlipkartTable[[#This Row],[Original Price]]-FlipkartTable[[#This Row],[Selling Price]])/FlipkartTable[[#This Row],[Original Price]]</f>
        <v>0.16667063501511942</v>
      </c>
      <c r="K1369">
        <f>(FlipkartTable[[#This Row],[Rating]]/FlipkartTable[[#This Row],[Selling Price]])*1000</f>
        <v>0.1228606531615189</v>
      </c>
      <c r="L1369" t="str">
        <f>IF(FlipkartTable[[#This Row],[Selling Price]]&lt;15000,"Budget",IF(FlipkartTable[[#This Row],[Selling Price]]&lt;50000,"Mid Range","Premium"))</f>
        <v>Mid Range</v>
      </c>
      <c r="M1369" t="str">
        <f>IF(FlipkartTable[[#This Row],[Rating]]&gt;4.5,"Excellent",IF(FlipkartTable[[#This Row],[Rating]]&gt;4,"Good",IF(FlipkartTable[[#This Row],[Rating]]&gt;3.5,"Average","Poor")))</f>
        <v>Good</v>
      </c>
    </row>
    <row r="1370" spans="1:13" x14ac:dyDescent="0.35">
      <c r="A1370" t="s">
        <v>663</v>
      </c>
      <c r="B1370" s="9" t="s">
        <v>695</v>
      </c>
      <c r="C1370" t="s">
        <v>685</v>
      </c>
      <c r="D1370" t="s">
        <v>14</v>
      </c>
      <c r="E1370" t="s">
        <v>15</v>
      </c>
      <c r="F1370">
        <v>4.3</v>
      </c>
      <c r="G1370">
        <v>19725</v>
      </c>
      <c r="H1370">
        <v>19725</v>
      </c>
      <c r="I1370">
        <f>FlipkartTable[[#This Row],[Original Price]]-FlipkartTable[[#This Row],[Selling Price]]</f>
        <v>0</v>
      </c>
      <c r="J1370" s="4">
        <f>(FlipkartTable[[#This Row],[Original Price]]-FlipkartTable[[#This Row],[Selling Price]])/FlipkartTable[[#This Row],[Original Price]]</f>
        <v>0</v>
      </c>
      <c r="K1370">
        <f>(FlipkartTable[[#This Row],[Rating]]/FlipkartTable[[#This Row],[Selling Price]])*1000</f>
        <v>0.2179974651457541</v>
      </c>
      <c r="L1370" t="str">
        <f>IF(FlipkartTable[[#This Row],[Selling Price]]&lt;15000,"Budget",IF(FlipkartTable[[#This Row],[Selling Price]]&lt;50000,"Mid Range","Premium"))</f>
        <v>Mid Range</v>
      </c>
      <c r="M1370" t="str">
        <f>IF(FlipkartTable[[#This Row],[Rating]]&gt;4.5,"Excellent",IF(FlipkartTable[[#This Row],[Rating]]&gt;4,"Good",IF(FlipkartTable[[#This Row],[Rating]]&gt;3.5,"Average","Poor")))</f>
        <v>Good</v>
      </c>
    </row>
    <row r="1371" spans="1:13" x14ac:dyDescent="0.35">
      <c r="A1371" t="s">
        <v>663</v>
      </c>
      <c r="B1371" s="9" t="s">
        <v>687</v>
      </c>
      <c r="C1371" t="s">
        <v>183</v>
      </c>
      <c r="D1371" t="s">
        <v>27</v>
      </c>
      <c r="E1371" t="s">
        <v>15</v>
      </c>
      <c r="F1371">
        <v>4.3</v>
      </c>
      <c r="G1371">
        <v>18654</v>
      </c>
      <c r="H1371">
        <v>18950</v>
      </c>
      <c r="I1371">
        <f>FlipkartTable[[#This Row],[Original Price]]-FlipkartTable[[#This Row],[Selling Price]]</f>
        <v>296</v>
      </c>
      <c r="J1371" s="4">
        <f>(FlipkartTable[[#This Row],[Original Price]]-FlipkartTable[[#This Row],[Selling Price]])/FlipkartTable[[#This Row],[Original Price]]</f>
        <v>1.5620052770448549E-2</v>
      </c>
      <c r="K1371">
        <f>(FlipkartTable[[#This Row],[Rating]]/FlipkartTable[[#This Row],[Selling Price]])*1000</f>
        <v>0.23051356277473997</v>
      </c>
      <c r="L1371" t="str">
        <f>IF(FlipkartTable[[#This Row],[Selling Price]]&lt;15000,"Budget",IF(FlipkartTable[[#This Row],[Selling Price]]&lt;50000,"Mid Range","Premium"))</f>
        <v>Mid Range</v>
      </c>
      <c r="M1371" t="str">
        <f>IF(FlipkartTable[[#This Row],[Rating]]&gt;4.5,"Excellent",IF(FlipkartTable[[#This Row],[Rating]]&gt;4,"Good",IF(FlipkartTable[[#This Row],[Rating]]&gt;3.5,"Average","Poor")))</f>
        <v>Good</v>
      </c>
    </row>
    <row r="1372" spans="1:13" x14ac:dyDescent="0.35">
      <c r="A1372" t="s">
        <v>663</v>
      </c>
      <c r="B1372" s="9" t="s">
        <v>696</v>
      </c>
      <c r="C1372" t="s">
        <v>697</v>
      </c>
      <c r="D1372" t="s">
        <v>11</v>
      </c>
      <c r="E1372" t="s">
        <v>12</v>
      </c>
      <c r="F1372">
        <v>4.2</v>
      </c>
      <c r="G1372">
        <v>14690</v>
      </c>
      <c r="H1372">
        <v>14690</v>
      </c>
      <c r="I1372">
        <f>FlipkartTable[[#This Row],[Original Price]]-FlipkartTable[[#This Row],[Selling Price]]</f>
        <v>0</v>
      </c>
      <c r="J1372" s="4">
        <f>(FlipkartTable[[#This Row],[Original Price]]-FlipkartTable[[#This Row],[Selling Price]])/FlipkartTable[[#This Row],[Original Price]]</f>
        <v>0</v>
      </c>
      <c r="K1372">
        <f>(FlipkartTable[[#This Row],[Rating]]/FlipkartTable[[#This Row],[Selling Price]])*1000</f>
        <v>0.28590878148400273</v>
      </c>
      <c r="L1372" t="str">
        <f>IF(FlipkartTable[[#This Row],[Selling Price]]&lt;15000,"Budget",IF(FlipkartTable[[#This Row],[Selling Price]]&lt;50000,"Mid Range","Premium"))</f>
        <v>Budget</v>
      </c>
      <c r="M1372" t="str">
        <f>IF(FlipkartTable[[#This Row],[Rating]]&gt;4.5,"Excellent",IF(FlipkartTable[[#This Row],[Rating]]&gt;4,"Good",IF(FlipkartTable[[#This Row],[Rating]]&gt;3.5,"Average","Poor")))</f>
        <v>Good</v>
      </c>
    </row>
    <row r="1373" spans="1:13" x14ac:dyDescent="0.35">
      <c r="A1373" t="s">
        <v>663</v>
      </c>
      <c r="B1373" s="9" t="s">
        <v>698</v>
      </c>
      <c r="C1373" t="s">
        <v>699</v>
      </c>
      <c r="D1373" t="s">
        <v>27</v>
      </c>
      <c r="E1373" t="s">
        <v>15</v>
      </c>
      <c r="F1373">
        <v>4.3</v>
      </c>
      <c r="G1373">
        <v>22499</v>
      </c>
      <c r="H1373">
        <v>29999</v>
      </c>
      <c r="I1373">
        <f>FlipkartTable[[#This Row],[Original Price]]-FlipkartTable[[#This Row],[Selling Price]]</f>
        <v>7500</v>
      </c>
      <c r="J1373" s="4">
        <f>(FlipkartTable[[#This Row],[Original Price]]-FlipkartTable[[#This Row],[Selling Price]])/FlipkartTable[[#This Row],[Original Price]]</f>
        <v>0.25000833361112035</v>
      </c>
      <c r="K1373">
        <f>(FlipkartTable[[#This Row],[Rating]]/FlipkartTable[[#This Row],[Selling Price]])*1000</f>
        <v>0.19111960531579181</v>
      </c>
      <c r="L1373" t="str">
        <f>IF(FlipkartTable[[#This Row],[Selling Price]]&lt;15000,"Budget",IF(FlipkartTable[[#This Row],[Selling Price]]&lt;50000,"Mid Range","Premium"))</f>
        <v>Mid Range</v>
      </c>
      <c r="M1373" t="str">
        <f>IF(FlipkartTable[[#This Row],[Rating]]&gt;4.5,"Excellent",IF(FlipkartTable[[#This Row],[Rating]]&gt;4,"Good",IF(FlipkartTable[[#This Row],[Rating]]&gt;3.5,"Average","Poor")))</f>
        <v>Good</v>
      </c>
    </row>
    <row r="1374" spans="1:13" x14ac:dyDescent="0.35">
      <c r="A1374" t="s">
        <v>663</v>
      </c>
      <c r="B1374" s="9" t="s">
        <v>675</v>
      </c>
      <c r="C1374" t="s">
        <v>152</v>
      </c>
      <c r="D1374" t="s">
        <v>14</v>
      </c>
      <c r="E1374" t="s">
        <v>15</v>
      </c>
      <c r="F1374">
        <v>3.9</v>
      </c>
      <c r="G1374">
        <v>14999</v>
      </c>
      <c r="H1374">
        <v>14999</v>
      </c>
      <c r="I1374">
        <f>FlipkartTable[[#This Row],[Original Price]]-FlipkartTable[[#This Row],[Selling Price]]</f>
        <v>0</v>
      </c>
      <c r="J1374" s="4">
        <f>(FlipkartTable[[#This Row],[Original Price]]-FlipkartTable[[#This Row],[Selling Price]])/FlipkartTable[[#This Row],[Original Price]]</f>
        <v>0</v>
      </c>
      <c r="K1374">
        <f>(FlipkartTable[[#This Row],[Rating]]/FlipkartTable[[#This Row],[Selling Price]])*1000</f>
        <v>0.26001733448896591</v>
      </c>
      <c r="L1374" t="str">
        <f>IF(FlipkartTable[[#This Row],[Selling Price]]&lt;15000,"Budget",IF(FlipkartTable[[#This Row],[Selling Price]]&lt;50000,"Mid Range","Premium"))</f>
        <v>Budget</v>
      </c>
      <c r="M1374" t="str">
        <f>IF(FlipkartTable[[#This Row],[Rating]]&gt;4.5,"Excellent",IF(FlipkartTable[[#This Row],[Rating]]&gt;4,"Good",IF(FlipkartTable[[#This Row],[Rating]]&gt;3.5,"Average","Poor")))</f>
        <v>Average</v>
      </c>
    </row>
    <row r="1375" spans="1:13" x14ac:dyDescent="0.35">
      <c r="A1375" t="s">
        <v>663</v>
      </c>
      <c r="B1375" s="9" t="s">
        <v>688</v>
      </c>
      <c r="C1375" t="s">
        <v>689</v>
      </c>
      <c r="D1375" t="s">
        <v>27</v>
      </c>
      <c r="E1375" t="s">
        <v>15</v>
      </c>
      <c r="F1375">
        <v>4.3</v>
      </c>
      <c r="G1375">
        <v>84999</v>
      </c>
      <c r="H1375">
        <v>95999</v>
      </c>
      <c r="I1375">
        <f>FlipkartTable[[#This Row],[Original Price]]-FlipkartTable[[#This Row],[Selling Price]]</f>
        <v>11000</v>
      </c>
      <c r="J1375" s="4">
        <f>(FlipkartTable[[#This Row],[Original Price]]-FlipkartTable[[#This Row],[Selling Price]])/FlipkartTable[[#This Row],[Original Price]]</f>
        <v>0.11458452692215544</v>
      </c>
      <c r="K1375">
        <f>(FlipkartTable[[#This Row],[Rating]]/FlipkartTable[[#This Row],[Selling Price]])*1000</f>
        <v>5.0588830456828902E-2</v>
      </c>
      <c r="L1375" t="str">
        <f>IF(FlipkartTable[[#This Row],[Selling Price]]&lt;15000,"Budget",IF(FlipkartTable[[#This Row],[Selling Price]]&lt;50000,"Mid Range","Premium"))</f>
        <v>Premium</v>
      </c>
      <c r="M1375" t="str">
        <f>IF(FlipkartTable[[#This Row],[Rating]]&gt;4.5,"Excellent",IF(FlipkartTable[[#This Row],[Rating]]&gt;4,"Good",IF(FlipkartTable[[#This Row],[Rating]]&gt;3.5,"Average","Poor")))</f>
        <v>Good</v>
      </c>
    </row>
    <row r="1376" spans="1:13" x14ac:dyDescent="0.35">
      <c r="A1376" t="s">
        <v>663</v>
      </c>
      <c r="B1376" s="9" t="s">
        <v>696</v>
      </c>
      <c r="C1376" t="s">
        <v>19</v>
      </c>
      <c r="D1376" t="s">
        <v>11</v>
      </c>
      <c r="E1376" t="s">
        <v>12</v>
      </c>
      <c r="F1376">
        <v>4.2</v>
      </c>
      <c r="G1376">
        <v>14749</v>
      </c>
      <c r="H1376">
        <v>15980</v>
      </c>
      <c r="I1376">
        <f>FlipkartTable[[#This Row],[Original Price]]-FlipkartTable[[#This Row],[Selling Price]]</f>
        <v>1231</v>
      </c>
      <c r="J1376" s="4">
        <f>(FlipkartTable[[#This Row],[Original Price]]-FlipkartTable[[#This Row],[Selling Price]])/FlipkartTable[[#This Row],[Original Price]]</f>
        <v>7.7033792240300381E-2</v>
      </c>
      <c r="K1376">
        <f>(FlipkartTable[[#This Row],[Rating]]/FlipkartTable[[#This Row],[Selling Price]])*1000</f>
        <v>0.28476506881822494</v>
      </c>
      <c r="L1376" t="str">
        <f>IF(FlipkartTable[[#This Row],[Selling Price]]&lt;15000,"Budget",IF(FlipkartTable[[#This Row],[Selling Price]]&lt;50000,"Mid Range","Premium"))</f>
        <v>Budget</v>
      </c>
      <c r="M1376" t="str">
        <f>IF(FlipkartTable[[#This Row],[Rating]]&gt;4.5,"Excellent",IF(FlipkartTable[[#This Row],[Rating]]&gt;4,"Good",IF(FlipkartTable[[#This Row],[Rating]]&gt;3.5,"Average","Poor")))</f>
        <v>Good</v>
      </c>
    </row>
    <row r="1377" spans="1:13" x14ac:dyDescent="0.35">
      <c r="A1377" t="s">
        <v>663</v>
      </c>
      <c r="B1377" s="9" t="s">
        <v>679</v>
      </c>
      <c r="C1377" t="s">
        <v>152</v>
      </c>
      <c r="D1377" t="s">
        <v>14</v>
      </c>
      <c r="E1377" t="s">
        <v>15</v>
      </c>
      <c r="F1377">
        <v>4.2</v>
      </c>
      <c r="G1377">
        <v>14490</v>
      </c>
      <c r="H1377">
        <v>14999</v>
      </c>
      <c r="I1377">
        <f>FlipkartTable[[#This Row],[Original Price]]-FlipkartTable[[#This Row],[Selling Price]]</f>
        <v>509</v>
      </c>
      <c r="J1377" s="4">
        <f>(FlipkartTable[[#This Row],[Original Price]]-FlipkartTable[[#This Row],[Selling Price]])/FlipkartTable[[#This Row],[Original Price]]</f>
        <v>3.3935595706380425E-2</v>
      </c>
      <c r="K1377">
        <f>(FlipkartTable[[#This Row],[Rating]]/FlipkartTable[[#This Row],[Selling Price]])*1000</f>
        <v>0.28985507246376813</v>
      </c>
      <c r="L1377" t="str">
        <f>IF(FlipkartTable[[#This Row],[Selling Price]]&lt;15000,"Budget",IF(FlipkartTable[[#This Row],[Selling Price]]&lt;50000,"Mid Range","Premium"))</f>
        <v>Budget</v>
      </c>
      <c r="M1377" t="str">
        <f>IF(FlipkartTable[[#This Row],[Rating]]&gt;4.5,"Excellent",IF(FlipkartTable[[#This Row],[Rating]]&gt;4,"Good",IF(FlipkartTable[[#This Row],[Rating]]&gt;3.5,"Average","Poor")))</f>
        <v>Good</v>
      </c>
    </row>
    <row r="1378" spans="1:13" x14ac:dyDescent="0.35">
      <c r="A1378" t="s">
        <v>663</v>
      </c>
      <c r="B1378" s="9" t="s">
        <v>688</v>
      </c>
      <c r="C1378" t="s">
        <v>700</v>
      </c>
      <c r="D1378" t="s">
        <v>27</v>
      </c>
      <c r="E1378" t="s">
        <v>15</v>
      </c>
      <c r="F1378">
        <v>4.3</v>
      </c>
      <c r="G1378">
        <v>84999</v>
      </c>
      <c r="H1378">
        <v>95999</v>
      </c>
      <c r="I1378">
        <f>FlipkartTable[[#This Row],[Original Price]]-FlipkartTable[[#This Row],[Selling Price]]</f>
        <v>11000</v>
      </c>
      <c r="J1378" s="4">
        <f>(FlipkartTable[[#This Row],[Original Price]]-FlipkartTable[[#This Row],[Selling Price]])/FlipkartTable[[#This Row],[Original Price]]</f>
        <v>0.11458452692215544</v>
      </c>
      <c r="K1378">
        <f>(FlipkartTable[[#This Row],[Rating]]/FlipkartTable[[#This Row],[Selling Price]])*1000</f>
        <v>5.0588830456828902E-2</v>
      </c>
      <c r="L1378" t="str">
        <f>IF(FlipkartTable[[#This Row],[Selling Price]]&lt;15000,"Budget",IF(FlipkartTable[[#This Row],[Selling Price]]&lt;50000,"Mid Range","Premium"))</f>
        <v>Premium</v>
      </c>
      <c r="M1378" t="str">
        <f>IF(FlipkartTable[[#This Row],[Rating]]&gt;4.5,"Excellent",IF(FlipkartTable[[#This Row],[Rating]]&gt;4,"Good",IF(FlipkartTable[[#This Row],[Rating]]&gt;3.5,"Average","Poor")))</f>
        <v>Good</v>
      </c>
    </row>
    <row r="1379" spans="1:13" x14ac:dyDescent="0.35">
      <c r="A1379" t="s">
        <v>663</v>
      </c>
      <c r="B1379" s="9" t="s">
        <v>677</v>
      </c>
      <c r="C1379" t="s">
        <v>141</v>
      </c>
      <c r="D1379" t="s">
        <v>14</v>
      </c>
      <c r="E1379" t="s">
        <v>15</v>
      </c>
      <c r="F1379">
        <v>4.3</v>
      </c>
      <c r="G1379">
        <v>19979</v>
      </c>
      <c r="H1379">
        <v>22498</v>
      </c>
      <c r="I1379">
        <f>FlipkartTable[[#This Row],[Original Price]]-FlipkartTable[[#This Row],[Selling Price]]</f>
        <v>2519</v>
      </c>
      <c r="J1379" s="4">
        <f>(FlipkartTable[[#This Row],[Original Price]]-FlipkartTable[[#This Row],[Selling Price]])/FlipkartTable[[#This Row],[Original Price]]</f>
        <v>0.11196550804515958</v>
      </c>
      <c r="K1379">
        <f>(FlipkartTable[[#This Row],[Rating]]/FlipkartTable[[#This Row],[Selling Price]])*1000</f>
        <v>0.21522598728665096</v>
      </c>
      <c r="L1379" t="str">
        <f>IF(FlipkartTable[[#This Row],[Selling Price]]&lt;15000,"Budget",IF(FlipkartTable[[#This Row],[Selling Price]]&lt;50000,"Mid Range","Premium"))</f>
        <v>Mid Range</v>
      </c>
      <c r="M1379" t="str">
        <f>IF(FlipkartTable[[#This Row],[Rating]]&gt;4.5,"Excellent",IF(FlipkartTable[[#This Row],[Rating]]&gt;4,"Good",IF(FlipkartTable[[#This Row],[Rating]]&gt;3.5,"Average","Poor")))</f>
        <v>Good</v>
      </c>
    </row>
    <row r="1380" spans="1:13" x14ac:dyDescent="0.35">
      <c r="A1380" t="s">
        <v>663</v>
      </c>
      <c r="B1380" s="9" t="s">
        <v>701</v>
      </c>
      <c r="C1380" t="s">
        <v>702</v>
      </c>
      <c r="D1380" t="s">
        <v>14</v>
      </c>
      <c r="E1380" t="s">
        <v>15</v>
      </c>
      <c r="F1380">
        <v>4.2</v>
      </c>
      <c r="G1380">
        <v>23999</v>
      </c>
      <c r="H1380">
        <v>29999</v>
      </c>
      <c r="I1380">
        <f>FlipkartTable[[#This Row],[Original Price]]-FlipkartTable[[#This Row],[Selling Price]]</f>
        <v>6000</v>
      </c>
      <c r="J1380" s="4">
        <f>(FlipkartTable[[#This Row],[Original Price]]-FlipkartTable[[#This Row],[Selling Price]])/FlipkartTable[[#This Row],[Original Price]]</f>
        <v>0.20000666688889629</v>
      </c>
      <c r="K1380">
        <f>(FlipkartTable[[#This Row],[Rating]]/FlipkartTable[[#This Row],[Selling Price]])*1000</f>
        <v>0.17500729197049877</v>
      </c>
      <c r="L1380" t="str">
        <f>IF(FlipkartTable[[#This Row],[Selling Price]]&lt;15000,"Budget",IF(FlipkartTable[[#This Row],[Selling Price]]&lt;50000,"Mid Range","Premium"))</f>
        <v>Mid Range</v>
      </c>
      <c r="M1380" t="str">
        <f>IF(FlipkartTable[[#This Row],[Rating]]&gt;4.5,"Excellent",IF(FlipkartTable[[#This Row],[Rating]]&gt;4,"Good",IF(FlipkartTable[[#This Row],[Rating]]&gt;3.5,"Average","Poor")))</f>
        <v>Good</v>
      </c>
    </row>
    <row r="1381" spans="1:13" x14ac:dyDescent="0.35">
      <c r="A1381" t="s">
        <v>663</v>
      </c>
      <c r="B1381" s="9" t="s">
        <v>675</v>
      </c>
      <c r="C1381" t="s">
        <v>19</v>
      </c>
      <c r="D1381" t="s">
        <v>14</v>
      </c>
      <c r="E1381" t="s">
        <v>15</v>
      </c>
      <c r="F1381">
        <v>3.9</v>
      </c>
      <c r="G1381">
        <v>15843</v>
      </c>
      <c r="H1381">
        <v>17480</v>
      </c>
      <c r="I1381">
        <f>FlipkartTable[[#This Row],[Original Price]]-FlipkartTable[[#This Row],[Selling Price]]</f>
        <v>1637</v>
      </c>
      <c r="J1381" s="4">
        <f>(FlipkartTable[[#This Row],[Original Price]]-FlipkartTable[[#This Row],[Selling Price]])/FlipkartTable[[#This Row],[Original Price]]</f>
        <v>9.3649885583524023E-2</v>
      </c>
      <c r="K1381">
        <f>(FlipkartTable[[#This Row],[Rating]]/FlipkartTable[[#This Row],[Selling Price]])*1000</f>
        <v>0.2461654989585306</v>
      </c>
      <c r="L1381" t="str">
        <f>IF(FlipkartTable[[#This Row],[Selling Price]]&lt;15000,"Budget",IF(FlipkartTable[[#This Row],[Selling Price]]&lt;50000,"Mid Range","Premium"))</f>
        <v>Mid Range</v>
      </c>
      <c r="M1381" t="str">
        <f>IF(FlipkartTable[[#This Row],[Rating]]&gt;4.5,"Excellent",IF(FlipkartTable[[#This Row],[Rating]]&gt;4,"Good",IF(FlipkartTable[[#This Row],[Rating]]&gt;3.5,"Average","Poor")))</f>
        <v>Average</v>
      </c>
    </row>
    <row r="1382" spans="1:13" x14ac:dyDescent="0.35">
      <c r="A1382" t="s">
        <v>663</v>
      </c>
      <c r="B1382" s="9" t="s">
        <v>703</v>
      </c>
      <c r="C1382" t="s">
        <v>704</v>
      </c>
      <c r="D1382" t="s">
        <v>27</v>
      </c>
      <c r="E1382" t="s">
        <v>15</v>
      </c>
      <c r="F1382">
        <v>4.5</v>
      </c>
      <c r="G1382">
        <v>37499</v>
      </c>
      <c r="H1382">
        <v>40999</v>
      </c>
      <c r="I1382">
        <f>FlipkartTable[[#This Row],[Original Price]]-FlipkartTable[[#This Row],[Selling Price]]</f>
        <v>3500</v>
      </c>
      <c r="J1382" s="4">
        <f>(FlipkartTable[[#This Row],[Original Price]]-FlipkartTable[[#This Row],[Selling Price]])/FlipkartTable[[#This Row],[Original Price]]</f>
        <v>8.536793580331227E-2</v>
      </c>
      <c r="K1382">
        <f>(FlipkartTable[[#This Row],[Rating]]/FlipkartTable[[#This Row],[Selling Price]])*1000</f>
        <v>0.12000320008533562</v>
      </c>
      <c r="L1382" t="str">
        <f>IF(FlipkartTable[[#This Row],[Selling Price]]&lt;15000,"Budget",IF(FlipkartTable[[#This Row],[Selling Price]]&lt;50000,"Mid Range","Premium"))</f>
        <v>Mid Range</v>
      </c>
      <c r="M1382" t="str">
        <f>IF(FlipkartTable[[#This Row],[Rating]]&gt;4.5,"Excellent",IF(FlipkartTable[[#This Row],[Rating]]&gt;4,"Good",IF(FlipkartTable[[#This Row],[Rating]]&gt;3.5,"Average","Poor")))</f>
        <v>Good</v>
      </c>
    </row>
    <row r="1383" spans="1:13" x14ac:dyDescent="0.35">
      <c r="A1383" t="s">
        <v>663</v>
      </c>
      <c r="B1383" s="9" t="s">
        <v>676</v>
      </c>
      <c r="C1383" t="s">
        <v>19</v>
      </c>
      <c r="D1383" t="s">
        <v>14</v>
      </c>
      <c r="E1383" t="s">
        <v>15</v>
      </c>
      <c r="F1383">
        <v>4.3</v>
      </c>
      <c r="G1383">
        <v>17578</v>
      </c>
      <c r="H1383">
        <v>19499</v>
      </c>
      <c r="I1383">
        <f>FlipkartTable[[#This Row],[Original Price]]-FlipkartTable[[#This Row],[Selling Price]]</f>
        <v>1921</v>
      </c>
      <c r="J1383" s="4">
        <f>(FlipkartTable[[#This Row],[Original Price]]-FlipkartTable[[#This Row],[Selling Price]])/FlipkartTable[[#This Row],[Original Price]]</f>
        <v>9.8517872711421095E-2</v>
      </c>
      <c r="K1383">
        <f>(FlipkartTable[[#This Row],[Rating]]/FlipkartTable[[#This Row],[Selling Price]])*1000</f>
        <v>0.24462396177039478</v>
      </c>
      <c r="L1383" t="str">
        <f>IF(FlipkartTable[[#This Row],[Selling Price]]&lt;15000,"Budget",IF(FlipkartTable[[#This Row],[Selling Price]]&lt;50000,"Mid Range","Premium"))</f>
        <v>Mid Range</v>
      </c>
      <c r="M1383" t="str">
        <f>IF(FlipkartTable[[#This Row],[Rating]]&gt;4.5,"Excellent",IF(FlipkartTable[[#This Row],[Rating]]&gt;4,"Good",IF(FlipkartTable[[#This Row],[Rating]]&gt;3.5,"Average","Poor")))</f>
        <v>Good</v>
      </c>
    </row>
    <row r="1384" spans="1:13" x14ac:dyDescent="0.35">
      <c r="A1384" t="s">
        <v>663</v>
      </c>
      <c r="B1384" s="9" t="s">
        <v>706</v>
      </c>
      <c r="C1384" t="s">
        <v>19</v>
      </c>
      <c r="D1384" t="s">
        <v>11</v>
      </c>
      <c r="E1384" t="s">
        <v>12</v>
      </c>
      <c r="F1384">
        <v>4.3</v>
      </c>
      <c r="G1384">
        <v>11299</v>
      </c>
      <c r="H1384">
        <v>11300</v>
      </c>
      <c r="I1384">
        <f>FlipkartTable[[#This Row],[Original Price]]-FlipkartTable[[#This Row],[Selling Price]]</f>
        <v>1</v>
      </c>
      <c r="J1384" s="4">
        <f>(FlipkartTable[[#This Row],[Original Price]]-FlipkartTable[[#This Row],[Selling Price]])/FlipkartTable[[#This Row],[Original Price]]</f>
        <v>8.849557522123894E-5</v>
      </c>
      <c r="K1384">
        <f>(FlipkartTable[[#This Row],[Rating]]/FlipkartTable[[#This Row],[Selling Price]])*1000</f>
        <v>0.38056465173909199</v>
      </c>
      <c r="L1384" t="str">
        <f>IF(FlipkartTable[[#This Row],[Selling Price]]&lt;15000,"Budget",IF(FlipkartTable[[#This Row],[Selling Price]]&lt;50000,"Mid Range","Premium"))</f>
        <v>Budget</v>
      </c>
      <c r="M1384" t="str">
        <f>IF(FlipkartTable[[#This Row],[Rating]]&gt;4.5,"Excellent",IF(FlipkartTable[[#This Row],[Rating]]&gt;4,"Good",IF(FlipkartTable[[#This Row],[Rating]]&gt;3.5,"Average","Poor")))</f>
        <v>Good</v>
      </c>
    </row>
    <row r="1385" spans="1:13" x14ac:dyDescent="0.35">
      <c r="A1385" t="s">
        <v>663</v>
      </c>
      <c r="B1385" s="9" t="s">
        <v>703</v>
      </c>
      <c r="C1385" t="s">
        <v>694</v>
      </c>
      <c r="D1385" t="s">
        <v>27</v>
      </c>
      <c r="E1385" t="s">
        <v>15</v>
      </c>
      <c r="F1385">
        <v>4.5</v>
      </c>
      <c r="G1385">
        <v>37499</v>
      </c>
      <c r="H1385">
        <v>40999</v>
      </c>
      <c r="I1385">
        <f>FlipkartTable[[#This Row],[Original Price]]-FlipkartTable[[#This Row],[Selling Price]]</f>
        <v>3500</v>
      </c>
      <c r="J1385" s="4">
        <f>(FlipkartTable[[#This Row],[Original Price]]-FlipkartTable[[#This Row],[Selling Price]])/FlipkartTable[[#This Row],[Original Price]]</f>
        <v>8.536793580331227E-2</v>
      </c>
      <c r="K1385">
        <f>(FlipkartTable[[#This Row],[Rating]]/FlipkartTable[[#This Row],[Selling Price]])*1000</f>
        <v>0.12000320008533562</v>
      </c>
      <c r="L1385" t="str">
        <f>IF(FlipkartTable[[#This Row],[Selling Price]]&lt;15000,"Budget",IF(FlipkartTable[[#This Row],[Selling Price]]&lt;50000,"Mid Range","Premium"))</f>
        <v>Mid Range</v>
      </c>
      <c r="M1385" t="str">
        <f>IF(FlipkartTable[[#This Row],[Rating]]&gt;4.5,"Excellent",IF(FlipkartTable[[#This Row],[Rating]]&gt;4,"Good",IF(FlipkartTable[[#This Row],[Rating]]&gt;3.5,"Average","Poor")))</f>
        <v>Good</v>
      </c>
    </row>
    <row r="1386" spans="1:13" x14ac:dyDescent="0.35">
      <c r="A1386" t="s">
        <v>663</v>
      </c>
      <c r="B1386" s="9" t="s">
        <v>701</v>
      </c>
      <c r="C1386" t="s">
        <v>260</v>
      </c>
      <c r="D1386" t="s">
        <v>14</v>
      </c>
      <c r="E1386" t="s">
        <v>15</v>
      </c>
      <c r="F1386">
        <v>4.2</v>
      </c>
      <c r="G1386">
        <v>23999</v>
      </c>
      <c r="H1386">
        <v>29999</v>
      </c>
      <c r="I1386">
        <f>FlipkartTable[[#This Row],[Original Price]]-FlipkartTable[[#This Row],[Selling Price]]</f>
        <v>6000</v>
      </c>
      <c r="J1386" s="4">
        <f>(FlipkartTable[[#This Row],[Original Price]]-FlipkartTable[[#This Row],[Selling Price]])/FlipkartTable[[#This Row],[Original Price]]</f>
        <v>0.20000666688889629</v>
      </c>
      <c r="K1386">
        <f>(FlipkartTable[[#This Row],[Rating]]/FlipkartTable[[#This Row],[Selling Price]])*1000</f>
        <v>0.17500729197049877</v>
      </c>
      <c r="L1386" t="str">
        <f>IF(FlipkartTable[[#This Row],[Selling Price]]&lt;15000,"Budget",IF(FlipkartTable[[#This Row],[Selling Price]]&lt;50000,"Mid Range","Premium"))</f>
        <v>Mid Range</v>
      </c>
      <c r="M1386" t="str">
        <f>IF(FlipkartTable[[#This Row],[Rating]]&gt;4.5,"Excellent",IF(FlipkartTable[[#This Row],[Rating]]&gt;4,"Good",IF(FlipkartTable[[#This Row],[Rating]]&gt;3.5,"Average","Poor")))</f>
        <v>Good</v>
      </c>
    </row>
    <row r="1387" spans="1:13" x14ac:dyDescent="0.35">
      <c r="A1387" t="s">
        <v>663</v>
      </c>
      <c r="B1387" s="9" t="s">
        <v>674</v>
      </c>
      <c r="C1387" t="s">
        <v>141</v>
      </c>
      <c r="D1387" t="s">
        <v>35</v>
      </c>
      <c r="E1387" t="s">
        <v>21</v>
      </c>
      <c r="F1387">
        <v>4</v>
      </c>
      <c r="G1387">
        <v>8289</v>
      </c>
      <c r="H1387">
        <v>8289</v>
      </c>
      <c r="I1387">
        <f>FlipkartTable[[#This Row],[Original Price]]-FlipkartTable[[#This Row],[Selling Price]]</f>
        <v>0</v>
      </c>
      <c r="J1387" s="4">
        <f>(FlipkartTable[[#This Row],[Original Price]]-FlipkartTable[[#This Row],[Selling Price]])/FlipkartTable[[#This Row],[Original Price]]</f>
        <v>0</v>
      </c>
      <c r="K1387">
        <f>(FlipkartTable[[#This Row],[Rating]]/FlipkartTable[[#This Row],[Selling Price]])*1000</f>
        <v>0.48256725781155746</v>
      </c>
      <c r="L1387" t="str">
        <f>IF(FlipkartTable[[#This Row],[Selling Price]]&lt;15000,"Budget",IF(FlipkartTable[[#This Row],[Selling Price]]&lt;50000,"Mid Range","Premium"))</f>
        <v>Budget</v>
      </c>
      <c r="M1387" t="str">
        <f>IF(FlipkartTable[[#This Row],[Rating]]&gt;4.5,"Excellent",IF(FlipkartTable[[#This Row],[Rating]]&gt;4,"Good",IF(FlipkartTable[[#This Row],[Rating]]&gt;3.5,"Average","Poor")))</f>
        <v>Average</v>
      </c>
    </row>
    <row r="1388" spans="1:13" x14ac:dyDescent="0.35">
      <c r="A1388" t="s">
        <v>663</v>
      </c>
      <c r="B1388" s="9" t="s">
        <v>683</v>
      </c>
      <c r="C1388" t="s">
        <v>170</v>
      </c>
      <c r="D1388" t="s">
        <v>14</v>
      </c>
      <c r="E1388" t="s">
        <v>15</v>
      </c>
      <c r="F1388">
        <v>4.2</v>
      </c>
      <c r="G1388">
        <v>17499</v>
      </c>
      <c r="H1388">
        <v>18999</v>
      </c>
      <c r="I1388">
        <f>FlipkartTable[[#This Row],[Original Price]]-FlipkartTable[[#This Row],[Selling Price]]</f>
        <v>1500</v>
      </c>
      <c r="J1388" s="4">
        <f>(FlipkartTable[[#This Row],[Original Price]]-FlipkartTable[[#This Row],[Selling Price]])/FlipkartTable[[#This Row],[Original Price]]</f>
        <v>7.8951523764408657E-2</v>
      </c>
      <c r="K1388">
        <f>(FlipkartTable[[#This Row],[Rating]]/FlipkartTable[[#This Row],[Selling Price]])*1000</f>
        <v>0.24001371506943256</v>
      </c>
      <c r="L1388" t="str">
        <f>IF(FlipkartTable[[#This Row],[Selling Price]]&lt;15000,"Budget",IF(FlipkartTable[[#This Row],[Selling Price]]&lt;50000,"Mid Range","Premium"))</f>
        <v>Mid Range</v>
      </c>
      <c r="M1388" t="str">
        <f>IF(FlipkartTable[[#This Row],[Rating]]&gt;4.5,"Excellent",IF(FlipkartTable[[#This Row],[Rating]]&gt;4,"Good",IF(FlipkartTable[[#This Row],[Rating]]&gt;3.5,"Average","Poor")))</f>
        <v>Good</v>
      </c>
    </row>
    <row r="1389" spans="1:13" x14ac:dyDescent="0.35">
      <c r="A1389" t="s">
        <v>663</v>
      </c>
      <c r="B1389" s="9" t="s">
        <v>683</v>
      </c>
      <c r="C1389" t="s">
        <v>22</v>
      </c>
      <c r="D1389" t="s">
        <v>14</v>
      </c>
      <c r="E1389" t="s">
        <v>15</v>
      </c>
      <c r="F1389">
        <v>4.2</v>
      </c>
      <c r="G1389">
        <v>17499</v>
      </c>
      <c r="H1389">
        <v>18999</v>
      </c>
      <c r="I1389">
        <f>FlipkartTable[[#This Row],[Original Price]]-FlipkartTable[[#This Row],[Selling Price]]</f>
        <v>1500</v>
      </c>
      <c r="J1389" s="4">
        <f>(FlipkartTable[[#This Row],[Original Price]]-FlipkartTable[[#This Row],[Selling Price]])/FlipkartTable[[#This Row],[Original Price]]</f>
        <v>7.8951523764408657E-2</v>
      </c>
      <c r="K1389">
        <f>(FlipkartTable[[#This Row],[Rating]]/FlipkartTable[[#This Row],[Selling Price]])*1000</f>
        <v>0.24001371506943256</v>
      </c>
      <c r="L1389" t="str">
        <f>IF(FlipkartTable[[#This Row],[Selling Price]]&lt;15000,"Budget",IF(FlipkartTable[[#This Row],[Selling Price]]&lt;50000,"Mid Range","Premium"))</f>
        <v>Mid Range</v>
      </c>
      <c r="M1389" t="str">
        <f>IF(FlipkartTable[[#This Row],[Rating]]&gt;4.5,"Excellent",IF(FlipkartTable[[#This Row],[Rating]]&gt;4,"Good",IF(FlipkartTable[[#This Row],[Rating]]&gt;3.5,"Average","Poor")))</f>
        <v>Good</v>
      </c>
    </row>
    <row r="1390" spans="1:13" x14ac:dyDescent="0.35">
      <c r="A1390" t="s">
        <v>663</v>
      </c>
      <c r="B1390" s="9" t="s">
        <v>708</v>
      </c>
      <c r="C1390" t="s">
        <v>92</v>
      </c>
      <c r="D1390" t="s">
        <v>27</v>
      </c>
      <c r="E1390" t="s">
        <v>338</v>
      </c>
      <c r="F1390">
        <v>4.5</v>
      </c>
      <c r="G1390">
        <v>49999</v>
      </c>
      <c r="H1390">
        <v>49999</v>
      </c>
      <c r="I1390">
        <f>FlipkartTable[[#This Row],[Original Price]]-FlipkartTable[[#This Row],[Selling Price]]</f>
        <v>0</v>
      </c>
      <c r="J1390" s="4">
        <f>(FlipkartTable[[#This Row],[Original Price]]-FlipkartTable[[#This Row],[Selling Price]])/FlipkartTable[[#This Row],[Original Price]]</f>
        <v>0</v>
      </c>
      <c r="K1390">
        <f>(FlipkartTable[[#This Row],[Rating]]/FlipkartTable[[#This Row],[Selling Price]])*1000</f>
        <v>9.0001800036000723E-2</v>
      </c>
      <c r="L1390" t="str">
        <f>IF(FlipkartTable[[#This Row],[Selling Price]]&lt;15000,"Budget",IF(FlipkartTable[[#This Row],[Selling Price]]&lt;50000,"Mid Range","Premium"))</f>
        <v>Mid Range</v>
      </c>
      <c r="M1390" t="str">
        <f>IF(FlipkartTable[[#This Row],[Rating]]&gt;4.5,"Excellent",IF(FlipkartTable[[#This Row],[Rating]]&gt;4,"Good",IF(FlipkartTable[[#This Row],[Rating]]&gt;3.5,"Average","Poor")))</f>
        <v>Good</v>
      </c>
    </row>
    <row r="1391" spans="1:13" x14ac:dyDescent="0.35">
      <c r="A1391" t="s">
        <v>663</v>
      </c>
      <c r="B1391" s="9" t="s">
        <v>709</v>
      </c>
      <c r="C1391" t="s">
        <v>395</v>
      </c>
      <c r="D1391" t="s">
        <v>14</v>
      </c>
      <c r="E1391" t="s">
        <v>12</v>
      </c>
      <c r="F1391">
        <v>4.3</v>
      </c>
      <c r="G1391">
        <v>15999</v>
      </c>
      <c r="H1391">
        <v>19999</v>
      </c>
      <c r="I1391">
        <f>FlipkartTable[[#This Row],[Original Price]]-FlipkartTable[[#This Row],[Selling Price]]</f>
        <v>4000</v>
      </c>
      <c r="J1391" s="4">
        <f>(FlipkartTable[[#This Row],[Original Price]]-FlipkartTable[[#This Row],[Selling Price]])/FlipkartTable[[#This Row],[Original Price]]</f>
        <v>0.20001000050002501</v>
      </c>
      <c r="K1391">
        <f>(FlipkartTable[[#This Row],[Rating]]/FlipkartTable[[#This Row],[Selling Price]])*1000</f>
        <v>0.26876679792487029</v>
      </c>
      <c r="L1391" t="str">
        <f>IF(FlipkartTable[[#This Row],[Selling Price]]&lt;15000,"Budget",IF(FlipkartTable[[#This Row],[Selling Price]]&lt;50000,"Mid Range","Premium"))</f>
        <v>Mid Range</v>
      </c>
      <c r="M1391" t="str">
        <f>IF(FlipkartTable[[#This Row],[Rating]]&gt;4.5,"Excellent",IF(FlipkartTable[[#This Row],[Rating]]&gt;4,"Good",IF(FlipkartTable[[#This Row],[Rating]]&gt;3.5,"Average","Poor")))</f>
        <v>Good</v>
      </c>
    </row>
    <row r="1392" spans="1:13" x14ac:dyDescent="0.35">
      <c r="A1392" t="s">
        <v>663</v>
      </c>
      <c r="B1392" s="9" t="s">
        <v>701</v>
      </c>
      <c r="C1392" t="s">
        <v>710</v>
      </c>
      <c r="D1392" t="s">
        <v>14</v>
      </c>
      <c r="E1392" t="s">
        <v>15</v>
      </c>
      <c r="F1392">
        <v>4.2</v>
      </c>
      <c r="G1392">
        <v>23999</v>
      </c>
      <c r="H1392">
        <v>29999</v>
      </c>
      <c r="I1392">
        <f>FlipkartTable[[#This Row],[Original Price]]-FlipkartTable[[#This Row],[Selling Price]]</f>
        <v>6000</v>
      </c>
      <c r="J1392" s="4">
        <f>(FlipkartTable[[#This Row],[Original Price]]-FlipkartTable[[#This Row],[Selling Price]])/FlipkartTable[[#This Row],[Original Price]]</f>
        <v>0.20000666688889629</v>
      </c>
      <c r="K1392">
        <f>(FlipkartTable[[#This Row],[Rating]]/FlipkartTable[[#This Row],[Selling Price]])*1000</f>
        <v>0.17500729197049877</v>
      </c>
      <c r="L1392" t="str">
        <f>IF(FlipkartTable[[#This Row],[Selling Price]]&lt;15000,"Budget",IF(FlipkartTable[[#This Row],[Selling Price]]&lt;50000,"Mid Range","Premium"))</f>
        <v>Mid Range</v>
      </c>
      <c r="M1392" t="str">
        <f>IF(FlipkartTable[[#This Row],[Rating]]&gt;4.5,"Excellent",IF(FlipkartTable[[#This Row],[Rating]]&gt;4,"Good",IF(FlipkartTable[[#This Row],[Rating]]&gt;3.5,"Average","Poor")))</f>
        <v>Good</v>
      </c>
    </row>
    <row r="1393" spans="1:13" x14ac:dyDescent="0.35">
      <c r="A1393" t="s">
        <v>663</v>
      </c>
      <c r="B1393" s="9" t="s">
        <v>675</v>
      </c>
      <c r="C1393" t="s">
        <v>19</v>
      </c>
      <c r="D1393" t="s">
        <v>14</v>
      </c>
      <c r="E1393" t="s">
        <v>15</v>
      </c>
      <c r="F1393">
        <v>3.9</v>
      </c>
      <c r="G1393">
        <v>16499</v>
      </c>
      <c r="H1393">
        <v>17999</v>
      </c>
      <c r="I1393">
        <f>FlipkartTable[[#This Row],[Original Price]]-FlipkartTable[[#This Row],[Selling Price]]</f>
        <v>1500</v>
      </c>
      <c r="J1393" s="4">
        <f>(FlipkartTable[[#This Row],[Original Price]]-FlipkartTable[[#This Row],[Selling Price]])/FlipkartTable[[#This Row],[Original Price]]</f>
        <v>8.3337963220178904E-2</v>
      </c>
      <c r="K1393">
        <f>(FlipkartTable[[#This Row],[Rating]]/FlipkartTable[[#This Row],[Selling Price]])*1000</f>
        <v>0.23637796230074551</v>
      </c>
      <c r="L1393" t="str">
        <f>IF(FlipkartTable[[#This Row],[Selling Price]]&lt;15000,"Budget",IF(FlipkartTable[[#This Row],[Selling Price]]&lt;50000,"Mid Range","Premium"))</f>
        <v>Mid Range</v>
      </c>
      <c r="M1393" t="str">
        <f>IF(FlipkartTable[[#This Row],[Rating]]&gt;4.5,"Excellent",IF(FlipkartTable[[#This Row],[Rating]]&gt;4,"Good",IF(FlipkartTable[[#This Row],[Rating]]&gt;3.5,"Average","Poor")))</f>
        <v>Average</v>
      </c>
    </row>
    <row r="1394" spans="1:13" x14ac:dyDescent="0.35">
      <c r="A1394" t="s">
        <v>663</v>
      </c>
      <c r="B1394" s="9" t="s">
        <v>711</v>
      </c>
      <c r="C1394" t="s">
        <v>694</v>
      </c>
      <c r="D1394" t="s">
        <v>14</v>
      </c>
      <c r="E1394" t="s">
        <v>15</v>
      </c>
      <c r="F1394">
        <v>4.3</v>
      </c>
      <c r="G1394">
        <v>27499</v>
      </c>
      <c r="H1394">
        <v>30499</v>
      </c>
      <c r="I1394">
        <f>FlipkartTable[[#This Row],[Original Price]]-FlipkartTable[[#This Row],[Selling Price]]</f>
        <v>3000</v>
      </c>
      <c r="J1394" s="4">
        <f>(FlipkartTable[[#This Row],[Original Price]]-FlipkartTable[[#This Row],[Selling Price]])/FlipkartTable[[#This Row],[Original Price]]</f>
        <v>9.836388078297649E-2</v>
      </c>
      <c r="K1394">
        <f>(FlipkartTable[[#This Row],[Rating]]/FlipkartTable[[#This Row],[Selling Price]])*1000</f>
        <v>0.15636932252081892</v>
      </c>
      <c r="L1394" t="str">
        <f>IF(FlipkartTable[[#This Row],[Selling Price]]&lt;15000,"Budget",IF(FlipkartTable[[#This Row],[Selling Price]]&lt;50000,"Mid Range","Premium"))</f>
        <v>Mid Range</v>
      </c>
      <c r="M1394" t="str">
        <f>IF(FlipkartTable[[#This Row],[Rating]]&gt;4.5,"Excellent",IF(FlipkartTable[[#This Row],[Rating]]&gt;4,"Good",IF(FlipkartTable[[#This Row],[Rating]]&gt;3.5,"Average","Poor")))</f>
        <v>Good</v>
      </c>
    </row>
    <row r="1395" spans="1:13" x14ac:dyDescent="0.35">
      <c r="A1395" t="s">
        <v>663</v>
      </c>
      <c r="B1395" s="9" t="s">
        <v>675</v>
      </c>
      <c r="C1395" t="s">
        <v>19</v>
      </c>
      <c r="D1395" t="s">
        <v>14</v>
      </c>
      <c r="E1395" t="s">
        <v>15</v>
      </c>
      <c r="F1395">
        <v>3.9</v>
      </c>
      <c r="G1395">
        <v>14999</v>
      </c>
      <c r="H1395">
        <v>14999</v>
      </c>
      <c r="I1395">
        <f>FlipkartTable[[#This Row],[Original Price]]-FlipkartTable[[#This Row],[Selling Price]]</f>
        <v>0</v>
      </c>
      <c r="J1395" s="4">
        <f>(FlipkartTable[[#This Row],[Original Price]]-FlipkartTable[[#This Row],[Selling Price]])/FlipkartTable[[#This Row],[Original Price]]</f>
        <v>0</v>
      </c>
      <c r="K1395">
        <f>(FlipkartTable[[#This Row],[Rating]]/FlipkartTable[[#This Row],[Selling Price]])*1000</f>
        <v>0.26001733448896591</v>
      </c>
      <c r="L1395" t="str">
        <f>IF(FlipkartTable[[#This Row],[Selling Price]]&lt;15000,"Budget",IF(FlipkartTable[[#This Row],[Selling Price]]&lt;50000,"Mid Range","Premium"))</f>
        <v>Budget</v>
      </c>
      <c r="M1395" t="str">
        <f>IF(FlipkartTable[[#This Row],[Rating]]&gt;4.5,"Excellent",IF(FlipkartTable[[#This Row],[Rating]]&gt;4,"Good",IF(FlipkartTable[[#This Row],[Rating]]&gt;3.5,"Average","Poor")))</f>
        <v>Average</v>
      </c>
    </row>
    <row r="1396" spans="1:13" x14ac:dyDescent="0.35">
      <c r="A1396" t="s">
        <v>663</v>
      </c>
      <c r="B1396" s="9" t="s">
        <v>706</v>
      </c>
      <c r="C1396" t="s">
        <v>19</v>
      </c>
      <c r="D1396" t="s">
        <v>20</v>
      </c>
      <c r="E1396" t="s">
        <v>21</v>
      </c>
      <c r="F1396">
        <v>4.2</v>
      </c>
      <c r="G1396">
        <v>11744</v>
      </c>
      <c r="H1396">
        <v>11749</v>
      </c>
      <c r="I1396">
        <f>FlipkartTable[[#This Row],[Original Price]]-FlipkartTable[[#This Row],[Selling Price]]</f>
        <v>5</v>
      </c>
      <c r="J1396" s="4">
        <f>(FlipkartTable[[#This Row],[Original Price]]-FlipkartTable[[#This Row],[Selling Price]])/FlipkartTable[[#This Row],[Original Price]]</f>
        <v>4.2556813345816664E-4</v>
      </c>
      <c r="K1396">
        <f>(FlipkartTable[[#This Row],[Rating]]/FlipkartTable[[#This Row],[Selling Price]])*1000</f>
        <v>0.35762942779291557</v>
      </c>
      <c r="L1396" t="str">
        <f>IF(FlipkartTable[[#This Row],[Selling Price]]&lt;15000,"Budget",IF(FlipkartTable[[#This Row],[Selling Price]]&lt;50000,"Mid Range","Premium"))</f>
        <v>Budget</v>
      </c>
      <c r="M1396" t="str">
        <f>IF(FlipkartTable[[#This Row],[Rating]]&gt;4.5,"Excellent",IF(FlipkartTable[[#This Row],[Rating]]&gt;4,"Good",IF(FlipkartTable[[#This Row],[Rating]]&gt;3.5,"Average","Poor")))</f>
        <v>Good</v>
      </c>
    </row>
    <row r="1397" spans="1:13" x14ac:dyDescent="0.35">
      <c r="A1397" t="s">
        <v>663</v>
      </c>
      <c r="B1397" s="9" t="s">
        <v>676</v>
      </c>
      <c r="C1397" t="s">
        <v>678</v>
      </c>
      <c r="D1397" t="s">
        <v>14</v>
      </c>
      <c r="E1397" t="s">
        <v>15</v>
      </c>
      <c r="F1397">
        <v>4.3</v>
      </c>
      <c r="G1397">
        <v>18499</v>
      </c>
      <c r="H1397">
        <v>20499</v>
      </c>
      <c r="I1397">
        <f>FlipkartTable[[#This Row],[Original Price]]-FlipkartTable[[#This Row],[Selling Price]]</f>
        <v>2000</v>
      </c>
      <c r="J1397" s="4">
        <f>(FlipkartTable[[#This Row],[Original Price]]-FlipkartTable[[#This Row],[Selling Price]])/FlipkartTable[[#This Row],[Original Price]]</f>
        <v>9.7565734913898236E-2</v>
      </c>
      <c r="K1397">
        <f>(FlipkartTable[[#This Row],[Rating]]/FlipkartTable[[#This Row],[Selling Price]])*1000</f>
        <v>0.2324449970268663</v>
      </c>
      <c r="L1397" t="str">
        <f>IF(FlipkartTable[[#This Row],[Selling Price]]&lt;15000,"Budget",IF(FlipkartTable[[#This Row],[Selling Price]]&lt;50000,"Mid Range","Premium"))</f>
        <v>Mid Range</v>
      </c>
      <c r="M1397" t="str">
        <f>IF(FlipkartTable[[#This Row],[Rating]]&gt;4.5,"Excellent",IF(FlipkartTable[[#This Row],[Rating]]&gt;4,"Good",IF(FlipkartTable[[#This Row],[Rating]]&gt;3.5,"Average","Poor")))</f>
        <v>Good</v>
      </c>
    </row>
    <row r="1398" spans="1:13" x14ac:dyDescent="0.35">
      <c r="A1398" t="s">
        <v>663</v>
      </c>
      <c r="B1398" s="9" t="s">
        <v>712</v>
      </c>
      <c r="C1398" t="s">
        <v>713</v>
      </c>
      <c r="D1398" t="s">
        <v>14</v>
      </c>
      <c r="E1398" t="s">
        <v>15</v>
      </c>
      <c r="F1398">
        <v>4.0999999999999996</v>
      </c>
      <c r="G1398">
        <v>21700</v>
      </c>
      <c r="H1398">
        <v>21700</v>
      </c>
      <c r="I1398">
        <f>FlipkartTable[[#This Row],[Original Price]]-FlipkartTable[[#This Row],[Selling Price]]</f>
        <v>0</v>
      </c>
      <c r="J1398" s="4">
        <f>(FlipkartTable[[#This Row],[Original Price]]-FlipkartTable[[#This Row],[Selling Price]])/FlipkartTable[[#This Row],[Original Price]]</f>
        <v>0</v>
      </c>
      <c r="K1398">
        <f>(FlipkartTable[[#This Row],[Rating]]/FlipkartTable[[#This Row],[Selling Price]])*1000</f>
        <v>0.1889400921658986</v>
      </c>
      <c r="L1398" t="str">
        <f>IF(FlipkartTable[[#This Row],[Selling Price]]&lt;15000,"Budget",IF(FlipkartTable[[#This Row],[Selling Price]]&lt;50000,"Mid Range","Premium"))</f>
        <v>Mid Range</v>
      </c>
      <c r="M1398" t="str">
        <f>IF(FlipkartTable[[#This Row],[Rating]]&gt;4.5,"Excellent",IF(FlipkartTable[[#This Row],[Rating]]&gt;4,"Good",IF(FlipkartTable[[#This Row],[Rating]]&gt;3.5,"Average","Poor")))</f>
        <v>Good</v>
      </c>
    </row>
    <row r="1399" spans="1:13" x14ac:dyDescent="0.35">
      <c r="A1399" t="s">
        <v>663</v>
      </c>
      <c r="B1399" s="9" t="s">
        <v>711</v>
      </c>
      <c r="C1399" t="s">
        <v>694</v>
      </c>
      <c r="D1399" t="s">
        <v>14</v>
      </c>
      <c r="E1399" t="s">
        <v>15</v>
      </c>
      <c r="F1399">
        <v>4.3</v>
      </c>
      <c r="G1399">
        <v>27499</v>
      </c>
      <c r="H1399">
        <v>30499</v>
      </c>
      <c r="I1399">
        <f>FlipkartTable[[#This Row],[Original Price]]-FlipkartTable[[#This Row],[Selling Price]]</f>
        <v>3000</v>
      </c>
      <c r="J1399" s="4">
        <f>(FlipkartTable[[#This Row],[Original Price]]-FlipkartTable[[#This Row],[Selling Price]])/FlipkartTable[[#This Row],[Original Price]]</f>
        <v>9.836388078297649E-2</v>
      </c>
      <c r="K1399">
        <f>(FlipkartTable[[#This Row],[Rating]]/FlipkartTable[[#This Row],[Selling Price]])*1000</f>
        <v>0.15636932252081892</v>
      </c>
      <c r="L1399" t="str">
        <f>IF(FlipkartTable[[#This Row],[Selling Price]]&lt;15000,"Budget",IF(FlipkartTable[[#This Row],[Selling Price]]&lt;50000,"Mid Range","Premium"))</f>
        <v>Mid Range</v>
      </c>
      <c r="M1399" t="str">
        <f>IF(FlipkartTable[[#This Row],[Rating]]&gt;4.5,"Excellent",IF(FlipkartTable[[#This Row],[Rating]]&gt;4,"Good",IF(FlipkartTable[[#This Row],[Rating]]&gt;3.5,"Average","Poor")))</f>
        <v>Good</v>
      </c>
    </row>
    <row r="1400" spans="1:13" x14ac:dyDescent="0.35">
      <c r="A1400" t="s">
        <v>663</v>
      </c>
      <c r="B1400" s="9" t="s">
        <v>712</v>
      </c>
      <c r="C1400" t="s">
        <v>713</v>
      </c>
      <c r="D1400" t="s">
        <v>14</v>
      </c>
      <c r="E1400" t="s">
        <v>15</v>
      </c>
      <c r="F1400">
        <v>4.0999999999999996</v>
      </c>
      <c r="G1400">
        <v>21700</v>
      </c>
      <c r="H1400">
        <v>21700</v>
      </c>
      <c r="I1400">
        <f>FlipkartTable[[#This Row],[Original Price]]-FlipkartTable[[#This Row],[Selling Price]]</f>
        <v>0</v>
      </c>
      <c r="J1400" s="4">
        <f>(FlipkartTable[[#This Row],[Original Price]]-FlipkartTable[[#This Row],[Selling Price]])/FlipkartTable[[#This Row],[Original Price]]</f>
        <v>0</v>
      </c>
      <c r="K1400">
        <f>(FlipkartTable[[#This Row],[Rating]]/FlipkartTable[[#This Row],[Selling Price]])*1000</f>
        <v>0.1889400921658986</v>
      </c>
      <c r="L1400" t="str">
        <f>IF(FlipkartTable[[#This Row],[Selling Price]]&lt;15000,"Budget",IF(FlipkartTable[[#This Row],[Selling Price]]&lt;50000,"Mid Range","Premium"))</f>
        <v>Mid Range</v>
      </c>
      <c r="M1400" t="str">
        <f>IF(FlipkartTable[[#This Row],[Rating]]&gt;4.5,"Excellent",IF(FlipkartTable[[#This Row],[Rating]]&gt;4,"Good",IF(FlipkartTable[[#This Row],[Rating]]&gt;3.5,"Average","Poor")))</f>
        <v>Good</v>
      </c>
    </row>
    <row r="1401" spans="1:13" x14ac:dyDescent="0.35">
      <c r="A1401" t="s">
        <v>663</v>
      </c>
      <c r="B1401" s="9" t="s">
        <v>675</v>
      </c>
      <c r="C1401" t="s">
        <v>19</v>
      </c>
      <c r="D1401" t="s">
        <v>14</v>
      </c>
      <c r="E1401" t="s">
        <v>15</v>
      </c>
      <c r="F1401">
        <v>3.9</v>
      </c>
      <c r="G1401">
        <v>14999</v>
      </c>
      <c r="H1401">
        <v>14999</v>
      </c>
      <c r="I1401">
        <f>FlipkartTable[[#This Row],[Original Price]]-FlipkartTable[[#This Row],[Selling Price]]</f>
        <v>0</v>
      </c>
      <c r="J1401" s="4">
        <f>(FlipkartTable[[#This Row],[Original Price]]-FlipkartTable[[#This Row],[Selling Price]])/FlipkartTable[[#This Row],[Original Price]]</f>
        <v>0</v>
      </c>
      <c r="K1401">
        <f>(FlipkartTable[[#This Row],[Rating]]/FlipkartTable[[#This Row],[Selling Price]])*1000</f>
        <v>0.26001733448896591</v>
      </c>
      <c r="L1401" t="str">
        <f>IF(FlipkartTable[[#This Row],[Selling Price]]&lt;15000,"Budget",IF(FlipkartTable[[#This Row],[Selling Price]]&lt;50000,"Mid Range","Premium"))</f>
        <v>Budget</v>
      </c>
      <c r="M1401" t="str">
        <f>IF(FlipkartTable[[#This Row],[Rating]]&gt;4.5,"Excellent",IF(FlipkartTable[[#This Row],[Rating]]&gt;4,"Good",IF(FlipkartTable[[#This Row],[Rating]]&gt;3.5,"Average","Poor")))</f>
        <v>Average</v>
      </c>
    </row>
    <row r="1402" spans="1:13" x14ac:dyDescent="0.35">
      <c r="A1402" t="s">
        <v>663</v>
      </c>
      <c r="B1402" s="9" t="s">
        <v>676</v>
      </c>
      <c r="C1402" t="s">
        <v>678</v>
      </c>
      <c r="D1402" t="s">
        <v>14</v>
      </c>
      <c r="E1402" t="s">
        <v>15</v>
      </c>
      <c r="F1402">
        <v>4.3</v>
      </c>
      <c r="G1402">
        <v>18499</v>
      </c>
      <c r="H1402">
        <v>20499</v>
      </c>
      <c r="I1402">
        <f>FlipkartTable[[#This Row],[Original Price]]-FlipkartTable[[#This Row],[Selling Price]]</f>
        <v>2000</v>
      </c>
      <c r="J1402" s="4">
        <f>(FlipkartTable[[#This Row],[Original Price]]-FlipkartTable[[#This Row],[Selling Price]])/FlipkartTable[[#This Row],[Original Price]]</f>
        <v>9.7565734913898236E-2</v>
      </c>
      <c r="K1402">
        <f>(FlipkartTable[[#This Row],[Rating]]/FlipkartTable[[#This Row],[Selling Price]])*1000</f>
        <v>0.2324449970268663</v>
      </c>
      <c r="L1402" t="str">
        <f>IF(FlipkartTable[[#This Row],[Selling Price]]&lt;15000,"Budget",IF(FlipkartTable[[#This Row],[Selling Price]]&lt;50000,"Mid Range","Premium"))</f>
        <v>Mid Range</v>
      </c>
      <c r="M1402" t="str">
        <f>IF(FlipkartTable[[#This Row],[Rating]]&gt;4.5,"Excellent",IF(FlipkartTable[[#This Row],[Rating]]&gt;4,"Good",IF(FlipkartTable[[#This Row],[Rating]]&gt;3.5,"Average","Poor")))</f>
        <v>Good</v>
      </c>
    </row>
    <row r="1403" spans="1:13" x14ac:dyDescent="0.35">
      <c r="A1403" t="s">
        <v>663</v>
      </c>
      <c r="B1403" s="9" t="s">
        <v>695</v>
      </c>
      <c r="C1403" t="s">
        <v>671</v>
      </c>
      <c r="D1403" t="s">
        <v>14</v>
      </c>
      <c r="E1403" t="s">
        <v>15</v>
      </c>
      <c r="F1403">
        <v>4.3</v>
      </c>
      <c r="G1403">
        <v>19178</v>
      </c>
      <c r="H1403">
        <v>19900</v>
      </c>
      <c r="I1403">
        <f>FlipkartTable[[#This Row],[Original Price]]-FlipkartTable[[#This Row],[Selling Price]]</f>
        <v>722</v>
      </c>
      <c r="J1403" s="4">
        <f>(FlipkartTable[[#This Row],[Original Price]]-FlipkartTable[[#This Row],[Selling Price]])/FlipkartTable[[#This Row],[Original Price]]</f>
        <v>3.6281407035175878E-2</v>
      </c>
      <c r="K1403">
        <f>(FlipkartTable[[#This Row],[Rating]]/FlipkartTable[[#This Row],[Selling Price]])*1000</f>
        <v>0.22421524663677131</v>
      </c>
      <c r="L1403" t="str">
        <f>IF(FlipkartTable[[#This Row],[Selling Price]]&lt;15000,"Budget",IF(FlipkartTable[[#This Row],[Selling Price]]&lt;50000,"Mid Range","Premium"))</f>
        <v>Mid Range</v>
      </c>
      <c r="M1403" t="str">
        <f>IF(FlipkartTable[[#This Row],[Rating]]&gt;4.5,"Excellent",IF(FlipkartTable[[#This Row],[Rating]]&gt;4,"Good",IF(FlipkartTable[[#This Row],[Rating]]&gt;3.5,"Average","Poor")))</f>
        <v>Good</v>
      </c>
    </row>
    <row r="1404" spans="1:13" x14ac:dyDescent="0.35">
      <c r="A1404" t="s">
        <v>663</v>
      </c>
      <c r="B1404" s="9" t="s">
        <v>691</v>
      </c>
      <c r="C1404" t="s">
        <v>19</v>
      </c>
      <c r="D1404" t="s">
        <v>20</v>
      </c>
      <c r="E1404" t="s">
        <v>21</v>
      </c>
      <c r="F1404">
        <v>4</v>
      </c>
      <c r="G1404">
        <v>11499</v>
      </c>
      <c r="H1404">
        <v>13499</v>
      </c>
      <c r="I1404">
        <f>FlipkartTable[[#This Row],[Original Price]]-FlipkartTable[[#This Row],[Selling Price]]</f>
        <v>2000</v>
      </c>
      <c r="J1404" s="4">
        <f>(FlipkartTable[[#This Row],[Original Price]]-FlipkartTable[[#This Row],[Selling Price]])/FlipkartTable[[#This Row],[Original Price]]</f>
        <v>0.14815912289799243</v>
      </c>
      <c r="K1404">
        <f>(FlipkartTable[[#This Row],[Rating]]/FlipkartTable[[#This Row],[Selling Price]])*1000</f>
        <v>0.34785633533350729</v>
      </c>
      <c r="L1404" t="str">
        <f>IF(FlipkartTable[[#This Row],[Selling Price]]&lt;15000,"Budget",IF(FlipkartTable[[#This Row],[Selling Price]]&lt;50000,"Mid Range","Premium"))</f>
        <v>Budget</v>
      </c>
      <c r="M1404" t="str">
        <f>IF(FlipkartTable[[#This Row],[Rating]]&gt;4.5,"Excellent",IF(FlipkartTable[[#This Row],[Rating]]&gt;4,"Good",IF(FlipkartTable[[#This Row],[Rating]]&gt;3.5,"Average","Poor")))</f>
        <v>Average</v>
      </c>
    </row>
    <row r="1405" spans="1:13" x14ac:dyDescent="0.35">
      <c r="A1405" t="s">
        <v>663</v>
      </c>
      <c r="B1405" s="9" t="s">
        <v>692</v>
      </c>
      <c r="C1405" t="s">
        <v>397</v>
      </c>
      <c r="D1405" t="s">
        <v>11</v>
      </c>
      <c r="E1405" t="s">
        <v>12</v>
      </c>
      <c r="F1405">
        <v>4.2</v>
      </c>
      <c r="G1405">
        <v>10499</v>
      </c>
      <c r="H1405">
        <v>11499</v>
      </c>
      <c r="I1405">
        <f>FlipkartTable[[#This Row],[Original Price]]-FlipkartTable[[#This Row],[Selling Price]]</f>
        <v>1000</v>
      </c>
      <c r="J1405" s="4">
        <f>(FlipkartTable[[#This Row],[Original Price]]-FlipkartTable[[#This Row],[Selling Price]])/FlipkartTable[[#This Row],[Original Price]]</f>
        <v>8.696408383337681E-2</v>
      </c>
      <c r="K1405">
        <f>(FlipkartTable[[#This Row],[Rating]]/FlipkartTable[[#This Row],[Selling Price]])*1000</f>
        <v>0.40003809886655872</v>
      </c>
      <c r="L1405" t="str">
        <f>IF(FlipkartTable[[#This Row],[Selling Price]]&lt;15000,"Budget",IF(FlipkartTable[[#This Row],[Selling Price]]&lt;50000,"Mid Range","Premium"))</f>
        <v>Budget</v>
      </c>
      <c r="M1405" t="str">
        <f>IF(FlipkartTable[[#This Row],[Rating]]&gt;4.5,"Excellent",IF(FlipkartTable[[#This Row],[Rating]]&gt;4,"Good",IF(FlipkartTable[[#This Row],[Rating]]&gt;3.5,"Average","Poor")))</f>
        <v>Good</v>
      </c>
    </row>
    <row r="1406" spans="1:13" x14ac:dyDescent="0.35">
      <c r="A1406" t="s">
        <v>663</v>
      </c>
      <c r="B1406" s="9" t="s">
        <v>683</v>
      </c>
      <c r="C1406" t="s">
        <v>19</v>
      </c>
      <c r="D1406" t="s">
        <v>14</v>
      </c>
      <c r="E1406" t="s">
        <v>12</v>
      </c>
      <c r="F1406">
        <v>4.2</v>
      </c>
      <c r="G1406">
        <v>15199</v>
      </c>
      <c r="H1406">
        <v>15380</v>
      </c>
      <c r="I1406">
        <f>FlipkartTable[[#This Row],[Original Price]]-FlipkartTable[[#This Row],[Selling Price]]</f>
        <v>181</v>
      </c>
      <c r="J1406" s="4">
        <f>(FlipkartTable[[#This Row],[Original Price]]-FlipkartTable[[#This Row],[Selling Price]])/FlipkartTable[[#This Row],[Original Price]]</f>
        <v>1.176853055916775E-2</v>
      </c>
      <c r="K1406">
        <f>(FlipkartTable[[#This Row],[Rating]]/FlipkartTable[[#This Row],[Selling Price]])*1000</f>
        <v>0.27633396934008814</v>
      </c>
      <c r="L1406" t="str">
        <f>IF(FlipkartTable[[#This Row],[Selling Price]]&lt;15000,"Budget",IF(FlipkartTable[[#This Row],[Selling Price]]&lt;50000,"Mid Range","Premium"))</f>
        <v>Mid Range</v>
      </c>
      <c r="M1406" t="str">
        <f>IF(FlipkartTable[[#This Row],[Rating]]&gt;4.5,"Excellent",IF(FlipkartTable[[#This Row],[Rating]]&gt;4,"Good",IF(FlipkartTable[[#This Row],[Rating]]&gt;3.5,"Average","Poor")))</f>
        <v>Good</v>
      </c>
    </row>
    <row r="1407" spans="1:13" x14ac:dyDescent="0.35">
      <c r="A1407" t="s">
        <v>663</v>
      </c>
      <c r="B1407" s="9" t="s">
        <v>691</v>
      </c>
      <c r="C1407" t="s">
        <v>22</v>
      </c>
      <c r="D1407" t="s">
        <v>11</v>
      </c>
      <c r="E1407" t="s">
        <v>12</v>
      </c>
      <c r="F1407">
        <v>4.2</v>
      </c>
      <c r="G1407">
        <v>12499</v>
      </c>
      <c r="H1407">
        <v>14499</v>
      </c>
      <c r="I1407">
        <f>FlipkartTable[[#This Row],[Original Price]]-FlipkartTable[[#This Row],[Selling Price]]</f>
        <v>2000</v>
      </c>
      <c r="J1407" s="4">
        <f>(FlipkartTable[[#This Row],[Original Price]]-FlipkartTable[[#This Row],[Selling Price]])/FlipkartTable[[#This Row],[Original Price]]</f>
        <v>0.13794054762397406</v>
      </c>
      <c r="K1407">
        <f>(FlipkartTable[[#This Row],[Rating]]/FlipkartTable[[#This Row],[Selling Price]])*1000</f>
        <v>0.33602688215057208</v>
      </c>
      <c r="L1407" t="str">
        <f>IF(FlipkartTable[[#This Row],[Selling Price]]&lt;15000,"Budget",IF(FlipkartTable[[#This Row],[Selling Price]]&lt;50000,"Mid Range","Premium"))</f>
        <v>Budget</v>
      </c>
      <c r="M1407" t="str">
        <f>IF(FlipkartTable[[#This Row],[Rating]]&gt;4.5,"Excellent",IF(FlipkartTable[[#This Row],[Rating]]&gt;4,"Good",IF(FlipkartTable[[#This Row],[Rating]]&gt;3.5,"Average","Poor")))</f>
        <v>Good</v>
      </c>
    </row>
    <row r="1408" spans="1:13" x14ac:dyDescent="0.35">
      <c r="A1408" t="s">
        <v>663</v>
      </c>
      <c r="B1408" s="9" t="s">
        <v>715</v>
      </c>
      <c r="C1408" t="s">
        <v>716</v>
      </c>
      <c r="D1408" t="s">
        <v>27</v>
      </c>
      <c r="E1408" t="s">
        <v>338</v>
      </c>
      <c r="F1408">
        <v>4.5999999999999996</v>
      </c>
      <c r="G1408">
        <v>92000</v>
      </c>
      <c r="H1408">
        <v>92000</v>
      </c>
      <c r="I1408">
        <f>FlipkartTable[[#This Row],[Original Price]]-FlipkartTable[[#This Row],[Selling Price]]</f>
        <v>0</v>
      </c>
      <c r="J1408" s="4">
        <f>(FlipkartTable[[#This Row],[Original Price]]-FlipkartTable[[#This Row],[Selling Price]])/FlipkartTable[[#This Row],[Original Price]]</f>
        <v>0</v>
      </c>
      <c r="K1408">
        <f>(FlipkartTable[[#This Row],[Rating]]/FlipkartTable[[#This Row],[Selling Price]])*1000</f>
        <v>4.9999999999999996E-2</v>
      </c>
      <c r="L1408" t="str">
        <f>IF(FlipkartTable[[#This Row],[Selling Price]]&lt;15000,"Budget",IF(FlipkartTable[[#This Row],[Selling Price]]&lt;50000,"Mid Range","Premium"))</f>
        <v>Premium</v>
      </c>
      <c r="M1408" t="str">
        <f>IF(FlipkartTable[[#This Row],[Rating]]&gt;4.5,"Excellent",IF(FlipkartTable[[#This Row],[Rating]]&gt;4,"Good",IF(FlipkartTable[[#This Row],[Rating]]&gt;3.5,"Average","Poor")))</f>
        <v>Excellent</v>
      </c>
    </row>
    <row r="1409" spans="1:13" x14ac:dyDescent="0.35">
      <c r="A1409" t="s">
        <v>663</v>
      </c>
      <c r="B1409" s="9" t="s">
        <v>683</v>
      </c>
      <c r="C1409" t="s">
        <v>19</v>
      </c>
      <c r="D1409" t="s">
        <v>11</v>
      </c>
      <c r="E1409" t="s">
        <v>12</v>
      </c>
      <c r="F1409">
        <v>4.2</v>
      </c>
      <c r="G1409">
        <v>14999</v>
      </c>
      <c r="H1409">
        <v>17999</v>
      </c>
      <c r="I1409">
        <f>FlipkartTable[[#This Row],[Original Price]]-FlipkartTable[[#This Row],[Selling Price]]</f>
        <v>3000</v>
      </c>
      <c r="J1409" s="4">
        <f>(FlipkartTable[[#This Row],[Original Price]]-FlipkartTable[[#This Row],[Selling Price]])/FlipkartTable[[#This Row],[Original Price]]</f>
        <v>0.16667592644035781</v>
      </c>
      <c r="K1409">
        <f>(FlipkartTable[[#This Row],[Rating]]/FlipkartTable[[#This Row],[Selling Price]])*1000</f>
        <v>0.28001866791119412</v>
      </c>
      <c r="L1409" t="str">
        <f>IF(FlipkartTable[[#This Row],[Selling Price]]&lt;15000,"Budget",IF(FlipkartTable[[#This Row],[Selling Price]]&lt;50000,"Mid Range","Premium"))</f>
        <v>Budget</v>
      </c>
      <c r="M1409" t="str">
        <f>IF(FlipkartTable[[#This Row],[Rating]]&gt;4.5,"Excellent",IF(FlipkartTable[[#This Row],[Rating]]&gt;4,"Good",IF(FlipkartTable[[#This Row],[Rating]]&gt;3.5,"Average","Poor")))</f>
        <v>Good</v>
      </c>
    </row>
    <row r="1410" spans="1:13" x14ac:dyDescent="0.35">
      <c r="A1410" t="s">
        <v>663</v>
      </c>
      <c r="B1410" s="9" t="s">
        <v>687</v>
      </c>
      <c r="C1410" t="s">
        <v>183</v>
      </c>
      <c r="D1410" t="s">
        <v>14</v>
      </c>
      <c r="E1410" t="s">
        <v>12</v>
      </c>
      <c r="F1410">
        <v>4.3</v>
      </c>
      <c r="G1410">
        <v>16999</v>
      </c>
      <c r="H1410">
        <v>17500</v>
      </c>
      <c r="I1410">
        <f>FlipkartTable[[#This Row],[Original Price]]-FlipkartTable[[#This Row],[Selling Price]]</f>
        <v>501</v>
      </c>
      <c r="J1410" s="4">
        <f>(FlipkartTable[[#This Row],[Original Price]]-FlipkartTable[[#This Row],[Selling Price]])/FlipkartTable[[#This Row],[Original Price]]</f>
        <v>2.8628571428571427E-2</v>
      </c>
      <c r="K1410">
        <f>(FlipkartTable[[#This Row],[Rating]]/FlipkartTable[[#This Row],[Selling Price]])*1000</f>
        <v>0.25295605623860223</v>
      </c>
      <c r="L1410" t="str">
        <f>IF(FlipkartTable[[#This Row],[Selling Price]]&lt;15000,"Budget",IF(FlipkartTable[[#This Row],[Selling Price]]&lt;50000,"Mid Range","Premium"))</f>
        <v>Mid Range</v>
      </c>
      <c r="M1410" t="str">
        <f>IF(FlipkartTable[[#This Row],[Rating]]&gt;4.5,"Excellent",IF(FlipkartTable[[#This Row],[Rating]]&gt;4,"Good",IF(FlipkartTable[[#This Row],[Rating]]&gt;3.5,"Average","Poor")))</f>
        <v>Good</v>
      </c>
    </row>
    <row r="1411" spans="1:13" x14ac:dyDescent="0.35">
      <c r="A1411" t="s">
        <v>663</v>
      </c>
      <c r="B1411" s="9" t="s">
        <v>675</v>
      </c>
      <c r="C1411" t="s">
        <v>152</v>
      </c>
      <c r="D1411" t="s">
        <v>14</v>
      </c>
      <c r="E1411" t="s">
        <v>15</v>
      </c>
      <c r="F1411">
        <v>3.9</v>
      </c>
      <c r="G1411">
        <v>16499</v>
      </c>
      <c r="H1411">
        <v>17999</v>
      </c>
      <c r="I1411">
        <f>FlipkartTable[[#This Row],[Original Price]]-FlipkartTable[[#This Row],[Selling Price]]</f>
        <v>1500</v>
      </c>
      <c r="J1411" s="4">
        <f>(FlipkartTable[[#This Row],[Original Price]]-FlipkartTable[[#This Row],[Selling Price]])/FlipkartTable[[#This Row],[Original Price]]</f>
        <v>8.3337963220178904E-2</v>
      </c>
      <c r="K1411">
        <f>(FlipkartTable[[#This Row],[Rating]]/FlipkartTable[[#This Row],[Selling Price]])*1000</f>
        <v>0.23637796230074551</v>
      </c>
      <c r="L1411" t="str">
        <f>IF(FlipkartTable[[#This Row],[Selling Price]]&lt;15000,"Budget",IF(FlipkartTable[[#This Row],[Selling Price]]&lt;50000,"Mid Range","Premium"))</f>
        <v>Mid Range</v>
      </c>
      <c r="M1411" t="str">
        <f>IF(FlipkartTable[[#This Row],[Rating]]&gt;4.5,"Excellent",IF(FlipkartTable[[#This Row],[Rating]]&gt;4,"Good",IF(FlipkartTable[[#This Row],[Rating]]&gt;3.5,"Average","Poor")))</f>
        <v>Average</v>
      </c>
    </row>
    <row r="1412" spans="1:13" x14ac:dyDescent="0.35">
      <c r="A1412" t="s">
        <v>663</v>
      </c>
      <c r="B1412" s="9" t="s">
        <v>706</v>
      </c>
      <c r="C1412" t="s">
        <v>717</v>
      </c>
      <c r="D1412" t="s">
        <v>11</v>
      </c>
      <c r="E1412" t="s">
        <v>12</v>
      </c>
      <c r="F1412">
        <v>4.3</v>
      </c>
      <c r="G1412">
        <v>11699</v>
      </c>
      <c r="H1412">
        <v>11699</v>
      </c>
      <c r="I1412">
        <f>FlipkartTable[[#This Row],[Original Price]]-FlipkartTable[[#This Row],[Selling Price]]</f>
        <v>0</v>
      </c>
      <c r="J1412" s="4">
        <f>(FlipkartTable[[#This Row],[Original Price]]-FlipkartTable[[#This Row],[Selling Price]])/FlipkartTable[[#This Row],[Original Price]]</f>
        <v>0</v>
      </c>
      <c r="K1412">
        <f>(FlipkartTable[[#This Row],[Rating]]/FlipkartTable[[#This Row],[Selling Price]])*1000</f>
        <v>0.3675527822890845</v>
      </c>
      <c r="L1412" t="str">
        <f>IF(FlipkartTable[[#This Row],[Selling Price]]&lt;15000,"Budget",IF(FlipkartTable[[#This Row],[Selling Price]]&lt;50000,"Mid Range","Premium"))</f>
        <v>Budget</v>
      </c>
      <c r="M1412" t="str">
        <f>IF(FlipkartTable[[#This Row],[Rating]]&gt;4.5,"Excellent",IF(FlipkartTable[[#This Row],[Rating]]&gt;4,"Good",IF(FlipkartTable[[#This Row],[Rating]]&gt;3.5,"Average","Poor")))</f>
        <v>Good</v>
      </c>
    </row>
    <row r="1413" spans="1:13" x14ac:dyDescent="0.35">
      <c r="A1413" t="s">
        <v>663</v>
      </c>
      <c r="B1413" s="9" t="s">
        <v>718</v>
      </c>
      <c r="C1413" t="s">
        <v>84</v>
      </c>
      <c r="D1413" t="s">
        <v>134</v>
      </c>
      <c r="E1413" t="s">
        <v>124</v>
      </c>
      <c r="F1413">
        <v>3.9</v>
      </c>
      <c r="G1413">
        <v>7399</v>
      </c>
      <c r="H1413">
        <v>7399</v>
      </c>
      <c r="I1413">
        <f>FlipkartTable[[#This Row],[Original Price]]-FlipkartTable[[#This Row],[Selling Price]]</f>
        <v>0</v>
      </c>
      <c r="J1413" s="4">
        <f>(FlipkartTable[[#This Row],[Original Price]]-FlipkartTable[[#This Row],[Selling Price]])/FlipkartTable[[#This Row],[Original Price]]</f>
        <v>0</v>
      </c>
      <c r="K1413">
        <f>(FlipkartTable[[#This Row],[Rating]]/FlipkartTable[[#This Row],[Selling Price]])*1000</f>
        <v>0.5270982565211515</v>
      </c>
      <c r="L1413" t="str">
        <f>IF(FlipkartTable[[#This Row],[Selling Price]]&lt;15000,"Budget",IF(FlipkartTable[[#This Row],[Selling Price]]&lt;50000,"Mid Range","Premium"))</f>
        <v>Budget</v>
      </c>
      <c r="M1413" t="str">
        <f>IF(FlipkartTable[[#This Row],[Rating]]&gt;4.5,"Excellent",IF(FlipkartTable[[#This Row],[Rating]]&gt;4,"Good",IF(FlipkartTable[[#This Row],[Rating]]&gt;3.5,"Average","Poor")))</f>
        <v>Average</v>
      </c>
    </row>
    <row r="1414" spans="1:13" x14ac:dyDescent="0.35">
      <c r="A1414" t="s">
        <v>663</v>
      </c>
      <c r="B1414" s="9" t="s">
        <v>675</v>
      </c>
      <c r="C1414" t="s">
        <v>152</v>
      </c>
      <c r="D1414" t="s">
        <v>14</v>
      </c>
      <c r="E1414" t="s">
        <v>15</v>
      </c>
      <c r="F1414">
        <v>3.9</v>
      </c>
      <c r="G1414">
        <v>15989</v>
      </c>
      <c r="H1414">
        <v>16489</v>
      </c>
      <c r="I1414">
        <f>FlipkartTable[[#This Row],[Original Price]]-FlipkartTable[[#This Row],[Selling Price]]</f>
        <v>500</v>
      </c>
      <c r="J1414" s="4">
        <f>(FlipkartTable[[#This Row],[Original Price]]-FlipkartTable[[#This Row],[Selling Price]])/FlipkartTable[[#This Row],[Original Price]]</f>
        <v>3.0323245800230457E-2</v>
      </c>
      <c r="K1414">
        <f>(FlipkartTable[[#This Row],[Rating]]/FlipkartTable[[#This Row],[Selling Price]])*1000</f>
        <v>0.24391769341422226</v>
      </c>
      <c r="L1414" t="str">
        <f>IF(FlipkartTable[[#This Row],[Selling Price]]&lt;15000,"Budget",IF(FlipkartTable[[#This Row],[Selling Price]]&lt;50000,"Mid Range","Premium"))</f>
        <v>Mid Range</v>
      </c>
      <c r="M1414" t="str">
        <f>IF(FlipkartTable[[#This Row],[Rating]]&gt;4.5,"Excellent",IF(FlipkartTable[[#This Row],[Rating]]&gt;4,"Good",IF(FlipkartTable[[#This Row],[Rating]]&gt;3.5,"Average","Poor")))</f>
        <v>Average</v>
      </c>
    </row>
    <row r="1415" spans="1:13" x14ac:dyDescent="0.35">
      <c r="A1415" t="s">
        <v>663</v>
      </c>
      <c r="B1415" s="9" t="s">
        <v>703</v>
      </c>
      <c r="C1415" t="s">
        <v>719</v>
      </c>
      <c r="D1415" t="s">
        <v>27</v>
      </c>
      <c r="E1415" t="s">
        <v>15</v>
      </c>
      <c r="F1415">
        <v>4.5</v>
      </c>
      <c r="G1415">
        <v>37499</v>
      </c>
      <c r="H1415">
        <v>40999</v>
      </c>
      <c r="I1415">
        <f>FlipkartTable[[#This Row],[Original Price]]-FlipkartTable[[#This Row],[Selling Price]]</f>
        <v>3500</v>
      </c>
      <c r="J1415" s="4">
        <f>(FlipkartTable[[#This Row],[Original Price]]-FlipkartTable[[#This Row],[Selling Price]])/FlipkartTable[[#This Row],[Original Price]]</f>
        <v>8.536793580331227E-2</v>
      </c>
      <c r="K1415">
        <f>(FlipkartTable[[#This Row],[Rating]]/FlipkartTable[[#This Row],[Selling Price]])*1000</f>
        <v>0.12000320008533562</v>
      </c>
      <c r="L1415" t="str">
        <f>IF(FlipkartTable[[#This Row],[Selling Price]]&lt;15000,"Budget",IF(FlipkartTable[[#This Row],[Selling Price]]&lt;50000,"Mid Range","Premium"))</f>
        <v>Mid Range</v>
      </c>
      <c r="M1415" t="str">
        <f>IF(FlipkartTable[[#This Row],[Rating]]&gt;4.5,"Excellent",IF(FlipkartTable[[#This Row],[Rating]]&gt;4,"Good",IF(FlipkartTable[[#This Row],[Rating]]&gt;3.5,"Average","Poor")))</f>
        <v>Good</v>
      </c>
    </row>
    <row r="1416" spans="1:13" x14ac:dyDescent="0.35">
      <c r="A1416" t="s">
        <v>663</v>
      </c>
      <c r="B1416" s="9" t="s">
        <v>720</v>
      </c>
      <c r="C1416" t="s">
        <v>673</v>
      </c>
      <c r="D1416" t="s">
        <v>14</v>
      </c>
      <c r="E1416" t="s">
        <v>15</v>
      </c>
      <c r="F1416">
        <v>4.3</v>
      </c>
      <c r="G1416">
        <v>24990</v>
      </c>
      <c r="H1416">
        <v>24990</v>
      </c>
      <c r="I1416">
        <f>FlipkartTable[[#This Row],[Original Price]]-FlipkartTable[[#This Row],[Selling Price]]</f>
        <v>0</v>
      </c>
      <c r="J1416" s="4">
        <f>(FlipkartTable[[#This Row],[Original Price]]-FlipkartTable[[#This Row],[Selling Price]])/FlipkartTable[[#This Row],[Original Price]]</f>
        <v>0</v>
      </c>
      <c r="K1416">
        <f>(FlipkartTable[[#This Row],[Rating]]/FlipkartTable[[#This Row],[Selling Price]])*1000</f>
        <v>0.17206882753101241</v>
      </c>
      <c r="L1416" t="str">
        <f>IF(FlipkartTable[[#This Row],[Selling Price]]&lt;15000,"Budget",IF(FlipkartTable[[#This Row],[Selling Price]]&lt;50000,"Mid Range","Premium"))</f>
        <v>Mid Range</v>
      </c>
      <c r="M1416" t="str">
        <f>IF(FlipkartTable[[#This Row],[Rating]]&gt;4.5,"Excellent",IF(FlipkartTable[[#This Row],[Rating]]&gt;4,"Good",IF(FlipkartTable[[#This Row],[Rating]]&gt;3.5,"Average","Poor")))</f>
        <v>Good</v>
      </c>
    </row>
    <row r="1417" spans="1:13" x14ac:dyDescent="0.35">
      <c r="A1417" t="s">
        <v>663</v>
      </c>
      <c r="B1417" s="9" t="s">
        <v>687</v>
      </c>
      <c r="C1417" t="s">
        <v>354</v>
      </c>
      <c r="D1417" t="s">
        <v>27</v>
      </c>
      <c r="E1417" t="s">
        <v>15</v>
      </c>
      <c r="F1417">
        <v>4.3</v>
      </c>
      <c r="G1417">
        <v>19990</v>
      </c>
      <c r="H1417">
        <v>19990</v>
      </c>
      <c r="I1417">
        <f>FlipkartTable[[#This Row],[Original Price]]-FlipkartTable[[#This Row],[Selling Price]]</f>
        <v>0</v>
      </c>
      <c r="J1417" s="4">
        <f>(FlipkartTable[[#This Row],[Original Price]]-FlipkartTable[[#This Row],[Selling Price]])/FlipkartTable[[#This Row],[Original Price]]</f>
        <v>0</v>
      </c>
      <c r="K1417">
        <f>(FlipkartTable[[#This Row],[Rating]]/FlipkartTable[[#This Row],[Selling Price]])*1000</f>
        <v>0.21510755377688845</v>
      </c>
      <c r="L1417" t="str">
        <f>IF(FlipkartTable[[#This Row],[Selling Price]]&lt;15000,"Budget",IF(FlipkartTable[[#This Row],[Selling Price]]&lt;50000,"Mid Range","Premium"))</f>
        <v>Mid Range</v>
      </c>
      <c r="M1417" t="str">
        <f>IF(FlipkartTable[[#This Row],[Rating]]&gt;4.5,"Excellent",IF(FlipkartTable[[#This Row],[Rating]]&gt;4,"Good",IF(FlipkartTable[[#This Row],[Rating]]&gt;3.5,"Average","Poor")))</f>
        <v>Good</v>
      </c>
    </row>
    <row r="1418" spans="1:13" x14ac:dyDescent="0.35">
      <c r="A1418" t="s">
        <v>663</v>
      </c>
      <c r="B1418" s="9" t="s">
        <v>683</v>
      </c>
      <c r="C1418" t="s">
        <v>22</v>
      </c>
      <c r="D1418" t="s">
        <v>11</v>
      </c>
      <c r="E1418" t="s">
        <v>12</v>
      </c>
      <c r="F1418">
        <v>4.2</v>
      </c>
      <c r="G1418">
        <v>14999</v>
      </c>
      <c r="H1418">
        <v>17999</v>
      </c>
      <c r="I1418">
        <f>FlipkartTable[[#This Row],[Original Price]]-FlipkartTable[[#This Row],[Selling Price]]</f>
        <v>3000</v>
      </c>
      <c r="J1418" s="4">
        <f>(FlipkartTable[[#This Row],[Original Price]]-FlipkartTable[[#This Row],[Selling Price]])/FlipkartTable[[#This Row],[Original Price]]</f>
        <v>0.16667592644035781</v>
      </c>
      <c r="K1418">
        <f>(FlipkartTable[[#This Row],[Rating]]/FlipkartTable[[#This Row],[Selling Price]])*1000</f>
        <v>0.28001866791119412</v>
      </c>
      <c r="L1418" t="str">
        <f>IF(FlipkartTable[[#This Row],[Selling Price]]&lt;15000,"Budget",IF(FlipkartTable[[#This Row],[Selling Price]]&lt;50000,"Mid Range","Premium"))</f>
        <v>Budget</v>
      </c>
      <c r="M1418" t="str">
        <f>IF(FlipkartTable[[#This Row],[Rating]]&gt;4.5,"Excellent",IF(FlipkartTable[[#This Row],[Rating]]&gt;4,"Good",IF(FlipkartTable[[#This Row],[Rating]]&gt;3.5,"Average","Poor")))</f>
        <v>Good</v>
      </c>
    </row>
    <row r="1419" spans="1:13" x14ac:dyDescent="0.35">
      <c r="A1419" t="s">
        <v>663</v>
      </c>
      <c r="B1419" s="9" t="s">
        <v>721</v>
      </c>
      <c r="C1419" t="s">
        <v>722</v>
      </c>
      <c r="D1419" t="s">
        <v>27</v>
      </c>
      <c r="E1419" t="s">
        <v>64</v>
      </c>
      <c r="F1419">
        <v>4.3</v>
      </c>
      <c r="G1419">
        <v>77999</v>
      </c>
      <c r="H1419">
        <v>86000</v>
      </c>
      <c r="I1419">
        <f>FlipkartTable[[#This Row],[Original Price]]-FlipkartTable[[#This Row],[Selling Price]]</f>
        <v>8001</v>
      </c>
      <c r="J1419" s="4">
        <f>(FlipkartTable[[#This Row],[Original Price]]-FlipkartTable[[#This Row],[Selling Price]])/FlipkartTable[[#This Row],[Original Price]]</f>
        <v>9.3034883720930231E-2</v>
      </c>
      <c r="K1419">
        <f>(FlipkartTable[[#This Row],[Rating]]/FlipkartTable[[#This Row],[Selling Price]])*1000</f>
        <v>5.512891190912704E-2</v>
      </c>
      <c r="L1419" t="str">
        <f>IF(FlipkartTable[[#This Row],[Selling Price]]&lt;15000,"Budget",IF(FlipkartTable[[#This Row],[Selling Price]]&lt;50000,"Mid Range","Premium"))</f>
        <v>Premium</v>
      </c>
      <c r="M1419" t="str">
        <f>IF(FlipkartTable[[#This Row],[Rating]]&gt;4.5,"Excellent",IF(FlipkartTable[[#This Row],[Rating]]&gt;4,"Good",IF(FlipkartTable[[#This Row],[Rating]]&gt;3.5,"Average","Poor")))</f>
        <v>Good</v>
      </c>
    </row>
    <row r="1420" spans="1:13" x14ac:dyDescent="0.35">
      <c r="A1420" t="s">
        <v>663</v>
      </c>
      <c r="B1420" s="9" t="s">
        <v>711</v>
      </c>
      <c r="C1420" t="s">
        <v>713</v>
      </c>
      <c r="D1420" t="s">
        <v>27</v>
      </c>
      <c r="E1420" t="s">
        <v>15</v>
      </c>
      <c r="F1420">
        <v>4.4000000000000004</v>
      </c>
      <c r="G1420">
        <v>28999</v>
      </c>
      <c r="H1420">
        <v>31999</v>
      </c>
      <c r="I1420">
        <f>FlipkartTable[[#This Row],[Original Price]]-FlipkartTable[[#This Row],[Selling Price]]</f>
        <v>3000</v>
      </c>
      <c r="J1420" s="4">
        <f>(FlipkartTable[[#This Row],[Original Price]]-FlipkartTable[[#This Row],[Selling Price]])/FlipkartTable[[#This Row],[Original Price]]</f>
        <v>9.3752929779055597E-2</v>
      </c>
      <c r="K1420">
        <f>(FlipkartTable[[#This Row],[Rating]]/FlipkartTable[[#This Row],[Selling Price]])*1000</f>
        <v>0.15172936997827513</v>
      </c>
      <c r="L1420" t="str">
        <f>IF(FlipkartTable[[#This Row],[Selling Price]]&lt;15000,"Budget",IF(FlipkartTable[[#This Row],[Selling Price]]&lt;50000,"Mid Range","Premium"))</f>
        <v>Mid Range</v>
      </c>
      <c r="M1420" t="str">
        <f>IF(FlipkartTable[[#This Row],[Rating]]&gt;4.5,"Excellent",IF(FlipkartTable[[#This Row],[Rating]]&gt;4,"Good",IF(FlipkartTable[[#This Row],[Rating]]&gt;3.5,"Average","Poor")))</f>
        <v>Good</v>
      </c>
    </row>
    <row r="1421" spans="1:13" x14ac:dyDescent="0.35">
      <c r="A1421" t="s">
        <v>663</v>
      </c>
      <c r="B1421" s="9" t="s">
        <v>675</v>
      </c>
      <c r="C1421" t="s">
        <v>22</v>
      </c>
      <c r="D1421" t="s">
        <v>14</v>
      </c>
      <c r="E1421" t="s">
        <v>15</v>
      </c>
      <c r="F1421">
        <v>3.9</v>
      </c>
      <c r="G1421">
        <v>15271</v>
      </c>
      <c r="H1421">
        <v>15271</v>
      </c>
      <c r="I1421">
        <f>FlipkartTable[[#This Row],[Original Price]]-FlipkartTable[[#This Row],[Selling Price]]</f>
        <v>0</v>
      </c>
      <c r="J1421" s="4">
        <f>(FlipkartTable[[#This Row],[Original Price]]-FlipkartTable[[#This Row],[Selling Price]])/FlipkartTable[[#This Row],[Original Price]]</f>
        <v>0</v>
      </c>
      <c r="K1421">
        <f>(FlipkartTable[[#This Row],[Rating]]/FlipkartTable[[#This Row],[Selling Price]])*1000</f>
        <v>0.25538602580053699</v>
      </c>
      <c r="L1421" t="str">
        <f>IF(FlipkartTable[[#This Row],[Selling Price]]&lt;15000,"Budget",IF(FlipkartTable[[#This Row],[Selling Price]]&lt;50000,"Mid Range","Premium"))</f>
        <v>Mid Range</v>
      </c>
      <c r="M1421" t="str">
        <f>IF(FlipkartTable[[#This Row],[Rating]]&gt;4.5,"Excellent",IF(FlipkartTable[[#This Row],[Rating]]&gt;4,"Good",IF(FlipkartTable[[#This Row],[Rating]]&gt;3.5,"Average","Poor")))</f>
        <v>Average</v>
      </c>
    </row>
    <row r="1422" spans="1:13" x14ac:dyDescent="0.35">
      <c r="A1422" t="s">
        <v>663</v>
      </c>
      <c r="B1422" s="9" t="s">
        <v>723</v>
      </c>
      <c r="C1422" t="s">
        <v>724</v>
      </c>
      <c r="D1422" t="s">
        <v>14</v>
      </c>
      <c r="E1422" t="s">
        <v>15</v>
      </c>
      <c r="F1422">
        <v>4.3</v>
      </c>
      <c r="G1422">
        <v>39990</v>
      </c>
      <c r="H1422">
        <v>39990</v>
      </c>
      <c r="I1422">
        <f>FlipkartTable[[#This Row],[Original Price]]-FlipkartTable[[#This Row],[Selling Price]]</f>
        <v>0</v>
      </c>
      <c r="J1422" s="4">
        <f>(FlipkartTable[[#This Row],[Original Price]]-FlipkartTable[[#This Row],[Selling Price]])/FlipkartTable[[#This Row],[Original Price]]</f>
        <v>0</v>
      </c>
      <c r="K1422">
        <f>(FlipkartTable[[#This Row],[Rating]]/FlipkartTable[[#This Row],[Selling Price]])*1000</f>
        <v>0.10752688172043011</v>
      </c>
      <c r="L1422" t="str">
        <f>IF(FlipkartTable[[#This Row],[Selling Price]]&lt;15000,"Budget",IF(FlipkartTable[[#This Row],[Selling Price]]&lt;50000,"Mid Range","Premium"))</f>
        <v>Mid Range</v>
      </c>
      <c r="M1422" t="str">
        <f>IF(FlipkartTable[[#This Row],[Rating]]&gt;4.5,"Excellent",IF(FlipkartTable[[#This Row],[Rating]]&gt;4,"Good",IF(FlipkartTable[[#This Row],[Rating]]&gt;3.5,"Average","Poor")))</f>
        <v>Good</v>
      </c>
    </row>
    <row r="1423" spans="1:13" x14ac:dyDescent="0.35">
      <c r="A1423" t="s">
        <v>663</v>
      </c>
      <c r="B1423" s="9" t="s">
        <v>706</v>
      </c>
      <c r="C1423" t="s">
        <v>717</v>
      </c>
      <c r="D1423" t="s">
        <v>20</v>
      </c>
      <c r="E1423" t="s">
        <v>21</v>
      </c>
      <c r="F1423">
        <v>4.2</v>
      </c>
      <c r="G1423">
        <v>11745</v>
      </c>
      <c r="H1423">
        <v>11745</v>
      </c>
      <c r="I1423">
        <f>FlipkartTable[[#This Row],[Original Price]]-FlipkartTable[[#This Row],[Selling Price]]</f>
        <v>0</v>
      </c>
      <c r="J1423" s="4">
        <f>(FlipkartTable[[#This Row],[Original Price]]-FlipkartTable[[#This Row],[Selling Price]])/FlipkartTable[[#This Row],[Original Price]]</f>
        <v>0</v>
      </c>
      <c r="K1423">
        <f>(FlipkartTable[[#This Row],[Rating]]/FlipkartTable[[#This Row],[Selling Price]])*1000</f>
        <v>0.35759897828863346</v>
      </c>
      <c r="L1423" t="str">
        <f>IF(FlipkartTable[[#This Row],[Selling Price]]&lt;15000,"Budget",IF(FlipkartTable[[#This Row],[Selling Price]]&lt;50000,"Mid Range","Premium"))</f>
        <v>Budget</v>
      </c>
      <c r="M1423" t="str">
        <f>IF(FlipkartTable[[#This Row],[Rating]]&gt;4.5,"Excellent",IF(FlipkartTable[[#This Row],[Rating]]&gt;4,"Good",IF(FlipkartTable[[#This Row],[Rating]]&gt;3.5,"Average","Poor")))</f>
        <v>Good</v>
      </c>
    </row>
    <row r="1424" spans="1:13" x14ac:dyDescent="0.35">
      <c r="A1424" t="s">
        <v>663</v>
      </c>
      <c r="B1424" s="9" t="s">
        <v>725</v>
      </c>
      <c r="C1424" t="s">
        <v>726</v>
      </c>
      <c r="D1424" t="s">
        <v>27</v>
      </c>
      <c r="E1424" t="s">
        <v>15</v>
      </c>
      <c r="F1424">
        <v>4.4000000000000004</v>
      </c>
      <c r="G1424">
        <v>27499</v>
      </c>
      <c r="H1424">
        <v>34999</v>
      </c>
      <c r="I1424">
        <f>FlipkartTable[[#This Row],[Original Price]]-FlipkartTable[[#This Row],[Selling Price]]</f>
        <v>7500</v>
      </c>
      <c r="J1424" s="4">
        <f>(FlipkartTable[[#This Row],[Original Price]]-FlipkartTable[[#This Row],[Selling Price]])/FlipkartTable[[#This Row],[Original Price]]</f>
        <v>0.214291836909626</v>
      </c>
      <c r="K1424">
        <f>(FlipkartTable[[#This Row],[Rating]]/FlipkartTable[[#This Row],[Selling Price]])*1000</f>
        <v>0.16000581839339614</v>
      </c>
      <c r="L1424" t="str">
        <f>IF(FlipkartTable[[#This Row],[Selling Price]]&lt;15000,"Budget",IF(FlipkartTable[[#This Row],[Selling Price]]&lt;50000,"Mid Range","Premium"))</f>
        <v>Mid Range</v>
      </c>
      <c r="M1424" t="str">
        <f>IF(FlipkartTable[[#This Row],[Rating]]&gt;4.5,"Excellent",IF(FlipkartTable[[#This Row],[Rating]]&gt;4,"Good",IF(FlipkartTable[[#This Row],[Rating]]&gt;3.5,"Average","Poor")))</f>
        <v>Good</v>
      </c>
    </row>
    <row r="1425" spans="1:13" x14ac:dyDescent="0.35">
      <c r="A1425" t="s">
        <v>663</v>
      </c>
      <c r="B1425" s="9" t="s">
        <v>679</v>
      </c>
      <c r="C1425" t="s">
        <v>19</v>
      </c>
      <c r="D1425" t="s">
        <v>11</v>
      </c>
      <c r="E1425" t="s">
        <v>12</v>
      </c>
      <c r="F1425">
        <v>4.2</v>
      </c>
      <c r="G1425">
        <v>11290</v>
      </c>
      <c r="H1425">
        <v>12490</v>
      </c>
      <c r="I1425">
        <f>FlipkartTable[[#This Row],[Original Price]]-FlipkartTable[[#This Row],[Selling Price]]</f>
        <v>1200</v>
      </c>
      <c r="J1425" s="4">
        <f>(FlipkartTable[[#This Row],[Original Price]]-FlipkartTable[[#This Row],[Selling Price]])/FlipkartTable[[#This Row],[Original Price]]</f>
        <v>9.6076861489191354E-2</v>
      </c>
      <c r="K1425">
        <f>(FlipkartTable[[#This Row],[Rating]]/FlipkartTable[[#This Row],[Selling Price]])*1000</f>
        <v>0.37201062887511072</v>
      </c>
      <c r="L1425" t="str">
        <f>IF(FlipkartTable[[#This Row],[Selling Price]]&lt;15000,"Budget",IF(FlipkartTable[[#This Row],[Selling Price]]&lt;50000,"Mid Range","Premium"))</f>
        <v>Budget</v>
      </c>
      <c r="M1425" t="str">
        <f>IF(FlipkartTable[[#This Row],[Rating]]&gt;4.5,"Excellent",IF(FlipkartTable[[#This Row],[Rating]]&gt;4,"Good",IF(FlipkartTable[[#This Row],[Rating]]&gt;3.5,"Average","Poor")))</f>
        <v>Good</v>
      </c>
    </row>
    <row r="1426" spans="1:13" x14ac:dyDescent="0.35">
      <c r="A1426" t="s">
        <v>663</v>
      </c>
      <c r="B1426" s="9" t="s">
        <v>727</v>
      </c>
      <c r="C1426" t="s">
        <v>728</v>
      </c>
      <c r="D1426" t="s">
        <v>27</v>
      </c>
      <c r="E1426" t="s">
        <v>15</v>
      </c>
      <c r="F1426">
        <v>4.3</v>
      </c>
      <c r="G1426">
        <v>30500</v>
      </c>
      <c r="H1426">
        <v>33100</v>
      </c>
      <c r="I1426">
        <f>FlipkartTable[[#This Row],[Original Price]]-FlipkartTable[[#This Row],[Selling Price]]</f>
        <v>2600</v>
      </c>
      <c r="J1426" s="4">
        <f>(FlipkartTable[[#This Row],[Original Price]]-FlipkartTable[[#This Row],[Selling Price]])/FlipkartTable[[#This Row],[Original Price]]</f>
        <v>7.8549848942598186E-2</v>
      </c>
      <c r="K1426">
        <f>(FlipkartTable[[#This Row],[Rating]]/FlipkartTable[[#This Row],[Selling Price]])*1000</f>
        <v>0.14098360655737704</v>
      </c>
      <c r="L1426" t="str">
        <f>IF(FlipkartTable[[#This Row],[Selling Price]]&lt;15000,"Budget",IF(FlipkartTable[[#This Row],[Selling Price]]&lt;50000,"Mid Range","Premium"))</f>
        <v>Mid Range</v>
      </c>
      <c r="M1426" t="str">
        <f>IF(FlipkartTable[[#This Row],[Rating]]&gt;4.5,"Excellent",IF(FlipkartTable[[#This Row],[Rating]]&gt;4,"Good",IF(FlipkartTable[[#This Row],[Rating]]&gt;3.5,"Average","Poor")))</f>
        <v>Good</v>
      </c>
    </row>
    <row r="1427" spans="1:13" x14ac:dyDescent="0.35">
      <c r="A1427" t="s">
        <v>663</v>
      </c>
      <c r="B1427" s="9" t="s">
        <v>686</v>
      </c>
      <c r="C1427" t="s">
        <v>19</v>
      </c>
      <c r="D1427" t="s">
        <v>489</v>
      </c>
      <c r="E1427" t="s">
        <v>539</v>
      </c>
      <c r="F1427">
        <v>4.2</v>
      </c>
      <c r="G1427">
        <v>2025</v>
      </c>
      <c r="H1427">
        <v>2025</v>
      </c>
      <c r="I1427">
        <f>FlipkartTable[[#This Row],[Original Price]]-FlipkartTable[[#This Row],[Selling Price]]</f>
        <v>0</v>
      </c>
      <c r="J1427" s="4">
        <f>(FlipkartTable[[#This Row],[Original Price]]-FlipkartTable[[#This Row],[Selling Price]])/FlipkartTable[[#This Row],[Original Price]]</f>
        <v>0</v>
      </c>
      <c r="K1427">
        <f>(FlipkartTable[[#This Row],[Rating]]/FlipkartTable[[#This Row],[Selling Price]])*1000</f>
        <v>2.074074074074074</v>
      </c>
      <c r="L1427" t="str">
        <f>IF(FlipkartTable[[#This Row],[Selling Price]]&lt;15000,"Budget",IF(FlipkartTable[[#This Row],[Selling Price]]&lt;50000,"Mid Range","Premium"))</f>
        <v>Budget</v>
      </c>
      <c r="M1427" t="str">
        <f>IF(FlipkartTable[[#This Row],[Rating]]&gt;4.5,"Excellent",IF(FlipkartTable[[#This Row],[Rating]]&gt;4,"Good",IF(FlipkartTable[[#This Row],[Rating]]&gt;3.5,"Average","Poor")))</f>
        <v>Good</v>
      </c>
    </row>
    <row r="1428" spans="1:13" x14ac:dyDescent="0.35">
      <c r="A1428" t="s">
        <v>663</v>
      </c>
      <c r="B1428" s="9" t="s">
        <v>675</v>
      </c>
      <c r="C1428" t="s">
        <v>19</v>
      </c>
      <c r="D1428" t="s">
        <v>11</v>
      </c>
      <c r="E1428" t="s">
        <v>12</v>
      </c>
      <c r="F1428">
        <v>4.2</v>
      </c>
      <c r="G1428">
        <v>15999</v>
      </c>
      <c r="H1428">
        <v>15999</v>
      </c>
      <c r="I1428">
        <f>FlipkartTable[[#This Row],[Original Price]]-FlipkartTable[[#This Row],[Selling Price]]</f>
        <v>0</v>
      </c>
      <c r="J1428" s="4">
        <f>(FlipkartTable[[#This Row],[Original Price]]-FlipkartTable[[#This Row],[Selling Price]])/FlipkartTable[[#This Row],[Original Price]]</f>
        <v>0</v>
      </c>
      <c r="K1428">
        <f>(FlipkartTable[[#This Row],[Rating]]/FlipkartTable[[#This Row],[Selling Price]])*1000</f>
        <v>0.26251640727545478</v>
      </c>
      <c r="L1428" t="str">
        <f>IF(FlipkartTable[[#This Row],[Selling Price]]&lt;15000,"Budget",IF(FlipkartTable[[#This Row],[Selling Price]]&lt;50000,"Mid Range","Premium"))</f>
        <v>Mid Range</v>
      </c>
      <c r="M1428" t="str">
        <f>IF(FlipkartTable[[#This Row],[Rating]]&gt;4.5,"Excellent",IF(FlipkartTable[[#This Row],[Rating]]&gt;4,"Good",IF(FlipkartTable[[#This Row],[Rating]]&gt;3.5,"Average","Poor")))</f>
        <v>Good</v>
      </c>
    </row>
    <row r="1429" spans="1:13" x14ac:dyDescent="0.35">
      <c r="A1429" t="s">
        <v>663</v>
      </c>
      <c r="B1429" s="9" t="s">
        <v>718</v>
      </c>
      <c r="C1429" t="s">
        <v>19</v>
      </c>
      <c r="D1429" t="s">
        <v>35</v>
      </c>
      <c r="E1429" t="s">
        <v>21</v>
      </c>
      <c r="F1429">
        <v>3.9</v>
      </c>
      <c r="G1429">
        <v>5999</v>
      </c>
      <c r="H1429">
        <v>5999</v>
      </c>
      <c r="I1429">
        <f>FlipkartTable[[#This Row],[Original Price]]-FlipkartTable[[#This Row],[Selling Price]]</f>
        <v>0</v>
      </c>
      <c r="J1429" s="4">
        <f>(FlipkartTable[[#This Row],[Original Price]]-FlipkartTable[[#This Row],[Selling Price]])/FlipkartTable[[#This Row],[Original Price]]</f>
        <v>0</v>
      </c>
      <c r="K1429">
        <f>(FlipkartTable[[#This Row],[Rating]]/FlipkartTable[[#This Row],[Selling Price]])*1000</f>
        <v>0.6501083513918986</v>
      </c>
      <c r="L1429" t="str">
        <f>IF(FlipkartTable[[#This Row],[Selling Price]]&lt;15000,"Budget",IF(FlipkartTable[[#This Row],[Selling Price]]&lt;50000,"Mid Range","Premium"))</f>
        <v>Budget</v>
      </c>
      <c r="M1429" t="str">
        <f>IF(FlipkartTable[[#This Row],[Rating]]&gt;4.5,"Excellent",IF(FlipkartTable[[#This Row],[Rating]]&gt;4,"Good",IF(FlipkartTable[[#This Row],[Rating]]&gt;3.5,"Average","Poor")))</f>
        <v>Average</v>
      </c>
    </row>
    <row r="1430" spans="1:13" x14ac:dyDescent="0.35">
      <c r="A1430" t="s">
        <v>663</v>
      </c>
      <c r="B1430" s="9" t="s">
        <v>679</v>
      </c>
      <c r="C1430" t="s">
        <v>152</v>
      </c>
      <c r="D1430" t="s">
        <v>11</v>
      </c>
      <c r="E1430" t="s">
        <v>12</v>
      </c>
      <c r="F1430">
        <v>4.2</v>
      </c>
      <c r="G1430">
        <v>11730</v>
      </c>
      <c r="H1430">
        <v>12900</v>
      </c>
      <c r="I1430">
        <f>FlipkartTable[[#This Row],[Original Price]]-FlipkartTable[[#This Row],[Selling Price]]</f>
        <v>1170</v>
      </c>
      <c r="J1430" s="4">
        <f>(FlipkartTable[[#This Row],[Original Price]]-FlipkartTable[[#This Row],[Selling Price]])/FlipkartTable[[#This Row],[Original Price]]</f>
        <v>9.0697674418604657E-2</v>
      </c>
      <c r="K1430">
        <f>(FlipkartTable[[#This Row],[Rating]]/FlipkartTable[[#This Row],[Selling Price]])*1000</f>
        <v>0.35805626598465473</v>
      </c>
      <c r="L1430" t="str">
        <f>IF(FlipkartTable[[#This Row],[Selling Price]]&lt;15000,"Budget",IF(FlipkartTable[[#This Row],[Selling Price]]&lt;50000,"Mid Range","Premium"))</f>
        <v>Budget</v>
      </c>
      <c r="M1430" t="str">
        <f>IF(FlipkartTable[[#This Row],[Rating]]&gt;4.5,"Excellent",IF(FlipkartTable[[#This Row],[Rating]]&gt;4,"Good",IF(FlipkartTable[[#This Row],[Rating]]&gt;3.5,"Average","Poor")))</f>
        <v>Good</v>
      </c>
    </row>
    <row r="1431" spans="1:13" x14ac:dyDescent="0.35">
      <c r="A1431" t="s">
        <v>663</v>
      </c>
      <c r="B1431" s="9" t="s">
        <v>730</v>
      </c>
      <c r="C1431" t="s">
        <v>700</v>
      </c>
      <c r="D1431" t="s">
        <v>63</v>
      </c>
      <c r="E1431" t="s">
        <v>338</v>
      </c>
      <c r="F1431">
        <v>4.4000000000000004</v>
      </c>
      <c r="G1431">
        <v>157999</v>
      </c>
      <c r="H1431">
        <v>179999</v>
      </c>
      <c r="I1431">
        <f>FlipkartTable[[#This Row],[Original Price]]-FlipkartTable[[#This Row],[Selling Price]]</f>
        <v>22000</v>
      </c>
      <c r="J1431" s="4">
        <f>(FlipkartTable[[#This Row],[Original Price]]-FlipkartTable[[#This Row],[Selling Price]])/FlipkartTable[[#This Row],[Original Price]]</f>
        <v>0.12222290123834022</v>
      </c>
      <c r="K1431">
        <f>(FlipkartTable[[#This Row],[Rating]]/FlipkartTable[[#This Row],[Selling Price]])*1000</f>
        <v>2.7848277520743803E-2</v>
      </c>
      <c r="L1431" t="str">
        <f>IF(FlipkartTable[[#This Row],[Selling Price]]&lt;15000,"Budget",IF(FlipkartTable[[#This Row],[Selling Price]]&lt;50000,"Mid Range","Premium"))</f>
        <v>Premium</v>
      </c>
      <c r="M1431" t="str">
        <f>IF(FlipkartTable[[#This Row],[Rating]]&gt;4.5,"Excellent",IF(FlipkartTable[[#This Row],[Rating]]&gt;4,"Good",IF(FlipkartTable[[#This Row],[Rating]]&gt;3.5,"Average","Poor")))</f>
        <v>Good</v>
      </c>
    </row>
    <row r="1432" spans="1:13" x14ac:dyDescent="0.35">
      <c r="A1432" t="s">
        <v>663</v>
      </c>
      <c r="B1432" s="9" t="s">
        <v>670</v>
      </c>
      <c r="C1432" t="s">
        <v>671</v>
      </c>
      <c r="D1432" t="s">
        <v>27</v>
      </c>
      <c r="E1432" t="s">
        <v>15</v>
      </c>
      <c r="F1432">
        <v>4.3</v>
      </c>
      <c r="G1432">
        <v>21950</v>
      </c>
      <c r="H1432">
        <v>21950</v>
      </c>
      <c r="I1432">
        <f>FlipkartTable[[#This Row],[Original Price]]-FlipkartTable[[#This Row],[Selling Price]]</f>
        <v>0</v>
      </c>
      <c r="J1432" s="4">
        <f>(FlipkartTable[[#This Row],[Original Price]]-FlipkartTable[[#This Row],[Selling Price]])/FlipkartTable[[#This Row],[Original Price]]</f>
        <v>0</v>
      </c>
      <c r="K1432">
        <f>(FlipkartTable[[#This Row],[Rating]]/FlipkartTable[[#This Row],[Selling Price]])*1000</f>
        <v>0.19589977220956717</v>
      </c>
      <c r="L1432" t="str">
        <f>IF(FlipkartTable[[#This Row],[Selling Price]]&lt;15000,"Budget",IF(FlipkartTable[[#This Row],[Selling Price]]&lt;50000,"Mid Range","Premium"))</f>
        <v>Mid Range</v>
      </c>
      <c r="M1432" t="str">
        <f>IF(FlipkartTable[[#This Row],[Rating]]&gt;4.5,"Excellent",IF(FlipkartTable[[#This Row],[Rating]]&gt;4,"Good",IF(FlipkartTable[[#This Row],[Rating]]&gt;3.5,"Average","Poor")))</f>
        <v>Good</v>
      </c>
    </row>
    <row r="1433" spans="1:13" x14ac:dyDescent="0.35">
      <c r="A1433" t="s">
        <v>663</v>
      </c>
      <c r="B1433" s="9" t="s">
        <v>687</v>
      </c>
      <c r="C1433" t="s">
        <v>731</v>
      </c>
      <c r="D1433" t="s">
        <v>14</v>
      </c>
      <c r="E1433" t="s">
        <v>15</v>
      </c>
      <c r="F1433">
        <v>4.3</v>
      </c>
      <c r="G1433">
        <v>17989</v>
      </c>
      <c r="H1433">
        <v>17989</v>
      </c>
      <c r="I1433">
        <f>FlipkartTable[[#This Row],[Original Price]]-FlipkartTable[[#This Row],[Selling Price]]</f>
        <v>0</v>
      </c>
      <c r="J1433" s="4">
        <f>(FlipkartTable[[#This Row],[Original Price]]-FlipkartTable[[#This Row],[Selling Price]])/FlipkartTable[[#This Row],[Original Price]]</f>
        <v>0</v>
      </c>
      <c r="K1433">
        <f>(FlipkartTable[[#This Row],[Rating]]/FlipkartTable[[#This Row],[Selling Price]])*1000</f>
        <v>0.23903496581244094</v>
      </c>
      <c r="L1433" t="str">
        <f>IF(FlipkartTable[[#This Row],[Selling Price]]&lt;15000,"Budget",IF(FlipkartTable[[#This Row],[Selling Price]]&lt;50000,"Mid Range","Premium"))</f>
        <v>Mid Range</v>
      </c>
      <c r="M1433" t="str">
        <f>IF(FlipkartTable[[#This Row],[Rating]]&gt;4.5,"Excellent",IF(FlipkartTable[[#This Row],[Rating]]&gt;4,"Good",IF(FlipkartTable[[#This Row],[Rating]]&gt;3.5,"Average","Poor")))</f>
        <v>Good</v>
      </c>
    </row>
    <row r="1434" spans="1:13" x14ac:dyDescent="0.35">
      <c r="A1434" t="s">
        <v>663</v>
      </c>
      <c r="B1434" s="9" t="s">
        <v>677</v>
      </c>
      <c r="C1434" t="s">
        <v>717</v>
      </c>
      <c r="D1434" t="s">
        <v>14</v>
      </c>
      <c r="E1434" t="s">
        <v>15</v>
      </c>
      <c r="F1434">
        <v>4.3</v>
      </c>
      <c r="G1434">
        <v>20696</v>
      </c>
      <c r="H1434">
        <v>21995</v>
      </c>
      <c r="I1434">
        <f>FlipkartTable[[#This Row],[Original Price]]-FlipkartTable[[#This Row],[Selling Price]]</f>
        <v>1299</v>
      </c>
      <c r="J1434" s="4">
        <f>(FlipkartTable[[#This Row],[Original Price]]-FlipkartTable[[#This Row],[Selling Price]])/FlipkartTable[[#This Row],[Original Price]]</f>
        <v>5.905887701750398E-2</v>
      </c>
      <c r="K1434">
        <f>(FlipkartTable[[#This Row],[Rating]]/FlipkartTable[[#This Row],[Selling Price]])*1000</f>
        <v>0.20776961731735602</v>
      </c>
      <c r="L1434" t="str">
        <f>IF(FlipkartTable[[#This Row],[Selling Price]]&lt;15000,"Budget",IF(FlipkartTable[[#This Row],[Selling Price]]&lt;50000,"Mid Range","Premium"))</f>
        <v>Mid Range</v>
      </c>
      <c r="M1434" t="str">
        <f>IF(FlipkartTable[[#This Row],[Rating]]&gt;4.5,"Excellent",IF(FlipkartTable[[#This Row],[Rating]]&gt;4,"Good",IF(FlipkartTable[[#This Row],[Rating]]&gt;3.5,"Average","Poor")))</f>
        <v>Good</v>
      </c>
    </row>
    <row r="1435" spans="1:13" x14ac:dyDescent="0.35">
      <c r="A1435" t="s">
        <v>663</v>
      </c>
      <c r="B1435" s="9" t="s">
        <v>677</v>
      </c>
      <c r="C1435" t="s">
        <v>717</v>
      </c>
      <c r="D1435" t="s">
        <v>27</v>
      </c>
      <c r="E1435" t="s">
        <v>15</v>
      </c>
      <c r="F1435">
        <v>4.2</v>
      </c>
      <c r="G1435">
        <v>22450</v>
      </c>
      <c r="H1435">
        <v>22450</v>
      </c>
      <c r="I1435">
        <f>FlipkartTable[[#This Row],[Original Price]]-FlipkartTable[[#This Row],[Selling Price]]</f>
        <v>0</v>
      </c>
      <c r="J1435" s="4">
        <f>(FlipkartTable[[#This Row],[Original Price]]-FlipkartTable[[#This Row],[Selling Price]])/FlipkartTable[[#This Row],[Original Price]]</f>
        <v>0</v>
      </c>
      <c r="K1435">
        <f>(FlipkartTable[[#This Row],[Rating]]/FlipkartTable[[#This Row],[Selling Price]])*1000</f>
        <v>0.18708240534521159</v>
      </c>
      <c r="L1435" t="str">
        <f>IF(FlipkartTable[[#This Row],[Selling Price]]&lt;15000,"Budget",IF(FlipkartTable[[#This Row],[Selling Price]]&lt;50000,"Mid Range","Premium"))</f>
        <v>Mid Range</v>
      </c>
      <c r="M1435" t="str">
        <f>IF(FlipkartTable[[#This Row],[Rating]]&gt;4.5,"Excellent",IF(FlipkartTable[[#This Row],[Rating]]&gt;4,"Good",IF(FlipkartTable[[#This Row],[Rating]]&gt;3.5,"Average","Poor")))</f>
        <v>Good</v>
      </c>
    </row>
    <row r="1436" spans="1:13" x14ac:dyDescent="0.35">
      <c r="A1436" t="s">
        <v>663</v>
      </c>
      <c r="B1436" s="9" t="s">
        <v>732</v>
      </c>
      <c r="C1436" t="s">
        <v>19</v>
      </c>
      <c r="D1436" t="s">
        <v>733</v>
      </c>
      <c r="E1436" t="s">
        <v>733</v>
      </c>
      <c r="F1436">
        <v>4.0999999999999996</v>
      </c>
      <c r="G1436">
        <v>1549</v>
      </c>
      <c r="H1436">
        <v>1549</v>
      </c>
      <c r="I1436">
        <f>FlipkartTable[[#This Row],[Original Price]]-FlipkartTable[[#This Row],[Selling Price]]</f>
        <v>0</v>
      </c>
      <c r="J1436" s="4">
        <f>(FlipkartTable[[#This Row],[Original Price]]-FlipkartTable[[#This Row],[Selling Price]])/FlipkartTable[[#This Row],[Original Price]]</f>
        <v>0</v>
      </c>
      <c r="K1436">
        <f>(FlipkartTable[[#This Row],[Rating]]/FlipkartTable[[#This Row],[Selling Price]])*1000</f>
        <v>2.6468689477081986</v>
      </c>
      <c r="L1436" t="str">
        <f>IF(FlipkartTable[[#This Row],[Selling Price]]&lt;15000,"Budget",IF(FlipkartTable[[#This Row],[Selling Price]]&lt;50000,"Mid Range","Premium"))</f>
        <v>Budget</v>
      </c>
      <c r="M1436" t="str">
        <f>IF(FlipkartTable[[#This Row],[Rating]]&gt;4.5,"Excellent",IF(FlipkartTable[[#This Row],[Rating]]&gt;4,"Good",IF(FlipkartTable[[#This Row],[Rating]]&gt;3.5,"Average","Poor")))</f>
        <v>Good</v>
      </c>
    </row>
    <row r="1437" spans="1:13" x14ac:dyDescent="0.35">
      <c r="A1437" t="s">
        <v>663</v>
      </c>
      <c r="B1437" s="9" t="s">
        <v>672</v>
      </c>
      <c r="C1437" t="s">
        <v>22</v>
      </c>
      <c r="D1437" t="s">
        <v>11</v>
      </c>
      <c r="E1437" t="s">
        <v>12</v>
      </c>
      <c r="F1437">
        <v>4.0999999999999996</v>
      </c>
      <c r="G1437">
        <v>10398</v>
      </c>
      <c r="H1437">
        <v>10398</v>
      </c>
      <c r="I1437">
        <f>FlipkartTable[[#This Row],[Original Price]]-FlipkartTable[[#This Row],[Selling Price]]</f>
        <v>0</v>
      </c>
      <c r="J1437" s="4">
        <f>(FlipkartTable[[#This Row],[Original Price]]-FlipkartTable[[#This Row],[Selling Price]])/FlipkartTable[[#This Row],[Original Price]]</f>
        <v>0</v>
      </c>
      <c r="K1437">
        <f>(FlipkartTable[[#This Row],[Rating]]/FlipkartTable[[#This Row],[Selling Price]])*1000</f>
        <v>0.39430659742258123</v>
      </c>
      <c r="L1437" t="str">
        <f>IF(FlipkartTable[[#This Row],[Selling Price]]&lt;15000,"Budget",IF(FlipkartTable[[#This Row],[Selling Price]]&lt;50000,"Mid Range","Premium"))</f>
        <v>Budget</v>
      </c>
      <c r="M1437" t="str">
        <f>IF(FlipkartTable[[#This Row],[Rating]]&gt;4.5,"Excellent",IF(FlipkartTable[[#This Row],[Rating]]&gt;4,"Good",IF(FlipkartTable[[#This Row],[Rating]]&gt;3.5,"Average","Poor")))</f>
        <v>Good</v>
      </c>
    </row>
    <row r="1438" spans="1:13" x14ac:dyDescent="0.35">
      <c r="A1438" t="s">
        <v>663</v>
      </c>
      <c r="B1438" s="9" t="s">
        <v>706</v>
      </c>
      <c r="C1438" t="s">
        <v>717</v>
      </c>
      <c r="D1438" t="s">
        <v>20</v>
      </c>
      <c r="E1438" t="s">
        <v>21</v>
      </c>
      <c r="F1438">
        <v>4.2</v>
      </c>
      <c r="G1438">
        <v>11745</v>
      </c>
      <c r="H1438">
        <v>11745</v>
      </c>
      <c r="I1438">
        <f>FlipkartTable[[#This Row],[Original Price]]-FlipkartTable[[#This Row],[Selling Price]]</f>
        <v>0</v>
      </c>
      <c r="J1438" s="4">
        <f>(FlipkartTable[[#This Row],[Original Price]]-FlipkartTable[[#This Row],[Selling Price]])/FlipkartTable[[#This Row],[Original Price]]</f>
        <v>0</v>
      </c>
      <c r="K1438">
        <f>(FlipkartTable[[#This Row],[Rating]]/FlipkartTable[[#This Row],[Selling Price]])*1000</f>
        <v>0.35759897828863346</v>
      </c>
      <c r="L1438" t="str">
        <f>IF(FlipkartTable[[#This Row],[Selling Price]]&lt;15000,"Budget",IF(FlipkartTable[[#This Row],[Selling Price]]&lt;50000,"Mid Range","Premium"))</f>
        <v>Budget</v>
      </c>
      <c r="M1438" t="str">
        <f>IF(FlipkartTable[[#This Row],[Rating]]&gt;4.5,"Excellent",IF(FlipkartTable[[#This Row],[Rating]]&gt;4,"Good",IF(FlipkartTable[[#This Row],[Rating]]&gt;3.5,"Average","Poor")))</f>
        <v>Good</v>
      </c>
    </row>
    <row r="1439" spans="1:13" x14ac:dyDescent="0.35">
      <c r="A1439" t="s">
        <v>663</v>
      </c>
      <c r="B1439" s="9" t="s">
        <v>679</v>
      </c>
      <c r="C1439" t="s">
        <v>152</v>
      </c>
      <c r="D1439" t="s">
        <v>11</v>
      </c>
      <c r="E1439" t="s">
        <v>12</v>
      </c>
      <c r="F1439">
        <v>4.2</v>
      </c>
      <c r="G1439">
        <v>11730</v>
      </c>
      <c r="H1439">
        <v>12900</v>
      </c>
      <c r="I1439">
        <f>FlipkartTable[[#This Row],[Original Price]]-FlipkartTable[[#This Row],[Selling Price]]</f>
        <v>1170</v>
      </c>
      <c r="J1439" s="4">
        <f>(FlipkartTable[[#This Row],[Original Price]]-FlipkartTable[[#This Row],[Selling Price]])/FlipkartTable[[#This Row],[Original Price]]</f>
        <v>9.0697674418604657E-2</v>
      </c>
      <c r="K1439">
        <f>(FlipkartTable[[#This Row],[Rating]]/FlipkartTable[[#This Row],[Selling Price]])*1000</f>
        <v>0.35805626598465473</v>
      </c>
      <c r="L1439" t="str">
        <f>IF(FlipkartTable[[#This Row],[Selling Price]]&lt;15000,"Budget",IF(FlipkartTable[[#This Row],[Selling Price]]&lt;50000,"Mid Range","Premium"))</f>
        <v>Budget</v>
      </c>
      <c r="M1439" t="str">
        <f>IF(FlipkartTable[[#This Row],[Rating]]&gt;4.5,"Excellent",IF(FlipkartTable[[#This Row],[Rating]]&gt;4,"Good",IF(FlipkartTable[[#This Row],[Rating]]&gt;3.5,"Average","Poor")))</f>
        <v>Good</v>
      </c>
    </row>
    <row r="1440" spans="1:13" x14ac:dyDescent="0.35">
      <c r="A1440" t="s">
        <v>663</v>
      </c>
      <c r="B1440" s="9" t="s">
        <v>730</v>
      </c>
      <c r="C1440" t="s">
        <v>700</v>
      </c>
      <c r="D1440" t="s">
        <v>63</v>
      </c>
      <c r="E1440" t="s">
        <v>338</v>
      </c>
      <c r="F1440">
        <v>4.4000000000000004</v>
      </c>
      <c r="G1440">
        <v>157999</v>
      </c>
      <c r="H1440">
        <v>179999</v>
      </c>
      <c r="I1440">
        <f>FlipkartTable[[#This Row],[Original Price]]-FlipkartTable[[#This Row],[Selling Price]]</f>
        <v>22000</v>
      </c>
      <c r="J1440" s="4">
        <f>(FlipkartTable[[#This Row],[Original Price]]-FlipkartTable[[#This Row],[Selling Price]])/FlipkartTable[[#This Row],[Original Price]]</f>
        <v>0.12222290123834022</v>
      </c>
      <c r="K1440">
        <f>(FlipkartTable[[#This Row],[Rating]]/FlipkartTable[[#This Row],[Selling Price]])*1000</f>
        <v>2.7848277520743803E-2</v>
      </c>
      <c r="L1440" t="str">
        <f>IF(FlipkartTable[[#This Row],[Selling Price]]&lt;15000,"Budget",IF(FlipkartTable[[#This Row],[Selling Price]]&lt;50000,"Mid Range","Premium"))</f>
        <v>Premium</v>
      </c>
      <c r="M1440" t="str">
        <f>IF(FlipkartTable[[#This Row],[Rating]]&gt;4.5,"Excellent",IF(FlipkartTable[[#This Row],[Rating]]&gt;4,"Good",IF(FlipkartTable[[#This Row],[Rating]]&gt;3.5,"Average","Poor")))</f>
        <v>Good</v>
      </c>
    </row>
    <row r="1441" spans="1:13" x14ac:dyDescent="0.35">
      <c r="A1441" t="s">
        <v>663</v>
      </c>
      <c r="B1441" s="9" t="s">
        <v>696</v>
      </c>
      <c r="C1441" t="s">
        <v>22</v>
      </c>
      <c r="D1441" t="s">
        <v>11</v>
      </c>
      <c r="E1441" t="s">
        <v>12</v>
      </c>
      <c r="F1441">
        <v>4.2</v>
      </c>
      <c r="G1441">
        <v>15399</v>
      </c>
      <c r="H1441">
        <v>15499</v>
      </c>
      <c r="I1441">
        <f>FlipkartTable[[#This Row],[Original Price]]-FlipkartTable[[#This Row],[Selling Price]]</f>
        <v>100</v>
      </c>
      <c r="J1441" s="4">
        <f>(FlipkartTable[[#This Row],[Original Price]]-FlipkartTable[[#This Row],[Selling Price]])/FlipkartTable[[#This Row],[Original Price]]</f>
        <v>6.4520291631718178E-3</v>
      </c>
      <c r="K1441">
        <f>(FlipkartTable[[#This Row],[Rating]]/FlipkartTable[[#This Row],[Selling Price]])*1000</f>
        <v>0.2727449834404832</v>
      </c>
      <c r="L1441" t="str">
        <f>IF(FlipkartTable[[#This Row],[Selling Price]]&lt;15000,"Budget",IF(FlipkartTable[[#This Row],[Selling Price]]&lt;50000,"Mid Range","Premium"))</f>
        <v>Mid Range</v>
      </c>
      <c r="M1441" t="str">
        <f>IF(FlipkartTable[[#This Row],[Rating]]&gt;4.5,"Excellent",IF(FlipkartTable[[#This Row],[Rating]]&gt;4,"Good",IF(FlipkartTable[[#This Row],[Rating]]&gt;3.5,"Average","Poor")))</f>
        <v>Good</v>
      </c>
    </row>
    <row r="1442" spans="1:13" x14ac:dyDescent="0.35">
      <c r="A1442" t="s">
        <v>663</v>
      </c>
      <c r="B1442" s="9" t="s">
        <v>706</v>
      </c>
      <c r="C1442" t="s">
        <v>734</v>
      </c>
      <c r="D1442" t="s">
        <v>20</v>
      </c>
      <c r="E1442" t="s">
        <v>21</v>
      </c>
      <c r="F1442">
        <v>4.2</v>
      </c>
      <c r="G1442">
        <v>11745</v>
      </c>
      <c r="H1442">
        <v>11745</v>
      </c>
      <c r="I1442">
        <f>FlipkartTable[[#This Row],[Original Price]]-FlipkartTable[[#This Row],[Selling Price]]</f>
        <v>0</v>
      </c>
      <c r="J1442" s="4">
        <f>(FlipkartTable[[#This Row],[Original Price]]-FlipkartTable[[#This Row],[Selling Price]])/FlipkartTable[[#This Row],[Original Price]]</f>
        <v>0</v>
      </c>
      <c r="K1442">
        <f>(FlipkartTable[[#This Row],[Rating]]/FlipkartTable[[#This Row],[Selling Price]])*1000</f>
        <v>0.35759897828863346</v>
      </c>
      <c r="L1442" t="str">
        <f>IF(FlipkartTable[[#This Row],[Selling Price]]&lt;15000,"Budget",IF(FlipkartTable[[#This Row],[Selling Price]]&lt;50000,"Mid Range","Premium"))</f>
        <v>Budget</v>
      </c>
      <c r="M1442" t="str">
        <f>IF(FlipkartTable[[#This Row],[Rating]]&gt;4.5,"Excellent",IF(FlipkartTable[[#This Row],[Rating]]&gt;4,"Good",IF(FlipkartTable[[#This Row],[Rating]]&gt;3.5,"Average","Poor")))</f>
        <v>Good</v>
      </c>
    </row>
    <row r="1443" spans="1:13" x14ac:dyDescent="0.35">
      <c r="A1443" t="s">
        <v>663</v>
      </c>
      <c r="B1443" s="9" t="s">
        <v>729</v>
      </c>
      <c r="C1443" t="s">
        <v>19</v>
      </c>
      <c r="D1443" t="s">
        <v>493</v>
      </c>
      <c r="E1443" t="s">
        <v>539</v>
      </c>
      <c r="F1443">
        <v>4.2</v>
      </c>
      <c r="G1443">
        <v>1450</v>
      </c>
      <c r="H1443">
        <v>1450</v>
      </c>
      <c r="I1443">
        <f>FlipkartTable[[#This Row],[Original Price]]-FlipkartTable[[#This Row],[Selling Price]]</f>
        <v>0</v>
      </c>
      <c r="J1443" s="4">
        <f>(FlipkartTable[[#This Row],[Original Price]]-FlipkartTable[[#This Row],[Selling Price]])/FlipkartTable[[#This Row],[Original Price]]</f>
        <v>0</v>
      </c>
      <c r="K1443">
        <f>(FlipkartTable[[#This Row],[Rating]]/FlipkartTable[[#This Row],[Selling Price]])*1000</f>
        <v>2.8965517241379315</v>
      </c>
      <c r="L1443" t="str">
        <f>IF(FlipkartTable[[#This Row],[Selling Price]]&lt;15000,"Budget",IF(FlipkartTable[[#This Row],[Selling Price]]&lt;50000,"Mid Range","Premium"))</f>
        <v>Budget</v>
      </c>
      <c r="M1443" t="str">
        <f>IF(FlipkartTable[[#This Row],[Rating]]&gt;4.5,"Excellent",IF(FlipkartTable[[#This Row],[Rating]]&gt;4,"Good",IF(FlipkartTable[[#This Row],[Rating]]&gt;3.5,"Average","Poor")))</f>
        <v>Good</v>
      </c>
    </row>
    <row r="1444" spans="1:13" x14ac:dyDescent="0.35">
      <c r="A1444" t="s">
        <v>663</v>
      </c>
      <c r="B1444" s="9" t="s">
        <v>718</v>
      </c>
      <c r="C1444" t="s">
        <v>22</v>
      </c>
      <c r="D1444" t="s">
        <v>35</v>
      </c>
      <c r="E1444" t="s">
        <v>21</v>
      </c>
      <c r="F1444">
        <v>3.9</v>
      </c>
      <c r="G1444">
        <v>5999</v>
      </c>
      <c r="H1444">
        <v>5999</v>
      </c>
      <c r="I1444">
        <f>FlipkartTable[[#This Row],[Original Price]]-FlipkartTable[[#This Row],[Selling Price]]</f>
        <v>0</v>
      </c>
      <c r="J1444" s="4">
        <f>(FlipkartTable[[#This Row],[Original Price]]-FlipkartTable[[#This Row],[Selling Price]])/FlipkartTable[[#This Row],[Original Price]]</f>
        <v>0</v>
      </c>
      <c r="K1444">
        <f>(FlipkartTable[[#This Row],[Rating]]/FlipkartTable[[#This Row],[Selling Price]])*1000</f>
        <v>0.6501083513918986</v>
      </c>
      <c r="L1444" t="str">
        <f>IF(FlipkartTable[[#This Row],[Selling Price]]&lt;15000,"Budget",IF(FlipkartTable[[#This Row],[Selling Price]]&lt;50000,"Mid Range","Premium"))</f>
        <v>Budget</v>
      </c>
      <c r="M1444" t="str">
        <f>IF(FlipkartTable[[#This Row],[Rating]]&gt;4.5,"Excellent",IF(FlipkartTable[[#This Row],[Rating]]&gt;4,"Good",IF(FlipkartTable[[#This Row],[Rating]]&gt;3.5,"Average","Poor")))</f>
        <v>Average</v>
      </c>
    </row>
    <row r="1445" spans="1:13" x14ac:dyDescent="0.35">
      <c r="A1445" t="s">
        <v>663</v>
      </c>
      <c r="B1445" s="9" t="s">
        <v>735</v>
      </c>
      <c r="C1445" t="s">
        <v>736</v>
      </c>
      <c r="D1445" t="s">
        <v>11</v>
      </c>
      <c r="E1445" t="s">
        <v>15</v>
      </c>
      <c r="F1445">
        <v>4.3</v>
      </c>
      <c r="G1445">
        <v>14999</v>
      </c>
      <c r="H1445">
        <v>24900</v>
      </c>
      <c r="I1445">
        <f>FlipkartTable[[#This Row],[Original Price]]-FlipkartTable[[#This Row],[Selling Price]]</f>
        <v>9901</v>
      </c>
      <c r="J1445" s="4">
        <f>(FlipkartTable[[#This Row],[Original Price]]-FlipkartTable[[#This Row],[Selling Price]])/FlipkartTable[[#This Row],[Original Price]]</f>
        <v>0.39763052208835342</v>
      </c>
      <c r="K1445">
        <f>(FlipkartTable[[#This Row],[Rating]]/FlipkartTable[[#This Row],[Selling Price]])*1000</f>
        <v>0.28668577905193682</v>
      </c>
      <c r="L1445" t="str">
        <f>IF(FlipkartTable[[#This Row],[Selling Price]]&lt;15000,"Budget",IF(FlipkartTable[[#This Row],[Selling Price]]&lt;50000,"Mid Range","Premium"))</f>
        <v>Budget</v>
      </c>
      <c r="M1445" t="str">
        <f>IF(FlipkartTable[[#This Row],[Rating]]&gt;4.5,"Excellent",IF(FlipkartTable[[#This Row],[Rating]]&gt;4,"Good",IF(FlipkartTable[[#This Row],[Rating]]&gt;3.5,"Average","Poor")))</f>
        <v>Good</v>
      </c>
    </row>
    <row r="1446" spans="1:13" x14ac:dyDescent="0.35">
      <c r="A1446" t="s">
        <v>663</v>
      </c>
      <c r="B1446" s="9" t="s">
        <v>737</v>
      </c>
      <c r="C1446" t="s">
        <v>19</v>
      </c>
      <c r="D1446" t="s">
        <v>263</v>
      </c>
      <c r="E1446" t="s">
        <v>263</v>
      </c>
      <c r="F1446">
        <v>4.2</v>
      </c>
      <c r="G1446">
        <v>1700</v>
      </c>
      <c r="H1446">
        <v>1700</v>
      </c>
      <c r="I1446">
        <f>FlipkartTable[[#This Row],[Original Price]]-FlipkartTable[[#This Row],[Selling Price]]</f>
        <v>0</v>
      </c>
      <c r="J1446" s="4">
        <f>(FlipkartTable[[#This Row],[Original Price]]-FlipkartTable[[#This Row],[Selling Price]])/FlipkartTable[[#This Row],[Original Price]]</f>
        <v>0</v>
      </c>
      <c r="K1446">
        <f>(FlipkartTable[[#This Row],[Rating]]/FlipkartTable[[#This Row],[Selling Price]])*1000</f>
        <v>2.4705882352941178</v>
      </c>
      <c r="L1446" t="str">
        <f>IF(FlipkartTable[[#This Row],[Selling Price]]&lt;15000,"Budget",IF(FlipkartTable[[#This Row],[Selling Price]]&lt;50000,"Mid Range","Premium"))</f>
        <v>Budget</v>
      </c>
      <c r="M1446" t="str">
        <f>IF(FlipkartTable[[#This Row],[Rating]]&gt;4.5,"Excellent",IF(FlipkartTable[[#This Row],[Rating]]&gt;4,"Good",IF(FlipkartTable[[#This Row],[Rating]]&gt;3.5,"Average","Poor")))</f>
        <v>Good</v>
      </c>
    </row>
    <row r="1447" spans="1:13" x14ac:dyDescent="0.35">
      <c r="A1447" t="s">
        <v>663</v>
      </c>
      <c r="B1447" s="9" t="s">
        <v>738</v>
      </c>
      <c r="C1447" t="s">
        <v>68</v>
      </c>
      <c r="D1447" t="s">
        <v>14</v>
      </c>
      <c r="E1447" t="s">
        <v>12</v>
      </c>
      <c r="F1447">
        <v>4.5</v>
      </c>
      <c r="G1447">
        <v>70000</v>
      </c>
      <c r="H1447">
        <v>70000</v>
      </c>
      <c r="I1447">
        <f>FlipkartTable[[#This Row],[Original Price]]-FlipkartTable[[#This Row],[Selling Price]]</f>
        <v>0</v>
      </c>
      <c r="J1447" s="4">
        <f>(FlipkartTable[[#This Row],[Original Price]]-FlipkartTable[[#This Row],[Selling Price]])/FlipkartTable[[#This Row],[Original Price]]</f>
        <v>0</v>
      </c>
      <c r="K1447">
        <f>(FlipkartTable[[#This Row],[Rating]]/FlipkartTable[[#This Row],[Selling Price]])*1000</f>
        <v>6.4285714285714293E-2</v>
      </c>
      <c r="L1447" t="str">
        <f>IF(FlipkartTable[[#This Row],[Selling Price]]&lt;15000,"Budget",IF(FlipkartTable[[#This Row],[Selling Price]]&lt;50000,"Mid Range","Premium"))</f>
        <v>Premium</v>
      </c>
      <c r="M1447" t="str">
        <f>IF(FlipkartTable[[#This Row],[Rating]]&gt;4.5,"Excellent",IF(FlipkartTable[[#This Row],[Rating]]&gt;4,"Good",IF(FlipkartTable[[#This Row],[Rating]]&gt;3.5,"Average","Poor")))</f>
        <v>Good</v>
      </c>
    </row>
    <row r="1448" spans="1:13" x14ac:dyDescent="0.35">
      <c r="A1448" t="s">
        <v>663</v>
      </c>
      <c r="B1448" s="9" t="s">
        <v>739</v>
      </c>
      <c r="C1448" t="s">
        <v>19</v>
      </c>
      <c r="D1448" t="s">
        <v>263</v>
      </c>
      <c r="E1448" t="s">
        <v>539</v>
      </c>
      <c r="F1448">
        <v>4.0999999999999996</v>
      </c>
      <c r="G1448">
        <v>2599</v>
      </c>
      <c r="H1448">
        <v>2599</v>
      </c>
      <c r="I1448">
        <f>FlipkartTable[[#This Row],[Original Price]]-FlipkartTable[[#This Row],[Selling Price]]</f>
        <v>0</v>
      </c>
      <c r="J1448" s="4">
        <f>(FlipkartTable[[#This Row],[Original Price]]-FlipkartTable[[#This Row],[Selling Price]])/FlipkartTable[[#This Row],[Original Price]]</f>
        <v>0</v>
      </c>
      <c r="K1448">
        <f>(FlipkartTable[[#This Row],[Rating]]/FlipkartTable[[#This Row],[Selling Price]])*1000</f>
        <v>1.5775298191612157</v>
      </c>
      <c r="L1448" t="str">
        <f>IF(FlipkartTable[[#This Row],[Selling Price]]&lt;15000,"Budget",IF(FlipkartTable[[#This Row],[Selling Price]]&lt;50000,"Mid Range","Premium"))</f>
        <v>Budget</v>
      </c>
      <c r="M1448" t="str">
        <f>IF(FlipkartTable[[#This Row],[Rating]]&gt;4.5,"Excellent",IF(FlipkartTable[[#This Row],[Rating]]&gt;4,"Good",IF(FlipkartTable[[#This Row],[Rating]]&gt;3.5,"Average","Poor")))</f>
        <v>Good</v>
      </c>
    </row>
    <row r="1449" spans="1:13" x14ac:dyDescent="0.35">
      <c r="A1449" t="s">
        <v>663</v>
      </c>
      <c r="B1449" s="9" t="s">
        <v>692</v>
      </c>
      <c r="C1449" t="s">
        <v>397</v>
      </c>
      <c r="D1449" t="s">
        <v>20</v>
      </c>
      <c r="E1449" t="s">
        <v>21</v>
      </c>
      <c r="F1449">
        <v>4.2</v>
      </c>
      <c r="G1449">
        <v>9499</v>
      </c>
      <c r="H1449">
        <v>10499</v>
      </c>
      <c r="I1449">
        <f>FlipkartTable[[#This Row],[Original Price]]-FlipkartTable[[#This Row],[Selling Price]]</f>
        <v>1000</v>
      </c>
      <c r="J1449" s="4">
        <f>(FlipkartTable[[#This Row],[Original Price]]-FlipkartTable[[#This Row],[Selling Price]])/FlipkartTable[[#This Row],[Original Price]]</f>
        <v>9.5247166396799698E-2</v>
      </c>
      <c r="K1449">
        <f>(FlipkartTable[[#This Row],[Rating]]/FlipkartTable[[#This Row],[Selling Price]])*1000</f>
        <v>0.44215180545320559</v>
      </c>
      <c r="L1449" t="str">
        <f>IF(FlipkartTable[[#This Row],[Selling Price]]&lt;15000,"Budget",IF(FlipkartTable[[#This Row],[Selling Price]]&lt;50000,"Mid Range","Premium"))</f>
        <v>Budget</v>
      </c>
      <c r="M1449" t="str">
        <f>IF(FlipkartTable[[#This Row],[Rating]]&gt;4.5,"Excellent",IF(FlipkartTable[[#This Row],[Rating]]&gt;4,"Good",IF(FlipkartTable[[#This Row],[Rating]]&gt;3.5,"Average","Poor")))</f>
        <v>Good</v>
      </c>
    </row>
    <row r="1450" spans="1:13" x14ac:dyDescent="0.35">
      <c r="A1450" t="s">
        <v>663</v>
      </c>
      <c r="B1450" s="9" t="s">
        <v>696</v>
      </c>
      <c r="C1450" t="s">
        <v>19</v>
      </c>
      <c r="D1450" t="s">
        <v>11</v>
      </c>
      <c r="E1450" t="s">
        <v>12</v>
      </c>
      <c r="F1450">
        <v>4.2</v>
      </c>
      <c r="G1450">
        <v>15490</v>
      </c>
      <c r="H1450">
        <v>15490</v>
      </c>
      <c r="I1450">
        <f>FlipkartTable[[#This Row],[Original Price]]-FlipkartTable[[#This Row],[Selling Price]]</f>
        <v>0</v>
      </c>
      <c r="J1450" s="4">
        <f>(FlipkartTable[[#This Row],[Original Price]]-FlipkartTable[[#This Row],[Selling Price]])/FlipkartTable[[#This Row],[Original Price]]</f>
        <v>0</v>
      </c>
      <c r="K1450">
        <f>(FlipkartTable[[#This Row],[Rating]]/FlipkartTable[[#This Row],[Selling Price]])*1000</f>
        <v>0.27114267269205938</v>
      </c>
      <c r="L1450" t="str">
        <f>IF(FlipkartTable[[#This Row],[Selling Price]]&lt;15000,"Budget",IF(FlipkartTable[[#This Row],[Selling Price]]&lt;50000,"Mid Range","Premium"))</f>
        <v>Mid Range</v>
      </c>
      <c r="M1450" t="str">
        <f>IF(FlipkartTable[[#This Row],[Rating]]&gt;4.5,"Excellent",IF(FlipkartTable[[#This Row],[Rating]]&gt;4,"Good",IF(FlipkartTable[[#This Row],[Rating]]&gt;3.5,"Average","Poor")))</f>
        <v>Good</v>
      </c>
    </row>
    <row r="1451" spans="1:13" x14ac:dyDescent="0.35">
      <c r="A1451" t="s">
        <v>663</v>
      </c>
      <c r="B1451" s="9" t="s">
        <v>740</v>
      </c>
      <c r="C1451" t="s">
        <v>116</v>
      </c>
      <c r="D1451" t="s">
        <v>11</v>
      </c>
      <c r="E1451" t="s">
        <v>12</v>
      </c>
      <c r="F1451">
        <v>4.3</v>
      </c>
      <c r="G1451">
        <v>13999</v>
      </c>
      <c r="H1451">
        <v>14999</v>
      </c>
      <c r="I1451">
        <f>FlipkartTable[[#This Row],[Original Price]]-FlipkartTable[[#This Row],[Selling Price]]</f>
        <v>1000</v>
      </c>
      <c r="J1451" s="4">
        <f>(FlipkartTable[[#This Row],[Original Price]]-FlipkartTable[[#This Row],[Selling Price]])/FlipkartTable[[#This Row],[Original Price]]</f>
        <v>6.6671111407427167E-2</v>
      </c>
      <c r="K1451">
        <f>(FlipkartTable[[#This Row],[Rating]]/FlipkartTable[[#This Row],[Selling Price]])*1000</f>
        <v>0.30716479748553466</v>
      </c>
      <c r="L1451" t="str">
        <f>IF(FlipkartTable[[#This Row],[Selling Price]]&lt;15000,"Budget",IF(FlipkartTable[[#This Row],[Selling Price]]&lt;50000,"Mid Range","Premium"))</f>
        <v>Budget</v>
      </c>
      <c r="M1451" t="str">
        <f>IF(FlipkartTable[[#This Row],[Rating]]&gt;4.5,"Excellent",IF(FlipkartTable[[#This Row],[Rating]]&gt;4,"Good",IF(FlipkartTable[[#This Row],[Rating]]&gt;3.5,"Average","Poor")))</f>
        <v>Good</v>
      </c>
    </row>
    <row r="1452" spans="1:13" x14ac:dyDescent="0.35">
      <c r="A1452" t="s">
        <v>663</v>
      </c>
      <c r="B1452" s="9" t="s">
        <v>687</v>
      </c>
      <c r="C1452" t="s">
        <v>354</v>
      </c>
      <c r="D1452" t="s">
        <v>14</v>
      </c>
      <c r="E1452" t="s">
        <v>15</v>
      </c>
      <c r="F1452">
        <v>4.3</v>
      </c>
      <c r="G1452">
        <v>17888</v>
      </c>
      <c r="H1452">
        <v>17888</v>
      </c>
      <c r="I1452">
        <f>FlipkartTable[[#This Row],[Original Price]]-FlipkartTable[[#This Row],[Selling Price]]</f>
        <v>0</v>
      </c>
      <c r="J1452" s="4">
        <f>(FlipkartTable[[#This Row],[Original Price]]-FlipkartTable[[#This Row],[Selling Price]])/FlipkartTable[[#This Row],[Original Price]]</f>
        <v>0</v>
      </c>
      <c r="K1452">
        <f>(FlipkartTable[[#This Row],[Rating]]/FlipkartTable[[#This Row],[Selling Price]])*1000</f>
        <v>0.24038461538461536</v>
      </c>
      <c r="L1452" t="str">
        <f>IF(FlipkartTable[[#This Row],[Selling Price]]&lt;15000,"Budget",IF(FlipkartTable[[#This Row],[Selling Price]]&lt;50000,"Mid Range","Premium"))</f>
        <v>Mid Range</v>
      </c>
      <c r="M1452" t="str">
        <f>IF(FlipkartTable[[#This Row],[Rating]]&gt;4.5,"Excellent",IF(FlipkartTable[[#This Row],[Rating]]&gt;4,"Good",IF(FlipkartTable[[#This Row],[Rating]]&gt;3.5,"Average","Poor")))</f>
        <v>Good</v>
      </c>
    </row>
    <row r="1453" spans="1:13" x14ac:dyDescent="0.35">
      <c r="A1453" t="s">
        <v>663</v>
      </c>
      <c r="B1453" s="9" t="s">
        <v>741</v>
      </c>
      <c r="C1453" t="s">
        <v>22</v>
      </c>
      <c r="D1453" t="s">
        <v>11</v>
      </c>
      <c r="E1453" t="s">
        <v>12</v>
      </c>
      <c r="F1453">
        <v>4.4000000000000004</v>
      </c>
      <c r="G1453">
        <v>25600</v>
      </c>
      <c r="H1453">
        <v>25600</v>
      </c>
      <c r="I1453">
        <f>FlipkartTable[[#This Row],[Original Price]]-FlipkartTable[[#This Row],[Selling Price]]</f>
        <v>0</v>
      </c>
      <c r="J1453" s="4">
        <f>(FlipkartTable[[#This Row],[Original Price]]-FlipkartTable[[#This Row],[Selling Price]])/FlipkartTable[[#This Row],[Original Price]]</f>
        <v>0</v>
      </c>
      <c r="K1453">
        <f>(FlipkartTable[[#This Row],[Rating]]/FlipkartTable[[#This Row],[Selling Price]])*1000</f>
        <v>0.17187500000000003</v>
      </c>
      <c r="L1453" t="str">
        <f>IF(FlipkartTable[[#This Row],[Selling Price]]&lt;15000,"Budget",IF(FlipkartTable[[#This Row],[Selling Price]]&lt;50000,"Mid Range","Premium"))</f>
        <v>Mid Range</v>
      </c>
      <c r="M1453" t="str">
        <f>IF(FlipkartTable[[#This Row],[Rating]]&gt;4.5,"Excellent",IF(FlipkartTable[[#This Row],[Rating]]&gt;4,"Good",IF(FlipkartTable[[#This Row],[Rating]]&gt;3.5,"Average","Poor")))</f>
        <v>Good</v>
      </c>
    </row>
    <row r="1454" spans="1:13" x14ac:dyDescent="0.35">
      <c r="A1454" t="s">
        <v>663</v>
      </c>
      <c r="B1454" s="9" t="s">
        <v>742</v>
      </c>
      <c r="C1454" t="s">
        <v>116</v>
      </c>
      <c r="D1454" t="s">
        <v>284</v>
      </c>
      <c r="E1454" t="s">
        <v>27</v>
      </c>
      <c r="F1454">
        <v>4.2</v>
      </c>
      <c r="G1454">
        <v>8490</v>
      </c>
      <c r="H1454">
        <v>8490</v>
      </c>
      <c r="I1454">
        <f>FlipkartTable[[#This Row],[Original Price]]-FlipkartTable[[#This Row],[Selling Price]]</f>
        <v>0</v>
      </c>
      <c r="J1454" s="4">
        <f>(FlipkartTable[[#This Row],[Original Price]]-FlipkartTable[[#This Row],[Selling Price]])/FlipkartTable[[#This Row],[Original Price]]</f>
        <v>0</v>
      </c>
      <c r="K1454">
        <f>(FlipkartTable[[#This Row],[Rating]]/FlipkartTable[[#This Row],[Selling Price]])*1000</f>
        <v>0.4946996466431095</v>
      </c>
      <c r="L1454" t="str">
        <f>IF(FlipkartTable[[#This Row],[Selling Price]]&lt;15000,"Budget",IF(FlipkartTable[[#This Row],[Selling Price]]&lt;50000,"Mid Range","Premium"))</f>
        <v>Budget</v>
      </c>
      <c r="M1454" t="str">
        <f>IF(FlipkartTable[[#This Row],[Rating]]&gt;4.5,"Excellent",IF(FlipkartTable[[#This Row],[Rating]]&gt;4,"Good",IF(FlipkartTable[[#This Row],[Rating]]&gt;3.5,"Average","Poor")))</f>
        <v>Good</v>
      </c>
    </row>
    <row r="1455" spans="1:13" x14ac:dyDescent="0.35">
      <c r="A1455" t="s">
        <v>663</v>
      </c>
      <c r="B1455" s="9" t="s">
        <v>679</v>
      </c>
      <c r="C1455" t="s">
        <v>19</v>
      </c>
      <c r="D1455" t="s">
        <v>14</v>
      </c>
      <c r="E1455" t="s">
        <v>15</v>
      </c>
      <c r="F1455">
        <v>4.2</v>
      </c>
      <c r="G1455">
        <v>13984</v>
      </c>
      <c r="H1455">
        <v>15499</v>
      </c>
      <c r="I1455">
        <f>FlipkartTable[[#This Row],[Original Price]]-FlipkartTable[[#This Row],[Selling Price]]</f>
        <v>1515</v>
      </c>
      <c r="J1455" s="4">
        <f>(FlipkartTable[[#This Row],[Original Price]]-FlipkartTable[[#This Row],[Selling Price]])/FlipkartTable[[#This Row],[Original Price]]</f>
        <v>9.7748241822053036E-2</v>
      </c>
      <c r="K1455">
        <f>(FlipkartTable[[#This Row],[Rating]]/FlipkartTable[[#This Row],[Selling Price]])*1000</f>
        <v>0.30034324942791762</v>
      </c>
      <c r="L1455" t="str">
        <f>IF(FlipkartTable[[#This Row],[Selling Price]]&lt;15000,"Budget",IF(FlipkartTable[[#This Row],[Selling Price]]&lt;50000,"Mid Range","Premium"))</f>
        <v>Budget</v>
      </c>
      <c r="M1455" t="str">
        <f>IF(FlipkartTable[[#This Row],[Rating]]&gt;4.5,"Excellent",IF(FlipkartTable[[#This Row],[Rating]]&gt;4,"Good",IF(FlipkartTable[[#This Row],[Rating]]&gt;3.5,"Average","Poor")))</f>
        <v>Good</v>
      </c>
    </row>
    <row r="1456" spans="1:13" x14ac:dyDescent="0.35">
      <c r="A1456" t="s">
        <v>663</v>
      </c>
      <c r="B1456" s="9" t="s">
        <v>703</v>
      </c>
      <c r="C1456" t="s">
        <v>694</v>
      </c>
      <c r="D1456" t="s">
        <v>14</v>
      </c>
      <c r="E1456" t="s">
        <v>15</v>
      </c>
      <c r="F1456">
        <v>4.3</v>
      </c>
      <c r="G1456">
        <v>35999</v>
      </c>
      <c r="H1456">
        <v>38999</v>
      </c>
      <c r="I1456">
        <f>FlipkartTable[[#This Row],[Original Price]]-FlipkartTable[[#This Row],[Selling Price]]</f>
        <v>3000</v>
      </c>
      <c r="J1456" s="4">
        <f>(FlipkartTable[[#This Row],[Original Price]]-FlipkartTable[[#This Row],[Selling Price]])/FlipkartTable[[#This Row],[Original Price]]</f>
        <v>7.692504936024E-2</v>
      </c>
      <c r="K1456">
        <f>(FlipkartTable[[#This Row],[Rating]]/FlipkartTable[[#This Row],[Selling Price]])*1000</f>
        <v>0.11944776243784549</v>
      </c>
      <c r="L1456" t="str">
        <f>IF(FlipkartTable[[#This Row],[Selling Price]]&lt;15000,"Budget",IF(FlipkartTable[[#This Row],[Selling Price]]&lt;50000,"Mid Range","Premium"))</f>
        <v>Mid Range</v>
      </c>
      <c r="M1456" t="str">
        <f>IF(FlipkartTable[[#This Row],[Rating]]&gt;4.5,"Excellent",IF(FlipkartTable[[#This Row],[Rating]]&gt;4,"Good",IF(FlipkartTable[[#This Row],[Rating]]&gt;3.5,"Average","Poor")))</f>
        <v>Good</v>
      </c>
    </row>
    <row r="1457" spans="1:13" x14ac:dyDescent="0.35">
      <c r="A1457" t="s">
        <v>663</v>
      </c>
      <c r="B1457" s="9" t="s">
        <v>692</v>
      </c>
      <c r="C1457" t="s">
        <v>743</v>
      </c>
      <c r="D1457" t="s">
        <v>20</v>
      </c>
      <c r="E1457" t="s">
        <v>21</v>
      </c>
      <c r="F1457">
        <v>4.2</v>
      </c>
      <c r="G1457">
        <v>9499</v>
      </c>
      <c r="H1457">
        <v>10499</v>
      </c>
      <c r="I1457">
        <f>FlipkartTable[[#This Row],[Original Price]]-FlipkartTable[[#This Row],[Selling Price]]</f>
        <v>1000</v>
      </c>
      <c r="J1457" s="4">
        <f>(FlipkartTable[[#This Row],[Original Price]]-FlipkartTable[[#This Row],[Selling Price]])/FlipkartTable[[#This Row],[Original Price]]</f>
        <v>9.5247166396799698E-2</v>
      </c>
      <c r="K1457">
        <f>(FlipkartTable[[#This Row],[Rating]]/FlipkartTable[[#This Row],[Selling Price]])*1000</f>
        <v>0.44215180545320559</v>
      </c>
      <c r="L1457" t="str">
        <f>IF(FlipkartTable[[#This Row],[Selling Price]]&lt;15000,"Budget",IF(FlipkartTable[[#This Row],[Selling Price]]&lt;50000,"Mid Range","Premium"))</f>
        <v>Budget</v>
      </c>
      <c r="M1457" t="str">
        <f>IF(FlipkartTable[[#This Row],[Rating]]&gt;4.5,"Excellent",IF(FlipkartTable[[#This Row],[Rating]]&gt;4,"Good",IF(FlipkartTable[[#This Row],[Rating]]&gt;3.5,"Average","Poor")))</f>
        <v>Good</v>
      </c>
    </row>
    <row r="1458" spans="1:13" x14ac:dyDescent="0.35">
      <c r="A1458" t="s">
        <v>663</v>
      </c>
      <c r="B1458" s="9" t="s">
        <v>744</v>
      </c>
      <c r="C1458" t="s">
        <v>19</v>
      </c>
      <c r="D1458" t="s">
        <v>14</v>
      </c>
      <c r="E1458" t="s">
        <v>15</v>
      </c>
      <c r="F1458">
        <v>4.3</v>
      </c>
      <c r="G1458">
        <v>30900</v>
      </c>
      <c r="H1458">
        <v>30900</v>
      </c>
      <c r="I1458">
        <f>FlipkartTable[[#This Row],[Original Price]]-FlipkartTable[[#This Row],[Selling Price]]</f>
        <v>0</v>
      </c>
      <c r="J1458" s="4">
        <f>(FlipkartTable[[#This Row],[Original Price]]-FlipkartTable[[#This Row],[Selling Price]])/FlipkartTable[[#This Row],[Original Price]]</f>
        <v>0</v>
      </c>
      <c r="K1458">
        <f>(FlipkartTable[[#This Row],[Rating]]/FlipkartTable[[#This Row],[Selling Price]])*1000</f>
        <v>0.13915857605177995</v>
      </c>
      <c r="L1458" t="str">
        <f>IF(FlipkartTable[[#This Row],[Selling Price]]&lt;15000,"Budget",IF(FlipkartTable[[#This Row],[Selling Price]]&lt;50000,"Mid Range","Premium"))</f>
        <v>Mid Range</v>
      </c>
      <c r="M1458" t="str">
        <f>IF(FlipkartTable[[#This Row],[Rating]]&gt;4.5,"Excellent",IF(FlipkartTable[[#This Row],[Rating]]&gt;4,"Good",IF(FlipkartTable[[#This Row],[Rating]]&gt;3.5,"Average","Poor")))</f>
        <v>Good</v>
      </c>
    </row>
    <row r="1459" spans="1:13" x14ac:dyDescent="0.35">
      <c r="A1459" t="s">
        <v>663</v>
      </c>
      <c r="B1459" s="9" t="s">
        <v>676</v>
      </c>
      <c r="C1459" t="s">
        <v>19</v>
      </c>
      <c r="D1459" t="s">
        <v>14</v>
      </c>
      <c r="E1459" t="s">
        <v>15</v>
      </c>
      <c r="F1459">
        <v>4.3</v>
      </c>
      <c r="G1459">
        <v>17575</v>
      </c>
      <c r="H1459">
        <v>19499</v>
      </c>
      <c r="I1459">
        <f>FlipkartTable[[#This Row],[Original Price]]-FlipkartTable[[#This Row],[Selling Price]]</f>
        <v>1924</v>
      </c>
      <c r="J1459" s="4">
        <f>(FlipkartTable[[#This Row],[Original Price]]-FlipkartTable[[#This Row],[Selling Price]])/FlipkartTable[[#This Row],[Original Price]]</f>
        <v>9.8671726755218223E-2</v>
      </c>
      <c r="K1459">
        <f>(FlipkartTable[[#This Row],[Rating]]/FlipkartTable[[#This Row],[Selling Price]])*1000</f>
        <v>0.2446657183499289</v>
      </c>
      <c r="L1459" t="str">
        <f>IF(FlipkartTable[[#This Row],[Selling Price]]&lt;15000,"Budget",IF(FlipkartTable[[#This Row],[Selling Price]]&lt;50000,"Mid Range","Premium"))</f>
        <v>Mid Range</v>
      </c>
      <c r="M1459" t="str">
        <f>IF(FlipkartTable[[#This Row],[Rating]]&gt;4.5,"Excellent",IF(FlipkartTable[[#This Row],[Rating]]&gt;4,"Good",IF(FlipkartTable[[#This Row],[Rating]]&gt;3.5,"Average","Poor")))</f>
        <v>Good</v>
      </c>
    </row>
    <row r="1460" spans="1:13" x14ac:dyDescent="0.35">
      <c r="A1460" t="s">
        <v>663</v>
      </c>
      <c r="B1460" s="9" t="s">
        <v>721</v>
      </c>
      <c r="C1460" t="s">
        <v>745</v>
      </c>
      <c r="D1460" t="s">
        <v>27</v>
      </c>
      <c r="E1460" t="s">
        <v>64</v>
      </c>
      <c r="F1460">
        <v>4.3</v>
      </c>
      <c r="G1460">
        <v>54599</v>
      </c>
      <c r="H1460">
        <v>79997</v>
      </c>
      <c r="I1460">
        <f>FlipkartTable[[#This Row],[Original Price]]-FlipkartTable[[#This Row],[Selling Price]]</f>
        <v>25398</v>
      </c>
      <c r="J1460" s="4">
        <f>(FlipkartTable[[#This Row],[Original Price]]-FlipkartTable[[#This Row],[Selling Price]])/FlipkartTable[[#This Row],[Original Price]]</f>
        <v>0.31748690575896599</v>
      </c>
      <c r="K1460">
        <f>(FlipkartTable[[#This Row],[Rating]]/FlipkartTable[[#This Row],[Selling Price]])*1000</f>
        <v>7.8756021172548943E-2</v>
      </c>
      <c r="L1460" t="str">
        <f>IF(FlipkartTable[[#This Row],[Selling Price]]&lt;15000,"Budget",IF(FlipkartTable[[#This Row],[Selling Price]]&lt;50000,"Mid Range","Premium"))</f>
        <v>Premium</v>
      </c>
      <c r="M1460" t="str">
        <f>IF(FlipkartTable[[#This Row],[Rating]]&gt;4.5,"Excellent",IF(FlipkartTable[[#This Row],[Rating]]&gt;4,"Good",IF(FlipkartTable[[#This Row],[Rating]]&gt;3.5,"Average","Poor")))</f>
        <v>Good</v>
      </c>
    </row>
    <row r="1461" spans="1:13" x14ac:dyDescent="0.35">
      <c r="A1461" t="s">
        <v>663</v>
      </c>
      <c r="B1461" s="9" t="s">
        <v>691</v>
      </c>
      <c r="C1461" t="s">
        <v>152</v>
      </c>
      <c r="D1461" t="s">
        <v>11</v>
      </c>
      <c r="E1461" t="s">
        <v>12</v>
      </c>
      <c r="F1461">
        <v>4.2</v>
      </c>
      <c r="G1461">
        <v>12499</v>
      </c>
      <c r="H1461">
        <v>14499</v>
      </c>
      <c r="I1461">
        <f>FlipkartTable[[#This Row],[Original Price]]-FlipkartTable[[#This Row],[Selling Price]]</f>
        <v>2000</v>
      </c>
      <c r="J1461" s="4">
        <f>(FlipkartTable[[#This Row],[Original Price]]-FlipkartTable[[#This Row],[Selling Price]])/FlipkartTable[[#This Row],[Original Price]]</f>
        <v>0.13794054762397406</v>
      </c>
      <c r="K1461">
        <f>(FlipkartTable[[#This Row],[Rating]]/FlipkartTable[[#This Row],[Selling Price]])*1000</f>
        <v>0.33602688215057208</v>
      </c>
      <c r="L1461" t="str">
        <f>IF(FlipkartTable[[#This Row],[Selling Price]]&lt;15000,"Budget",IF(FlipkartTable[[#This Row],[Selling Price]]&lt;50000,"Mid Range","Premium"))</f>
        <v>Budget</v>
      </c>
      <c r="M1461" t="str">
        <f>IF(FlipkartTable[[#This Row],[Rating]]&gt;4.5,"Excellent",IF(FlipkartTable[[#This Row],[Rating]]&gt;4,"Good",IF(FlipkartTable[[#This Row],[Rating]]&gt;3.5,"Average","Poor")))</f>
        <v>Good</v>
      </c>
    </row>
    <row r="1462" spans="1:13" x14ac:dyDescent="0.35">
      <c r="A1462" t="s">
        <v>663</v>
      </c>
      <c r="B1462" s="9" t="s">
        <v>735</v>
      </c>
      <c r="C1462" t="s">
        <v>746</v>
      </c>
      <c r="D1462" t="s">
        <v>11</v>
      </c>
      <c r="E1462" t="s">
        <v>15</v>
      </c>
      <c r="F1462">
        <v>4.3</v>
      </c>
      <c r="G1462">
        <v>14999</v>
      </c>
      <c r="H1462">
        <v>24900</v>
      </c>
      <c r="I1462">
        <f>FlipkartTable[[#This Row],[Original Price]]-FlipkartTable[[#This Row],[Selling Price]]</f>
        <v>9901</v>
      </c>
      <c r="J1462" s="4">
        <f>(FlipkartTable[[#This Row],[Original Price]]-FlipkartTable[[#This Row],[Selling Price]])/FlipkartTable[[#This Row],[Original Price]]</f>
        <v>0.39763052208835342</v>
      </c>
      <c r="K1462">
        <f>(FlipkartTable[[#This Row],[Rating]]/FlipkartTable[[#This Row],[Selling Price]])*1000</f>
        <v>0.28668577905193682</v>
      </c>
      <c r="L1462" t="str">
        <f>IF(FlipkartTable[[#This Row],[Selling Price]]&lt;15000,"Budget",IF(FlipkartTable[[#This Row],[Selling Price]]&lt;50000,"Mid Range","Premium"))</f>
        <v>Budget</v>
      </c>
      <c r="M1462" t="str">
        <f>IF(FlipkartTable[[#This Row],[Rating]]&gt;4.5,"Excellent",IF(FlipkartTable[[#This Row],[Rating]]&gt;4,"Good",IF(FlipkartTable[[#This Row],[Rating]]&gt;3.5,"Average","Poor")))</f>
        <v>Good</v>
      </c>
    </row>
    <row r="1463" spans="1:13" x14ac:dyDescent="0.35">
      <c r="A1463" t="s">
        <v>663</v>
      </c>
      <c r="B1463" s="9" t="s">
        <v>683</v>
      </c>
      <c r="C1463" t="s">
        <v>152</v>
      </c>
      <c r="D1463" t="s">
        <v>14</v>
      </c>
      <c r="E1463" t="s">
        <v>12</v>
      </c>
      <c r="F1463">
        <v>4.2</v>
      </c>
      <c r="G1463">
        <v>19999</v>
      </c>
      <c r="H1463">
        <v>19999</v>
      </c>
      <c r="I1463">
        <f>FlipkartTable[[#This Row],[Original Price]]-FlipkartTable[[#This Row],[Selling Price]]</f>
        <v>0</v>
      </c>
      <c r="J1463" s="4">
        <f>(FlipkartTable[[#This Row],[Original Price]]-FlipkartTable[[#This Row],[Selling Price]])/FlipkartTable[[#This Row],[Original Price]]</f>
        <v>0</v>
      </c>
      <c r="K1463">
        <f>(FlipkartTable[[#This Row],[Rating]]/FlipkartTable[[#This Row],[Selling Price]])*1000</f>
        <v>0.21001050052502626</v>
      </c>
      <c r="L1463" t="str">
        <f>IF(FlipkartTable[[#This Row],[Selling Price]]&lt;15000,"Budget",IF(FlipkartTable[[#This Row],[Selling Price]]&lt;50000,"Mid Range","Premium"))</f>
        <v>Mid Range</v>
      </c>
      <c r="M1463" t="str">
        <f>IF(FlipkartTable[[#This Row],[Rating]]&gt;4.5,"Excellent",IF(FlipkartTable[[#This Row],[Rating]]&gt;4,"Good",IF(FlipkartTable[[#This Row],[Rating]]&gt;3.5,"Average","Poor")))</f>
        <v>Good</v>
      </c>
    </row>
    <row r="1464" spans="1:13" x14ac:dyDescent="0.35">
      <c r="A1464" t="s">
        <v>663</v>
      </c>
      <c r="B1464" s="9" t="s">
        <v>739</v>
      </c>
      <c r="C1464" t="s">
        <v>19</v>
      </c>
      <c r="D1464" t="s">
        <v>552</v>
      </c>
      <c r="E1464" t="s">
        <v>539</v>
      </c>
      <c r="F1464">
        <v>4.2</v>
      </c>
      <c r="G1464">
        <v>2336</v>
      </c>
      <c r="H1464">
        <v>2336</v>
      </c>
      <c r="I1464">
        <f>FlipkartTable[[#This Row],[Original Price]]-FlipkartTable[[#This Row],[Selling Price]]</f>
        <v>0</v>
      </c>
      <c r="J1464" s="4">
        <f>(FlipkartTable[[#This Row],[Original Price]]-FlipkartTable[[#This Row],[Selling Price]])/FlipkartTable[[#This Row],[Original Price]]</f>
        <v>0</v>
      </c>
      <c r="K1464">
        <f>(FlipkartTable[[#This Row],[Rating]]/FlipkartTable[[#This Row],[Selling Price]])*1000</f>
        <v>1.797945205479452</v>
      </c>
      <c r="L1464" t="str">
        <f>IF(FlipkartTable[[#This Row],[Selling Price]]&lt;15000,"Budget",IF(FlipkartTable[[#This Row],[Selling Price]]&lt;50000,"Mid Range","Premium"))</f>
        <v>Budget</v>
      </c>
      <c r="M1464" t="str">
        <f>IF(FlipkartTable[[#This Row],[Rating]]&gt;4.5,"Excellent",IF(FlipkartTable[[#This Row],[Rating]]&gt;4,"Good",IF(FlipkartTable[[#This Row],[Rating]]&gt;3.5,"Average","Poor")))</f>
        <v>Good</v>
      </c>
    </row>
    <row r="1465" spans="1:13" x14ac:dyDescent="0.35">
      <c r="A1465" t="s">
        <v>663</v>
      </c>
      <c r="B1465" s="9" t="s">
        <v>747</v>
      </c>
      <c r="C1465" t="s">
        <v>746</v>
      </c>
      <c r="D1465" t="s">
        <v>14</v>
      </c>
      <c r="E1465" t="s">
        <v>15</v>
      </c>
      <c r="F1465">
        <v>4.3</v>
      </c>
      <c r="G1465">
        <v>18999</v>
      </c>
      <c r="H1465">
        <v>18999</v>
      </c>
      <c r="I1465">
        <f>FlipkartTable[[#This Row],[Original Price]]-FlipkartTable[[#This Row],[Selling Price]]</f>
        <v>0</v>
      </c>
      <c r="J1465" s="4">
        <f>(FlipkartTable[[#This Row],[Original Price]]-FlipkartTable[[#This Row],[Selling Price]])/FlipkartTable[[#This Row],[Original Price]]</f>
        <v>0</v>
      </c>
      <c r="K1465">
        <f>(FlipkartTable[[#This Row],[Rating]]/FlipkartTable[[#This Row],[Selling Price]])*1000</f>
        <v>0.22632770145797146</v>
      </c>
      <c r="L1465" t="str">
        <f>IF(FlipkartTable[[#This Row],[Selling Price]]&lt;15000,"Budget",IF(FlipkartTable[[#This Row],[Selling Price]]&lt;50000,"Mid Range","Premium"))</f>
        <v>Mid Range</v>
      </c>
      <c r="M1465" t="str">
        <f>IF(FlipkartTable[[#This Row],[Rating]]&gt;4.5,"Excellent",IF(FlipkartTable[[#This Row],[Rating]]&gt;4,"Good",IF(FlipkartTable[[#This Row],[Rating]]&gt;3.5,"Average","Poor")))</f>
        <v>Good</v>
      </c>
    </row>
    <row r="1466" spans="1:13" x14ac:dyDescent="0.35">
      <c r="A1466" t="s">
        <v>663</v>
      </c>
      <c r="B1466" s="9" t="s">
        <v>683</v>
      </c>
      <c r="C1466" t="s">
        <v>152</v>
      </c>
      <c r="D1466" t="s">
        <v>11</v>
      </c>
      <c r="E1466" t="s">
        <v>12</v>
      </c>
      <c r="F1466">
        <v>4.2</v>
      </c>
      <c r="G1466">
        <v>17999</v>
      </c>
      <c r="H1466">
        <v>17999</v>
      </c>
      <c r="I1466">
        <f>FlipkartTable[[#This Row],[Original Price]]-FlipkartTable[[#This Row],[Selling Price]]</f>
        <v>0</v>
      </c>
      <c r="J1466" s="4">
        <f>(FlipkartTable[[#This Row],[Original Price]]-FlipkartTable[[#This Row],[Selling Price]])/FlipkartTable[[#This Row],[Original Price]]</f>
        <v>0</v>
      </c>
      <c r="K1466">
        <f>(FlipkartTable[[#This Row],[Rating]]/FlipkartTable[[#This Row],[Selling Price]])*1000</f>
        <v>0.23334629701650095</v>
      </c>
      <c r="L1466" t="str">
        <f>IF(FlipkartTable[[#This Row],[Selling Price]]&lt;15000,"Budget",IF(FlipkartTable[[#This Row],[Selling Price]]&lt;50000,"Mid Range","Premium"))</f>
        <v>Mid Range</v>
      </c>
      <c r="M1466" t="str">
        <f>IF(FlipkartTable[[#This Row],[Rating]]&gt;4.5,"Excellent",IF(FlipkartTable[[#This Row],[Rating]]&gt;4,"Good",IF(FlipkartTable[[#This Row],[Rating]]&gt;3.5,"Average","Poor")))</f>
        <v>Good</v>
      </c>
    </row>
    <row r="1467" spans="1:13" x14ac:dyDescent="0.35">
      <c r="A1467" t="s">
        <v>663</v>
      </c>
      <c r="B1467" s="9" t="s">
        <v>711</v>
      </c>
      <c r="C1467" t="s">
        <v>713</v>
      </c>
      <c r="D1467" t="s">
        <v>14</v>
      </c>
      <c r="E1467" t="s">
        <v>15</v>
      </c>
      <c r="F1467">
        <v>4.3</v>
      </c>
      <c r="G1467">
        <v>27810</v>
      </c>
      <c r="H1467">
        <v>27810</v>
      </c>
      <c r="I1467">
        <f>FlipkartTable[[#This Row],[Original Price]]-FlipkartTable[[#This Row],[Selling Price]]</f>
        <v>0</v>
      </c>
      <c r="J1467" s="4">
        <f>(FlipkartTable[[#This Row],[Original Price]]-FlipkartTable[[#This Row],[Selling Price]])/FlipkartTable[[#This Row],[Original Price]]</f>
        <v>0</v>
      </c>
      <c r="K1467">
        <f>(FlipkartTable[[#This Row],[Rating]]/FlipkartTable[[#This Row],[Selling Price]])*1000</f>
        <v>0.15462064005753326</v>
      </c>
      <c r="L1467" t="str">
        <f>IF(FlipkartTable[[#This Row],[Selling Price]]&lt;15000,"Budget",IF(FlipkartTable[[#This Row],[Selling Price]]&lt;50000,"Mid Range","Premium"))</f>
        <v>Mid Range</v>
      </c>
      <c r="M1467" t="str">
        <f>IF(FlipkartTable[[#This Row],[Rating]]&gt;4.5,"Excellent",IF(FlipkartTable[[#This Row],[Rating]]&gt;4,"Good",IF(FlipkartTable[[#This Row],[Rating]]&gt;3.5,"Average","Poor")))</f>
        <v>Good</v>
      </c>
    </row>
    <row r="1468" spans="1:13" x14ac:dyDescent="0.35">
      <c r="A1468" t="s">
        <v>663</v>
      </c>
      <c r="B1468" s="9" t="s">
        <v>706</v>
      </c>
      <c r="C1468" t="s">
        <v>734</v>
      </c>
      <c r="D1468" t="s">
        <v>11</v>
      </c>
      <c r="E1468" t="s">
        <v>12</v>
      </c>
      <c r="F1468">
        <v>4.3</v>
      </c>
      <c r="G1468">
        <v>12499</v>
      </c>
      <c r="H1468">
        <v>12800</v>
      </c>
      <c r="I1468">
        <f>FlipkartTable[[#This Row],[Original Price]]-FlipkartTable[[#This Row],[Selling Price]]</f>
        <v>301</v>
      </c>
      <c r="J1468" s="4">
        <f>(FlipkartTable[[#This Row],[Original Price]]-FlipkartTable[[#This Row],[Selling Price]])/FlipkartTable[[#This Row],[Original Price]]</f>
        <v>2.3515624999999998E-2</v>
      </c>
      <c r="K1468">
        <f>(FlipkartTable[[#This Row],[Rating]]/FlipkartTable[[#This Row],[Selling Price]])*1000</f>
        <v>0.34402752220177613</v>
      </c>
      <c r="L1468" t="str">
        <f>IF(FlipkartTable[[#This Row],[Selling Price]]&lt;15000,"Budget",IF(FlipkartTable[[#This Row],[Selling Price]]&lt;50000,"Mid Range","Premium"))</f>
        <v>Budget</v>
      </c>
      <c r="M1468" t="str">
        <f>IF(FlipkartTable[[#This Row],[Rating]]&gt;4.5,"Excellent",IF(FlipkartTable[[#This Row],[Rating]]&gt;4,"Good",IF(FlipkartTable[[#This Row],[Rating]]&gt;3.5,"Average","Poor")))</f>
        <v>Good</v>
      </c>
    </row>
    <row r="1469" spans="1:13" x14ac:dyDescent="0.35">
      <c r="A1469" t="s">
        <v>663</v>
      </c>
      <c r="B1469" s="9" t="s">
        <v>739</v>
      </c>
      <c r="C1469" t="s">
        <v>19</v>
      </c>
      <c r="D1469" t="s">
        <v>552</v>
      </c>
      <c r="E1469" t="s">
        <v>539</v>
      </c>
      <c r="F1469">
        <v>4.2</v>
      </c>
      <c r="G1469">
        <v>2299</v>
      </c>
      <c r="H1469">
        <v>2299</v>
      </c>
      <c r="I1469">
        <f>FlipkartTable[[#This Row],[Original Price]]-FlipkartTable[[#This Row],[Selling Price]]</f>
        <v>0</v>
      </c>
      <c r="J1469" s="4">
        <f>(FlipkartTable[[#This Row],[Original Price]]-FlipkartTable[[#This Row],[Selling Price]])/FlipkartTable[[#This Row],[Original Price]]</f>
        <v>0</v>
      </c>
      <c r="K1469">
        <f>(FlipkartTable[[#This Row],[Rating]]/FlipkartTable[[#This Row],[Selling Price]])*1000</f>
        <v>1.8268812527185734</v>
      </c>
      <c r="L1469" t="str">
        <f>IF(FlipkartTable[[#This Row],[Selling Price]]&lt;15000,"Budget",IF(FlipkartTable[[#This Row],[Selling Price]]&lt;50000,"Mid Range","Premium"))</f>
        <v>Budget</v>
      </c>
      <c r="M1469" t="str">
        <f>IF(FlipkartTable[[#This Row],[Rating]]&gt;4.5,"Excellent",IF(FlipkartTable[[#This Row],[Rating]]&gt;4,"Good",IF(FlipkartTable[[#This Row],[Rating]]&gt;3.5,"Average","Poor")))</f>
        <v>Good</v>
      </c>
    </row>
    <row r="1470" spans="1:13" x14ac:dyDescent="0.35">
      <c r="A1470" t="s">
        <v>663</v>
      </c>
      <c r="B1470" s="9" t="s">
        <v>748</v>
      </c>
      <c r="C1470" t="s">
        <v>19</v>
      </c>
      <c r="D1470" t="s">
        <v>14</v>
      </c>
      <c r="E1470" t="s">
        <v>15</v>
      </c>
      <c r="F1470">
        <v>4.2</v>
      </c>
      <c r="G1470">
        <v>14859</v>
      </c>
      <c r="H1470">
        <v>15663</v>
      </c>
      <c r="I1470">
        <f>FlipkartTable[[#This Row],[Original Price]]-FlipkartTable[[#This Row],[Selling Price]]</f>
        <v>804</v>
      </c>
      <c r="J1470" s="4">
        <f>(FlipkartTable[[#This Row],[Original Price]]-FlipkartTable[[#This Row],[Selling Price]])/FlipkartTable[[#This Row],[Original Price]]</f>
        <v>5.1331162612526335E-2</v>
      </c>
      <c r="K1470">
        <f>(FlipkartTable[[#This Row],[Rating]]/FlipkartTable[[#This Row],[Selling Price]])*1000</f>
        <v>0.2826569755703614</v>
      </c>
      <c r="L1470" t="str">
        <f>IF(FlipkartTable[[#This Row],[Selling Price]]&lt;15000,"Budget",IF(FlipkartTable[[#This Row],[Selling Price]]&lt;50000,"Mid Range","Premium"))</f>
        <v>Budget</v>
      </c>
      <c r="M1470" t="str">
        <f>IF(FlipkartTable[[#This Row],[Rating]]&gt;4.5,"Excellent",IF(FlipkartTable[[#This Row],[Rating]]&gt;4,"Good",IF(FlipkartTable[[#This Row],[Rating]]&gt;3.5,"Average","Poor")))</f>
        <v>Good</v>
      </c>
    </row>
    <row r="1471" spans="1:13" x14ac:dyDescent="0.35">
      <c r="A1471" t="s">
        <v>663</v>
      </c>
      <c r="B1471" s="9" t="s">
        <v>691</v>
      </c>
      <c r="C1471" t="s">
        <v>22</v>
      </c>
      <c r="D1471" t="s">
        <v>20</v>
      </c>
      <c r="E1471" t="s">
        <v>21</v>
      </c>
      <c r="F1471">
        <v>4</v>
      </c>
      <c r="G1471">
        <v>11499</v>
      </c>
      <c r="H1471">
        <v>13499</v>
      </c>
      <c r="I1471">
        <f>FlipkartTable[[#This Row],[Original Price]]-FlipkartTable[[#This Row],[Selling Price]]</f>
        <v>2000</v>
      </c>
      <c r="J1471" s="4">
        <f>(FlipkartTable[[#This Row],[Original Price]]-FlipkartTable[[#This Row],[Selling Price]])/FlipkartTable[[#This Row],[Original Price]]</f>
        <v>0.14815912289799243</v>
      </c>
      <c r="K1471">
        <f>(FlipkartTable[[#This Row],[Rating]]/FlipkartTable[[#This Row],[Selling Price]])*1000</f>
        <v>0.34785633533350729</v>
      </c>
      <c r="L1471" t="str">
        <f>IF(FlipkartTable[[#This Row],[Selling Price]]&lt;15000,"Budget",IF(FlipkartTable[[#This Row],[Selling Price]]&lt;50000,"Mid Range","Premium"))</f>
        <v>Budget</v>
      </c>
      <c r="M1471" t="str">
        <f>IF(FlipkartTable[[#This Row],[Rating]]&gt;4.5,"Excellent",IF(FlipkartTable[[#This Row],[Rating]]&gt;4,"Good",IF(FlipkartTable[[#This Row],[Rating]]&gt;3.5,"Average","Poor")))</f>
        <v>Average</v>
      </c>
    </row>
    <row r="1472" spans="1:13" x14ac:dyDescent="0.35">
      <c r="A1472" t="s">
        <v>663</v>
      </c>
      <c r="B1472" s="9" t="s">
        <v>718</v>
      </c>
      <c r="C1472" t="s">
        <v>22</v>
      </c>
      <c r="D1472" t="s">
        <v>134</v>
      </c>
      <c r="E1472" t="s">
        <v>124</v>
      </c>
      <c r="F1472">
        <v>3.9</v>
      </c>
      <c r="G1472">
        <v>4999</v>
      </c>
      <c r="H1472">
        <v>4999</v>
      </c>
      <c r="I1472">
        <f>FlipkartTable[[#This Row],[Original Price]]-FlipkartTable[[#This Row],[Selling Price]]</f>
        <v>0</v>
      </c>
      <c r="J1472" s="4">
        <f>(FlipkartTable[[#This Row],[Original Price]]-FlipkartTable[[#This Row],[Selling Price]])/FlipkartTable[[#This Row],[Original Price]]</f>
        <v>0</v>
      </c>
      <c r="K1472">
        <f>(FlipkartTable[[#This Row],[Rating]]/FlipkartTable[[#This Row],[Selling Price]])*1000</f>
        <v>0.78015603120624122</v>
      </c>
      <c r="L1472" t="str">
        <f>IF(FlipkartTable[[#This Row],[Selling Price]]&lt;15000,"Budget",IF(FlipkartTable[[#This Row],[Selling Price]]&lt;50000,"Mid Range","Premium"))</f>
        <v>Budget</v>
      </c>
      <c r="M1472" t="str">
        <f>IF(FlipkartTable[[#This Row],[Rating]]&gt;4.5,"Excellent",IF(FlipkartTable[[#This Row],[Rating]]&gt;4,"Good",IF(FlipkartTable[[#This Row],[Rating]]&gt;3.5,"Average","Poor")))</f>
        <v>Average</v>
      </c>
    </row>
    <row r="1473" spans="1:13" x14ac:dyDescent="0.35">
      <c r="A1473" t="s">
        <v>663</v>
      </c>
      <c r="B1473" s="9" t="s">
        <v>675</v>
      </c>
      <c r="C1473" t="s">
        <v>152</v>
      </c>
      <c r="D1473" t="s">
        <v>11</v>
      </c>
      <c r="E1473" t="s">
        <v>12</v>
      </c>
      <c r="F1473">
        <v>4.2</v>
      </c>
      <c r="G1473">
        <v>13999</v>
      </c>
      <c r="H1473">
        <v>13999</v>
      </c>
      <c r="I1473">
        <f>FlipkartTable[[#This Row],[Original Price]]-FlipkartTable[[#This Row],[Selling Price]]</f>
        <v>0</v>
      </c>
      <c r="J1473" s="4">
        <f>(FlipkartTable[[#This Row],[Original Price]]-FlipkartTable[[#This Row],[Selling Price]])/FlipkartTable[[#This Row],[Original Price]]</f>
        <v>0</v>
      </c>
      <c r="K1473">
        <f>(FlipkartTable[[#This Row],[Rating]]/FlipkartTable[[#This Row],[Selling Price]])*1000</f>
        <v>0.30002143010215016</v>
      </c>
      <c r="L1473" t="str">
        <f>IF(FlipkartTable[[#This Row],[Selling Price]]&lt;15000,"Budget",IF(FlipkartTable[[#This Row],[Selling Price]]&lt;50000,"Mid Range","Premium"))</f>
        <v>Budget</v>
      </c>
      <c r="M1473" t="str">
        <f>IF(FlipkartTable[[#This Row],[Rating]]&gt;4.5,"Excellent",IF(FlipkartTable[[#This Row],[Rating]]&gt;4,"Good",IF(FlipkartTable[[#This Row],[Rating]]&gt;3.5,"Average","Poor")))</f>
        <v>Good</v>
      </c>
    </row>
    <row r="1474" spans="1:13" x14ac:dyDescent="0.35">
      <c r="A1474" t="s">
        <v>663</v>
      </c>
      <c r="B1474" s="9" t="s">
        <v>730</v>
      </c>
      <c r="C1474" t="s">
        <v>700</v>
      </c>
      <c r="D1474" t="s">
        <v>63</v>
      </c>
      <c r="E1474" t="s">
        <v>64</v>
      </c>
      <c r="F1474">
        <v>4.4000000000000004</v>
      </c>
      <c r="G1474">
        <v>149999</v>
      </c>
      <c r="H1474">
        <v>171999</v>
      </c>
      <c r="I1474">
        <f>FlipkartTable[[#This Row],[Original Price]]-FlipkartTable[[#This Row],[Selling Price]]</f>
        <v>22000</v>
      </c>
      <c r="J1474" s="4">
        <f>(FlipkartTable[[#This Row],[Original Price]]-FlipkartTable[[#This Row],[Selling Price]])/FlipkartTable[[#This Row],[Original Price]]</f>
        <v>0.12790772039372322</v>
      </c>
      <c r="K1474">
        <f>(FlipkartTable[[#This Row],[Rating]]/FlipkartTable[[#This Row],[Selling Price]])*1000</f>
        <v>2.9333528890192601E-2</v>
      </c>
      <c r="L1474" t="str">
        <f>IF(FlipkartTable[[#This Row],[Selling Price]]&lt;15000,"Budget",IF(FlipkartTable[[#This Row],[Selling Price]]&lt;50000,"Mid Range","Premium"))</f>
        <v>Premium</v>
      </c>
      <c r="M1474" t="str">
        <f>IF(FlipkartTable[[#This Row],[Rating]]&gt;4.5,"Excellent",IF(FlipkartTable[[#This Row],[Rating]]&gt;4,"Good",IF(FlipkartTable[[#This Row],[Rating]]&gt;3.5,"Average","Poor")))</f>
        <v>Good</v>
      </c>
    </row>
    <row r="1475" spans="1:13" x14ac:dyDescent="0.35">
      <c r="A1475" t="s">
        <v>663</v>
      </c>
      <c r="B1475" s="9" t="s">
        <v>739</v>
      </c>
      <c r="C1475" t="s">
        <v>19</v>
      </c>
      <c r="D1475" t="s">
        <v>539</v>
      </c>
      <c r="E1475" t="s">
        <v>539</v>
      </c>
      <c r="F1475">
        <v>4.0999999999999996</v>
      </c>
      <c r="G1475">
        <v>2399</v>
      </c>
      <c r="H1475">
        <v>2399</v>
      </c>
      <c r="I1475">
        <f>FlipkartTable[[#This Row],[Original Price]]-FlipkartTable[[#This Row],[Selling Price]]</f>
        <v>0</v>
      </c>
      <c r="J1475" s="4">
        <f>(FlipkartTable[[#This Row],[Original Price]]-FlipkartTable[[#This Row],[Selling Price]])/FlipkartTable[[#This Row],[Original Price]]</f>
        <v>0</v>
      </c>
      <c r="K1475">
        <f>(FlipkartTable[[#This Row],[Rating]]/FlipkartTable[[#This Row],[Selling Price]])*1000</f>
        <v>1.7090454355981657</v>
      </c>
      <c r="L1475" t="str">
        <f>IF(FlipkartTable[[#This Row],[Selling Price]]&lt;15000,"Budget",IF(FlipkartTable[[#This Row],[Selling Price]]&lt;50000,"Mid Range","Premium"))</f>
        <v>Budget</v>
      </c>
      <c r="M1475" t="str">
        <f>IF(FlipkartTable[[#This Row],[Rating]]&gt;4.5,"Excellent",IF(FlipkartTable[[#This Row],[Rating]]&gt;4,"Good",IF(FlipkartTable[[#This Row],[Rating]]&gt;3.5,"Average","Poor")))</f>
        <v>Good</v>
      </c>
    </row>
    <row r="1476" spans="1:13" x14ac:dyDescent="0.35">
      <c r="A1476" t="s">
        <v>663</v>
      </c>
      <c r="B1476" s="9" t="s">
        <v>741</v>
      </c>
      <c r="C1476" t="s">
        <v>116</v>
      </c>
      <c r="D1476" t="s">
        <v>11</v>
      </c>
      <c r="E1476" t="s">
        <v>12</v>
      </c>
      <c r="F1476">
        <v>4.4000000000000004</v>
      </c>
      <c r="G1476">
        <v>25999</v>
      </c>
      <c r="H1476">
        <v>25999</v>
      </c>
      <c r="I1476">
        <f>FlipkartTable[[#This Row],[Original Price]]-FlipkartTable[[#This Row],[Selling Price]]</f>
        <v>0</v>
      </c>
      <c r="J1476" s="4">
        <f>(FlipkartTable[[#This Row],[Original Price]]-FlipkartTable[[#This Row],[Selling Price]])/FlipkartTable[[#This Row],[Original Price]]</f>
        <v>0</v>
      </c>
      <c r="K1476">
        <f>(FlipkartTable[[#This Row],[Rating]]/FlipkartTable[[#This Row],[Selling Price]])*1000</f>
        <v>0.16923727835685989</v>
      </c>
      <c r="L1476" t="str">
        <f>IF(FlipkartTable[[#This Row],[Selling Price]]&lt;15000,"Budget",IF(FlipkartTable[[#This Row],[Selling Price]]&lt;50000,"Mid Range","Premium"))</f>
        <v>Mid Range</v>
      </c>
      <c r="M1476" t="str">
        <f>IF(FlipkartTable[[#This Row],[Rating]]&gt;4.5,"Excellent",IF(FlipkartTable[[#This Row],[Rating]]&gt;4,"Good",IF(FlipkartTable[[#This Row],[Rating]]&gt;3.5,"Average","Poor")))</f>
        <v>Good</v>
      </c>
    </row>
    <row r="1477" spans="1:13" x14ac:dyDescent="0.35">
      <c r="A1477" t="s">
        <v>663</v>
      </c>
      <c r="B1477" s="9" t="s">
        <v>742</v>
      </c>
      <c r="C1477" t="s">
        <v>19</v>
      </c>
      <c r="D1477" t="s">
        <v>284</v>
      </c>
      <c r="E1477" t="s">
        <v>27</v>
      </c>
      <c r="F1477">
        <v>4.2</v>
      </c>
      <c r="G1477">
        <v>8490</v>
      </c>
      <c r="H1477">
        <v>8490</v>
      </c>
      <c r="I1477">
        <f>FlipkartTable[[#This Row],[Original Price]]-FlipkartTable[[#This Row],[Selling Price]]</f>
        <v>0</v>
      </c>
      <c r="J1477" s="4">
        <f>(FlipkartTable[[#This Row],[Original Price]]-FlipkartTable[[#This Row],[Selling Price]])/FlipkartTable[[#This Row],[Original Price]]</f>
        <v>0</v>
      </c>
      <c r="K1477">
        <f>(FlipkartTable[[#This Row],[Rating]]/FlipkartTable[[#This Row],[Selling Price]])*1000</f>
        <v>0.4946996466431095</v>
      </c>
      <c r="L1477" t="str">
        <f>IF(FlipkartTable[[#This Row],[Selling Price]]&lt;15000,"Budget",IF(FlipkartTable[[#This Row],[Selling Price]]&lt;50000,"Mid Range","Premium"))</f>
        <v>Budget</v>
      </c>
      <c r="M1477" t="str">
        <f>IF(FlipkartTable[[#This Row],[Rating]]&gt;4.5,"Excellent",IF(FlipkartTable[[#This Row],[Rating]]&gt;4,"Good",IF(FlipkartTable[[#This Row],[Rating]]&gt;3.5,"Average","Poor")))</f>
        <v>Good</v>
      </c>
    </row>
    <row r="1478" spans="1:13" x14ac:dyDescent="0.35">
      <c r="A1478" t="s">
        <v>663</v>
      </c>
      <c r="B1478" s="9" t="s">
        <v>691</v>
      </c>
      <c r="C1478" t="s">
        <v>152</v>
      </c>
      <c r="D1478" t="s">
        <v>20</v>
      </c>
      <c r="E1478" t="s">
        <v>21</v>
      </c>
      <c r="F1478">
        <v>4</v>
      </c>
      <c r="G1478">
        <v>11499</v>
      </c>
      <c r="H1478">
        <v>13499</v>
      </c>
      <c r="I1478">
        <f>FlipkartTable[[#This Row],[Original Price]]-FlipkartTable[[#This Row],[Selling Price]]</f>
        <v>2000</v>
      </c>
      <c r="J1478" s="4">
        <f>(FlipkartTable[[#This Row],[Original Price]]-FlipkartTable[[#This Row],[Selling Price]])/FlipkartTable[[#This Row],[Original Price]]</f>
        <v>0.14815912289799243</v>
      </c>
      <c r="K1478">
        <f>(FlipkartTable[[#This Row],[Rating]]/FlipkartTable[[#This Row],[Selling Price]])*1000</f>
        <v>0.34785633533350729</v>
      </c>
      <c r="L1478" t="str">
        <f>IF(FlipkartTable[[#This Row],[Selling Price]]&lt;15000,"Budget",IF(FlipkartTable[[#This Row],[Selling Price]]&lt;50000,"Mid Range","Premium"))</f>
        <v>Budget</v>
      </c>
      <c r="M1478" t="str">
        <f>IF(FlipkartTable[[#This Row],[Rating]]&gt;4.5,"Excellent",IF(FlipkartTable[[#This Row],[Rating]]&gt;4,"Good",IF(FlipkartTable[[#This Row],[Rating]]&gt;3.5,"Average","Poor")))</f>
        <v>Average</v>
      </c>
    </row>
    <row r="1479" spans="1:13" x14ac:dyDescent="0.35">
      <c r="A1479" t="s">
        <v>663</v>
      </c>
      <c r="B1479" s="9" t="s">
        <v>739</v>
      </c>
      <c r="C1479" t="s">
        <v>19</v>
      </c>
      <c r="D1479" t="s">
        <v>552</v>
      </c>
      <c r="E1479" t="s">
        <v>539</v>
      </c>
      <c r="F1479">
        <v>4.2</v>
      </c>
      <c r="G1479">
        <v>2282</v>
      </c>
      <c r="H1479">
        <v>2282</v>
      </c>
      <c r="I1479">
        <f>FlipkartTable[[#This Row],[Original Price]]-FlipkartTable[[#This Row],[Selling Price]]</f>
        <v>0</v>
      </c>
      <c r="J1479" s="4">
        <f>(FlipkartTable[[#This Row],[Original Price]]-FlipkartTable[[#This Row],[Selling Price]])/FlipkartTable[[#This Row],[Original Price]]</f>
        <v>0</v>
      </c>
      <c r="K1479">
        <f>(FlipkartTable[[#This Row],[Rating]]/FlipkartTable[[#This Row],[Selling Price]])*1000</f>
        <v>1.8404907975460123</v>
      </c>
      <c r="L1479" t="str">
        <f>IF(FlipkartTable[[#This Row],[Selling Price]]&lt;15000,"Budget",IF(FlipkartTable[[#This Row],[Selling Price]]&lt;50000,"Mid Range","Premium"))</f>
        <v>Budget</v>
      </c>
      <c r="M1479" t="str">
        <f>IF(FlipkartTable[[#This Row],[Rating]]&gt;4.5,"Excellent",IF(FlipkartTable[[#This Row],[Rating]]&gt;4,"Good",IF(FlipkartTable[[#This Row],[Rating]]&gt;3.5,"Average","Poor")))</f>
        <v>Good</v>
      </c>
    </row>
    <row r="1480" spans="1:13" x14ac:dyDescent="0.35">
      <c r="A1480" t="s">
        <v>663</v>
      </c>
      <c r="B1480" s="9" t="s">
        <v>749</v>
      </c>
      <c r="C1480" t="s">
        <v>722</v>
      </c>
      <c r="D1480" t="s">
        <v>63</v>
      </c>
      <c r="E1480" t="s">
        <v>64</v>
      </c>
      <c r="F1480">
        <v>4.5</v>
      </c>
      <c r="G1480">
        <v>91999</v>
      </c>
      <c r="H1480">
        <v>116000</v>
      </c>
      <c r="I1480">
        <f>FlipkartTable[[#This Row],[Original Price]]-FlipkartTable[[#This Row],[Selling Price]]</f>
        <v>24001</v>
      </c>
      <c r="J1480" s="4">
        <f>(FlipkartTable[[#This Row],[Original Price]]-FlipkartTable[[#This Row],[Selling Price]])/FlipkartTable[[#This Row],[Original Price]]</f>
        <v>0.20690517241379311</v>
      </c>
      <c r="K1480">
        <f>(FlipkartTable[[#This Row],[Rating]]/FlipkartTable[[#This Row],[Selling Price]])*1000</f>
        <v>4.8913575147555947E-2</v>
      </c>
      <c r="L1480" t="str">
        <f>IF(FlipkartTable[[#This Row],[Selling Price]]&lt;15000,"Budget",IF(FlipkartTable[[#This Row],[Selling Price]]&lt;50000,"Mid Range","Premium"))</f>
        <v>Premium</v>
      </c>
      <c r="M1480" t="str">
        <f>IF(FlipkartTable[[#This Row],[Rating]]&gt;4.5,"Excellent",IF(FlipkartTable[[#This Row],[Rating]]&gt;4,"Good",IF(FlipkartTable[[#This Row],[Rating]]&gt;3.5,"Average","Poor")))</f>
        <v>Good</v>
      </c>
    </row>
    <row r="1481" spans="1:13" x14ac:dyDescent="0.35">
      <c r="A1481" t="s">
        <v>663</v>
      </c>
      <c r="B1481" s="9" t="s">
        <v>750</v>
      </c>
      <c r="C1481" t="s">
        <v>697</v>
      </c>
      <c r="D1481" t="s">
        <v>20</v>
      </c>
      <c r="E1481" t="s">
        <v>21</v>
      </c>
      <c r="F1481">
        <v>4.2</v>
      </c>
      <c r="G1481">
        <v>10999</v>
      </c>
      <c r="H1481">
        <v>10999</v>
      </c>
      <c r="I1481">
        <f>FlipkartTable[[#This Row],[Original Price]]-FlipkartTable[[#This Row],[Selling Price]]</f>
        <v>0</v>
      </c>
      <c r="J1481" s="4">
        <f>(FlipkartTable[[#This Row],[Original Price]]-FlipkartTable[[#This Row],[Selling Price]])/FlipkartTable[[#This Row],[Original Price]]</f>
        <v>0</v>
      </c>
      <c r="K1481">
        <f>(FlipkartTable[[#This Row],[Rating]]/FlipkartTable[[#This Row],[Selling Price]])*1000</f>
        <v>0.38185289571779252</v>
      </c>
      <c r="L1481" t="str">
        <f>IF(FlipkartTable[[#This Row],[Selling Price]]&lt;15000,"Budget",IF(FlipkartTable[[#This Row],[Selling Price]]&lt;50000,"Mid Range","Premium"))</f>
        <v>Budget</v>
      </c>
      <c r="M1481" t="str">
        <f>IF(FlipkartTable[[#This Row],[Rating]]&gt;4.5,"Excellent",IF(FlipkartTable[[#This Row],[Rating]]&gt;4,"Good",IF(FlipkartTable[[#This Row],[Rating]]&gt;3.5,"Average","Poor")))</f>
        <v>Good</v>
      </c>
    </row>
    <row r="1482" spans="1:13" x14ac:dyDescent="0.35">
      <c r="A1482" t="s">
        <v>663</v>
      </c>
      <c r="B1482" s="9" t="s">
        <v>751</v>
      </c>
      <c r="C1482" t="s">
        <v>19</v>
      </c>
      <c r="D1482" t="s">
        <v>554</v>
      </c>
      <c r="E1482" t="s">
        <v>586</v>
      </c>
      <c r="F1482">
        <v>4.0999999999999996</v>
      </c>
      <c r="G1482">
        <v>3013</v>
      </c>
      <c r="H1482">
        <v>3013</v>
      </c>
      <c r="I1482">
        <f>FlipkartTable[[#This Row],[Original Price]]-FlipkartTable[[#This Row],[Selling Price]]</f>
        <v>0</v>
      </c>
      <c r="J1482" s="4">
        <f>(FlipkartTable[[#This Row],[Original Price]]-FlipkartTable[[#This Row],[Selling Price]])/FlipkartTable[[#This Row],[Original Price]]</f>
        <v>0</v>
      </c>
      <c r="K1482">
        <f>(FlipkartTable[[#This Row],[Rating]]/FlipkartTable[[#This Row],[Selling Price]])*1000</f>
        <v>1.3607699966810487</v>
      </c>
      <c r="L1482" t="str">
        <f>IF(FlipkartTable[[#This Row],[Selling Price]]&lt;15000,"Budget",IF(FlipkartTable[[#This Row],[Selling Price]]&lt;50000,"Mid Range","Premium"))</f>
        <v>Budget</v>
      </c>
      <c r="M1482" t="str">
        <f>IF(FlipkartTable[[#This Row],[Rating]]&gt;4.5,"Excellent",IF(FlipkartTable[[#This Row],[Rating]]&gt;4,"Good",IF(FlipkartTable[[#This Row],[Rating]]&gt;3.5,"Average","Poor")))</f>
        <v>Good</v>
      </c>
    </row>
    <row r="1483" spans="1:13" x14ac:dyDescent="0.35">
      <c r="A1483" t="s">
        <v>663</v>
      </c>
      <c r="B1483" s="9" t="s">
        <v>752</v>
      </c>
      <c r="C1483" t="s">
        <v>19</v>
      </c>
      <c r="D1483" t="s">
        <v>11</v>
      </c>
      <c r="E1483" t="s">
        <v>12</v>
      </c>
      <c r="F1483">
        <v>4.3</v>
      </c>
      <c r="G1483">
        <v>14900</v>
      </c>
      <c r="H1483">
        <v>14900</v>
      </c>
      <c r="I1483">
        <f>FlipkartTable[[#This Row],[Original Price]]-FlipkartTable[[#This Row],[Selling Price]]</f>
        <v>0</v>
      </c>
      <c r="J1483" s="4">
        <f>(FlipkartTable[[#This Row],[Original Price]]-FlipkartTable[[#This Row],[Selling Price]])/FlipkartTable[[#This Row],[Original Price]]</f>
        <v>0</v>
      </c>
      <c r="K1483">
        <f>(FlipkartTable[[#This Row],[Rating]]/FlipkartTable[[#This Row],[Selling Price]])*1000</f>
        <v>0.28859060402684561</v>
      </c>
      <c r="L1483" t="str">
        <f>IF(FlipkartTable[[#This Row],[Selling Price]]&lt;15000,"Budget",IF(FlipkartTable[[#This Row],[Selling Price]]&lt;50000,"Mid Range","Premium"))</f>
        <v>Budget</v>
      </c>
      <c r="M1483" t="str">
        <f>IF(FlipkartTable[[#This Row],[Rating]]&gt;4.5,"Excellent",IF(FlipkartTable[[#This Row],[Rating]]&gt;4,"Good",IF(FlipkartTable[[#This Row],[Rating]]&gt;3.5,"Average","Poor")))</f>
        <v>Good</v>
      </c>
    </row>
    <row r="1484" spans="1:13" x14ac:dyDescent="0.35">
      <c r="A1484" t="s">
        <v>663</v>
      </c>
      <c r="B1484" s="9" t="s">
        <v>753</v>
      </c>
      <c r="C1484" t="s">
        <v>116</v>
      </c>
      <c r="D1484" t="s">
        <v>20</v>
      </c>
      <c r="E1484" t="s">
        <v>21</v>
      </c>
      <c r="F1484">
        <v>4.2</v>
      </c>
      <c r="G1484">
        <v>16879</v>
      </c>
      <c r="H1484">
        <v>16879</v>
      </c>
      <c r="I1484">
        <f>FlipkartTable[[#This Row],[Original Price]]-FlipkartTable[[#This Row],[Selling Price]]</f>
        <v>0</v>
      </c>
      <c r="J1484" s="4">
        <f>(FlipkartTable[[#This Row],[Original Price]]-FlipkartTable[[#This Row],[Selling Price]])/FlipkartTable[[#This Row],[Original Price]]</f>
        <v>0</v>
      </c>
      <c r="K1484">
        <f>(FlipkartTable[[#This Row],[Rating]]/FlipkartTable[[#This Row],[Selling Price]])*1000</f>
        <v>0.24882990698501098</v>
      </c>
      <c r="L1484" t="str">
        <f>IF(FlipkartTable[[#This Row],[Selling Price]]&lt;15000,"Budget",IF(FlipkartTable[[#This Row],[Selling Price]]&lt;50000,"Mid Range","Premium"))</f>
        <v>Mid Range</v>
      </c>
      <c r="M1484" t="str">
        <f>IF(FlipkartTable[[#This Row],[Rating]]&gt;4.5,"Excellent",IF(FlipkartTable[[#This Row],[Rating]]&gt;4,"Good",IF(FlipkartTable[[#This Row],[Rating]]&gt;3.5,"Average","Poor")))</f>
        <v>Good</v>
      </c>
    </row>
    <row r="1485" spans="1:13" x14ac:dyDescent="0.35">
      <c r="A1485" t="s">
        <v>663</v>
      </c>
      <c r="B1485" s="9" t="s">
        <v>721</v>
      </c>
      <c r="C1485" t="s">
        <v>754</v>
      </c>
      <c r="D1485" t="s">
        <v>27</v>
      </c>
      <c r="E1485" t="s">
        <v>64</v>
      </c>
      <c r="F1485">
        <v>4.3</v>
      </c>
      <c r="G1485">
        <v>77999</v>
      </c>
      <c r="H1485">
        <v>86000</v>
      </c>
      <c r="I1485">
        <f>FlipkartTable[[#This Row],[Original Price]]-FlipkartTable[[#This Row],[Selling Price]]</f>
        <v>8001</v>
      </c>
      <c r="J1485" s="4">
        <f>(FlipkartTable[[#This Row],[Original Price]]-FlipkartTable[[#This Row],[Selling Price]])/FlipkartTable[[#This Row],[Original Price]]</f>
        <v>9.3034883720930231E-2</v>
      </c>
      <c r="K1485">
        <f>(FlipkartTable[[#This Row],[Rating]]/FlipkartTable[[#This Row],[Selling Price]])*1000</f>
        <v>5.512891190912704E-2</v>
      </c>
      <c r="L1485" t="str">
        <f>IF(FlipkartTable[[#This Row],[Selling Price]]&lt;15000,"Budget",IF(FlipkartTable[[#This Row],[Selling Price]]&lt;50000,"Mid Range","Premium"))</f>
        <v>Premium</v>
      </c>
      <c r="M1485" t="str">
        <f>IF(FlipkartTable[[#This Row],[Rating]]&gt;4.5,"Excellent",IF(FlipkartTable[[#This Row],[Rating]]&gt;4,"Good",IF(FlipkartTable[[#This Row],[Rating]]&gt;3.5,"Average","Poor")))</f>
        <v>Good</v>
      </c>
    </row>
    <row r="1486" spans="1:13" x14ac:dyDescent="0.35">
      <c r="A1486" t="s">
        <v>663</v>
      </c>
      <c r="B1486" s="9" t="s">
        <v>755</v>
      </c>
      <c r="C1486" t="s">
        <v>714</v>
      </c>
      <c r="D1486" t="s">
        <v>27</v>
      </c>
      <c r="E1486" t="s">
        <v>15</v>
      </c>
      <c r="F1486">
        <v>4</v>
      </c>
      <c r="G1486">
        <v>49999</v>
      </c>
      <c r="H1486">
        <v>65999</v>
      </c>
      <c r="I1486">
        <f>FlipkartTable[[#This Row],[Original Price]]-FlipkartTable[[#This Row],[Selling Price]]</f>
        <v>16000</v>
      </c>
      <c r="J1486" s="4">
        <f>(FlipkartTable[[#This Row],[Original Price]]-FlipkartTable[[#This Row],[Selling Price]])/FlipkartTable[[#This Row],[Original Price]]</f>
        <v>0.2424279155744784</v>
      </c>
      <c r="K1486">
        <f>(FlipkartTable[[#This Row],[Rating]]/FlipkartTable[[#This Row],[Selling Price]])*1000</f>
        <v>8.0001600032000644E-2</v>
      </c>
      <c r="L1486" t="str">
        <f>IF(FlipkartTable[[#This Row],[Selling Price]]&lt;15000,"Budget",IF(FlipkartTable[[#This Row],[Selling Price]]&lt;50000,"Mid Range","Premium"))</f>
        <v>Mid Range</v>
      </c>
      <c r="M1486" t="str">
        <f>IF(FlipkartTable[[#This Row],[Rating]]&gt;4.5,"Excellent",IF(FlipkartTable[[#This Row],[Rating]]&gt;4,"Good",IF(FlipkartTable[[#This Row],[Rating]]&gt;3.5,"Average","Poor")))</f>
        <v>Average</v>
      </c>
    </row>
    <row r="1487" spans="1:13" x14ac:dyDescent="0.35">
      <c r="A1487" t="s">
        <v>663</v>
      </c>
      <c r="B1487" s="9" t="s">
        <v>756</v>
      </c>
      <c r="C1487" t="s">
        <v>746</v>
      </c>
      <c r="D1487" t="s">
        <v>11</v>
      </c>
      <c r="E1487" t="s">
        <v>15</v>
      </c>
      <c r="F1487">
        <v>4.3</v>
      </c>
      <c r="G1487">
        <v>18199</v>
      </c>
      <c r="H1487">
        <v>18199</v>
      </c>
      <c r="I1487">
        <f>FlipkartTable[[#This Row],[Original Price]]-FlipkartTable[[#This Row],[Selling Price]]</f>
        <v>0</v>
      </c>
      <c r="J1487" s="4">
        <f>(FlipkartTable[[#This Row],[Original Price]]-FlipkartTable[[#This Row],[Selling Price]])/FlipkartTable[[#This Row],[Original Price]]</f>
        <v>0</v>
      </c>
      <c r="K1487">
        <f>(FlipkartTable[[#This Row],[Rating]]/FlipkartTable[[#This Row],[Selling Price]])*1000</f>
        <v>0.23627671850101653</v>
      </c>
      <c r="L1487" t="str">
        <f>IF(FlipkartTable[[#This Row],[Selling Price]]&lt;15000,"Budget",IF(FlipkartTable[[#This Row],[Selling Price]]&lt;50000,"Mid Range","Premium"))</f>
        <v>Mid Range</v>
      </c>
      <c r="M1487" t="str">
        <f>IF(FlipkartTable[[#This Row],[Rating]]&gt;4.5,"Excellent",IF(FlipkartTable[[#This Row],[Rating]]&gt;4,"Good",IF(FlipkartTable[[#This Row],[Rating]]&gt;3.5,"Average","Poor")))</f>
        <v>Good</v>
      </c>
    </row>
    <row r="1488" spans="1:13" x14ac:dyDescent="0.35">
      <c r="A1488" t="s">
        <v>663</v>
      </c>
      <c r="B1488" s="9" t="s">
        <v>755</v>
      </c>
      <c r="C1488" t="s">
        <v>757</v>
      </c>
      <c r="D1488" t="s">
        <v>27</v>
      </c>
      <c r="E1488" t="s">
        <v>15</v>
      </c>
      <c r="F1488">
        <v>4</v>
      </c>
      <c r="G1488">
        <v>49999</v>
      </c>
      <c r="H1488">
        <v>65999</v>
      </c>
      <c r="I1488">
        <f>FlipkartTable[[#This Row],[Original Price]]-FlipkartTable[[#This Row],[Selling Price]]</f>
        <v>16000</v>
      </c>
      <c r="J1488" s="4">
        <f>(FlipkartTable[[#This Row],[Original Price]]-FlipkartTable[[#This Row],[Selling Price]])/FlipkartTable[[#This Row],[Original Price]]</f>
        <v>0.2424279155744784</v>
      </c>
      <c r="K1488">
        <f>(FlipkartTable[[#This Row],[Rating]]/FlipkartTable[[#This Row],[Selling Price]])*1000</f>
        <v>8.0001600032000644E-2</v>
      </c>
      <c r="L1488" t="str">
        <f>IF(FlipkartTable[[#This Row],[Selling Price]]&lt;15000,"Budget",IF(FlipkartTable[[#This Row],[Selling Price]]&lt;50000,"Mid Range","Premium"))</f>
        <v>Mid Range</v>
      </c>
      <c r="M1488" t="str">
        <f>IF(FlipkartTable[[#This Row],[Rating]]&gt;4.5,"Excellent",IF(FlipkartTable[[#This Row],[Rating]]&gt;4,"Good",IF(FlipkartTable[[#This Row],[Rating]]&gt;3.5,"Average","Poor")))</f>
        <v>Average</v>
      </c>
    </row>
    <row r="1489" spans="1:13" x14ac:dyDescent="0.35">
      <c r="A1489" t="s">
        <v>663</v>
      </c>
      <c r="B1489" s="9" t="s">
        <v>758</v>
      </c>
      <c r="C1489" t="s">
        <v>22</v>
      </c>
      <c r="D1489" t="s">
        <v>11</v>
      </c>
      <c r="E1489" t="s">
        <v>12</v>
      </c>
      <c r="F1489">
        <v>4.4000000000000004</v>
      </c>
      <c r="G1489">
        <v>17990</v>
      </c>
      <c r="H1489">
        <v>25379</v>
      </c>
      <c r="I1489">
        <f>FlipkartTable[[#This Row],[Original Price]]-FlipkartTable[[#This Row],[Selling Price]]</f>
        <v>7389</v>
      </c>
      <c r="J1489" s="4">
        <f>(FlipkartTable[[#This Row],[Original Price]]-FlipkartTable[[#This Row],[Selling Price]])/FlipkartTable[[#This Row],[Original Price]]</f>
        <v>0.29114622325544742</v>
      </c>
      <c r="K1489">
        <f>(FlipkartTable[[#This Row],[Rating]]/FlipkartTable[[#This Row],[Selling Price]])*1000</f>
        <v>0.24458032240133409</v>
      </c>
      <c r="L1489" t="str">
        <f>IF(FlipkartTable[[#This Row],[Selling Price]]&lt;15000,"Budget",IF(FlipkartTable[[#This Row],[Selling Price]]&lt;50000,"Mid Range","Premium"))</f>
        <v>Mid Range</v>
      </c>
      <c r="M1489" t="str">
        <f>IF(FlipkartTable[[#This Row],[Rating]]&gt;4.5,"Excellent",IF(FlipkartTable[[#This Row],[Rating]]&gt;4,"Good",IF(FlipkartTable[[#This Row],[Rating]]&gt;3.5,"Average","Poor")))</f>
        <v>Good</v>
      </c>
    </row>
    <row r="1490" spans="1:13" x14ac:dyDescent="0.35">
      <c r="A1490" t="s">
        <v>663</v>
      </c>
      <c r="B1490" s="9" t="s">
        <v>759</v>
      </c>
      <c r="C1490" t="s">
        <v>22</v>
      </c>
      <c r="D1490" t="s">
        <v>134</v>
      </c>
      <c r="E1490" t="s">
        <v>27</v>
      </c>
      <c r="F1490">
        <v>4.2</v>
      </c>
      <c r="G1490">
        <v>6500</v>
      </c>
      <c r="H1490">
        <v>6500</v>
      </c>
      <c r="I1490">
        <f>FlipkartTable[[#This Row],[Original Price]]-FlipkartTable[[#This Row],[Selling Price]]</f>
        <v>0</v>
      </c>
      <c r="J1490" s="4">
        <f>(FlipkartTable[[#This Row],[Original Price]]-FlipkartTable[[#This Row],[Selling Price]])/FlipkartTable[[#This Row],[Original Price]]</f>
        <v>0</v>
      </c>
      <c r="K1490">
        <f>(FlipkartTable[[#This Row],[Rating]]/FlipkartTable[[#This Row],[Selling Price]])*1000</f>
        <v>0.64615384615384619</v>
      </c>
      <c r="L1490" t="str">
        <f>IF(FlipkartTable[[#This Row],[Selling Price]]&lt;15000,"Budget",IF(FlipkartTable[[#This Row],[Selling Price]]&lt;50000,"Mid Range","Premium"))</f>
        <v>Budget</v>
      </c>
      <c r="M1490" t="str">
        <f>IF(FlipkartTable[[#This Row],[Rating]]&gt;4.5,"Excellent",IF(FlipkartTable[[#This Row],[Rating]]&gt;4,"Good",IF(FlipkartTable[[#This Row],[Rating]]&gt;3.5,"Average","Poor")))</f>
        <v>Good</v>
      </c>
    </row>
    <row r="1491" spans="1:13" x14ac:dyDescent="0.35">
      <c r="A1491" t="s">
        <v>663</v>
      </c>
      <c r="B1491" s="9" t="s">
        <v>760</v>
      </c>
      <c r="C1491" t="s">
        <v>22</v>
      </c>
      <c r="D1491" t="s">
        <v>20</v>
      </c>
      <c r="E1491" t="s">
        <v>21</v>
      </c>
      <c r="F1491">
        <v>4.4000000000000004</v>
      </c>
      <c r="G1491">
        <v>12990</v>
      </c>
      <c r="H1491">
        <v>12990</v>
      </c>
      <c r="I1491">
        <f>FlipkartTable[[#This Row],[Original Price]]-FlipkartTable[[#This Row],[Selling Price]]</f>
        <v>0</v>
      </c>
      <c r="J1491" s="4">
        <f>(FlipkartTable[[#This Row],[Original Price]]-FlipkartTable[[#This Row],[Selling Price]])/FlipkartTable[[#This Row],[Original Price]]</f>
        <v>0</v>
      </c>
      <c r="K1491">
        <f>(FlipkartTable[[#This Row],[Rating]]/FlipkartTable[[#This Row],[Selling Price]])*1000</f>
        <v>0.3387220939183988</v>
      </c>
      <c r="L1491" t="str">
        <f>IF(FlipkartTable[[#This Row],[Selling Price]]&lt;15000,"Budget",IF(FlipkartTable[[#This Row],[Selling Price]]&lt;50000,"Mid Range","Premium"))</f>
        <v>Budget</v>
      </c>
      <c r="M1491" t="str">
        <f>IF(FlipkartTable[[#This Row],[Rating]]&gt;4.5,"Excellent",IF(FlipkartTable[[#This Row],[Rating]]&gt;4,"Good",IF(FlipkartTable[[#This Row],[Rating]]&gt;3.5,"Average","Poor")))</f>
        <v>Good</v>
      </c>
    </row>
    <row r="1492" spans="1:13" x14ac:dyDescent="0.35">
      <c r="A1492" t="s">
        <v>663</v>
      </c>
      <c r="B1492" s="9" t="s">
        <v>760</v>
      </c>
      <c r="C1492" t="s">
        <v>116</v>
      </c>
      <c r="D1492" t="s">
        <v>11</v>
      </c>
      <c r="E1492" t="s">
        <v>12</v>
      </c>
      <c r="F1492">
        <v>4.5</v>
      </c>
      <c r="G1492">
        <v>14990</v>
      </c>
      <c r="H1492">
        <v>14990</v>
      </c>
      <c r="I1492">
        <f>FlipkartTable[[#This Row],[Original Price]]-FlipkartTable[[#This Row],[Selling Price]]</f>
        <v>0</v>
      </c>
      <c r="J1492" s="4">
        <f>(FlipkartTable[[#This Row],[Original Price]]-FlipkartTable[[#This Row],[Selling Price]])/FlipkartTable[[#This Row],[Original Price]]</f>
        <v>0</v>
      </c>
      <c r="K1492">
        <f>(FlipkartTable[[#This Row],[Rating]]/FlipkartTable[[#This Row],[Selling Price]])*1000</f>
        <v>0.30020013342228152</v>
      </c>
      <c r="L1492" t="str">
        <f>IF(FlipkartTable[[#This Row],[Selling Price]]&lt;15000,"Budget",IF(FlipkartTable[[#This Row],[Selling Price]]&lt;50000,"Mid Range","Premium"))</f>
        <v>Budget</v>
      </c>
      <c r="M1492" t="str">
        <f>IF(FlipkartTable[[#This Row],[Rating]]&gt;4.5,"Excellent",IF(FlipkartTable[[#This Row],[Rating]]&gt;4,"Good",IF(FlipkartTable[[#This Row],[Rating]]&gt;3.5,"Average","Poor")))</f>
        <v>Good</v>
      </c>
    </row>
    <row r="1493" spans="1:13" x14ac:dyDescent="0.35">
      <c r="A1493" t="s">
        <v>663</v>
      </c>
      <c r="B1493" s="9" t="s">
        <v>727</v>
      </c>
      <c r="C1493" t="s">
        <v>761</v>
      </c>
      <c r="D1493" t="s">
        <v>27</v>
      </c>
      <c r="E1493" t="s">
        <v>15</v>
      </c>
      <c r="F1493">
        <v>4.3</v>
      </c>
      <c r="G1493">
        <v>30500</v>
      </c>
      <c r="H1493">
        <v>33100</v>
      </c>
      <c r="I1493">
        <f>FlipkartTable[[#This Row],[Original Price]]-FlipkartTable[[#This Row],[Selling Price]]</f>
        <v>2600</v>
      </c>
      <c r="J1493" s="4">
        <f>(FlipkartTable[[#This Row],[Original Price]]-FlipkartTable[[#This Row],[Selling Price]])/FlipkartTable[[#This Row],[Original Price]]</f>
        <v>7.8549848942598186E-2</v>
      </c>
      <c r="K1493">
        <f>(FlipkartTable[[#This Row],[Rating]]/FlipkartTable[[#This Row],[Selling Price]])*1000</f>
        <v>0.14098360655737704</v>
      </c>
      <c r="L1493" t="str">
        <f>IF(FlipkartTable[[#This Row],[Selling Price]]&lt;15000,"Budget",IF(FlipkartTable[[#This Row],[Selling Price]]&lt;50000,"Mid Range","Premium"))</f>
        <v>Mid Range</v>
      </c>
      <c r="M1493" t="str">
        <f>IF(FlipkartTable[[#This Row],[Rating]]&gt;4.5,"Excellent",IF(FlipkartTable[[#This Row],[Rating]]&gt;4,"Good",IF(FlipkartTable[[#This Row],[Rating]]&gt;3.5,"Average","Poor")))</f>
        <v>Good</v>
      </c>
    </row>
    <row r="1494" spans="1:13" x14ac:dyDescent="0.35">
      <c r="A1494" t="s">
        <v>663</v>
      </c>
      <c r="B1494" s="9" t="s">
        <v>751</v>
      </c>
      <c r="C1494" t="s">
        <v>19</v>
      </c>
      <c r="D1494" t="s">
        <v>554</v>
      </c>
      <c r="E1494" t="s">
        <v>586</v>
      </c>
      <c r="F1494">
        <v>4.0999999999999996</v>
      </c>
      <c r="G1494">
        <v>3062</v>
      </c>
      <c r="H1494">
        <v>3062</v>
      </c>
      <c r="I1494">
        <f>FlipkartTable[[#This Row],[Original Price]]-FlipkartTable[[#This Row],[Selling Price]]</f>
        <v>0</v>
      </c>
      <c r="J1494" s="4">
        <f>(FlipkartTable[[#This Row],[Original Price]]-FlipkartTable[[#This Row],[Selling Price]])/FlipkartTable[[#This Row],[Original Price]]</f>
        <v>0</v>
      </c>
      <c r="K1494">
        <f>(FlipkartTable[[#This Row],[Rating]]/FlipkartTable[[#This Row],[Selling Price]])*1000</f>
        <v>1.3389941214892225</v>
      </c>
      <c r="L1494" t="str">
        <f>IF(FlipkartTable[[#This Row],[Selling Price]]&lt;15000,"Budget",IF(FlipkartTable[[#This Row],[Selling Price]]&lt;50000,"Mid Range","Premium"))</f>
        <v>Budget</v>
      </c>
      <c r="M1494" t="str">
        <f>IF(FlipkartTable[[#This Row],[Rating]]&gt;4.5,"Excellent",IF(FlipkartTable[[#This Row],[Rating]]&gt;4,"Good",IF(FlipkartTable[[#This Row],[Rating]]&gt;3.5,"Average","Poor")))</f>
        <v>Good</v>
      </c>
    </row>
    <row r="1495" spans="1:13" x14ac:dyDescent="0.35">
      <c r="A1495" t="s">
        <v>663</v>
      </c>
      <c r="B1495" s="9" t="s">
        <v>762</v>
      </c>
      <c r="C1495" t="s">
        <v>18</v>
      </c>
      <c r="D1495" t="s">
        <v>20</v>
      </c>
      <c r="E1495" t="s">
        <v>21</v>
      </c>
      <c r="F1495">
        <v>4.3</v>
      </c>
      <c r="G1495">
        <v>12900</v>
      </c>
      <c r="H1495">
        <v>12900</v>
      </c>
      <c r="I1495">
        <f>FlipkartTable[[#This Row],[Original Price]]-FlipkartTable[[#This Row],[Selling Price]]</f>
        <v>0</v>
      </c>
      <c r="J1495" s="4">
        <f>(FlipkartTable[[#This Row],[Original Price]]-FlipkartTable[[#This Row],[Selling Price]])/FlipkartTable[[#This Row],[Original Price]]</f>
        <v>0</v>
      </c>
      <c r="K1495">
        <f>(FlipkartTable[[#This Row],[Rating]]/FlipkartTable[[#This Row],[Selling Price]])*1000</f>
        <v>0.33333333333333331</v>
      </c>
      <c r="L1495" t="str">
        <f>IF(FlipkartTable[[#This Row],[Selling Price]]&lt;15000,"Budget",IF(FlipkartTable[[#This Row],[Selling Price]]&lt;50000,"Mid Range","Premium"))</f>
        <v>Budget</v>
      </c>
      <c r="M1495" t="str">
        <f>IF(FlipkartTable[[#This Row],[Rating]]&gt;4.5,"Excellent",IF(FlipkartTable[[#This Row],[Rating]]&gt;4,"Good",IF(FlipkartTable[[#This Row],[Rating]]&gt;3.5,"Average","Poor")))</f>
        <v>Good</v>
      </c>
    </row>
    <row r="1496" spans="1:13" x14ac:dyDescent="0.35">
      <c r="A1496" t="s">
        <v>663</v>
      </c>
      <c r="B1496" s="9" t="s">
        <v>739</v>
      </c>
      <c r="C1496" t="s">
        <v>19</v>
      </c>
      <c r="D1496" t="s">
        <v>552</v>
      </c>
      <c r="E1496" t="s">
        <v>539</v>
      </c>
      <c r="F1496">
        <v>4.2</v>
      </c>
      <c r="G1496">
        <v>2050</v>
      </c>
      <c r="H1496">
        <v>2050</v>
      </c>
      <c r="I1496">
        <f>FlipkartTable[[#This Row],[Original Price]]-FlipkartTable[[#This Row],[Selling Price]]</f>
        <v>0</v>
      </c>
      <c r="J1496" s="4">
        <f>(FlipkartTable[[#This Row],[Original Price]]-FlipkartTable[[#This Row],[Selling Price]])/FlipkartTable[[#This Row],[Original Price]]</f>
        <v>0</v>
      </c>
      <c r="K1496">
        <f>(FlipkartTable[[#This Row],[Rating]]/FlipkartTable[[#This Row],[Selling Price]])*1000</f>
        <v>2.0487804878048781</v>
      </c>
      <c r="L1496" t="str">
        <f>IF(FlipkartTable[[#This Row],[Selling Price]]&lt;15000,"Budget",IF(FlipkartTable[[#This Row],[Selling Price]]&lt;50000,"Mid Range","Premium"))</f>
        <v>Budget</v>
      </c>
      <c r="M1496" t="str">
        <f>IF(FlipkartTable[[#This Row],[Rating]]&gt;4.5,"Excellent",IF(FlipkartTable[[#This Row],[Rating]]&gt;4,"Good",IF(FlipkartTable[[#This Row],[Rating]]&gt;3.5,"Average","Poor")))</f>
        <v>Good</v>
      </c>
    </row>
    <row r="1497" spans="1:13" x14ac:dyDescent="0.35">
      <c r="A1497" t="s">
        <v>663</v>
      </c>
      <c r="B1497" s="9" t="s">
        <v>763</v>
      </c>
      <c r="C1497" t="s">
        <v>19</v>
      </c>
      <c r="D1497" t="s">
        <v>20</v>
      </c>
      <c r="E1497" t="s">
        <v>21</v>
      </c>
      <c r="F1497">
        <v>4.3</v>
      </c>
      <c r="G1497">
        <v>11000</v>
      </c>
      <c r="H1497">
        <v>11000</v>
      </c>
      <c r="I1497">
        <f>FlipkartTable[[#This Row],[Original Price]]-FlipkartTable[[#This Row],[Selling Price]]</f>
        <v>0</v>
      </c>
      <c r="J1497" s="4">
        <f>(FlipkartTable[[#This Row],[Original Price]]-FlipkartTable[[#This Row],[Selling Price]])/FlipkartTable[[#This Row],[Original Price]]</f>
        <v>0</v>
      </c>
      <c r="K1497">
        <f>(FlipkartTable[[#This Row],[Rating]]/FlipkartTable[[#This Row],[Selling Price]])*1000</f>
        <v>0.39090909090909093</v>
      </c>
      <c r="L1497" t="str">
        <f>IF(FlipkartTable[[#This Row],[Selling Price]]&lt;15000,"Budget",IF(FlipkartTable[[#This Row],[Selling Price]]&lt;50000,"Mid Range","Premium"))</f>
        <v>Budget</v>
      </c>
      <c r="M1497" t="str">
        <f>IF(FlipkartTable[[#This Row],[Rating]]&gt;4.5,"Excellent",IF(FlipkartTable[[#This Row],[Rating]]&gt;4,"Good",IF(FlipkartTable[[#This Row],[Rating]]&gt;3.5,"Average","Poor")))</f>
        <v>Good</v>
      </c>
    </row>
    <row r="1498" spans="1:13" x14ac:dyDescent="0.35">
      <c r="A1498" t="s">
        <v>663</v>
      </c>
      <c r="B1498" s="9" t="s">
        <v>760</v>
      </c>
      <c r="C1498" t="s">
        <v>19</v>
      </c>
      <c r="D1498" t="s">
        <v>11</v>
      </c>
      <c r="E1498" t="s">
        <v>12</v>
      </c>
      <c r="F1498">
        <v>4.5</v>
      </c>
      <c r="G1498">
        <v>14990</v>
      </c>
      <c r="H1498">
        <v>14990</v>
      </c>
      <c r="I1498">
        <f>FlipkartTable[[#This Row],[Original Price]]-FlipkartTable[[#This Row],[Selling Price]]</f>
        <v>0</v>
      </c>
      <c r="J1498" s="4">
        <f>(FlipkartTable[[#This Row],[Original Price]]-FlipkartTable[[#This Row],[Selling Price]])/FlipkartTable[[#This Row],[Original Price]]</f>
        <v>0</v>
      </c>
      <c r="K1498">
        <f>(FlipkartTable[[#This Row],[Rating]]/FlipkartTable[[#This Row],[Selling Price]])*1000</f>
        <v>0.30020013342228152</v>
      </c>
      <c r="L1498" t="str">
        <f>IF(FlipkartTable[[#This Row],[Selling Price]]&lt;15000,"Budget",IF(FlipkartTable[[#This Row],[Selling Price]]&lt;50000,"Mid Range","Premium"))</f>
        <v>Budget</v>
      </c>
      <c r="M1498" t="str">
        <f>IF(FlipkartTable[[#This Row],[Rating]]&gt;4.5,"Excellent",IF(FlipkartTable[[#This Row],[Rating]]&gt;4,"Good",IF(FlipkartTable[[#This Row],[Rating]]&gt;3.5,"Average","Poor")))</f>
        <v>Good</v>
      </c>
    </row>
    <row r="1499" spans="1:13" x14ac:dyDescent="0.35">
      <c r="A1499" t="s">
        <v>663</v>
      </c>
      <c r="B1499" s="9" t="s">
        <v>674</v>
      </c>
      <c r="C1499" t="s">
        <v>22</v>
      </c>
      <c r="D1499" t="s">
        <v>20</v>
      </c>
      <c r="E1499" t="s">
        <v>21</v>
      </c>
      <c r="F1499">
        <v>4</v>
      </c>
      <c r="G1499">
        <v>8892</v>
      </c>
      <c r="H1499">
        <v>8892</v>
      </c>
      <c r="I1499">
        <f>FlipkartTable[[#This Row],[Original Price]]-FlipkartTable[[#This Row],[Selling Price]]</f>
        <v>0</v>
      </c>
      <c r="J1499" s="4">
        <f>(FlipkartTable[[#This Row],[Original Price]]-FlipkartTable[[#This Row],[Selling Price]])/FlipkartTable[[#This Row],[Original Price]]</f>
        <v>0</v>
      </c>
      <c r="K1499">
        <f>(FlipkartTable[[#This Row],[Rating]]/FlipkartTable[[#This Row],[Selling Price]])*1000</f>
        <v>0.44984255510571303</v>
      </c>
      <c r="L1499" t="str">
        <f>IF(FlipkartTable[[#This Row],[Selling Price]]&lt;15000,"Budget",IF(FlipkartTable[[#This Row],[Selling Price]]&lt;50000,"Mid Range","Premium"))</f>
        <v>Budget</v>
      </c>
      <c r="M1499" t="str">
        <f>IF(FlipkartTable[[#This Row],[Rating]]&gt;4.5,"Excellent",IF(FlipkartTable[[#This Row],[Rating]]&gt;4,"Good",IF(FlipkartTable[[#This Row],[Rating]]&gt;3.5,"Average","Poor")))</f>
        <v>Average</v>
      </c>
    </row>
    <row r="1500" spans="1:13" x14ac:dyDescent="0.35">
      <c r="A1500" t="s">
        <v>663</v>
      </c>
      <c r="B1500" s="9" t="s">
        <v>764</v>
      </c>
      <c r="C1500" t="s">
        <v>79</v>
      </c>
      <c r="D1500" t="s">
        <v>11</v>
      </c>
      <c r="E1500" t="s">
        <v>12</v>
      </c>
      <c r="F1500">
        <v>4.3</v>
      </c>
      <c r="G1500">
        <v>15990</v>
      </c>
      <c r="H1500">
        <v>15990</v>
      </c>
      <c r="I1500">
        <f>FlipkartTable[[#This Row],[Original Price]]-FlipkartTable[[#This Row],[Selling Price]]</f>
        <v>0</v>
      </c>
      <c r="J1500" s="4">
        <f>(FlipkartTable[[#This Row],[Original Price]]-FlipkartTable[[#This Row],[Selling Price]])/FlipkartTable[[#This Row],[Original Price]]</f>
        <v>0</v>
      </c>
      <c r="K1500">
        <f>(FlipkartTable[[#This Row],[Rating]]/FlipkartTable[[#This Row],[Selling Price]])*1000</f>
        <v>0.26891807379612259</v>
      </c>
      <c r="L1500" t="str">
        <f>IF(FlipkartTable[[#This Row],[Selling Price]]&lt;15000,"Budget",IF(FlipkartTable[[#This Row],[Selling Price]]&lt;50000,"Mid Range","Premium"))</f>
        <v>Mid Range</v>
      </c>
      <c r="M1500" t="str">
        <f>IF(FlipkartTable[[#This Row],[Rating]]&gt;4.5,"Excellent",IF(FlipkartTable[[#This Row],[Rating]]&gt;4,"Good",IF(FlipkartTable[[#This Row],[Rating]]&gt;3.5,"Average","Poor")))</f>
        <v>Good</v>
      </c>
    </row>
    <row r="1501" spans="1:13" x14ac:dyDescent="0.35">
      <c r="A1501" t="s">
        <v>663</v>
      </c>
      <c r="B1501" s="9" t="s">
        <v>765</v>
      </c>
      <c r="C1501" t="s">
        <v>116</v>
      </c>
      <c r="D1501" t="s">
        <v>35</v>
      </c>
      <c r="E1501" t="s">
        <v>124</v>
      </c>
      <c r="F1501">
        <v>4.3</v>
      </c>
      <c r="G1501">
        <v>7500</v>
      </c>
      <c r="H1501">
        <v>7500</v>
      </c>
      <c r="I1501">
        <f>FlipkartTable[[#This Row],[Original Price]]-FlipkartTable[[#This Row],[Selling Price]]</f>
        <v>0</v>
      </c>
      <c r="J1501" s="4">
        <f>(FlipkartTable[[#This Row],[Original Price]]-FlipkartTable[[#This Row],[Selling Price]])/FlipkartTable[[#This Row],[Original Price]]</f>
        <v>0</v>
      </c>
      <c r="K1501">
        <f>(FlipkartTable[[#This Row],[Rating]]/FlipkartTable[[#This Row],[Selling Price]])*1000</f>
        <v>0.57333333333333336</v>
      </c>
      <c r="L1501" t="str">
        <f>IF(FlipkartTable[[#This Row],[Selling Price]]&lt;15000,"Budget",IF(FlipkartTable[[#This Row],[Selling Price]]&lt;50000,"Mid Range","Premium"))</f>
        <v>Budget</v>
      </c>
      <c r="M1501" t="str">
        <f>IF(FlipkartTable[[#This Row],[Rating]]&gt;4.5,"Excellent",IF(FlipkartTable[[#This Row],[Rating]]&gt;4,"Good",IF(FlipkartTable[[#This Row],[Rating]]&gt;3.5,"Average","Poor")))</f>
        <v>Good</v>
      </c>
    </row>
    <row r="1502" spans="1:13" x14ac:dyDescent="0.35">
      <c r="A1502" t="s">
        <v>663</v>
      </c>
      <c r="B1502" s="9" t="s">
        <v>766</v>
      </c>
      <c r="C1502" t="s">
        <v>19</v>
      </c>
      <c r="D1502" t="s">
        <v>20</v>
      </c>
      <c r="E1502" t="s">
        <v>21</v>
      </c>
      <c r="F1502">
        <v>4.3</v>
      </c>
      <c r="G1502">
        <v>14995</v>
      </c>
      <c r="H1502">
        <v>14995</v>
      </c>
      <c r="I1502">
        <f>FlipkartTable[[#This Row],[Original Price]]-FlipkartTable[[#This Row],[Selling Price]]</f>
        <v>0</v>
      </c>
      <c r="J1502" s="4">
        <f>(FlipkartTable[[#This Row],[Original Price]]-FlipkartTable[[#This Row],[Selling Price]])/FlipkartTable[[#This Row],[Original Price]]</f>
        <v>0</v>
      </c>
      <c r="K1502">
        <f>(FlipkartTable[[#This Row],[Rating]]/FlipkartTable[[#This Row],[Selling Price]])*1000</f>
        <v>0.28676225408469486</v>
      </c>
      <c r="L1502" t="str">
        <f>IF(FlipkartTable[[#This Row],[Selling Price]]&lt;15000,"Budget",IF(FlipkartTable[[#This Row],[Selling Price]]&lt;50000,"Mid Range","Premium"))</f>
        <v>Budget</v>
      </c>
      <c r="M1502" t="str">
        <f>IF(FlipkartTable[[#This Row],[Rating]]&gt;4.5,"Excellent",IF(FlipkartTable[[#This Row],[Rating]]&gt;4,"Good",IF(FlipkartTable[[#This Row],[Rating]]&gt;3.5,"Average","Poor")))</f>
        <v>Good</v>
      </c>
    </row>
    <row r="1503" spans="1:13" x14ac:dyDescent="0.35">
      <c r="A1503" t="s">
        <v>663</v>
      </c>
      <c r="B1503" s="9" t="s">
        <v>767</v>
      </c>
      <c r="C1503" t="s">
        <v>768</v>
      </c>
      <c r="D1503" t="s">
        <v>11</v>
      </c>
      <c r="E1503" t="s">
        <v>12</v>
      </c>
      <c r="F1503">
        <v>4.4000000000000004</v>
      </c>
      <c r="G1503">
        <v>13995</v>
      </c>
      <c r="H1503">
        <v>14455</v>
      </c>
      <c r="I1503">
        <f>FlipkartTable[[#This Row],[Original Price]]-FlipkartTable[[#This Row],[Selling Price]]</f>
        <v>460</v>
      </c>
      <c r="J1503" s="4">
        <f>(FlipkartTable[[#This Row],[Original Price]]-FlipkartTable[[#This Row],[Selling Price]])/FlipkartTable[[#This Row],[Original Price]]</f>
        <v>3.1822898650985816E-2</v>
      </c>
      <c r="K1503">
        <f>(FlipkartTable[[#This Row],[Rating]]/FlipkartTable[[#This Row],[Selling Price]])*1000</f>
        <v>0.31439799928545914</v>
      </c>
      <c r="L1503" t="str">
        <f>IF(FlipkartTable[[#This Row],[Selling Price]]&lt;15000,"Budget",IF(FlipkartTable[[#This Row],[Selling Price]]&lt;50000,"Mid Range","Premium"))</f>
        <v>Budget</v>
      </c>
      <c r="M1503" t="str">
        <f>IF(FlipkartTable[[#This Row],[Rating]]&gt;4.5,"Excellent",IF(FlipkartTable[[#This Row],[Rating]]&gt;4,"Good",IF(FlipkartTable[[#This Row],[Rating]]&gt;3.5,"Average","Poor")))</f>
        <v>Good</v>
      </c>
    </row>
    <row r="1504" spans="1:13" x14ac:dyDescent="0.35">
      <c r="A1504" t="s">
        <v>663</v>
      </c>
      <c r="B1504" s="9" t="s">
        <v>766</v>
      </c>
      <c r="C1504" t="s">
        <v>116</v>
      </c>
      <c r="D1504" t="s">
        <v>20</v>
      </c>
      <c r="E1504" t="s">
        <v>21</v>
      </c>
      <c r="F1504">
        <v>4.3</v>
      </c>
      <c r="G1504">
        <v>12000</v>
      </c>
      <c r="H1504">
        <v>12000</v>
      </c>
      <c r="I1504">
        <f>FlipkartTable[[#This Row],[Original Price]]-FlipkartTable[[#This Row],[Selling Price]]</f>
        <v>0</v>
      </c>
      <c r="J1504" s="4">
        <f>(FlipkartTable[[#This Row],[Original Price]]-FlipkartTable[[#This Row],[Selling Price]])/FlipkartTable[[#This Row],[Original Price]]</f>
        <v>0</v>
      </c>
      <c r="K1504">
        <f>(FlipkartTable[[#This Row],[Rating]]/FlipkartTable[[#This Row],[Selling Price]])*1000</f>
        <v>0.35833333333333334</v>
      </c>
      <c r="L1504" t="str">
        <f>IF(FlipkartTable[[#This Row],[Selling Price]]&lt;15000,"Budget",IF(FlipkartTable[[#This Row],[Selling Price]]&lt;50000,"Mid Range","Premium"))</f>
        <v>Budget</v>
      </c>
      <c r="M1504" t="str">
        <f>IF(FlipkartTable[[#This Row],[Rating]]&gt;4.5,"Excellent",IF(FlipkartTable[[#This Row],[Rating]]&gt;4,"Good",IF(FlipkartTable[[#This Row],[Rating]]&gt;3.5,"Average","Poor")))</f>
        <v>Good</v>
      </c>
    </row>
    <row r="1505" spans="1:13" x14ac:dyDescent="0.35">
      <c r="A1505" t="s">
        <v>663</v>
      </c>
      <c r="B1505" s="9" t="s">
        <v>769</v>
      </c>
      <c r="C1505" t="s">
        <v>770</v>
      </c>
      <c r="D1505" t="s">
        <v>27</v>
      </c>
      <c r="E1505" t="s">
        <v>15</v>
      </c>
      <c r="F1505">
        <v>4.3</v>
      </c>
      <c r="G1505">
        <v>29998</v>
      </c>
      <c r="H1505">
        <v>29998</v>
      </c>
      <c r="I1505">
        <f>FlipkartTable[[#This Row],[Original Price]]-FlipkartTable[[#This Row],[Selling Price]]</f>
        <v>0</v>
      </c>
      <c r="J1505" s="4">
        <f>(FlipkartTable[[#This Row],[Original Price]]-FlipkartTable[[#This Row],[Selling Price]])/FlipkartTable[[#This Row],[Original Price]]</f>
        <v>0</v>
      </c>
      <c r="K1505">
        <f>(FlipkartTable[[#This Row],[Rating]]/FlipkartTable[[#This Row],[Selling Price]])*1000</f>
        <v>0.14334288952596841</v>
      </c>
      <c r="L1505" t="str">
        <f>IF(FlipkartTable[[#This Row],[Selling Price]]&lt;15000,"Budget",IF(FlipkartTable[[#This Row],[Selling Price]]&lt;50000,"Mid Range","Premium"))</f>
        <v>Mid Range</v>
      </c>
      <c r="M1505" t="str">
        <f>IF(FlipkartTable[[#This Row],[Rating]]&gt;4.5,"Excellent",IF(FlipkartTable[[#This Row],[Rating]]&gt;4,"Good",IF(FlipkartTable[[#This Row],[Rating]]&gt;3.5,"Average","Poor")))</f>
        <v>Good</v>
      </c>
    </row>
    <row r="1506" spans="1:13" x14ac:dyDescent="0.35">
      <c r="A1506" t="s">
        <v>663</v>
      </c>
      <c r="B1506" s="9" t="s">
        <v>771</v>
      </c>
      <c r="C1506" t="s">
        <v>19</v>
      </c>
      <c r="D1506" t="s">
        <v>11</v>
      </c>
      <c r="E1506" t="s">
        <v>21</v>
      </c>
      <c r="F1506">
        <v>4.3</v>
      </c>
      <c r="G1506">
        <v>17962</v>
      </c>
      <c r="H1506">
        <v>17962</v>
      </c>
      <c r="I1506">
        <f>FlipkartTable[[#This Row],[Original Price]]-FlipkartTable[[#This Row],[Selling Price]]</f>
        <v>0</v>
      </c>
      <c r="J1506" s="4">
        <f>(FlipkartTable[[#This Row],[Original Price]]-FlipkartTable[[#This Row],[Selling Price]])/FlipkartTable[[#This Row],[Original Price]]</f>
        <v>0</v>
      </c>
      <c r="K1506">
        <f>(FlipkartTable[[#This Row],[Rating]]/FlipkartTable[[#This Row],[Selling Price]])*1000</f>
        <v>0.23939427680659167</v>
      </c>
      <c r="L1506" t="str">
        <f>IF(FlipkartTable[[#This Row],[Selling Price]]&lt;15000,"Budget",IF(FlipkartTable[[#This Row],[Selling Price]]&lt;50000,"Mid Range","Premium"))</f>
        <v>Mid Range</v>
      </c>
      <c r="M1506" t="str">
        <f>IF(FlipkartTable[[#This Row],[Rating]]&gt;4.5,"Excellent",IF(FlipkartTable[[#This Row],[Rating]]&gt;4,"Good",IF(FlipkartTable[[#This Row],[Rating]]&gt;3.5,"Average","Poor")))</f>
        <v>Good</v>
      </c>
    </row>
    <row r="1507" spans="1:13" x14ac:dyDescent="0.35">
      <c r="A1507" t="s">
        <v>663</v>
      </c>
      <c r="B1507" s="9" t="s">
        <v>771</v>
      </c>
      <c r="C1507" t="s">
        <v>19</v>
      </c>
      <c r="D1507" t="s">
        <v>11</v>
      </c>
      <c r="E1507" t="s">
        <v>21</v>
      </c>
      <c r="F1507">
        <v>4.3</v>
      </c>
      <c r="G1507">
        <v>17962</v>
      </c>
      <c r="H1507">
        <v>17962</v>
      </c>
      <c r="I1507">
        <f>FlipkartTable[[#This Row],[Original Price]]-FlipkartTable[[#This Row],[Selling Price]]</f>
        <v>0</v>
      </c>
      <c r="J1507" s="4">
        <f>(FlipkartTable[[#This Row],[Original Price]]-FlipkartTable[[#This Row],[Selling Price]])/FlipkartTable[[#This Row],[Original Price]]</f>
        <v>0</v>
      </c>
      <c r="K1507">
        <f>(FlipkartTable[[#This Row],[Rating]]/FlipkartTable[[#This Row],[Selling Price]])*1000</f>
        <v>0.23939427680659167</v>
      </c>
      <c r="L1507" t="str">
        <f>IF(FlipkartTable[[#This Row],[Selling Price]]&lt;15000,"Budget",IF(FlipkartTable[[#This Row],[Selling Price]]&lt;50000,"Mid Range","Premium"))</f>
        <v>Mid Range</v>
      </c>
      <c r="M1507" t="str">
        <f>IF(FlipkartTable[[#This Row],[Rating]]&gt;4.5,"Excellent",IF(FlipkartTable[[#This Row],[Rating]]&gt;4,"Good",IF(FlipkartTable[[#This Row],[Rating]]&gt;3.5,"Average","Poor")))</f>
        <v>Good</v>
      </c>
    </row>
    <row r="1508" spans="1:13" x14ac:dyDescent="0.35">
      <c r="A1508" t="s">
        <v>663</v>
      </c>
      <c r="B1508" s="9" t="s">
        <v>765</v>
      </c>
      <c r="C1508" t="s">
        <v>19</v>
      </c>
      <c r="D1508" t="s">
        <v>35</v>
      </c>
      <c r="E1508" t="s">
        <v>124</v>
      </c>
      <c r="F1508">
        <v>4.3</v>
      </c>
      <c r="G1508">
        <v>7999</v>
      </c>
      <c r="H1508">
        <v>7999</v>
      </c>
      <c r="I1508">
        <f>FlipkartTable[[#This Row],[Original Price]]-FlipkartTable[[#This Row],[Selling Price]]</f>
        <v>0</v>
      </c>
      <c r="J1508" s="4">
        <f>(FlipkartTable[[#This Row],[Original Price]]-FlipkartTable[[#This Row],[Selling Price]])/FlipkartTable[[#This Row],[Original Price]]</f>
        <v>0</v>
      </c>
      <c r="K1508">
        <f>(FlipkartTable[[#This Row],[Rating]]/FlipkartTable[[#This Row],[Selling Price]])*1000</f>
        <v>0.53756719589948743</v>
      </c>
      <c r="L1508" t="str">
        <f>IF(FlipkartTable[[#This Row],[Selling Price]]&lt;15000,"Budget",IF(FlipkartTable[[#This Row],[Selling Price]]&lt;50000,"Mid Range","Premium"))</f>
        <v>Budget</v>
      </c>
      <c r="M1508" t="str">
        <f>IF(FlipkartTable[[#This Row],[Rating]]&gt;4.5,"Excellent",IF(FlipkartTable[[#This Row],[Rating]]&gt;4,"Good",IF(FlipkartTable[[#This Row],[Rating]]&gt;3.5,"Average","Poor")))</f>
        <v>Good</v>
      </c>
    </row>
    <row r="1509" spans="1:13" x14ac:dyDescent="0.35">
      <c r="A1509" t="s">
        <v>663</v>
      </c>
      <c r="B1509" s="9" t="s">
        <v>762</v>
      </c>
      <c r="C1509" t="s">
        <v>19</v>
      </c>
      <c r="D1509" t="s">
        <v>20</v>
      </c>
      <c r="E1509" t="s">
        <v>21</v>
      </c>
      <c r="F1509">
        <v>4.3</v>
      </c>
      <c r="G1509">
        <v>11490</v>
      </c>
      <c r="H1509">
        <v>12900</v>
      </c>
      <c r="I1509">
        <f>FlipkartTable[[#This Row],[Original Price]]-FlipkartTable[[#This Row],[Selling Price]]</f>
        <v>1410</v>
      </c>
      <c r="J1509" s="4">
        <f>(FlipkartTable[[#This Row],[Original Price]]-FlipkartTable[[#This Row],[Selling Price]])/FlipkartTable[[#This Row],[Original Price]]</f>
        <v>0.10930232558139535</v>
      </c>
      <c r="K1509">
        <f>(FlipkartTable[[#This Row],[Rating]]/FlipkartTable[[#This Row],[Selling Price]])*1000</f>
        <v>0.37423846823324625</v>
      </c>
      <c r="L1509" t="str">
        <f>IF(FlipkartTable[[#This Row],[Selling Price]]&lt;15000,"Budget",IF(FlipkartTable[[#This Row],[Selling Price]]&lt;50000,"Mid Range","Premium"))</f>
        <v>Budget</v>
      </c>
      <c r="M1509" t="str">
        <f>IF(FlipkartTable[[#This Row],[Rating]]&gt;4.5,"Excellent",IF(FlipkartTable[[#This Row],[Rating]]&gt;4,"Good",IF(FlipkartTable[[#This Row],[Rating]]&gt;3.5,"Average","Poor")))</f>
        <v>Good</v>
      </c>
    </row>
    <row r="1510" spans="1:13" x14ac:dyDescent="0.35">
      <c r="A1510" t="s">
        <v>663</v>
      </c>
      <c r="B1510" s="9" t="s">
        <v>759</v>
      </c>
      <c r="C1510" t="s">
        <v>19</v>
      </c>
      <c r="D1510" t="s">
        <v>134</v>
      </c>
      <c r="E1510" t="s">
        <v>27</v>
      </c>
      <c r="F1510">
        <v>4.2</v>
      </c>
      <c r="G1510">
        <v>6500</v>
      </c>
      <c r="H1510">
        <v>6500</v>
      </c>
      <c r="I1510">
        <f>FlipkartTable[[#This Row],[Original Price]]-FlipkartTable[[#This Row],[Selling Price]]</f>
        <v>0</v>
      </c>
      <c r="J1510" s="4">
        <f>(FlipkartTable[[#This Row],[Original Price]]-FlipkartTable[[#This Row],[Selling Price]])/FlipkartTable[[#This Row],[Original Price]]</f>
        <v>0</v>
      </c>
      <c r="K1510">
        <f>(FlipkartTable[[#This Row],[Rating]]/FlipkartTable[[#This Row],[Selling Price]])*1000</f>
        <v>0.64615384615384619</v>
      </c>
      <c r="L1510" t="str">
        <f>IF(FlipkartTable[[#This Row],[Selling Price]]&lt;15000,"Budget",IF(FlipkartTable[[#This Row],[Selling Price]]&lt;50000,"Mid Range","Premium"))</f>
        <v>Budget</v>
      </c>
      <c r="M1510" t="str">
        <f>IF(FlipkartTable[[#This Row],[Rating]]&gt;4.5,"Excellent",IF(FlipkartTable[[#This Row],[Rating]]&gt;4,"Good",IF(FlipkartTable[[#This Row],[Rating]]&gt;3.5,"Average","Poor")))</f>
        <v>Good</v>
      </c>
    </row>
    <row r="1511" spans="1:13" x14ac:dyDescent="0.35">
      <c r="A1511" t="s">
        <v>663</v>
      </c>
      <c r="B1511" s="9" t="s">
        <v>772</v>
      </c>
      <c r="C1511" t="s">
        <v>773</v>
      </c>
      <c r="D1511" t="s">
        <v>27</v>
      </c>
      <c r="E1511" t="s">
        <v>15</v>
      </c>
      <c r="F1511">
        <v>4.3</v>
      </c>
      <c r="G1511">
        <v>30990</v>
      </c>
      <c r="H1511">
        <v>30990</v>
      </c>
      <c r="I1511">
        <f>FlipkartTable[[#This Row],[Original Price]]-FlipkartTable[[#This Row],[Selling Price]]</f>
        <v>0</v>
      </c>
      <c r="J1511" s="4">
        <f>(FlipkartTable[[#This Row],[Original Price]]-FlipkartTable[[#This Row],[Selling Price]])/FlipkartTable[[#This Row],[Original Price]]</f>
        <v>0</v>
      </c>
      <c r="K1511">
        <f>(FlipkartTable[[#This Row],[Rating]]/FlipkartTable[[#This Row],[Selling Price]])*1000</f>
        <v>0.13875443691513392</v>
      </c>
      <c r="L1511" t="str">
        <f>IF(FlipkartTable[[#This Row],[Selling Price]]&lt;15000,"Budget",IF(FlipkartTable[[#This Row],[Selling Price]]&lt;50000,"Mid Range","Premium"))</f>
        <v>Mid Range</v>
      </c>
      <c r="M1511" t="str">
        <f>IF(FlipkartTable[[#This Row],[Rating]]&gt;4.5,"Excellent",IF(FlipkartTable[[#This Row],[Rating]]&gt;4,"Good",IF(FlipkartTable[[#This Row],[Rating]]&gt;3.5,"Average","Poor")))</f>
        <v>Good</v>
      </c>
    </row>
    <row r="1512" spans="1:13" x14ac:dyDescent="0.35">
      <c r="A1512" t="s">
        <v>663</v>
      </c>
      <c r="B1512" s="9" t="s">
        <v>675</v>
      </c>
      <c r="C1512" t="s">
        <v>22</v>
      </c>
      <c r="D1512" t="s">
        <v>14</v>
      </c>
      <c r="E1512" t="s">
        <v>15</v>
      </c>
      <c r="F1512">
        <v>3.9</v>
      </c>
      <c r="G1512">
        <v>16499</v>
      </c>
      <c r="H1512">
        <v>17999</v>
      </c>
      <c r="I1512">
        <f>FlipkartTable[[#This Row],[Original Price]]-FlipkartTable[[#This Row],[Selling Price]]</f>
        <v>1500</v>
      </c>
      <c r="J1512" s="4">
        <f>(FlipkartTable[[#This Row],[Original Price]]-FlipkartTable[[#This Row],[Selling Price]])/FlipkartTable[[#This Row],[Original Price]]</f>
        <v>8.3337963220178904E-2</v>
      </c>
      <c r="K1512">
        <f>(FlipkartTable[[#This Row],[Rating]]/FlipkartTable[[#This Row],[Selling Price]])*1000</f>
        <v>0.23637796230074551</v>
      </c>
      <c r="L1512" t="str">
        <f>IF(FlipkartTable[[#This Row],[Selling Price]]&lt;15000,"Budget",IF(FlipkartTable[[#This Row],[Selling Price]]&lt;50000,"Mid Range","Premium"))</f>
        <v>Mid Range</v>
      </c>
      <c r="M1512" t="str">
        <f>IF(FlipkartTable[[#This Row],[Rating]]&gt;4.5,"Excellent",IF(FlipkartTable[[#This Row],[Rating]]&gt;4,"Good",IF(FlipkartTable[[#This Row],[Rating]]&gt;3.5,"Average","Poor")))</f>
        <v>Average</v>
      </c>
    </row>
    <row r="1513" spans="1:13" x14ac:dyDescent="0.35">
      <c r="A1513" t="s">
        <v>663</v>
      </c>
      <c r="B1513" s="9" t="s">
        <v>774</v>
      </c>
      <c r="C1513" t="s">
        <v>19</v>
      </c>
      <c r="D1513" t="s">
        <v>11</v>
      </c>
      <c r="E1513" t="s">
        <v>12</v>
      </c>
      <c r="F1513">
        <v>4.3</v>
      </c>
      <c r="G1513">
        <v>14000</v>
      </c>
      <c r="H1513">
        <v>14000</v>
      </c>
      <c r="I1513">
        <f>FlipkartTable[[#This Row],[Original Price]]-FlipkartTable[[#This Row],[Selling Price]]</f>
        <v>0</v>
      </c>
      <c r="J1513" s="4">
        <f>(FlipkartTable[[#This Row],[Original Price]]-FlipkartTable[[#This Row],[Selling Price]])/FlipkartTable[[#This Row],[Original Price]]</f>
        <v>0</v>
      </c>
      <c r="K1513">
        <f>(FlipkartTable[[#This Row],[Rating]]/FlipkartTable[[#This Row],[Selling Price]])*1000</f>
        <v>0.30714285714285711</v>
      </c>
      <c r="L1513" t="str">
        <f>IF(FlipkartTable[[#This Row],[Selling Price]]&lt;15000,"Budget",IF(FlipkartTable[[#This Row],[Selling Price]]&lt;50000,"Mid Range","Premium"))</f>
        <v>Budget</v>
      </c>
      <c r="M1513" t="str">
        <f>IF(FlipkartTable[[#This Row],[Rating]]&gt;4.5,"Excellent",IF(FlipkartTable[[#This Row],[Rating]]&gt;4,"Good",IF(FlipkartTable[[#This Row],[Rating]]&gt;3.5,"Average","Poor")))</f>
        <v>Good</v>
      </c>
    </row>
    <row r="1514" spans="1:13" x14ac:dyDescent="0.35">
      <c r="A1514" t="s">
        <v>663</v>
      </c>
      <c r="B1514" s="9" t="s">
        <v>774</v>
      </c>
      <c r="C1514" t="s">
        <v>22</v>
      </c>
      <c r="D1514" t="s">
        <v>11</v>
      </c>
      <c r="E1514" t="s">
        <v>12</v>
      </c>
      <c r="F1514">
        <v>4.3</v>
      </c>
      <c r="G1514">
        <v>13600</v>
      </c>
      <c r="H1514">
        <v>13600</v>
      </c>
      <c r="I1514">
        <f>FlipkartTable[[#This Row],[Original Price]]-FlipkartTable[[#This Row],[Selling Price]]</f>
        <v>0</v>
      </c>
      <c r="J1514" s="4">
        <f>(FlipkartTable[[#This Row],[Original Price]]-FlipkartTable[[#This Row],[Selling Price]])/FlipkartTable[[#This Row],[Original Price]]</f>
        <v>0</v>
      </c>
      <c r="K1514">
        <f>(FlipkartTable[[#This Row],[Rating]]/FlipkartTable[[#This Row],[Selling Price]])*1000</f>
        <v>0.31617647058823528</v>
      </c>
      <c r="L1514" t="str">
        <f>IF(FlipkartTable[[#This Row],[Selling Price]]&lt;15000,"Budget",IF(FlipkartTable[[#This Row],[Selling Price]]&lt;50000,"Mid Range","Premium"))</f>
        <v>Budget</v>
      </c>
      <c r="M1514" t="str">
        <f>IF(FlipkartTable[[#This Row],[Rating]]&gt;4.5,"Excellent",IF(FlipkartTable[[#This Row],[Rating]]&gt;4,"Good",IF(FlipkartTable[[#This Row],[Rating]]&gt;3.5,"Average","Poor")))</f>
        <v>Good</v>
      </c>
    </row>
    <row r="1515" spans="1:13" x14ac:dyDescent="0.35">
      <c r="A1515" t="s">
        <v>663</v>
      </c>
      <c r="B1515" s="9" t="s">
        <v>686</v>
      </c>
      <c r="C1515" t="s">
        <v>19</v>
      </c>
      <c r="D1515" t="s">
        <v>602</v>
      </c>
      <c r="E1515" t="s">
        <v>539</v>
      </c>
      <c r="F1515">
        <v>4.3</v>
      </c>
      <c r="G1515">
        <v>2290</v>
      </c>
      <c r="H1515">
        <v>2290</v>
      </c>
      <c r="I1515">
        <f>FlipkartTable[[#This Row],[Original Price]]-FlipkartTable[[#This Row],[Selling Price]]</f>
        <v>0</v>
      </c>
      <c r="J1515" s="4">
        <f>(FlipkartTable[[#This Row],[Original Price]]-FlipkartTable[[#This Row],[Selling Price]])/FlipkartTable[[#This Row],[Original Price]]</f>
        <v>0</v>
      </c>
      <c r="K1515">
        <f>(FlipkartTable[[#This Row],[Rating]]/FlipkartTable[[#This Row],[Selling Price]])*1000</f>
        <v>1.8777292576419213</v>
      </c>
      <c r="L1515" t="str">
        <f>IF(FlipkartTable[[#This Row],[Selling Price]]&lt;15000,"Budget",IF(FlipkartTable[[#This Row],[Selling Price]]&lt;50000,"Mid Range","Premium"))</f>
        <v>Budget</v>
      </c>
      <c r="M1515" t="str">
        <f>IF(FlipkartTable[[#This Row],[Rating]]&gt;4.5,"Excellent",IF(FlipkartTable[[#This Row],[Rating]]&gt;4,"Good",IF(FlipkartTable[[#This Row],[Rating]]&gt;3.5,"Average","Poor")))</f>
        <v>Good</v>
      </c>
    </row>
    <row r="1516" spans="1:13" x14ac:dyDescent="0.35">
      <c r="A1516" t="s">
        <v>663</v>
      </c>
      <c r="B1516" s="9" t="s">
        <v>775</v>
      </c>
      <c r="C1516" t="s">
        <v>722</v>
      </c>
      <c r="D1516" t="s">
        <v>63</v>
      </c>
      <c r="E1516" t="s">
        <v>64</v>
      </c>
      <c r="F1516">
        <v>3</v>
      </c>
      <c r="G1516">
        <v>149999</v>
      </c>
      <c r="H1516">
        <v>189999</v>
      </c>
      <c r="I1516">
        <f>FlipkartTable[[#This Row],[Original Price]]-FlipkartTable[[#This Row],[Selling Price]]</f>
        <v>40000</v>
      </c>
      <c r="J1516" s="4">
        <f>(FlipkartTable[[#This Row],[Original Price]]-FlipkartTable[[#This Row],[Selling Price]])/FlipkartTable[[#This Row],[Original Price]]</f>
        <v>0.21052742382854647</v>
      </c>
      <c r="K1516">
        <f>(FlipkartTable[[#This Row],[Rating]]/FlipkartTable[[#This Row],[Selling Price]])*1000</f>
        <v>2.000013333422223E-2</v>
      </c>
      <c r="L1516" t="str">
        <f>IF(FlipkartTable[[#This Row],[Selling Price]]&lt;15000,"Budget",IF(FlipkartTable[[#This Row],[Selling Price]]&lt;50000,"Mid Range","Premium"))</f>
        <v>Premium</v>
      </c>
      <c r="M1516" t="str">
        <f>IF(FlipkartTable[[#This Row],[Rating]]&gt;4.5,"Excellent",IF(FlipkartTable[[#This Row],[Rating]]&gt;4,"Good",IF(FlipkartTable[[#This Row],[Rating]]&gt;3.5,"Average","Poor")))</f>
        <v>Poor</v>
      </c>
    </row>
    <row r="1517" spans="1:13" x14ac:dyDescent="0.35">
      <c r="A1517" t="s">
        <v>663</v>
      </c>
      <c r="B1517" s="9" t="s">
        <v>718</v>
      </c>
      <c r="C1517" t="s">
        <v>19</v>
      </c>
      <c r="D1517" t="s">
        <v>134</v>
      </c>
      <c r="E1517" t="s">
        <v>124</v>
      </c>
      <c r="F1517">
        <v>3.9</v>
      </c>
      <c r="G1517">
        <v>4999</v>
      </c>
      <c r="H1517">
        <v>4999</v>
      </c>
      <c r="I1517">
        <f>FlipkartTable[[#This Row],[Original Price]]-FlipkartTable[[#This Row],[Selling Price]]</f>
        <v>0</v>
      </c>
      <c r="J1517" s="4">
        <f>(FlipkartTable[[#This Row],[Original Price]]-FlipkartTable[[#This Row],[Selling Price]])/FlipkartTable[[#This Row],[Original Price]]</f>
        <v>0</v>
      </c>
      <c r="K1517">
        <f>(FlipkartTable[[#This Row],[Rating]]/FlipkartTable[[#This Row],[Selling Price]])*1000</f>
        <v>0.78015603120624122</v>
      </c>
      <c r="L1517" t="str">
        <f>IF(FlipkartTable[[#This Row],[Selling Price]]&lt;15000,"Budget",IF(FlipkartTable[[#This Row],[Selling Price]]&lt;50000,"Mid Range","Premium"))</f>
        <v>Budget</v>
      </c>
      <c r="M1517" t="str">
        <f>IF(FlipkartTable[[#This Row],[Rating]]&gt;4.5,"Excellent",IF(FlipkartTable[[#This Row],[Rating]]&gt;4,"Good",IF(FlipkartTable[[#This Row],[Rating]]&gt;3.5,"Average","Poor")))</f>
        <v>Average</v>
      </c>
    </row>
    <row r="1518" spans="1:13" x14ac:dyDescent="0.35">
      <c r="A1518" t="s">
        <v>663</v>
      </c>
      <c r="B1518" s="9" t="s">
        <v>776</v>
      </c>
      <c r="C1518" t="s">
        <v>152</v>
      </c>
      <c r="D1518" t="s">
        <v>35</v>
      </c>
      <c r="E1518" t="s">
        <v>124</v>
      </c>
      <c r="F1518">
        <v>4.3</v>
      </c>
      <c r="G1518">
        <v>15299</v>
      </c>
      <c r="H1518">
        <v>15585</v>
      </c>
      <c r="I1518">
        <f>FlipkartTable[[#This Row],[Original Price]]-FlipkartTable[[#This Row],[Selling Price]]</f>
        <v>286</v>
      </c>
      <c r="J1518" s="4">
        <f>(FlipkartTable[[#This Row],[Original Price]]-FlipkartTable[[#This Row],[Selling Price]])/FlipkartTable[[#This Row],[Original Price]]</f>
        <v>1.8350978504972731E-2</v>
      </c>
      <c r="K1518">
        <f>(FlipkartTable[[#This Row],[Rating]]/FlipkartTable[[#This Row],[Selling Price]])*1000</f>
        <v>0.28106412183802865</v>
      </c>
      <c r="L1518" t="str">
        <f>IF(FlipkartTable[[#This Row],[Selling Price]]&lt;15000,"Budget",IF(FlipkartTable[[#This Row],[Selling Price]]&lt;50000,"Mid Range","Premium"))</f>
        <v>Mid Range</v>
      </c>
      <c r="M1518" t="str">
        <f>IF(FlipkartTable[[#This Row],[Rating]]&gt;4.5,"Excellent",IF(FlipkartTable[[#This Row],[Rating]]&gt;4,"Good",IF(FlipkartTable[[#This Row],[Rating]]&gt;3.5,"Average","Poor")))</f>
        <v>Good</v>
      </c>
    </row>
    <row r="1519" spans="1:13" x14ac:dyDescent="0.35">
      <c r="A1519" t="s">
        <v>663</v>
      </c>
      <c r="B1519" s="9" t="s">
        <v>777</v>
      </c>
      <c r="C1519" t="s">
        <v>778</v>
      </c>
      <c r="D1519" t="s">
        <v>63</v>
      </c>
      <c r="E1519" t="s">
        <v>15</v>
      </c>
      <c r="F1519">
        <v>4.2</v>
      </c>
      <c r="G1519">
        <v>103000</v>
      </c>
      <c r="H1519">
        <v>103000</v>
      </c>
      <c r="I1519">
        <f>FlipkartTable[[#This Row],[Original Price]]-FlipkartTable[[#This Row],[Selling Price]]</f>
        <v>0</v>
      </c>
      <c r="J1519" s="4">
        <f>(FlipkartTable[[#This Row],[Original Price]]-FlipkartTable[[#This Row],[Selling Price]])/FlipkartTable[[#This Row],[Original Price]]</f>
        <v>0</v>
      </c>
      <c r="K1519">
        <f>(FlipkartTable[[#This Row],[Rating]]/FlipkartTable[[#This Row],[Selling Price]])*1000</f>
        <v>4.0776699029126215E-2</v>
      </c>
      <c r="L1519" t="str">
        <f>IF(FlipkartTable[[#This Row],[Selling Price]]&lt;15000,"Budget",IF(FlipkartTable[[#This Row],[Selling Price]]&lt;50000,"Mid Range","Premium"))</f>
        <v>Premium</v>
      </c>
      <c r="M1519" t="str">
        <f>IF(FlipkartTable[[#This Row],[Rating]]&gt;4.5,"Excellent",IF(FlipkartTable[[#This Row],[Rating]]&gt;4,"Good",IF(FlipkartTable[[#This Row],[Rating]]&gt;3.5,"Average","Poor")))</f>
        <v>Good</v>
      </c>
    </row>
    <row r="1520" spans="1:13" x14ac:dyDescent="0.35">
      <c r="A1520" t="s">
        <v>663</v>
      </c>
      <c r="B1520" s="9" t="s">
        <v>762</v>
      </c>
      <c r="C1520" t="s">
        <v>116</v>
      </c>
      <c r="D1520" t="s">
        <v>20</v>
      </c>
      <c r="E1520" t="s">
        <v>21</v>
      </c>
      <c r="F1520">
        <v>4.3</v>
      </c>
      <c r="G1520">
        <v>12900</v>
      </c>
      <c r="H1520">
        <v>12900</v>
      </c>
      <c r="I1520">
        <f>FlipkartTable[[#This Row],[Original Price]]-FlipkartTable[[#This Row],[Selling Price]]</f>
        <v>0</v>
      </c>
      <c r="J1520" s="4">
        <f>(FlipkartTable[[#This Row],[Original Price]]-FlipkartTable[[#This Row],[Selling Price]])/FlipkartTable[[#This Row],[Original Price]]</f>
        <v>0</v>
      </c>
      <c r="K1520">
        <f>(FlipkartTable[[#This Row],[Rating]]/FlipkartTable[[#This Row],[Selling Price]])*1000</f>
        <v>0.33333333333333331</v>
      </c>
      <c r="L1520" t="str">
        <f>IF(FlipkartTable[[#This Row],[Selling Price]]&lt;15000,"Budget",IF(FlipkartTable[[#This Row],[Selling Price]]&lt;50000,"Mid Range","Premium"))</f>
        <v>Budget</v>
      </c>
      <c r="M1520" t="str">
        <f>IF(FlipkartTable[[#This Row],[Rating]]&gt;4.5,"Excellent",IF(FlipkartTable[[#This Row],[Rating]]&gt;4,"Good",IF(FlipkartTable[[#This Row],[Rating]]&gt;3.5,"Average","Poor")))</f>
        <v>Good</v>
      </c>
    </row>
    <row r="1521" spans="1:13" x14ac:dyDescent="0.35">
      <c r="A1521" t="s">
        <v>663</v>
      </c>
      <c r="B1521" s="9" t="s">
        <v>749</v>
      </c>
      <c r="C1521" t="s">
        <v>429</v>
      </c>
      <c r="D1521" t="s">
        <v>63</v>
      </c>
      <c r="E1521" t="s">
        <v>64</v>
      </c>
      <c r="F1521">
        <v>4.5</v>
      </c>
      <c r="G1521">
        <v>91999</v>
      </c>
      <c r="H1521">
        <v>116000</v>
      </c>
      <c r="I1521">
        <f>FlipkartTable[[#This Row],[Original Price]]-FlipkartTable[[#This Row],[Selling Price]]</f>
        <v>24001</v>
      </c>
      <c r="J1521" s="4">
        <f>(FlipkartTable[[#This Row],[Original Price]]-FlipkartTable[[#This Row],[Selling Price]])/FlipkartTable[[#This Row],[Original Price]]</f>
        <v>0.20690517241379311</v>
      </c>
      <c r="K1521">
        <f>(FlipkartTable[[#This Row],[Rating]]/FlipkartTable[[#This Row],[Selling Price]])*1000</f>
        <v>4.8913575147555947E-2</v>
      </c>
      <c r="L1521" t="str">
        <f>IF(FlipkartTable[[#This Row],[Selling Price]]&lt;15000,"Budget",IF(FlipkartTable[[#This Row],[Selling Price]]&lt;50000,"Mid Range","Premium"))</f>
        <v>Premium</v>
      </c>
      <c r="M1521" t="str">
        <f>IF(FlipkartTable[[#This Row],[Rating]]&gt;4.5,"Excellent",IF(FlipkartTable[[#This Row],[Rating]]&gt;4,"Good",IF(FlipkartTable[[#This Row],[Rating]]&gt;3.5,"Average","Poor")))</f>
        <v>Good</v>
      </c>
    </row>
    <row r="1522" spans="1:13" x14ac:dyDescent="0.35">
      <c r="A1522" t="s">
        <v>663</v>
      </c>
      <c r="B1522" s="9" t="s">
        <v>779</v>
      </c>
      <c r="C1522" t="s">
        <v>183</v>
      </c>
      <c r="D1522" t="s">
        <v>27</v>
      </c>
      <c r="E1522" t="s">
        <v>338</v>
      </c>
      <c r="F1522">
        <v>4.5999999999999996</v>
      </c>
      <c r="G1522">
        <v>59999</v>
      </c>
      <c r="H1522">
        <v>59999</v>
      </c>
      <c r="I1522">
        <f>FlipkartTable[[#This Row],[Original Price]]-FlipkartTable[[#This Row],[Selling Price]]</f>
        <v>0</v>
      </c>
      <c r="J1522" s="4">
        <f>(FlipkartTable[[#This Row],[Original Price]]-FlipkartTable[[#This Row],[Selling Price]])/FlipkartTable[[#This Row],[Original Price]]</f>
        <v>0</v>
      </c>
      <c r="K1522">
        <f>(FlipkartTable[[#This Row],[Rating]]/FlipkartTable[[#This Row],[Selling Price]])*1000</f>
        <v>7.6667944465741086E-2</v>
      </c>
      <c r="L1522" t="str">
        <f>IF(FlipkartTable[[#This Row],[Selling Price]]&lt;15000,"Budget",IF(FlipkartTable[[#This Row],[Selling Price]]&lt;50000,"Mid Range","Premium"))</f>
        <v>Premium</v>
      </c>
      <c r="M1522" t="str">
        <f>IF(FlipkartTable[[#This Row],[Rating]]&gt;4.5,"Excellent",IF(FlipkartTable[[#This Row],[Rating]]&gt;4,"Good",IF(FlipkartTable[[#This Row],[Rating]]&gt;3.5,"Average","Poor")))</f>
        <v>Excellent</v>
      </c>
    </row>
    <row r="1523" spans="1:13" x14ac:dyDescent="0.35">
      <c r="A1523" t="s">
        <v>663</v>
      </c>
      <c r="B1523" s="9" t="s">
        <v>780</v>
      </c>
      <c r="C1523" t="s">
        <v>116</v>
      </c>
      <c r="D1523" t="s">
        <v>35</v>
      </c>
      <c r="E1523" t="s">
        <v>21</v>
      </c>
      <c r="F1523">
        <v>4.3</v>
      </c>
      <c r="G1523">
        <v>8700</v>
      </c>
      <c r="H1523">
        <v>8700</v>
      </c>
      <c r="I1523">
        <f>FlipkartTable[[#This Row],[Original Price]]-FlipkartTable[[#This Row],[Selling Price]]</f>
        <v>0</v>
      </c>
      <c r="J1523" s="4">
        <f>(FlipkartTable[[#This Row],[Original Price]]-FlipkartTable[[#This Row],[Selling Price]])/FlipkartTable[[#This Row],[Original Price]]</f>
        <v>0</v>
      </c>
      <c r="K1523">
        <f>(FlipkartTable[[#This Row],[Rating]]/FlipkartTable[[#This Row],[Selling Price]])*1000</f>
        <v>0.49425287356321834</v>
      </c>
      <c r="L1523" t="str">
        <f>IF(FlipkartTable[[#This Row],[Selling Price]]&lt;15000,"Budget",IF(FlipkartTable[[#This Row],[Selling Price]]&lt;50000,"Mid Range","Premium"))</f>
        <v>Budget</v>
      </c>
      <c r="M1523" t="str">
        <f>IF(FlipkartTable[[#This Row],[Rating]]&gt;4.5,"Excellent",IF(FlipkartTable[[#This Row],[Rating]]&gt;4,"Good",IF(FlipkartTable[[#This Row],[Rating]]&gt;3.5,"Average","Poor")))</f>
        <v>Good</v>
      </c>
    </row>
    <row r="1524" spans="1:13" x14ac:dyDescent="0.35">
      <c r="A1524" t="s">
        <v>663</v>
      </c>
      <c r="B1524" s="9" t="s">
        <v>781</v>
      </c>
      <c r="C1524" t="s">
        <v>19</v>
      </c>
      <c r="D1524" t="s">
        <v>602</v>
      </c>
      <c r="E1524" t="s">
        <v>539</v>
      </c>
      <c r="F1524">
        <v>4.0999999999999996</v>
      </c>
      <c r="G1524">
        <v>2299</v>
      </c>
      <c r="H1524">
        <v>2299</v>
      </c>
      <c r="I1524">
        <f>FlipkartTable[[#This Row],[Original Price]]-FlipkartTable[[#This Row],[Selling Price]]</f>
        <v>0</v>
      </c>
      <c r="J1524" s="4">
        <f>(FlipkartTable[[#This Row],[Original Price]]-FlipkartTable[[#This Row],[Selling Price]])/FlipkartTable[[#This Row],[Original Price]]</f>
        <v>0</v>
      </c>
      <c r="K1524">
        <f>(FlipkartTable[[#This Row],[Rating]]/FlipkartTable[[#This Row],[Selling Price]])*1000</f>
        <v>1.7833840800347975</v>
      </c>
      <c r="L1524" t="str">
        <f>IF(FlipkartTable[[#This Row],[Selling Price]]&lt;15000,"Budget",IF(FlipkartTable[[#This Row],[Selling Price]]&lt;50000,"Mid Range","Premium"))</f>
        <v>Budget</v>
      </c>
      <c r="M1524" t="str">
        <f>IF(FlipkartTable[[#This Row],[Rating]]&gt;4.5,"Excellent",IF(FlipkartTable[[#This Row],[Rating]]&gt;4,"Good",IF(FlipkartTable[[#This Row],[Rating]]&gt;3.5,"Average","Poor")))</f>
        <v>Good</v>
      </c>
    </row>
    <row r="1525" spans="1:13" x14ac:dyDescent="0.35">
      <c r="A1525" t="s">
        <v>663</v>
      </c>
      <c r="B1525" s="9" t="s">
        <v>759</v>
      </c>
      <c r="C1525" t="s">
        <v>116</v>
      </c>
      <c r="D1525" t="s">
        <v>134</v>
      </c>
      <c r="E1525" t="s">
        <v>27</v>
      </c>
      <c r="F1525">
        <v>4.2</v>
      </c>
      <c r="G1525">
        <v>6200</v>
      </c>
      <c r="H1525">
        <v>6200</v>
      </c>
      <c r="I1525">
        <f>FlipkartTable[[#This Row],[Original Price]]-FlipkartTable[[#This Row],[Selling Price]]</f>
        <v>0</v>
      </c>
      <c r="J1525" s="4">
        <f>(FlipkartTable[[#This Row],[Original Price]]-FlipkartTable[[#This Row],[Selling Price]])/FlipkartTable[[#This Row],[Original Price]]</f>
        <v>0</v>
      </c>
      <c r="K1525">
        <f>(FlipkartTable[[#This Row],[Rating]]/FlipkartTable[[#This Row],[Selling Price]])*1000</f>
        <v>0.67741935483870974</v>
      </c>
      <c r="L1525" t="str">
        <f>IF(FlipkartTable[[#This Row],[Selling Price]]&lt;15000,"Budget",IF(FlipkartTable[[#This Row],[Selling Price]]&lt;50000,"Mid Range","Premium"))</f>
        <v>Budget</v>
      </c>
      <c r="M1525" t="str">
        <f>IF(FlipkartTable[[#This Row],[Rating]]&gt;4.5,"Excellent",IF(FlipkartTable[[#This Row],[Rating]]&gt;4,"Good",IF(FlipkartTable[[#This Row],[Rating]]&gt;3.5,"Average","Poor")))</f>
        <v>Good</v>
      </c>
    </row>
    <row r="1526" spans="1:13" x14ac:dyDescent="0.35">
      <c r="A1526" t="s">
        <v>663</v>
      </c>
      <c r="B1526" s="9" t="s">
        <v>782</v>
      </c>
      <c r="C1526" t="s">
        <v>783</v>
      </c>
      <c r="D1526" t="s">
        <v>14</v>
      </c>
      <c r="E1526" t="s">
        <v>15</v>
      </c>
      <c r="F1526">
        <v>4.0999999999999996</v>
      </c>
      <c r="G1526">
        <v>19999</v>
      </c>
      <c r="H1526">
        <v>19999</v>
      </c>
      <c r="I1526">
        <f>FlipkartTable[[#This Row],[Original Price]]-FlipkartTable[[#This Row],[Selling Price]]</f>
        <v>0</v>
      </c>
      <c r="J1526" s="4">
        <f>(FlipkartTable[[#This Row],[Original Price]]-FlipkartTable[[#This Row],[Selling Price]])/FlipkartTable[[#This Row],[Original Price]]</f>
        <v>0</v>
      </c>
      <c r="K1526">
        <f>(FlipkartTable[[#This Row],[Rating]]/FlipkartTable[[#This Row],[Selling Price]])*1000</f>
        <v>0.20501025051252561</v>
      </c>
      <c r="L1526" t="str">
        <f>IF(FlipkartTable[[#This Row],[Selling Price]]&lt;15000,"Budget",IF(FlipkartTable[[#This Row],[Selling Price]]&lt;50000,"Mid Range","Premium"))</f>
        <v>Mid Range</v>
      </c>
      <c r="M1526" t="str">
        <f>IF(FlipkartTable[[#This Row],[Rating]]&gt;4.5,"Excellent",IF(FlipkartTable[[#This Row],[Rating]]&gt;4,"Good",IF(FlipkartTable[[#This Row],[Rating]]&gt;3.5,"Average","Poor")))</f>
        <v>Good</v>
      </c>
    </row>
    <row r="1527" spans="1:13" x14ac:dyDescent="0.35">
      <c r="A1527" t="s">
        <v>663</v>
      </c>
      <c r="B1527" s="9" t="s">
        <v>784</v>
      </c>
      <c r="C1527" t="s">
        <v>152</v>
      </c>
      <c r="D1527" t="s">
        <v>134</v>
      </c>
      <c r="E1527" t="s">
        <v>27</v>
      </c>
      <c r="F1527">
        <v>4.0999999999999996</v>
      </c>
      <c r="G1527">
        <v>6799</v>
      </c>
      <c r="H1527">
        <v>6799</v>
      </c>
      <c r="I1527">
        <f>FlipkartTable[[#This Row],[Original Price]]-FlipkartTable[[#This Row],[Selling Price]]</f>
        <v>0</v>
      </c>
      <c r="J1527" s="4">
        <f>(FlipkartTable[[#This Row],[Original Price]]-FlipkartTable[[#This Row],[Selling Price]])/FlipkartTable[[#This Row],[Original Price]]</f>
        <v>0</v>
      </c>
      <c r="K1527">
        <f>(FlipkartTable[[#This Row],[Rating]]/FlipkartTable[[#This Row],[Selling Price]])*1000</f>
        <v>0.60302985733196057</v>
      </c>
      <c r="L1527" t="str">
        <f>IF(FlipkartTable[[#This Row],[Selling Price]]&lt;15000,"Budget",IF(FlipkartTable[[#This Row],[Selling Price]]&lt;50000,"Mid Range","Premium"))</f>
        <v>Budget</v>
      </c>
      <c r="M1527" t="str">
        <f>IF(FlipkartTable[[#This Row],[Rating]]&gt;4.5,"Excellent",IF(FlipkartTable[[#This Row],[Rating]]&gt;4,"Good",IF(FlipkartTable[[#This Row],[Rating]]&gt;3.5,"Average","Poor")))</f>
        <v>Good</v>
      </c>
    </row>
    <row r="1528" spans="1:13" x14ac:dyDescent="0.35">
      <c r="A1528" t="s">
        <v>663</v>
      </c>
      <c r="B1528" s="9" t="s">
        <v>785</v>
      </c>
      <c r="C1528" t="s">
        <v>152</v>
      </c>
      <c r="D1528" t="s">
        <v>14</v>
      </c>
      <c r="E1528" t="s">
        <v>12</v>
      </c>
      <c r="F1528">
        <v>4.4000000000000004</v>
      </c>
      <c r="G1528">
        <v>24000</v>
      </c>
      <c r="H1528">
        <v>24000</v>
      </c>
      <c r="I1528">
        <f>FlipkartTable[[#This Row],[Original Price]]-FlipkartTable[[#This Row],[Selling Price]]</f>
        <v>0</v>
      </c>
      <c r="J1528" s="4">
        <f>(FlipkartTable[[#This Row],[Original Price]]-FlipkartTable[[#This Row],[Selling Price]])/FlipkartTable[[#This Row],[Original Price]]</f>
        <v>0</v>
      </c>
      <c r="K1528">
        <f>(FlipkartTable[[#This Row],[Rating]]/FlipkartTable[[#This Row],[Selling Price]])*1000</f>
        <v>0.18333333333333335</v>
      </c>
      <c r="L1528" t="str">
        <f>IF(FlipkartTable[[#This Row],[Selling Price]]&lt;15000,"Budget",IF(FlipkartTable[[#This Row],[Selling Price]]&lt;50000,"Mid Range","Premium"))</f>
        <v>Mid Range</v>
      </c>
      <c r="M1528" t="str">
        <f>IF(FlipkartTable[[#This Row],[Rating]]&gt;4.5,"Excellent",IF(FlipkartTable[[#This Row],[Rating]]&gt;4,"Good",IF(FlipkartTable[[#This Row],[Rating]]&gt;3.5,"Average","Poor")))</f>
        <v>Good</v>
      </c>
    </row>
    <row r="1529" spans="1:13" x14ac:dyDescent="0.35">
      <c r="A1529" t="s">
        <v>663</v>
      </c>
      <c r="B1529" s="9" t="s">
        <v>786</v>
      </c>
      <c r="C1529" t="s">
        <v>19</v>
      </c>
      <c r="D1529" t="s">
        <v>554</v>
      </c>
      <c r="E1529" t="s">
        <v>539</v>
      </c>
      <c r="F1529">
        <v>4</v>
      </c>
      <c r="G1529">
        <v>3000</v>
      </c>
      <c r="H1529">
        <v>3000</v>
      </c>
      <c r="I1529">
        <f>FlipkartTable[[#This Row],[Original Price]]-FlipkartTable[[#This Row],[Selling Price]]</f>
        <v>0</v>
      </c>
      <c r="J1529" s="4">
        <f>(FlipkartTable[[#This Row],[Original Price]]-FlipkartTable[[#This Row],[Selling Price]])/FlipkartTable[[#This Row],[Original Price]]</f>
        <v>0</v>
      </c>
      <c r="K1529">
        <f>(FlipkartTable[[#This Row],[Rating]]/FlipkartTable[[#This Row],[Selling Price]])*1000</f>
        <v>1.3333333333333333</v>
      </c>
      <c r="L1529" t="str">
        <f>IF(FlipkartTable[[#This Row],[Selling Price]]&lt;15000,"Budget",IF(FlipkartTable[[#This Row],[Selling Price]]&lt;50000,"Mid Range","Premium"))</f>
        <v>Budget</v>
      </c>
      <c r="M1529" t="str">
        <f>IF(FlipkartTable[[#This Row],[Rating]]&gt;4.5,"Excellent",IF(FlipkartTable[[#This Row],[Rating]]&gt;4,"Good",IF(FlipkartTable[[#This Row],[Rating]]&gt;3.5,"Average","Poor")))</f>
        <v>Average</v>
      </c>
    </row>
    <row r="1530" spans="1:13" x14ac:dyDescent="0.35">
      <c r="A1530" t="s">
        <v>663</v>
      </c>
      <c r="B1530" s="9" t="s">
        <v>785</v>
      </c>
      <c r="C1530" t="s">
        <v>22</v>
      </c>
      <c r="D1530" t="s">
        <v>14</v>
      </c>
      <c r="E1530" t="s">
        <v>12</v>
      </c>
      <c r="F1530">
        <v>4.4000000000000004</v>
      </c>
      <c r="G1530">
        <v>21990</v>
      </c>
      <c r="H1530">
        <v>21990</v>
      </c>
      <c r="I1530">
        <f>FlipkartTable[[#This Row],[Original Price]]-FlipkartTable[[#This Row],[Selling Price]]</f>
        <v>0</v>
      </c>
      <c r="J1530" s="4">
        <f>(FlipkartTable[[#This Row],[Original Price]]-FlipkartTable[[#This Row],[Selling Price]])/FlipkartTable[[#This Row],[Original Price]]</f>
        <v>0</v>
      </c>
      <c r="K1530">
        <f>(FlipkartTable[[#This Row],[Rating]]/FlipkartTable[[#This Row],[Selling Price]])*1000</f>
        <v>0.20009095043201458</v>
      </c>
      <c r="L1530" t="str">
        <f>IF(FlipkartTable[[#This Row],[Selling Price]]&lt;15000,"Budget",IF(FlipkartTable[[#This Row],[Selling Price]]&lt;50000,"Mid Range","Premium"))</f>
        <v>Mid Range</v>
      </c>
      <c r="M1530" t="str">
        <f>IF(FlipkartTable[[#This Row],[Rating]]&gt;4.5,"Excellent",IF(FlipkartTable[[#This Row],[Rating]]&gt;4,"Good",IF(FlipkartTable[[#This Row],[Rating]]&gt;3.5,"Average","Poor")))</f>
        <v>Good</v>
      </c>
    </row>
    <row r="1531" spans="1:13" x14ac:dyDescent="0.35">
      <c r="A1531" t="s">
        <v>663</v>
      </c>
      <c r="B1531" s="9" t="s">
        <v>787</v>
      </c>
      <c r="C1531" t="s">
        <v>788</v>
      </c>
      <c r="D1531" t="s">
        <v>134</v>
      </c>
      <c r="E1531" t="s">
        <v>27</v>
      </c>
      <c r="F1531">
        <v>4.2</v>
      </c>
      <c r="G1531">
        <v>6000</v>
      </c>
      <c r="H1531">
        <v>6000</v>
      </c>
      <c r="I1531">
        <f>FlipkartTable[[#This Row],[Original Price]]-FlipkartTable[[#This Row],[Selling Price]]</f>
        <v>0</v>
      </c>
      <c r="J1531" s="4">
        <f>(FlipkartTable[[#This Row],[Original Price]]-FlipkartTable[[#This Row],[Selling Price]])/FlipkartTable[[#This Row],[Original Price]]</f>
        <v>0</v>
      </c>
      <c r="K1531">
        <f>(FlipkartTable[[#This Row],[Rating]]/FlipkartTable[[#This Row],[Selling Price]])*1000</f>
        <v>0.7</v>
      </c>
      <c r="L1531" t="str">
        <f>IF(FlipkartTable[[#This Row],[Selling Price]]&lt;15000,"Budget",IF(FlipkartTable[[#This Row],[Selling Price]]&lt;50000,"Mid Range","Premium"))</f>
        <v>Budget</v>
      </c>
      <c r="M1531" t="str">
        <f>IF(FlipkartTable[[#This Row],[Rating]]&gt;4.5,"Excellent",IF(FlipkartTable[[#This Row],[Rating]]&gt;4,"Good",IF(FlipkartTable[[#This Row],[Rating]]&gt;3.5,"Average","Poor")))</f>
        <v>Good</v>
      </c>
    </row>
    <row r="1532" spans="1:13" x14ac:dyDescent="0.35">
      <c r="A1532" t="s">
        <v>663</v>
      </c>
      <c r="B1532" s="9" t="s">
        <v>766</v>
      </c>
      <c r="C1532" t="s">
        <v>116</v>
      </c>
      <c r="D1532" t="s">
        <v>35</v>
      </c>
      <c r="E1532" t="s">
        <v>124</v>
      </c>
      <c r="F1532">
        <v>4.4000000000000004</v>
      </c>
      <c r="G1532">
        <v>10995</v>
      </c>
      <c r="H1532">
        <v>10995</v>
      </c>
      <c r="I1532">
        <f>FlipkartTable[[#This Row],[Original Price]]-FlipkartTable[[#This Row],[Selling Price]]</f>
        <v>0</v>
      </c>
      <c r="J1532" s="4">
        <f>(FlipkartTable[[#This Row],[Original Price]]-FlipkartTable[[#This Row],[Selling Price]])/FlipkartTable[[#This Row],[Original Price]]</f>
        <v>0</v>
      </c>
      <c r="K1532">
        <f>(FlipkartTable[[#This Row],[Rating]]/FlipkartTable[[#This Row],[Selling Price]])*1000</f>
        <v>0.40018190086402916</v>
      </c>
      <c r="L1532" t="str">
        <f>IF(FlipkartTable[[#This Row],[Selling Price]]&lt;15000,"Budget",IF(FlipkartTable[[#This Row],[Selling Price]]&lt;50000,"Mid Range","Premium"))</f>
        <v>Budget</v>
      </c>
      <c r="M1532" t="str">
        <f>IF(FlipkartTable[[#This Row],[Rating]]&gt;4.5,"Excellent",IF(FlipkartTable[[#This Row],[Rating]]&gt;4,"Good",IF(FlipkartTable[[#This Row],[Rating]]&gt;3.5,"Average","Poor")))</f>
        <v>Good</v>
      </c>
    </row>
    <row r="1533" spans="1:13" x14ac:dyDescent="0.35">
      <c r="A1533" t="s">
        <v>663</v>
      </c>
      <c r="B1533" s="9" t="s">
        <v>789</v>
      </c>
      <c r="C1533" t="s">
        <v>116</v>
      </c>
      <c r="D1533" t="s">
        <v>284</v>
      </c>
      <c r="E1533" t="s">
        <v>27</v>
      </c>
      <c r="F1533">
        <v>4.0999999999999996</v>
      </c>
      <c r="G1533">
        <v>15999</v>
      </c>
      <c r="H1533">
        <v>16740</v>
      </c>
      <c r="I1533">
        <f>FlipkartTable[[#This Row],[Original Price]]-FlipkartTable[[#This Row],[Selling Price]]</f>
        <v>741</v>
      </c>
      <c r="J1533" s="4">
        <f>(FlipkartTable[[#This Row],[Original Price]]-FlipkartTable[[#This Row],[Selling Price]])/FlipkartTable[[#This Row],[Original Price]]</f>
        <v>4.4265232974910397E-2</v>
      </c>
      <c r="K1533">
        <f>(FlipkartTable[[#This Row],[Rating]]/FlipkartTable[[#This Row],[Selling Price]])*1000</f>
        <v>0.25626601662603909</v>
      </c>
      <c r="L1533" t="str">
        <f>IF(FlipkartTable[[#This Row],[Selling Price]]&lt;15000,"Budget",IF(FlipkartTable[[#This Row],[Selling Price]]&lt;50000,"Mid Range","Premium"))</f>
        <v>Mid Range</v>
      </c>
      <c r="M1533" t="str">
        <f>IF(FlipkartTable[[#This Row],[Rating]]&gt;4.5,"Excellent",IF(FlipkartTable[[#This Row],[Rating]]&gt;4,"Good",IF(FlipkartTable[[#This Row],[Rating]]&gt;3.5,"Average","Poor")))</f>
        <v>Good</v>
      </c>
    </row>
    <row r="1534" spans="1:13" x14ac:dyDescent="0.35">
      <c r="A1534" t="s">
        <v>663</v>
      </c>
      <c r="B1534" s="9" t="s">
        <v>780</v>
      </c>
      <c r="C1534" t="s">
        <v>84</v>
      </c>
      <c r="D1534" t="s">
        <v>35</v>
      </c>
      <c r="E1534" t="s">
        <v>21</v>
      </c>
      <c r="F1534">
        <v>4.3</v>
      </c>
      <c r="G1534">
        <v>8700</v>
      </c>
      <c r="H1534">
        <v>8700</v>
      </c>
      <c r="I1534">
        <f>FlipkartTable[[#This Row],[Original Price]]-FlipkartTable[[#This Row],[Selling Price]]</f>
        <v>0</v>
      </c>
      <c r="J1534" s="4">
        <f>(FlipkartTable[[#This Row],[Original Price]]-FlipkartTable[[#This Row],[Selling Price]])/FlipkartTable[[#This Row],[Original Price]]</f>
        <v>0</v>
      </c>
      <c r="K1534">
        <f>(FlipkartTable[[#This Row],[Rating]]/FlipkartTable[[#This Row],[Selling Price]])*1000</f>
        <v>0.49425287356321834</v>
      </c>
      <c r="L1534" t="str">
        <f>IF(FlipkartTable[[#This Row],[Selling Price]]&lt;15000,"Budget",IF(FlipkartTable[[#This Row],[Selling Price]]&lt;50000,"Mid Range","Premium"))</f>
        <v>Budget</v>
      </c>
      <c r="M1534" t="str">
        <f>IF(FlipkartTable[[#This Row],[Rating]]&gt;4.5,"Excellent",IF(FlipkartTable[[#This Row],[Rating]]&gt;4,"Good",IF(FlipkartTable[[#This Row],[Rating]]&gt;3.5,"Average","Poor")))</f>
        <v>Good</v>
      </c>
    </row>
    <row r="1535" spans="1:13" x14ac:dyDescent="0.35">
      <c r="A1535" t="s">
        <v>663</v>
      </c>
      <c r="B1535" s="9" t="s">
        <v>790</v>
      </c>
      <c r="C1535" t="s">
        <v>791</v>
      </c>
      <c r="D1535" t="s">
        <v>27</v>
      </c>
      <c r="E1535" t="s">
        <v>338</v>
      </c>
      <c r="F1535">
        <v>4.5999999999999996</v>
      </c>
      <c r="G1535">
        <v>91900</v>
      </c>
      <c r="H1535">
        <v>91900</v>
      </c>
      <c r="I1535">
        <f>FlipkartTable[[#This Row],[Original Price]]-FlipkartTable[[#This Row],[Selling Price]]</f>
        <v>0</v>
      </c>
      <c r="J1535" s="4">
        <f>(FlipkartTable[[#This Row],[Original Price]]-FlipkartTable[[#This Row],[Selling Price]])/FlipkartTable[[#This Row],[Original Price]]</f>
        <v>0</v>
      </c>
      <c r="K1535">
        <f>(FlipkartTable[[#This Row],[Rating]]/FlipkartTable[[#This Row],[Selling Price]])*1000</f>
        <v>5.00544069640914E-2</v>
      </c>
      <c r="L1535" t="str">
        <f>IF(FlipkartTable[[#This Row],[Selling Price]]&lt;15000,"Budget",IF(FlipkartTable[[#This Row],[Selling Price]]&lt;50000,"Mid Range","Premium"))</f>
        <v>Premium</v>
      </c>
      <c r="M1535" t="str">
        <f>IF(FlipkartTable[[#This Row],[Rating]]&gt;4.5,"Excellent",IF(FlipkartTable[[#This Row],[Rating]]&gt;4,"Good",IF(FlipkartTable[[#This Row],[Rating]]&gt;3.5,"Average","Poor")))</f>
        <v>Excellent</v>
      </c>
    </row>
    <row r="1536" spans="1:13" x14ac:dyDescent="0.35">
      <c r="A1536" t="s">
        <v>663</v>
      </c>
      <c r="B1536" s="9" t="s">
        <v>792</v>
      </c>
      <c r="C1536" t="s">
        <v>116</v>
      </c>
      <c r="D1536" t="s">
        <v>20</v>
      </c>
      <c r="E1536" t="s">
        <v>21</v>
      </c>
      <c r="F1536">
        <v>4.2</v>
      </c>
      <c r="G1536">
        <v>10990</v>
      </c>
      <c r="H1536">
        <v>10990</v>
      </c>
      <c r="I1536">
        <f>FlipkartTable[[#This Row],[Original Price]]-FlipkartTable[[#This Row],[Selling Price]]</f>
        <v>0</v>
      </c>
      <c r="J1536" s="4">
        <f>(FlipkartTable[[#This Row],[Original Price]]-FlipkartTable[[#This Row],[Selling Price]])/FlipkartTable[[#This Row],[Original Price]]</f>
        <v>0</v>
      </c>
      <c r="K1536">
        <f>(FlipkartTable[[#This Row],[Rating]]/FlipkartTable[[#This Row],[Selling Price]])*1000</f>
        <v>0.38216560509554137</v>
      </c>
      <c r="L1536" t="str">
        <f>IF(FlipkartTable[[#This Row],[Selling Price]]&lt;15000,"Budget",IF(FlipkartTable[[#This Row],[Selling Price]]&lt;50000,"Mid Range","Premium"))</f>
        <v>Budget</v>
      </c>
      <c r="M1536" t="str">
        <f>IF(FlipkartTable[[#This Row],[Rating]]&gt;4.5,"Excellent",IF(FlipkartTable[[#This Row],[Rating]]&gt;4,"Good",IF(FlipkartTable[[#This Row],[Rating]]&gt;3.5,"Average","Poor")))</f>
        <v>Good</v>
      </c>
    </row>
    <row r="1537" spans="1:13" x14ac:dyDescent="0.35">
      <c r="A1537" t="s">
        <v>663</v>
      </c>
      <c r="B1537" s="9" t="s">
        <v>740</v>
      </c>
      <c r="C1537" t="s">
        <v>22</v>
      </c>
      <c r="D1537" t="s">
        <v>11</v>
      </c>
      <c r="E1537" t="s">
        <v>12</v>
      </c>
      <c r="F1537">
        <v>4.3</v>
      </c>
      <c r="G1537">
        <v>16990</v>
      </c>
      <c r="H1537">
        <v>16990</v>
      </c>
      <c r="I1537">
        <f>FlipkartTable[[#This Row],[Original Price]]-FlipkartTable[[#This Row],[Selling Price]]</f>
        <v>0</v>
      </c>
      <c r="J1537" s="4">
        <f>(FlipkartTable[[#This Row],[Original Price]]-FlipkartTable[[#This Row],[Selling Price]])/FlipkartTable[[#This Row],[Original Price]]</f>
        <v>0</v>
      </c>
      <c r="K1537">
        <f>(FlipkartTable[[#This Row],[Rating]]/FlipkartTable[[#This Row],[Selling Price]])*1000</f>
        <v>0.25309005297233667</v>
      </c>
      <c r="L1537" t="str">
        <f>IF(FlipkartTable[[#This Row],[Selling Price]]&lt;15000,"Budget",IF(FlipkartTable[[#This Row],[Selling Price]]&lt;50000,"Mid Range","Premium"))</f>
        <v>Mid Range</v>
      </c>
      <c r="M1537" t="str">
        <f>IF(FlipkartTable[[#This Row],[Rating]]&gt;4.5,"Excellent",IF(FlipkartTable[[#This Row],[Rating]]&gt;4,"Good",IF(FlipkartTable[[#This Row],[Rating]]&gt;3.5,"Average","Poor")))</f>
        <v>Good</v>
      </c>
    </row>
    <row r="1538" spans="1:13" x14ac:dyDescent="0.35">
      <c r="A1538" t="s">
        <v>663</v>
      </c>
      <c r="B1538" s="9" t="s">
        <v>793</v>
      </c>
      <c r="C1538" t="s">
        <v>22</v>
      </c>
      <c r="D1538" t="s">
        <v>11</v>
      </c>
      <c r="E1538" t="s">
        <v>12</v>
      </c>
      <c r="F1538">
        <v>4.4000000000000004</v>
      </c>
      <c r="G1538">
        <v>18000</v>
      </c>
      <c r="H1538">
        <v>18000</v>
      </c>
      <c r="I1538">
        <f>FlipkartTable[[#This Row],[Original Price]]-FlipkartTable[[#This Row],[Selling Price]]</f>
        <v>0</v>
      </c>
      <c r="J1538" s="4">
        <f>(FlipkartTable[[#This Row],[Original Price]]-FlipkartTable[[#This Row],[Selling Price]])/FlipkartTable[[#This Row],[Original Price]]</f>
        <v>0</v>
      </c>
      <c r="K1538">
        <f>(FlipkartTable[[#This Row],[Rating]]/FlipkartTable[[#This Row],[Selling Price]])*1000</f>
        <v>0.24444444444444449</v>
      </c>
      <c r="L1538" t="str">
        <f>IF(FlipkartTable[[#This Row],[Selling Price]]&lt;15000,"Budget",IF(FlipkartTable[[#This Row],[Selling Price]]&lt;50000,"Mid Range","Premium"))</f>
        <v>Mid Range</v>
      </c>
      <c r="M1538" t="str">
        <f>IF(FlipkartTable[[#This Row],[Rating]]&gt;4.5,"Excellent",IF(FlipkartTable[[#This Row],[Rating]]&gt;4,"Good",IF(FlipkartTable[[#This Row],[Rating]]&gt;3.5,"Average","Poor")))</f>
        <v>Good</v>
      </c>
    </row>
    <row r="1539" spans="1:13" x14ac:dyDescent="0.35">
      <c r="A1539" t="s">
        <v>663</v>
      </c>
      <c r="B1539" s="9" t="s">
        <v>792</v>
      </c>
      <c r="C1539" t="s">
        <v>22</v>
      </c>
      <c r="D1539" t="s">
        <v>20</v>
      </c>
      <c r="E1539" t="s">
        <v>21</v>
      </c>
      <c r="F1539">
        <v>4.2</v>
      </c>
      <c r="G1539">
        <v>13023</v>
      </c>
      <c r="H1539">
        <v>13023</v>
      </c>
      <c r="I1539">
        <f>FlipkartTable[[#This Row],[Original Price]]-FlipkartTable[[#This Row],[Selling Price]]</f>
        <v>0</v>
      </c>
      <c r="J1539" s="4">
        <f>(FlipkartTable[[#This Row],[Original Price]]-FlipkartTable[[#This Row],[Selling Price]])/FlipkartTable[[#This Row],[Original Price]]</f>
        <v>0</v>
      </c>
      <c r="K1539">
        <f>(FlipkartTable[[#This Row],[Rating]]/FlipkartTable[[#This Row],[Selling Price]])*1000</f>
        <v>0.322506334945865</v>
      </c>
      <c r="L1539" t="str">
        <f>IF(FlipkartTable[[#This Row],[Selling Price]]&lt;15000,"Budget",IF(FlipkartTable[[#This Row],[Selling Price]]&lt;50000,"Mid Range","Premium"))</f>
        <v>Budget</v>
      </c>
      <c r="M1539" t="str">
        <f>IF(FlipkartTable[[#This Row],[Rating]]&gt;4.5,"Excellent",IF(FlipkartTable[[#This Row],[Rating]]&gt;4,"Good",IF(FlipkartTable[[#This Row],[Rating]]&gt;3.5,"Average","Poor")))</f>
        <v>Good</v>
      </c>
    </row>
    <row r="1540" spans="1:13" x14ac:dyDescent="0.35">
      <c r="A1540" t="s">
        <v>663</v>
      </c>
      <c r="B1540" s="9" t="s">
        <v>794</v>
      </c>
      <c r="C1540" t="s">
        <v>673</v>
      </c>
      <c r="D1540" t="s">
        <v>27</v>
      </c>
      <c r="E1540" t="s">
        <v>15</v>
      </c>
      <c r="F1540">
        <v>4.4000000000000004</v>
      </c>
      <c r="G1540">
        <v>27999</v>
      </c>
      <c r="H1540">
        <v>27999</v>
      </c>
      <c r="I1540">
        <f>FlipkartTable[[#This Row],[Original Price]]-FlipkartTable[[#This Row],[Selling Price]]</f>
        <v>0</v>
      </c>
      <c r="J1540" s="4">
        <f>(FlipkartTable[[#This Row],[Original Price]]-FlipkartTable[[#This Row],[Selling Price]])/FlipkartTable[[#This Row],[Original Price]]</f>
        <v>0</v>
      </c>
      <c r="K1540">
        <f>(FlipkartTable[[#This Row],[Rating]]/FlipkartTable[[#This Row],[Selling Price]])*1000</f>
        <v>0.15714846958819959</v>
      </c>
      <c r="L1540" t="str">
        <f>IF(FlipkartTable[[#This Row],[Selling Price]]&lt;15000,"Budget",IF(FlipkartTable[[#This Row],[Selling Price]]&lt;50000,"Mid Range","Premium"))</f>
        <v>Mid Range</v>
      </c>
      <c r="M1540" t="str">
        <f>IF(FlipkartTable[[#This Row],[Rating]]&gt;4.5,"Excellent",IF(FlipkartTable[[#This Row],[Rating]]&gt;4,"Good",IF(FlipkartTable[[#This Row],[Rating]]&gt;3.5,"Average","Poor")))</f>
        <v>Good</v>
      </c>
    </row>
    <row r="1541" spans="1:13" x14ac:dyDescent="0.35">
      <c r="A1541" t="s">
        <v>663</v>
      </c>
      <c r="B1541" s="9" t="s">
        <v>740</v>
      </c>
      <c r="C1541" t="s">
        <v>19</v>
      </c>
      <c r="D1541" t="s">
        <v>11</v>
      </c>
      <c r="E1541" t="s">
        <v>12</v>
      </c>
      <c r="F1541">
        <v>4.3</v>
      </c>
      <c r="G1541">
        <v>23748</v>
      </c>
      <c r="H1541">
        <v>23748</v>
      </c>
      <c r="I1541">
        <f>FlipkartTable[[#This Row],[Original Price]]-FlipkartTable[[#This Row],[Selling Price]]</f>
        <v>0</v>
      </c>
      <c r="J1541" s="4">
        <f>(FlipkartTable[[#This Row],[Original Price]]-FlipkartTable[[#This Row],[Selling Price]])/FlipkartTable[[#This Row],[Original Price]]</f>
        <v>0</v>
      </c>
      <c r="K1541">
        <f>(FlipkartTable[[#This Row],[Rating]]/FlipkartTable[[#This Row],[Selling Price]])*1000</f>
        <v>0.18106787940037053</v>
      </c>
      <c r="L1541" t="str">
        <f>IF(FlipkartTable[[#This Row],[Selling Price]]&lt;15000,"Budget",IF(FlipkartTable[[#This Row],[Selling Price]]&lt;50000,"Mid Range","Premium"))</f>
        <v>Mid Range</v>
      </c>
      <c r="M1541" t="str">
        <f>IF(FlipkartTable[[#This Row],[Rating]]&gt;4.5,"Excellent",IF(FlipkartTable[[#This Row],[Rating]]&gt;4,"Good",IF(FlipkartTable[[#This Row],[Rating]]&gt;3.5,"Average","Poor")))</f>
        <v>Good</v>
      </c>
    </row>
    <row r="1542" spans="1:13" x14ac:dyDescent="0.35">
      <c r="A1542" t="s">
        <v>663</v>
      </c>
      <c r="B1542" s="9" t="s">
        <v>765</v>
      </c>
      <c r="C1542" t="s">
        <v>296</v>
      </c>
      <c r="D1542" t="s">
        <v>35</v>
      </c>
      <c r="E1542" t="s">
        <v>124</v>
      </c>
      <c r="F1542">
        <v>4.3</v>
      </c>
      <c r="G1542">
        <v>6799</v>
      </c>
      <c r="H1542">
        <v>6799</v>
      </c>
      <c r="I1542">
        <f>FlipkartTable[[#This Row],[Original Price]]-FlipkartTable[[#This Row],[Selling Price]]</f>
        <v>0</v>
      </c>
      <c r="J1542" s="4">
        <f>(FlipkartTable[[#This Row],[Original Price]]-FlipkartTable[[#This Row],[Selling Price]])/FlipkartTable[[#This Row],[Original Price]]</f>
        <v>0</v>
      </c>
      <c r="K1542">
        <f>(FlipkartTable[[#This Row],[Rating]]/FlipkartTable[[#This Row],[Selling Price]])*1000</f>
        <v>0.6324459479335196</v>
      </c>
      <c r="L1542" t="str">
        <f>IF(FlipkartTable[[#This Row],[Selling Price]]&lt;15000,"Budget",IF(FlipkartTable[[#This Row],[Selling Price]]&lt;50000,"Mid Range","Premium"))</f>
        <v>Budget</v>
      </c>
      <c r="M1542" t="str">
        <f>IF(FlipkartTable[[#This Row],[Rating]]&gt;4.5,"Excellent",IF(FlipkartTable[[#This Row],[Rating]]&gt;4,"Good",IF(FlipkartTable[[#This Row],[Rating]]&gt;3.5,"Average","Poor")))</f>
        <v>Good</v>
      </c>
    </row>
    <row r="1543" spans="1:13" x14ac:dyDescent="0.35">
      <c r="A1543" t="s">
        <v>663</v>
      </c>
      <c r="B1543" s="9" t="s">
        <v>780</v>
      </c>
      <c r="C1543" t="s">
        <v>22</v>
      </c>
      <c r="D1543" t="s">
        <v>35</v>
      </c>
      <c r="E1543" t="s">
        <v>21</v>
      </c>
      <c r="F1543">
        <v>4.3</v>
      </c>
      <c r="G1543">
        <v>7990</v>
      </c>
      <c r="H1543">
        <v>8700</v>
      </c>
      <c r="I1543">
        <f>FlipkartTable[[#This Row],[Original Price]]-FlipkartTable[[#This Row],[Selling Price]]</f>
        <v>710</v>
      </c>
      <c r="J1543" s="4">
        <f>(FlipkartTable[[#This Row],[Original Price]]-FlipkartTable[[#This Row],[Selling Price]])/FlipkartTable[[#This Row],[Original Price]]</f>
        <v>8.1609195402298856E-2</v>
      </c>
      <c r="K1543">
        <f>(FlipkartTable[[#This Row],[Rating]]/FlipkartTable[[#This Row],[Selling Price]])*1000</f>
        <v>0.53817271589486848</v>
      </c>
      <c r="L1543" t="str">
        <f>IF(FlipkartTable[[#This Row],[Selling Price]]&lt;15000,"Budget",IF(FlipkartTable[[#This Row],[Selling Price]]&lt;50000,"Mid Range","Premium"))</f>
        <v>Budget</v>
      </c>
      <c r="M1543" t="str">
        <f>IF(FlipkartTable[[#This Row],[Rating]]&gt;4.5,"Excellent",IF(FlipkartTable[[#This Row],[Rating]]&gt;4,"Good",IF(FlipkartTable[[#This Row],[Rating]]&gt;3.5,"Average","Poor")))</f>
        <v>Good</v>
      </c>
    </row>
    <row r="1544" spans="1:13" x14ac:dyDescent="0.35">
      <c r="A1544" t="s">
        <v>663</v>
      </c>
      <c r="B1544" s="9" t="s">
        <v>790</v>
      </c>
      <c r="C1544" t="s">
        <v>795</v>
      </c>
      <c r="D1544" t="s">
        <v>63</v>
      </c>
      <c r="E1544" t="s">
        <v>653</v>
      </c>
      <c r="F1544">
        <v>4.5</v>
      </c>
      <c r="G1544">
        <v>117990</v>
      </c>
      <c r="H1544">
        <v>117990</v>
      </c>
      <c r="I1544">
        <f>FlipkartTable[[#This Row],[Original Price]]-FlipkartTable[[#This Row],[Selling Price]]</f>
        <v>0</v>
      </c>
      <c r="J1544" s="4">
        <f>(FlipkartTable[[#This Row],[Original Price]]-FlipkartTable[[#This Row],[Selling Price]])/FlipkartTable[[#This Row],[Original Price]]</f>
        <v>0</v>
      </c>
      <c r="K1544">
        <f>(FlipkartTable[[#This Row],[Rating]]/FlipkartTable[[#This Row],[Selling Price]])*1000</f>
        <v>3.8138825324180017E-2</v>
      </c>
      <c r="L1544" t="str">
        <f>IF(FlipkartTable[[#This Row],[Selling Price]]&lt;15000,"Budget",IF(FlipkartTable[[#This Row],[Selling Price]]&lt;50000,"Mid Range","Premium"))</f>
        <v>Premium</v>
      </c>
      <c r="M1544" t="str">
        <f>IF(FlipkartTable[[#This Row],[Rating]]&gt;4.5,"Excellent",IF(FlipkartTable[[#This Row],[Rating]]&gt;4,"Good",IF(FlipkartTable[[#This Row],[Rating]]&gt;3.5,"Average","Poor")))</f>
        <v>Good</v>
      </c>
    </row>
    <row r="1545" spans="1:13" x14ac:dyDescent="0.35">
      <c r="A1545" t="s">
        <v>663</v>
      </c>
      <c r="B1545" s="9" t="s">
        <v>792</v>
      </c>
      <c r="C1545" t="s">
        <v>116</v>
      </c>
      <c r="D1545" t="s">
        <v>35</v>
      </c>
      <c r="E1545" t="s">
        <v>124</v>
      </c>
      <c r="F1545">
        <v>4.3</v>
      </c>
      <c r="G1545">
        <v>9500</v>
      </c>
      <c r="H1545">
        <v>9500</v>
      </c>
      <c r="I1545">
        <f>FlipkartTable[[#This Row],[Original Price]]-FlipkartTable[[#This Row],[Selling Price]]</f>
        <v>0</v>
      </c>
      <c r="J1545" s="4">
        <f>(FlipkartTable[[#This Row],[Original Price]]-FlipkartTable[[#This Row],[Selling Price]])/FlipkartTable[[#This Row],[Original Price]]</f>
        <v>0</v>
      </c>
      <c r="K1545">
        <f>(FlipkartTable[[#This Row],[Rating]]/FlipkartTable[[#This Row],[Selling Price]])*1000</f>
        <v>0.45263157894736838</v>
      </c>
      <c r="L1545" t="str">
        <f>IF(FlipkartTable[[#This Row],[Selling Price]]&lt;15000,"Budget",IF(FlipkartTable[[#This Row],[Selling Price]]&lt;50000,"Mid Range","Premium"))</f>
        <v>Budget</v>
      </c>
      <c r="M1545" t="str">
        <f>IF(FlipkartTable[[#This Row],[Rating]]&gt;4.5,"Excellent",IF(FlipkartTable[[#This Row],[Rating]]&gt;4,"Good",IF(FlipkartTable[[#This Row],[Rating]]&gt;3.5,"Average","Poor")))</f>
        <v>Good</v>
      </c>
    </row>
    <row r="1546" spans="1:13" x14ac:dyDescent="0.35">
      <c r="A1546" t="s">
        <v>663</v>
      </c>
      <c r="B1546" s="9" t="s">
        <v>796</v>
      </c>
      <c r="C1546" t="s">
        <v>116</v>
      </c>
      <c r="D1546" t="s">
        <v>35</v>
      </c>
      <c r="E1546" t="s">
        <v>124</v>
      </c>
      <c r="F1546">
        <v>4</v>
      </c>
      <c r="G1546">
        <v>14500</v>
      </c>
      <c r="H1546">
        <v>14500</v>
      </c>
      <c r="I1546">
        <f>FlipkartTable[[#This Row],[Original Price]]-FlipkartTable[[#This Row],[Selling Price]]</f>
        <v>0</v>
      </c>
      <c r="J1546" s="4">
        <f>(FlipkartTable[[#This Row],[Original Price]]-FlipkartTable[[#This Row],[Selling Price]])/FlipkartTable[[#This Row],[Original Price]]</f>
        <v>0</v>
      </c>
      <c r="K1546">
        <f>(FlipkartTable[[#This Row],[Rating]]/FlipkartTable[[#This Row],[Selling Price]])*1000</f>
        <v>0.27586206896551724</v>
      </c>
      <c r="L1546" t="str">
        <f>IF(FlipkartTable[[#This Row],[Selling Price]]&lt;15000,"Budget",IF(FlipkartTable[[#This Row],[Selling Price]]&lt;50000,"Mid Range","Premium"))</f>
        <v>Budget</v>
      </c>
      <c r="M1546" t="str">
        <f>IF(FlipkartTable[[#This Row],[Rating]]&gt;4.5,"Excellent",IF(FlipkartTable[[#This Row],[Rating]]&gt;4,"Good",IF(FlipkartTable[[#This Row],[Rating]]&gt;3.5,"Average","Poor")))</f>
        <v>Average</v>
      </c>
    </row>
    <row r="1547" spans="1:13" x14ac:dyDescent="0.35">
      <c r="A1547" t="s">
        <v>663</v>
      </c>
      <c r="B1547" s="9" t="s">
        <v>771</v>
      </c>
      <c r="C1547" t="s">
        <v>116</v>
      </c>
      <c r="D1547" t="s">
        <v>11</v>
      </c>
      <c r="E1547" t="s">
        <v>21</v>
      </c>
      <c r="F1547">
        <v>4.3</v>
      </c>
      <c r="G1547">
        <v>17889</v>
      </c>
      <c r="H1547">
        <v>17889</v>
      </c>
      <c r="I1547">
        <f>FlipkartTable[[#This Row],[Original Price]]-FlipkartTable[[#This Row],[Selling Price]]</f>
        <v>0</v>
      </c>
      <c r="J1547" s="4">
        <f>(FlipkartTable[[#This Row],[Original Price]]-FlipkartTable[[#This Row],[Selling Price]])/FlipkartTable[[#This Row],[Original Price]]</f>
        <v>0</v>
      </c>
      <c r="K1547">
        <f>(FlipkartTable[[#This Row],[Rating]]/FlipkartTable[[#This Row],[Selling Price]])*1000</f>
        <v>0.24037117781877132</v>
      </c>
      <c r="L1547" t="str">
        <f>IF(FlipkartTable[[#This Row],[Selling Price]]&lt;15000,"Budget",IF(FlipkartTable[[#This Row],[Selling Price]]&lt;50000,"Mid Range","Premium"))</f>
        <v>Mid Range</v>
      </c>
      <c r="M1547" t="str">
        <f>IF(FlipkartTable[[#This Row],[Rating]]&gt;4.5,"Excellent",IF(FlipkartTable[[#This Row],[Rating]]&gt;4,"Good",IF(FlipkartTable[[#This Row],[Rating]]&gt;3.5,"Average","Poor")))</f>
        <v>Good</v>
      </c>
    </row>
    <row r="1548" spans="1:13" x14ac:dyDescent="0.35">
      <c r="A1548" t="s">
        <v>663</v>
      </c>
      <c r="B1548" s="9" t="s">
        <v>690</v>
      </c>
      <c r="C1548" t="s">
        <v>19</v>
      </c>
      <c r="D1548" t="s">
        <v>20</v>
      </c>
      <c r="E1548" t="s">
        <v>21</v>
      </c>
      <c r="F1548">
        <v>4.2</v>
      </c>
      <c r="G1548">
        <v>8780</v>
      </c>
      <c r="H1548">
        <v>8780</v>
      </c>
      <c r="I1548">
        <f>FlipkartTable[[#This Row],[Original Price]]-FlipkartTable[[#This Row],[Selling Price]]</f>
        <v>0</v>
      </c>
      <c r="J1548" s="4">
        <f>(FlipkartTable[[#This Row],[Original Price]]-FlipkartTable[[#This Row],[Selling Price]])/FlipkartTable[[#This Row],[Original Price]]</f>
        <v>0</v>
      </c>
      <c r="K1548">
        <f>(FlipkartTable[[#This Row],[Rating]]/FlipkartTable[[#This Row],[Selling Price]])*1000</f>
        <v>0.4783599088838269</v>
      </c>
      <c r="L1548" t="str">
        <f>IF(FlipkartTable[[#This Row],[Selling Price]]&lt;15000,"Budget",IF(FlipkartTable[[#This Row],[Selling Price]]&lt;50000,"Mid Range","Premium"))</f>
        <v>Budget</v>
      </c>
      <c r="M1548" t="str">
        <f>IF(FlipkartTable[[#This Row],[Rating]]&gt;4.5,"Excellent",IF(FlipkartTable[[#This Row],[Rating]]&gt;4,"Good",IF(FlipkartTable[[#This Row],[Rating]]&gt;3.5,"Average","Poor")))</f>
        <v>Good</v>
      </c>
    </row>
    <row r="1549" spans="1:13" x14ac:dyDescent="0.35">
      <c r="A1549" t="s">
        <v>663</v>
      </c>
      <c r="B1549" s="9" t="s">
        <v>797</v>
      </c>
      <c r="C1549" t="s">
        <v>798</v>
      </c>
      <c r="D1549" t="s">
        <v>20</v>
      </c>
      <c r="E1549" t="s">
        <v>21</v>
      </c>
      <c r="F1549">
        <v>4</v>
      </c>
      <c r="G1549">
        <v>44900</v>
      </c>
      <c r="H1549">
        <v>44900</v>
      </c>
      <c r="I1549">
        <f>FlipkartTable[[#This Row],[Original Price]]-FlipkartTable[[#This Row],[Selling Price]]</f>
        <v>0</v>
      </c>
      <c r="J1549" s="4">
        <f>(FlipkartTable[[#This Row],[Original Price]]-FlipkartTable[[#This Row],[Selling Price]])/FlipkartTable[[#This Row],[Original Price]]</f>
        <v>0</v>
      </c>
      <c r="K1549">
        <f>(FlipkartTable[[#This Row],[Rating]]/FlipkartTable[[#This Row],[Selling Price]])*1000</f>
        <v>8.9086859688195991E-2</v>
      </c>
      <c r="L1549" t="str">
        <f>IF(FlipkartTable[[#This Row],[Selling Price]]&lt;15000,"Budget",IF(FlipkartTable[[#This Row],[Selling Price]]&lt;50000,"Mid Range","Premium"))</f>
        <v>Mid Range</v>
      </c>
      <c r="M1549" t="str">
        <f>IF(FlipkartTable[[#This Row],[Rating]]&gt;4.5,"Excellent",IF(FlipkartTable[[#This Row],[Rating]]&gt;4,"Good",IF(FlipkartTable[[#This Row],[Rating]]&gt;3.5,"Average","Poor")))</f>
        <v>Average</v>
      </c>
    </row>
    <row r="1550" spans="1:13" x14ac:dyDescent="0.35">
      <c r="A1550" t="s">
        <v>663</v>
      </c>
      <c r="B1550" s="9" t="s">
        <v>674</v>
      </c>
      <c r="C1550" t="s">
        <v>84</v>
      </c>
      <c r="D1550" t="s">
        <v>20</v>
      </c>
      <c r="E1550" t="s">
        <v>21</v>
      </c>
      <c r="F1550">
        <v>4</v>
      </c>
      <c r="G1550">
        <v>8083</v>
      </c>
      <c r="H1550">
        <v>8188</v>
      </c>
      <c r="I1550">
        <f>FlipkartTable[[#This Row],[Original Price]]-FlipkartTable[[#This Row],[Selling Price]]</f>
        <v>105</v>
      </c>
      <c r="J1550" s="4">
        <f>(FlipkartTable[[#This Row],[Original Price]]-FlipkartTable[[#This Row],[Selling Price]])/FlipkartTable[[#This Row],[Original Price]]</f>
        <v>1.2823644357596482E-2</v>
      </c>
      <c r="K1550">
        <f>(FlipkartTable[[#This Row],[Rating]]/FlipkartTable[[#This Row],[Selling Price]])*1000</f>
        <v>0.49486576766052209</v>
      </c>
      <c r="L1550" t="str">
        <f>IF(FlipkartTable[[#This Row],[Selling Price]]&lt;15000,"Budget",IF(FlipkartTable[[#This Row],[Selling Price]]&lt;50000,"Mid Range","Premium"))</f>
        <v>Budget</v>
      </c>
      <c r="M1550" t="str">
        <f>IF(FlipkartTable[[#This Row],[Rating]]&gt;4.5,"Excellent",IF(FlipkartTable[[#This Row],[Rating]]&gt;4,"Good",IF(FlipkartTable[[#This Row],[Rating]]&gt;3.5,"Average","Poor")))</f>
        <v>Average</v>
      </c>
    </row>
    <row r="1551" spans="1:13" x14ac:dyDescent="0.35">
      <c r="A1551" t="s">
        <v>663</v>
      </c>
      <c r="B1551" s="9" t="s">
        <v>674</v>
      </c>
      <c r="C1551" t="s">
        <v>84</v>
      </c>
      <c r="D1551" t="s">
        <v>35</v>
      </c>
      <c r="E1551" t="s">
        <v>21</v>
      </c>
      <c r="F1551">
        <v>4</v>
      </c>
      <c r="G1551">
        <v>7900</v>
      </c>
      <c r="H1551">
        <v>7900</v>
      </c>
      <c r="I1551">
        <f>FlipkartTable[[#This Row],[Original Price]]-FlipkartTable[[#This Row],[Selling Price]]</f>
        <v>0</v>
      </c>
      <c r="J1551" s="4">
        <f>(FlipkartTable[[#This Row],[Original Price]]-FlipkartTable[[#This Row],[Selling Price]])/FlipkartTable[[#This Row],[Original Price]]</f>
        <v>0</v>
      </c>
      <c r="K1551">
        <f>(FlipkartTable[[#This Row],[Rating]]/FlipkartTable[[#This Row],[Selling Price]])*1000</f>
        <v>0.50632911392405067</v>
      </c>
      <c r="L1551" t="str">
        <f>IF(FlipkartTable[[#This Row],[Selling Price]]&lt;15000,"Budget",IF(FlipkartTable[[#This Row],[Selling Price]]&lt;50000,"Mid Range","Premium"))</f>
        <v>Budget</v>
      </c>
      <c r="M1551" t="str">
        <f>IF(FlipkartTable[[#This Row],[Rating]]&gt;4.5,"Excellent",IF(FlipkartTable[[#This Row],[Rating]]&gt;4,"Good",IF(FlipkartTable[[#This Row],[Rating]]&gt;3.5,"Average","Poor")))</f>
        <v>Average</v>
      </c>
    </row>
    <row r="1552" spans="1:13" x14ac:dyDescent="0.35">
      <c r="A1552" t="s">
        <v>663</v>
      </c>
      <c r="B1552" s="9" t="s">
        <v>763</v>
      </c>
      <c r="C1552" t="s">
        <v>139</v>
      </c>
      <c r="D1552" t="s">
        <v>35</v>
      </c>
      <c r="E1552" t="s">
        <v>21</v>
      </c>
      <c r="F1552">
        <v>4.4000000000000004</v>
      </c>
      <c r="G1552">
        <v>9840</v>
      </c>
      <c r="H1552">
        <v>9840</v>
      </c>
      <c r="I1552">
        <f>FlipkartTable[[#This Row],[Original Price]]-FlipkartTable[[#This Row],[Selling Price]]</f>
        <v>0</v>
      </c>
      <c r="J1552" s="4">
        <f>(FlipkartTable[[#This Row],[Original Price]]-FlipkartTable[[#This Row],[Selling Price]])/FlipkartTable[[#This Row],[Original Price]]</f>
        <v>0</v>
      </c>
      <c r="K1552">
        <f>(FlipkartTable[[#This Row],[Rating]]/FlipkartTable[[#This Row],[Selling Price]])*1000</f>
        <v>0.44715447154471549</v>
      </c>
      <c r="L1552" t="str">
        <f>IF(FlipkartTable[[#This Row],[Selling Price]]&lt;15000,"Budget",IF(FlipkartTable[[#This Row],[Selling Price]]&lt;50000,"Mid Range","Premium"))</f>
        <v>Budget</v>
      </c>
      <c r="M1552" t="str">
        <f>IF(FlipkartTable[[#This Row],[Rating]]&gt;4.5,"Excellent",IF(FlipkartTable[[#This Row],[Rating]]&gt;4,"Good",IF(FlipkartTable[[#This Row],[Rating]]&gt;3.5,"Average","Poor")))</f>
        <v>Good</v>
      </c>
    </row>
    <row r="1553" spans="1:13" x14ac:dyDescent="0.35">
      <c r="A1553" t="s">
        <v>663</v>
      </c>
      <c r="B1553" s="9" t="s">
        <v>799</v>
      </c>
      <c r="C1553" t="s">
        <v>700</v>
      </c>
      <c r="D1553" t="s">
        <v>63</v>
      </c>
      <c r="E1553" t="s">
        <v>64</v>
      </c>
      <c r="F1553">
        <v>4.5</v>
      </c>
      <c r="G1553">
        <v>105999</v>
      </c>
      <c r="H1553">
        <v>128999</v>
      </c>
      <c r="I1553">
        <f>FlipkartTable[[#This Row],[Original Price]]-FlipkartTable[[#This Row],[Selling Price]]</f>
        <v>23000</v>
      </c>
      <c r="J1553" s="4">
        <f>(FlipkartTable[[#This Row],[Original Price]]-FlipkartTable[[#This Row],[Selling Price]])/FlipkartTable[[#This Row],[Original Price]]</f>
        <v>0.17829595578260296</v>
      </c>
      <c r="K1553">
        <f>(FlipkartTable[[#This Row],[Rating]]/FlipkartTable[[#This Row],[Selling Price]])*1000</f>
        <v>4.2453230690855576E-2</v>
      </c>
      <c r="L1553" t="str">
        <f>IF(FlipkartTable[[#This Row],[Selling Price]]&lt;15000,"Budget",IF(FlipkartTable[[#This Row],[Selling Price]]&lt;50000,"Mid Range","Premium"))</f>
        <v>Premium</v>
      </c>
      <c r="M1553" t="str">
        <f>IF(FlipkartTable[[#This Row],[Rating]]&gt;4.5,"Excellent",IF(FlipkartTable[[#This Row],[Rating]]&gt;4,"Good",IF(FlipkartTable[[#This Row],[Rating]]&gt;3.5,"Average","Poor")))</f>
        <v>Good</v>
      </c>
    </row>
    <row r="1554" spans="1:13" x14ac:dyDescent="0.35">
      <c r="A1554" t="s">
        <v>663</v>
      </c>
      <c r="B1554" s="9" t="s">
        <v>792</v>
      </c>
      <c r="C1554" t="s">
        <v>19</v>
      </c>
      <c r="D1554" t="s">
        <v>20</v>
      </c>
      <c r="E1554" t="s">
        <v>21</v>
      </c>
      <c r="F1554">
        <v>4.2</v>
      </c>
      <c r="G1554">
        <v>10990</v>
      </c>
      <c r="H1554">
        <v>10990</v>
      </c>
      <c r="I1554">
        <f>FlipkartTable[[#This Row],[Original Price]]-FlipkartTable[[#This Row],[Selling Price]]</f>
        <v>0</v>
      </c>
      <c r="J1554" s="4">
        <f>(FlipkartTable[[#This Row],[Original Price]]-FlipkartTable[[#This Row],[Selling Price]])/FlipkartTable[[#This Row],[Original Price]]</f>
        <v>0</v>
      </c>
      <c r="K1554">
        <f>(FlipkartTable[[#This Row],[Rating]]/FlipkartTable[[#This Row],[Selling Price]])*1000</f>
        <v>0.38216560509554137</v>
      </c>
      <c r="L1554" t="str">
        <f>IF(FlipkartTable[[#This Row],[Selling Price]]&lt;15000,"Budget",IF(FlipkartTable[[#This Row],[Selling Price]]&lt;50000,"Mid Range","Premium"))</f>
        <v>Budget</v>
      </c>
      <c r="M1554" t="str">
        <f>IF(FlipkartTable[[#This Row],[Rating]]&gt;4.5,"Excellent",IF(FlipkartTable[[#This Row],[Rating]]&gt;4,"Good",IF(FlipkartTable[[#This Row],[Rating]]&gt;3.5,"Average","Poor")))</f>
        <v>Good</v>
      </c>
    </row>
    <row r="1555" spans="1:13" x14ac:dyDescent="0.35">
      <c r="A1555" t="s">
        <v>663</v>
      </c>
      <c r="B1555" s="9" t="s">
        <v>760</v>
      </c>
      <c r="C1555" t="s">
        <v>116</v>
      </c>
      <c r="D1555" t="s">
        <v>20</v>
      </c>
      <c r="E1555" t="s">
        <v>21</v>
      </c>
      <c r="F1555">
        <v>4.4000000000000004</v>
      </c>
      <c r="G1555">
        <v>12990</v>
      </c>
      <c r="H1555">
        <v>12990</v>
      </c>
      <c r="I1555">
        <f>FlipkartTable[[#This Row],[Original Price]]-FlipkartTable[[#This Row],[Selling Price]]</f>
        <v>0</v>
      </c>
      <c r="J1555" s="4">
        <f>(FlipkartTable[[#This Row],[Original Price]]-FlipkartTable[[#This Row],[Selling Price]])/FlipkartTable[[#This Row],[Original Price]]</f>
        <v>0</v>
      </c>
      <c r="K1555">
        <f>(FlipkartTable[[#This Row],[Rating]]/FlipkartTable[[#This Row],[Selling Price]])*1000</f>
        <v>0.3387220939183988</v>
      </c>
      <c r="L1555" t="str">
        <f>IF(FlipkartTable[[#This Row],[Selling Price]]&lt;15000,"Budget",IF(FlipkartTable[[#This Row],[Selling Price]]&lt;50000,"Mid Range","Premium"))</f>
        <v>Budget</v>
      </c>
      <c r="M1555" t="str">
        <f>IF(FlipkartTable[[#This Row],[Rating]]&gt;4.5,"Excellent",IF(FlipkartTable[[#This Row],[Rating]]&gt;4,"Good",IF(FlipkartTable[[#This Row],[Rating]]&gt;3.5,"Average","Poor")))</f>
        <v>Good</v>
      </c>
    </row>
    <row r="1556" spans="1:13" x14ac:dyDescent="0.35">
      <c r="A1556" t="s">
        <v>663</v>
      </c>
      <c r="B1556" s="9" t="s">
        <v>792</v>
      </c>
      <c r="C1556" t="s">
        <v>22</v>
      </c>
      <c r="D1556" t="s">
        <v>35</v>
      </c>
      <c r="E1556" t="s">
        <v>124</v>
      </c>
      <c r="F1556">
        <v>4.3</v>
      </c>
      <c r="G1556">
        <v>9500</v>
      </c>
      <c r="H1556">
        <v>9500</v>
      </c>
      <c r="I1556">
        <f>FlipkartTable[[#This Row],[Original Price]]-FlipkartTable[[#This Row],[Selling Price]]</f>
        <v>0</v>
      </c>
      <c r="J1556" s="4">
        <f>(FlipkartTable[[#This Row],[Original Price]]-FlipkartTable[[#This Row],[Selling Price]])/FlipkartTable[[#This Row],[Original Price]]</f>
        <v>0</v>
      </c>
      <c r="K1556">
        <f>(FlipkartTable[[#This Row],[Rating]]/FlipkartTable[[#This Row],[Selling Price]])*1000</f>
        <v>0.45263157894736838</v>
      </c>
      <c r="L1556" t="str">
        <f>IF(FlipkartTable[[#This Row],[Selling Price]]&lt;15000,"Budget",IF(FlipkartTable[[#This Row],[Selling Price]]&lt;50000,"Mid Range","Premium"))</f>
        <v>Budget</v>
      </c>
      <c r="M1556" t="str">
        <f>IF(FlipkartTable[[#This Row],[Rating]]&gt;4.5,"Excellent",IF(FlipkartTable[[#This Row],[Rating]]&gt;4,"Good",IF(FlipkartTable[[#This Row],[Rating]]&gt;3.5,"Average","Poor")))</f>
        <v>Good</v>
      </c>
    </row>
    <row r="1557" spans="1:13" x14ac:dyDescent="0.35">
      <c r="A1557" t="s">
        <v>663</v>
      </c>
      <c r="B1557" s="9" t="s">
        <v>792</v>
      </c>
      <c r="C1557" t="s">
        <v>19</v>
      </c>
      <c r="D1557" t="s">
        <v>35</v>
      </c>
      <c r="E1557" t="s">
        <v>124</v>
      </c>
      <c r="F1557">
        <v>4.3</v>
      </c>
      <c r="G1557">
        <v>8990</v>
      </c>
      <c r="H1557">
        <v>8990</v>
      </c>
      <c r="I1557">
        <f>FlipkartTable[[#This Row],[Original Price]]-FlipkartTable[[#This Row],[Selling Price]]</f>
        <v>0</v>
      </c>
      <c r="J1557" s="4">
        <f>(FlipkartTable[[#This Row],[Original Price]]-FlipkartTable[[#This Row],[Selling Price]])/FlipkartTable[[#This Row],[Original Price]]</f>
        <v>0</v>
      </c>
      <c r="K1557">
        <f>(FlipkartTable[[#This Row],[Rating]]/FlipkartTable[[#This Row],[Selling Price]])*1000</f>
        <v>0.47830923248053392</v>
      </c>
      <c r="L1557" t="str">
        <f>IF(FlipkartTable[[#This Row],[Selling Price]]&lt;15000,"Budget",IF(FlipkartTable[[#This Row],[Selling Price]]&lt;50000,"Mid Range","Premium"))</f>
        <v>Budget</v>
      </c>
      <c r="M1557" t="str">
        <f>IF(FlipkartTable[[#This Row],[Rating]]&gt;4.5,"Excellent",IF(FlipkartTable[[#This Row],[Rating]]&gt;4,"Good",IF(FlipkartTable[[#This Row],[Rating]]&gt;3.5,"Average","Poor")))</f>
        <v>Good</v>
      </c>
    </row>
    <row r="1558" spans="1:13" x14ac:dyDescent="0.35">
      <c r="A1558" t="s">
        <v>663</v>
      </c>
      <c r="B1558" s="9" t="s">
        <v>793</v>
      </c>
      <c r="C1558" t="s">
        <v>19</v>
      </c>
      <c r="D1558" t="s">
        <v>11</v>
      </c>
      <c r="E1558" t="s">
        <v>12</v>
      </c>
      <c r="F1558">
        <v>4.4000000000000004</v>
      </c>
      <c r="G1558">
        <v>17500</v>
      </c>
      <c r="H1558">
        <v>17500</v>
      </c>
      <c r="I1558">
        <f>FlipkartTable[[#This Row],[Original Price]]-FlipkartTable[[#This Row],[Selling Price]]</f>
        <v>0</v>
      </c>
      <c r="J1558" s="4">
        <f>(FlipkartTable[[#This Row],[Original Price]]-FlipkartTable[[#This Row],[Selling Price]])/FlipkartTable[[#This Row],[Original Price]]</f>
        <v>0</v>
      </c>
      <c r="K1558">
        <f>(FlipkartTable[[#This Row],[Rating]]/FlipkartTable[[#This Row],[Selling Price]])*1000</f>
        <v>0.25142857142857145</v>
      </c>
      <c r="L1558" t="str">
        <f>IF(FlipkartTable[[#This Row],[Selling Price]]&lt;15000,"Budget",IF(FlipkartTable[[#This Row],[Selling Price]]&lt;50000,"Mid Range","Premium"))</f>
        <v>Mid Range</v>
      </c>
      <c r="M1558" t="str">
        <f>IF(FlipkartTable[[#This Row],[Rating]]&gt;4.5,"Excellent",IF(FlipkartTable[[#This Row],[Rating]]&gt;4,"Good",IF(FlipkartTable[[#This Row],[Rating]]&gt;3.5,"Average","Poor")))</f>
        <v>Good</v>
      </c>
    </row>
    <row r="1559" spans="1:13" x14ac:dyDescent="0.35">
      <c r="A1559" t="s">
        <v>663</v>
      </c>
      <c r="B1559" s="9" t="s">
        <v>766</v>
      </c>
      <c r="C1559" t="s">
        <v>19</v>
      </c>
      <c r="D1559" t="s">
        <v>35</v>
      </c>
      <c r="E1559" t="s">
        <v>124</v>
      </c>
      <c r="F1559">
        <v>4.4000000000000004</v>
      </c>
      <c r="G1559">
        <v>11995</v>
      </c>
      <c r="H1559">
        <v>11995</v>
      </c>
      <c r="I1559">
        <f>FlipkartTable[[#This Row],[Original Price]]-FlipkartTable[[#This Row],[Selling Price]]</f>
        <v>0</v>
      </c>
      <c r="J1559" s="4">
        <f>(FlipkartTable[[#This Row],[Original Price]]-FlipkartTable[[#This Row],[Selling Price]])/FlipkartTable[[#This Row],[Original Price]]</f>
        <v>0</v>
      </c>
      <c r="K1559">
        <f>(FlipkartTable[[#This Row],[Rating]]/FlipkartTable[[#This Row],[Selling Price]])*1000</f>
        <v>0.36681950812838687</v>
      </c>
      <c r="L1559" t="str">
        <f>IF(FlipkartTable[[#This Row],[Selling Price]]&lt;15000,"Budget",IF(FlipkartTable[[#This Row],[Selling Price]]&lt;50000,"Mid Range","Premium"))</f>
        <v>Budget</v>
      </c>
      <c r="M1559" t="str">
        <f>IF(FlipkartTable[[#This Row],[Rating]]&gt;4.5,"Excellent",IF(FlipkartTable[[#This Row],[Rating]]&gt;4,"Good",IF(FlipkartTable[[#This Row],[Rating]]&gt;3.5,"Average","Poor")))</f>
        <v>Good</v>
      </c>
    </row>
    <row r="1560" spans="1:13" x14ac:dyDescent="0.35">
      <c r="A1560" t="s">
        <v>663</v>
      </c>
      <c r="B1560" s="9" t="s">
        <v>776</v>
      </c>
      <c r="C1560" t="s">
        <v>19</v>
      </c>
      <c r="D1560" t="s">
        <v>35</v>
      </c>
      <c r="E1560" t="s">
        <v>124</v>
      </c>
      <c r="F1560">
        <v>4.3</v>
      </c>
      <c r="G1560">
        <v>13800</v>
      </c>
      <c r="H1560">
        <v>15014</v>
      </c>
      <c r="I1560">
        <f>FlipkartTable[[#This Row],[Original Price]]-FlipkartTable[[#This Row],[Selling Price]]</f>
        <v>1214</v>
      </c>
      <c r="J1560" s="4">
        <f>(FlipkartTable[[#This Row],[Original Price]]-FlipkartTable[[#This Row],[Selling Price]])/FlipkartTable[[#This Row],[Original Price]]</f>
        <v>8.0857865991741038E-2</v>
      </c>
      <c r="K1560">
        <f>(FlipkartTable[[#This Row],[Rating]]/FlipkartTable[[#This Row],[Selling Price]])*1000</f>
        <v>0.31159420289855072</v>
      </c>
      <c r="L1560" t="str">
        <f>IF(FlipkartTable[[#This Row],[Selling Price]]&lt;15000,"Budget",IF(FlipkartTable[[#This Row],[Selling Price]]&lt;50000,"Mid Range","Premium"))</f>
        <v>Budget</v>
      </c>
      <c r="M1560" t="str">
        <f>IF(FlipkartTable[[#This Row],[Rating]]&gt;4.5,"Excellent",IF(FlipkartTable[[#This Row],[Rating]]&gt;4,"Good",IF(FlipkartTable[[#This Row],[Rating]]&gt;3.5,"Average","Poor")))</f>
        <v>Good</v>
      </c>
    </row>
    <row r="1561" spans="1:13" x14ac:dyDescent="0.35">
      <c r="A1561" t="s">
        <v>663</v>
      </c>
      <c r="B1561" s="9" t="s">
        <v>797</v>
      </c>
      <c r="C1561" t="s">
        <v>800</v>
      </c>
      <c r="D1561" t="s">
        <v>20</v>
      </c>
      <c r="E1561" t="s">
        <v>21</v>
      </c>
      <c r="F1561">
        <v>4</v>
      </c>
      <c r="G1561">
        <v>37299</v>
      </c>
      <c r="H1561">
        <v>37299</v>
      </c>
      <c r="I1561">
        <f>FlipkartTable[[#This Row],[Original Price]]-FlipkartTable[[#This Row],[Selling Price]]</f>
        <v>0</v>
      </c>
      <c r="J1561" s="4">
        <f>(FlipkartTable[[#This Row],[Original Price]]-FlipkartTable[[#This Row],[Selling Price]])/FlipkartTable[[#This Row],[Original Price]]</f>
        <v>0</v>
      </c>
      <c r="K1561">
        <f>(FlipkartTable[[#This Row],[Rating]]/FlipkartTable[[#This Row],[Selling Price]])*1000</f>
        <v>0.10724148100485267</v>
      </c>
      <c r="L1561" t="str">
        <f>IF(FlipkartTable[[#This Row],[Selling Price]]&lt;15000,"Budget",IF(FlipkartTable[[#This Row],[Selling Price]]&lt;50000,"Mid Range","Premium"))</f>
        <v>Mid Range</v>
      </c>
      <c r="M1561" t="str">
        <f>IF(FlipkartTable[[#This Row],[Rating]]&gt;4.5,"Excellent",IF(FlipkartTable[[#This Row],[Rating]]&gt;4,"Good",IF(FlipkartTable[[#This Row],[Rating]]&gt;3.5,"Average","Poor")))</f>
        <v>Average</v>
      </c>
    </row>
    <row r="1562" spans="1:13" x14ac:dyDescent="0.35">
      <c r="A1562" t="s">
        <v>663</v>
      </c>
      <c r="B1562" s="9" t="s">
        <v>801</v>
      </c>
      <c r="C1562" t="s">
        <v>22</v>
      </c>
      <c r="D1562" t="s">
        <v>11</v>
      </c>
      <c r="E1562" t="s">
        <v>12</v>
      </c>
      <c r="F1562">
        <v>4.4000000000000004</v>
      </c>
      <c r="G1562">
        <v>18990</v>
      </c>
      <c r="H1562">
        <v>18990</v>
      </c>
      <c r="I1562">
        <f>FlipkartTable[[#This Row],[Original Price]]-FlipkartTable[[#This Row],[Selling Price]]</f>
        <v>0</v>
      </c>
      <c r="J1562" s="4">
        <f>(FlipkartTable[[#This Row],[Original Price]]-FlipkartTable[[#This Row],[Selling Price]])/FlipkartTable[[#This Row],[Original Price]]</f>
        <v>0</v>
      </c>
      <c r="K1562">
        <f>(FlipkartTable[[#This Row],[Rating]]/FlipkartTable[[#This Row],[Selling Price]])*1000</f>
        <v>0.23170089520800424</v>
      </c>
      <c r="L1562" t="str">
        <f>IF(FlipkartTable[[#This Row],[Selling Price]]&lt;15000,"Budget",IF(FlipkartTable[[#This Row],[Selling Price]]&lt;50000,"Mid Range","Premium"))</f>
        <v>Mid Range</v>
      </c>
      <c r="M1562" t="str">
        <f>IF(FlipkartTable[[#This Row],[Rating]]&gt;4.5,"Excellent",IF(FlipkartTable[[#This Row],[Rating]]&gt;4,"Good",IF(FlipkartTable[[#This Row],[Rating]]&gt;3.5,"Average","Poor")))</f>
        <v>Good</v>
      </c>
    </row>
    <row r="1563" spans="1:13" x14ac:dyDescent="0.35">
      <c r="A1563" t="s">
        <v>663</v>
      </c>
      <c r="B1563" s="9" t="s">
        <v>802</v>
      </c>
      <c r="C1563" t="s">
        <v>803</v>
      </c>
      <c r="D1563" t="s">
        <v>20</v>
      </c>
      <c r="E1563" t="s">
        <v>21</v>
      </c>
      <c r="F1563">
        <v>3.8</v>
      </c>
      <c r="G1563">
        <v>25900</v>
      </c>
      <c r="H1563">
        <v>25900</v>
      </c>
      <c r="I1563">
        <f>FlipkartTable[[#This Row],[Original Price]]-FlipkartTable[[#This Row],[Selling Price]]</f>
        <v>0</v>
      </c>
      <c r="J1563" s="4">
        <f>(FlipkartTable[[#This Row],[Original Price]]-FlipkartTable[[#This Row],[Selling Price]])/FlipkartTable[[#This Row],[Original Price]]</f>
        <v>0</v>
      </c>
      <c r="K1563">
        <f>(FlipkartTable[[#This Row],[Rating]]/FlipkartTable[[#This Row],[Selling Price]])*1000</f>
        <v>0.14671814671814673</v>
      </c>
      <c r="L1563" t="str">
        <f>IF(FlipkartTable[[#This Row],[Selling Price]]&lt;15000,"Budget",IF(FlipkartTable[[#This Row],[Selling Price]]&lt;50000,"Mid Range","Premium"))</f>
        <v>Mid Range</v>
      </c>
      <c r="M1563" t="str">
        <f>IF(FlipkartTable[[#This Row],[Rating]]&gt;4.5,"Excellent",IF(FlipkartTable[[#This Row],[Rating]]&gt;4,"Good",IF(FlipkartTable[[#This Row],[Rating]]&gt;3.5,"Average","Poor")))</f>
        <v>Average</v>
      </c>
    </row>
    <row r="1564" spans="1:13" x14ac:dyDescent="0.35">
      <c r="A1564" t="s">
        <v>663</v>
      </c>
      <c r="B1564" s="9" t="s">
        <v>741</v>
      </c>
      <c r="C1564" t="s">
        <v>19</v>
      </c>
      <c r="D1564" t="s">
        <v>11</v>
      </c>
      <c r="E1564" t="s">
        <v>12</v>
      </c>
      <c r="F1564">
        <v>4.4000000000000004</v>
      </c>
      <c r="G1564">
        <v>21990</v>
      </c>
      <c r="H1564">
        <v>21990</v>
      </c>
      <c r="I1564">
        <f>FlipkartTable[[#This Row],[Original Price]]-FlipkartTable[[#This Row],[Selling Price]]</f>
        <v>0</v>
      </c>
      <c r="J1564" s="4">
        <f>(FlipkartTable[[#This Row],[Original Price]]-FlipkartTable[[#This Row],[Selling Price]])/FlipkartTable[[#This Row],[Original Price]]</f>
        <v>0</v>
      </c>
      <c r="K1564">
        <f>(FlipkartTable[[#This Row],[Rating]]/FlipkartTable[[#This Row],[Selling Price]])*1000</f>
        <v>0.20009095043201458</v>
      </c>
      <c r="L1564" t="str">
        <f>IF(FlipkartTable[[#This Row],[Selling Price]]&lt;15000,"Budget",IF(FlipkartTable[[#This Row],[Selling Price]]&lt;50000,"Mid Range","Premium"))</f>
        <v>Mid Range</v>
      </c>
      <c r="M1564" t="str">
        <f>IF(FlipkartTable[[#This Row],[Rating]]&gt;4.5,"Excellent",IF(FlipkartTable[[#This Row],[Rating]]&gt;4,"Good",IF(FlipkartTable[[#This Row],[Rating]]&gt;3.5,"Average","Poor")))</f>
        <v>Good</v>
      </c>
    </row>
    <row r="1565" spans="1:13" x14ac:dyDescent="0.35">
      <c r="A1565" t="s">
        <v>663</v>
      </c>
      <c r="B1565" s="9" t="s">
        <v>774</v>
      </c>
      <c r="C1565" t="s">
        <v>84</v>
      </c>
      <c r="D1565" t="s">
        <v>11</v>
      </c>
      <c r="E1565" t="s">
        <v>12</v>
      </c>
      <c r="F1565">
        <v>4.3</v>
      </c>
      <c r="G1565">
        <v>13600</v>
      </c>
      <c r="H1565">
        <v>13600</v>
      </c>
      <c r="I1565">
        <f>FlipkartTable[[#This Row],[Original Price]]-FlipkartTable[[#This Row],[Selling Price]]</f>
        <v>0</v>
      </c>
      <c r="J1565" s="4">
        <f>(FlipkartTable[[#This Row],[Original Price]]-FlipkartTable[[#This Row],[Selling Price]])/FlipkartTable[[#This Row],[Original Price]]</f>
        <v>0</v>
      </c>
      <c r="K1565">
        <f>(FlipkartTable[[#This Row],[Rating]]/FlipkartTable[[#This Row],[Selling Price]])*1000</f>
        <v>0.31617647058823528</v>
      </c>
      <c r="L1565" t="str">
        <f>IF(FlipkartTable[[#This Row],[Selling Price]]&lt;15000,"Budget",IF(FlipkartTable[[#This Row],[Selling Price]]&lt;50000,"Mid Range","Premium"))</f>
        <v>Budget</v>
      </c>
      <c r="M1565" t="str">
        <f>IF(FlipkartTable[[#This Row],[Rating]]&gt;4.5,"Excellent",IF(FlipkartTable[[#This Row],[Rating]]&gt;4,"Good",IF(FlipkartTable[[#This Row],[Rating]]&gt;3.5,"Average","Poor")))</f>
        <v>Good</v>
      </c>
    </row>
    <row r="1566" spans="1:13" x14ac:dyDescent="0.35">
      <c r="A1566" t="s">
        <v>663</v>
      </c>
      <c r="B1566" s="9" t="s">
        <v>796</v>
      </c>
      <c r="C1566" t="s">
        <v>19</v>
      </c>
      <c r="D1566" t="s">
        <v>20</v>
      </c>
      <c r="E1566" t="s">
        <v>21</v>
      </c>
      <c r="F1566">
        <v>4.3</v>
      </c>
      <c r="G1566">
        <v>13500</v>
      </c>
      <c r="H1566">
        <v>13500</v>
      </c>
      <c r="I1566">
        <f>FlipkartTable[[#This Row],[Original Price]]-FlipkartTable[[#This Row],[Selling Price]]</f>
        <v>0</v>
      </c>
      <c r="J1566" s="4">
        <f>(FlipkartTable[[#This Row],[Original Price]]-FlipkartTable[[#This Row],[Selling Price]])/FlipkartTable[[#This Row],[Original Price]]</f>
        <v>0</v>
      </c>
      <c r="K1566">
        <f>(FlipkartTable[[#This Row],[Rating]]/FlipkartTable[[#This Row],[Selling Price]])*1000</f>
        <v>0.31851851851851848</v>
      </c>
      <c r="L1566" t="str">
        <f>IF(FlipkartTable[[#This Row],[Selling Price]]&lt;15000,"Budget",IF(FlipkartTable[[#This Row],[Selling Price]]&lt;50000,"Mid Range","Premium"))</f>
        <v>Budget</v>
      </c>
      <c r="M1566" t="str">
        <f>IF(FlipkartTable[[#This Row],[Rating]]&gt;4.5,"Excellent",IF(FlipkartTable[[#This Row],[Rating]]&gt;4,"Good",IF(FlipkartTable[[#This Row],[Rating]]&gt;3.5,"Average","Poor")))</f>
        <v>Good</v>
      </c>
    </row>
    <row r="1567" spans="1:13" x14ac:dyDescent="0.35">
      <c r="A1567" t="s">
        <v>663</v>
      </c>
      <c r="B1567" s="9" t="s">
        <v>804</v>
      </c>
      <c r="C1567" t="s">
        <v>116</v>
      </c>
      <c r="D1567" t="s">
        <v>35</v>
      </c>
      <c r="E1567" t="s">
        <v>21</v>
      </c>
      <c r="F1567">
        <v>4.3</v>
      </c>
      <c r="G1567">
        <v>9499</v>
      </c>
      <c r="H1567">
        <v>9499</v>
      </c>
      <c r="I1567">
        <f>FlipkartTable[[#This Row],[Original Price]]-FlipkartTable[[#This Row],[Selling Price]]</f>
        <v>0</v>
      </c>
      <c r="J1567" s="4">
        <f>(FlipkartTable[[#This Row],[Original Price]]-FlipkartTable[[#This Row],[Selling Price]])/FlipkartTable[[#This Row],[Original Price]]</f>
        <v>0</v>
      </c>
      <c r="K1567">
        <f>(FlipkartTable[[#This Row],[Rating]]/FlipkartTable[[#This Row],[Selling Price]])*1000</f>
        <v>0.45267922939256761</v>
      </c>
      <c r="L1567" t="str">
        <f>IF(FlipkartTable[[#This Row],[Selling Price]]&lt;15000,"Budget",IF(FlipkartTable[[#This Row],[Selling Price]]&lt;50000,"Mid Range","Premium"))</f>
        <v>Budget</v>
      </c>
      <c r="M1567" t="str">
        <f>IF(FlipkartTable[[#This Row],[Rating]]&gt;4.5,"Excellent",IF(FlipkartTable[[#This Row],[Rating]]&gt;4,"Good",IF(FlipkartTable[[#This Row],[Rating]]&gt;3.5,"Average","Poor")))</f>
        <v>Good</v>
      </c>
    </row>
    <row r="1568" spans="1:13" x14ac:dyDescent="0.35">
      <c r="A1568" t="s">
        <v>663</v>
      </c>
      <c r="B1568" s="9" t="s">
        <v>760</v>
      </c>
      <c r="C1568" t="s">
        <v>22</v>
      </c>
      <c r="D1568" t="s">
        <v>11</v>
      </c>
      <c r="E1568" t="s">
        <v>12</v>
      </c>
      <c r="F1568">
        <v>4.5</v>
      </c>
      <c r="G1568">
        <v>9490</v>
      </c>
      <c r="H1568">
        <v>17108</v>
      </c>
      <c r="I1568">
        <f>FlipkartTable[[#This Row],[Original Price]]-FlipkartTable[[#This Row],[Selling Price]]</f>
        <v>7618</v>
      </c>
      <c r="J1568" s="4">
        <f>(FlipkartTable[[#This Row],[Original Price]]-FlipkartTable[[#This Row],[Selling Price]])/FlipkartTable[[#This Row],[Original Price]]</f>
        <v>0.44528875379939209</v>
      </c>
      <c r="K1568">
        <f>(FlipkartTable[[#This Row],[Rating]]/FlipkartTable[[#This Row],[Selling Price]])*1000</f>
        <v>0.4741833508956797</v>
      </c>
      <c r="L1568" t="str">
        <f>IF(FlipkartTable[[#This Row],[Selling Price]]&lt;15000,"Budget",IF(FlipkartTable[[#This Row],[Selling Price]]&lt;50000,"Mid Range","Premium"))</f>
        <v>Budget</v>
      </c>
      <c r="M1568" t="str">
        <f>IF(FlipkartTable[[#This Row],[Rating]]&gt;4.5,"Excellent",IF(FlipkartTable[[#This Row],[Rating]]&gt;4,"Good",IF(FlipkartTable[[#This Row],[Rating]]&gt;3.5,"Average","Poor")))</f>
        <v>Good</v>
      </c>
    </row>
    <row r="1569" spans="1:13" x14ac:dyDescent="0.35">
      <c r="A1569" t="s">
        <v>663</v>
      </c>
      <c r="B1569" s="9" t="s">
        <v>805</v>
      </c>
      <c r="C1569" t="s">
        <v>116</v>
      </c>
      <c r="D1569" t="s">
        <v>14</v>
      </c>
      <c r="E1569" t="s">
        <v>12</v>
      </c>
      <c r="F1569">
        <v>4.2</v>
      </c>
      <c r="G1569">
        <v>29990</v>
      </c>
      <c r="H1569">
        <v>29990</v>
      </c>
      <c r="I1569">
        <f>FlipkartTable[[#This Row],[Original Price]]-FlipkartTable[[#This Row],[Selling Price]]</f>
        <v>0</v>
      </c>
      <c r="J1569" s="4">
        <f>(FlipkartTable[[#This Row],[Original Price]]-FlipkartTable[[#This Row],[Selling Price]])/FlipkartTable[[#This Row],[Original Price]]</f>
        <v>0</v>
      </c>
      <c r="K1569">
        <f>(FlipkartTable[[#This Row],[Rating]]/FlipkartTable[[#This Row],[Selling Price]])*1000</f>
        <v>0.14004668222740915</v>
      </c>
      <c r="L1569" t="str">
        <f>IF(FlipkartTable[[#This Row],[Selling Price]]&lt;15000,"Budget",IF(FlipkartTable[[#This Row],[Selling Price]]&lt;50000,"Mid Range","Premium"))</f>
        <v>Mid Range</v>
      </c>
      <c r="M1569" t="str">
        <f>IF(FlipkartTable[[#This Row],[Rating]]&gt;4.5,"Excellent",IF(FlipkartTable[[#This Row],[Rating]]&gt;4,"Good",IF(FlipkartTable[[#This Row],[Rating]]&gt;3.5,"Average","Poor")))</f>
        <v>Good</v>
      </c>
    </row>
    <row r="1570" spans="1:13" x14ac:dyDescent="0.35">
      <c r="A1570" t="s">
        <v>663</v>
      </c>
      <c r="B1570" s="9" t="s">
        <v>760</v>
      </c>
      <c r="C1570" t="s">
        <v>19</v>
      </c>
      <c r="D1570" t="s">
        <v>20</v>
      </c>
      <c r="E1570" t="s">
        <v>21</v>
      </c>
      <c r="F1570">
        <v>4.4000000000000004</v>
      </c>
      <c r="G1570">
        <v>13500</v>
      </c>
      <c r="H1570">
        <v>13500</v>
      </c>
      <c r="I1570">
        <f>FlipkartTable[[#This Row],[Original Price]]-FlipkartTable[[#This Row],[Selling Price]]</f>
        <v>0</v>
      </c>
      <c r="J1570" s="4">
        <f>(FlipkartTable[[#This Row],[Original Price]]-FlipkartTable[[#This Row],[Selling Price]])/FlipkartTable[[#This Row],[Original Price]]</f>
        <v>0</v>
      </c>
      <c r="K1570">
        <f>(FlipkartTable[[#This Row],[Rating]]/FlipkartTable[[#This Row],[Selling Price]])*1000</f>
        <v>0.32592592592592595</v>
      </c>
      <c r="L1570" t="str">
        <f>IF(FlipkartTable[[#This Row],[Selling Price]]&lt;15000,"Budget",IF(FlipkartTable[[#This Row],[Selling Price]]&lt;50000,"Mid Range","Premium"))</f>
        <v>Budget</v>
      </c>
      <c r="M1570" t="str">
        <f>IF(FlipkartTable[[#This Row],[Rating]]&gt;4.5,"Excellent",IF(FlipkartTable[[#This Row],[Rating]]&gt;4,"Good",IF(FlipkartTable[[#This Row],[Rating]]&gt;3.5,"Average","Poor")))</f>
        <v>Good</v>
      </c>
    </row>
    <row r="1571" spans="1:13" x14ac:dyDescent="0.35">
      <c r="A1571" t="s">
        <v>663</v>
      </c>
      <c r="B1571" s="9" t="s">
        <v>801</v>
      </c>
      <c r="C1571" t="s">
        <v>116</v>
      </c>
      <c r="D1571" t="s">
        <v>11</v>
      </c>
      <c r="E1571" t="s">
        <v>12</v>
      </c>
      <c r="F1571">
        <v>4.4000000000000004</v>
      </c>
      <c r="G1571">
        <v>19500</v>
      </c>
      <c r="H1571">
        <v>19500</v>
      </c>
      <c r="I1571">
        <f>FlipkartTable[[#This Row],[Original Price]]-FlipkartTable[[#This Row],[Selling Price]]</f>
        <v>0</v>
      </c>
      <c r="J1571" s="4">
        <f>(FlipkartTable[[#This Row],[Original Price]]-FlipkartTable[[#This Row],[Selling Price]])/FlipkartTable[[#This Row],[Original Price]]</f>
        <v>0</v>
      </c>
      <c r="K1571">
        <f>(FlipkartTable[[#This Row],[Rating]]/FlipkartTable[[#This Row],[Selling Price]])*1000</f>
        <v>0.22564102564102564</v>
      </c>
      <c r="L1571" t="str">
        <f>IF(FlipkartTable[[#This Row],[Selling Price]]&lt;15000,"Budget",IF(FlipkartTable[[#This Row],[Selling Price]]&lt;50000,"Mid Range","Premium"))</f>
        <v>Mid Range</v>
      </c>
      <c r="M1571" t="str">
        <f>IF(FlipkartTable[[#This Row],[Rating]]&gt;4.5,"Excellent",IF(FlipkartTable[[#This Row],[Rating]]&gt;4,"Good",IF(FlipkartTable[[#This Row],[Rating]]&gt;3.5,"Average","Poor")))</f>
        <v>Good</v>
      </c>
    </row>
    <row r="1572" spans="1:13" x14ac:dyDescent="0.35">
      <c r="A1572" t="s">
        <v>663</v>
      </c>
      <c r="B1572" s="9" t="s">
        <v>796</v>
      </c>
      <c r="C1572" t="s">
        <v>19</v>
      </c>
      <c r="D1572" t="s">
        <v>35</v>
      </c>
      <c r="E1572" t="s">
        <v>124</v>
      </c>
      <c r="F1572">
        <v>4</v>
      </c>
      <c r="G1572">
        <v>14500</v>
      </c>
      <c r="H1572">
        <v>14500</v>
      </c>
      <c r="I1572">
        <f>FlipkartTable[[#This Row],[Original Price]]-FlipkartTable[[#This Row],[Selling Price]]</f>
        <v>0</v>
      </c>
      <c r="J1572" s="4">
        <f>(FlipkartTable[[#This Row],[Original Price]]-FlipkartTable[[#This Row],[Selling Price]])/FlipkartTable[[#This Row],[Original Price]]</f>
        <v>0</v>
      </c>
      <c r="K1572">
        <f>(FlipkartTable[[#This Row],[Rating]]/FlipkartTable[[#This Row],[Selling Price]])*1000</f>
        <v>0.27586206896551724</v>
      </c>
      <c r="L1572" t="str">
        <f>IF(FlipkartTable[[#This Row],[Selling Price]]&lt;15000,"Budget",IF(FlipkartTable[[#This Row],[Selling Price]]&lt;50000,"Mid Range","Premium"))</f>
        <v>Budget</v>
      </c>
      <c r="M1572" t="str">
        <f>IF(FlipkartTable[[#This Row],[Rating]]&gt;4.5,"Excellent",IF(FlipkartTable[[#This Row],[Rating]]&gt;4,"Good",IF(FlipkartTable[[#This Row],[Rating]]&gt;3.5,"Average","Poor")))</f>
        <v>Average</v>
      </c>
    </row>
    <row r="1573" spans="1:13" x14ac:dyDescent="0.35">
      <c r="A1573" t="s">
        <v>663</v>
      </c>
      <c r="B1573" s="9" t="s">
        <v>801</v>
      </c>
      <c r="C1573" t="s">
        <v>19</v>
      </c>
      <c r="D1573" t="s">
        <v>11</v>
      </c>
      <c r="E1573" t="s">
        <v>12</v>
      </c>
      <c r="F1573">
        <v>4.4000000000000004</v>
      </c>
      <c r="G1573">
        <v>19500</v>
      </c>
      <c r="H1573">
        <v>19500</v>
      </c>
      <c r="I1573">
        <f>FlipkartTable[[#This Row],[Original Price]]-FlipkartTable[[#This Row],[Selling Price]]</f>
        <v>0</v>
      </c>
      <c r="J1573" s="4">
        <f>(FlipkartTable[[#This Row],[Original Price]]-FlipkartTable[[#This Row],[Selling Price]])/FlipkartTable[[#This Row],[Original Price]]</f>
        <v>0</v>
      </c>
      <c r="K1573">
        <f>(FlipkartTable[[#This Row],[Rating]]/FlipkartTable[[#This Row],[Selling Price]])*1000</f>
        <v>0.22564102564102564</v>
      </c>
      <c r="L1573" t="str">
        <f>IF(FlipkartTable[[#This Row],[Selling Price]]&lt;15000,"Budget",IF(FlipkartTable[[#This Row],[Selling Price]]&lt;50000,"Mid Range","Premium"))</f>
        <v>Mid Range</v>
      </c>
      <c r="M1573" t="str">
        <f>IF(FlipkartTable[[#This Row],[Rating]]&gt;4.5,"Excellent",IF(FlipkartTable[[#This Row],[Rating]]&gt;4,"Good",IF(FlipkartTable[[#This Row],[Rating]]&gt;3.5,"Average","Poor")))</f>
        <v>Good</v>
      </c>
    </row>
    <row r="1574" spans="1:13" x14ac:dyDescent="0.35">
      <c r="A1574" t="s">
        <v>663</v>
      </c>
      <c r="B1574" s="9" t="s">
        <v>751</v>
      </c>
      <c r="C1574" t="s">
        <v>19</v>
      </c>
      <c r="D1574" t="s">
        <v>806</v>
      </c>
      <c r="E1574" t="s">
        <v>492</v>
      </c>
      <c r="F1574">
        <v>3.6</v>
      </c>
      <c r="G1574">
        <v>3200</v>
      </c>
      <c r="H1574">
        <v>3200</v>
      </c>
      <c r="I1574">
        <f>FlipkartTable[[#This Row],[Original Price]]-FlipkartTable[[#This Row],[Selling Price]]</f>
        <v>0</v>
      </c>
      <c r="J1574" s="4">
        <f>(FlipkartTable[[#This Row],[Original Price]]-FlipkartTable[[#This Row],[Selling Price]])/FlipkartTable[[#This Row],[Original Price]]</f>
        <v>0</v>
      </c>
      <c r="K1574">
        <f>(FlipkartTable[[#This Row],[Rating]]/FlipkartTable[[#This Row],[Selling Price]])*1000</f>
        <v>1.1250000000000002</v>
      </c>
      <c r="L1574" t="str">
        <f>IF(FlipkartTable[[#This Row],[Selling Price]]&lt;15000,"Budget",IF(FlipkartTable[[#This Row],[Selling Price]]&lt;50000,"Mid Range","Premium"))</f>
        <v>Budget</v>
      </c>
      <c r="M1574" t="str">
        <f>IF(FlipkartTable[[#This Row],[Rating]]&gt;4.5,"Excellent",IF(FlipkartTable[[#This Row],[Rating]]&gt;4,"Good",IF(FlipkartTable[[#This Row],[Rating]]&gt;3.5,"Average","Poor")))</f>
        <v>Average</v>
      </c>
    </row>
    <row r="1575" spans="1:13" x14ac:dyDescent="0.35">
      <c r="A1575" t="s">
        <v>663</v>
      </c>
      <c r="B1575" s="9" t="s">
        <v>794</v>
      </c>
      <c r="C1575" t="s">
        <v>807</v>
      </c>
      <c r="D1575" t="s">
        <v>27</v>
      </c>
      <c r="E1575" t="s">
        <v>15</v>
      </c>
      <c r="F1575">
        <v>4.4000000000000004</v>
      </c>
      <c r="G1575">
        <v>22999</v>
      </c>
      <c r="H1575">
        <v>22999</v>
      </c>
      <c r="I1575">
        <f>FlipkartTable[[#This Row],[Original Price]]-FlipkartTable[[#This Row],[Selling Price]]</f>
        <v>0</v>
      </c>
      <c r="J1575" s="4">
        <f>(FlipkartTable[[#This Row],[Original Price]]-FlipkartTable[[#This Row],[Selling Price]])/FlipkartTable[[#This Row],[Original Price]]</f>
        <v>0</v>
      </c>
      <c r="K1575">
        <f>(FlipkartTable[[#This Row],[Rating]]/FlipkartTable[[#This Row],[Selling Price]])*1000</f>
        <v>0.19131266576807687</v>
      </c>
      <c r="L1575" t="str">
        <f>IF(FlipkartTable[[#This Row],[Selling Price]]&lt;15000,"Budget",IF(FlipkartTable[[#This Row],[Selling Price]]&lt;50000,"Mid Range","Premium"))</f>
        <v>Mid Range</v>
      </c>
      <c r="M1575" t="str">
        <f>IF(FlipkartTable[[#This Row],[Rating]]&gt;4.5,"Excellent",IF(FlipkartTable[[#This Row],[Rating]]&gt;4,"Good",IF(FlipkartTable[[#This Row],[Rating]]&gt;3.5,"Average","Poor")))</f>
        <v>Good</v>
      </c>
    </row>
    <row r="1576" spans="1:13" x14ac:dyDescent="0.35">
      <c r="A1576" t="s">
        <v>663</v>
      </c>
      <c r="B1576" s="9" t="s">
        <v>747</v>
      </c>
      <c r="C1576" t="s">
        <v>699</v>
      </c>
      <c r="D1576" t="s">
        <v>14</v>
      </c>
      <c r="E1576" t="s">
        <v>15</v>
      </c>
      <c r="F1576">
        <v>4.3</v>
      </c>
      <c r="G1576">
        <v>16999</v>
      </c>
      <c r="H1576">
        <v>23999</v>
      </c>
      <c r="I1576">
        <f>FlipkartTable[[#This Row],[Original Price]]-FlipkartTable[[#This Row],[Selling Price]]</f>
        <v>7000</v>
      </c>
      <c r="J1576" s="4">
        <f>(FlipkartTable[[#This Row],[Original Price]]-FlipkartTable[[#This Row],[Selling Price]])/FlipkartTable[[#This Row],[Original Price]]</f>
        <v>0.29167881995083128</v>
      </c>
      <c r="K1576">
        <f>(FlipkartTable[[#This Row],[Rating]]/FlipkartTable[[#This Row],[Selling Price]])*1000</f>
        <v>0.25295605623860223</v>
      </c>
      <c r="L1576" t="str">
        <f>IF(FlipkartTable[[#This Row],[Selling Price]]&lt;15000,"Budget",IF(FlipkartTable[[#This Row],[Selling Price]]&lt;50000,"Mid Range","Premium"))</f>
        <v>Mid Range</v>
      </c>
      <c r="M1576" t="str">
        <f>IF(FlipkartTable[[#This Row],[Rating]]&gt;4.5,"Excellent",IF(FlipkartTable[[#This Row],[Rating]]&gt;4,"Good",IF(FlipkartTable[[#This Row],[Rating]]&gt;3.5,"Average","Poor")))</f>
        <v>Good</v>
      </c>
    </row>
    <row r="1577" spans="1:13" x14ac:dyDescent="0.35">
      <c r="A1577" t="s">
        <v>663</v>
      </c>
      <c r="B1577" s="9" t="s">
        <v>692</v>
      </c>
      <c r="C1577" t="s">
        <v>106</v>
      </c>
      <c r="D1577" t="s">
        <v>11</v>
      </c>
      <c r="E1577" t="s">
        <v>12</v>
      </c>
      <c r="F1577">
        <v>4.2</v>
      </c>
      <c r="G1577">
        <v>10499</v>
      </c>
      <c r="H1577">
        <v>11499</v>
      </c>
      <c r="I1577">
        <f>FlipkartTable[[#This Row],[Original Price]]-FlipkartTable[[#This Row],[Selling Price]]</f>
        <v>1000</v>
      </c>
      <c r="J1577" s="4">
        <f>(FlipkartTable[[#This Row],[Original Price]]-FlipkartTable[[#This Row],[Selling Price]])/FlipkartTable[[#This Row],[Original Price]]</f>
        <v>8.696408383337681E-2</v>
      </c>
      <c r="K1577">
        <f>(FlipkartTable[[#This Row],[Rating]]/FlipkartTable[[#This Row],[Selling Price]])*1000</f>
        <v>0.40003809886655872</v>
      </c>
      <c r="L1577" t="str">
        <f>IF(FlipkartTable[[#This Row],[Selling Price]]&lt;15000,"Budget",IF(FlipkartTable[[#This Row],[Selling Price]]&lt;50000,"Mid Range","Premium"))</f>
        <v>Budget</v>
      </c>
      <c r="M1577" t="str">
        <f>IF(FlipkartTable[[#This Row],[Rating]]&gt;4.5,"Excellent",IF(FlipkartTable[[#This Row],[Rating]]&gt;4,"Good",IF(FlipkartTable[[#This Row],[Rating]]&gt;3.5,"Average","Poor")))</f>
        <v>Good</v>
      </c>
    </row>
    <row r="1578" spans="1:13" x14ac:dyDescent="0.35">
      <c r="A1578" t="s">
        <v>663</v>
      </c>
      <c r="B1578" s="9" t="s">
        <v>677</v>
      </c>
      <c r="C1578" t="s">
        <v>717</v>
      </c>
      <c r="D1578" t="s">
        <v>27</v>
      </c>
      <c r="E1578" t="s">
        <v>15</v>
      </c>
      <c r="F1578">
        <v>4.2</v>
      </c>
      <c r="G1578">
        <v>22450</v>
      </c>
      <c r="H1578">
        <v>22450</v>
      </c>
      <c r="I1578">
        <f>FlipkartTable[[#This Row],[Original Price]]-FlipkartTable[[#This Row],[Selling Price]]</f>
        <v>0</v>
      </c>
      <c r="J1578" s="4">
        <f>(FlipkartTable[[#This Row],[Original Price]]-FlipkartTable[[#This Row],[Selling Price]])/FlipkartTable[[#This Row],[Original Price]]</f>
        <v>0</v>
      </c>
      <c r="K1578">
        <f>(FlipkartTable[[#This Row],[Rating]]/FlipkartTable[[#This Row],[Selling Price]])*1000</f>
        <v>0.18708240534521159</v>
      </c>
      <c r="L1578" t="str">
        <f>IF(FlipkartTable[[#This Row],[Selling Price]]&lt;15000,"Budget",IF(FlipkartTable[[#This Row],[Selling Price]]&lt;50000,"Mid Range","Premium"))</f>
        <v>Mid Range</v>
      </c>
      <c r="M1578" t="str">
        <f>IF(FlipkartTable[[#This Row],[Rating]]&gt;4.5,"Excellent",IF(FlipkartTable[[#This Row],[Rating]]&gt;4,"Good",IF(FlipkartTable[[#This Row],[Rating]]&gt;3.5,"Average","Poor")))</f>
        <v>Good</v>
      </c>
    </row>
    <row r="1579" spans="1:13" x14ac:dyDescent="0.35">
      <c r="A1579" t="s">
        <v>663</v>
      </c>
      <c r="B1579" s="9" t="s">
        <v>701</v>
      </c>
      <c r="C1579" t="s">
        <v>260</v>
      </c>
      <c r="D1579" t="s">
        <v>27</v>
      </c>
      <c r="E1579" t="s">
        <v>15</v>
      </c>
      <c r="F1579">
        <v>4.3</v>
      </c>
      <c r="G1579">
        <v>25999</v>
      </c>
      <c r="H1579">
        <v>31999</v>
      </c>
      <c r="I1579">
        <f>FlipkartTable[[#This Row],[Original Price]]-FlipkartTable[[#This Row],[Selling Price]]</f>
        <v>6000</v>
      </c>
      <c r="J1579" s="4">
        <f>(FlipkartTable[[#This Row],[Original Price]]-FlipkartTable[[#This Row],[Selling Price]])/FlipkartTable[[#This Row],[Original Price]]</f>
        <v>0.18750585955811119</v>
      </c>
      <c r="K1579">
        <f>(FlipkartTable[[#This Row],[Rating]]/FlipkartTable[[#This Row],[Selling Price]])*1000</f>
        <v>0.16539097657602217</v>
      </c>
      <c r="L1579" t="str">
        <f>IF(FlipkartTable[[#This Row],[Selling Price]]&lt;15000,"Budget",IF(FlipkartTable[[#This Row],[Selling Price]]&lt;50000,"Mid Range","Premium"))</f>
        <v>Mid Range</v>
      </c>
      <c r="M1579" t="str">
        <f>IF(FlipkartTable[[#This Row],[Rating]]&gt;4.5,"Excellent",IF(FlipkartTable[[#This Row],[Rating]]&gt;4,"Good",IF(FlipkartTable[[#This Row],[Rating]]&gt;3.5,"Average","Poor")))</f>
        <v>Good</v>
      </c>
    </row>
    <row r="1580" spans="1:13" x14ac:dyDescent="0.35">
      <c r="A1580" t="s">
        <v>663</v>
      </c>
      <c r="B1580" s="9" t="s">
        <v>709</v>
      </c>
      <c r="C1580" t="s">
        <v>435</v>
      </c>
      <c r="D1580" t="s">
        <v>14</v>
      </c>
      <c r="E1580" t="s">
        <v>15</v>
      </c>
      <c r="F1580">
        <v>4.3</v>
      </c>
      <c r="G1580">
        <v>14499</v>
      </c>
      <c r="H1580">
        <v>20999</v>
      </c>
      <c r="I1580">
        <f>FlipkartTable[[#This Row],[Original Price]]-FlipkartTable[[#This Row],[Selling Price]]</f>
        <v>6500</v>
      </c>
      <c r="J1580" s="4">
        <f>(FlipkartTable[[#This Row],[Original Price]]-FlipkartTable[[#This Row],[Selling Price]])/FlipkartTable[[#This Row],[Original Price]]</f>
        <v>0.30953854945473597</v>
      </c>
      <c r="K1580">
        <f>(FlipkartTable[[#This Row],[Rating]]/FlipkartTable[[#This Row],[Selling Price]])*1000</f>
        <v>0.29657217739154423</v>
      </c>
      <c r="L1580" t="str">
        <f>IF(FlipkartTable[[#This Row],[Selling Price]]&lt;15000,"Budget",IF(FlipkartTable[[#This Row],[Selling Price]]&lt;50000,"Mid Range","Premium"))</f>
        <v>Budget</v>
      </c>
      <c r="M1580" t="str">
        <f>IF(FlipkartTable[[#This Row],[Rating]]&gt;4.5,"Excellent",IF(FlipkartTable[[#This Row],[Rating]]&gt;4,"Good",IF(FlipkartTable[[#This Row],[Rating]]&gt;3.5,"Average","Poor")))</f>
        <v>Good</v>
      </c>
    </row>
    <row r="1581" spans="1:13" x14ac:dyDescent="0.35">
      <c r="A1581" t="s">
        <v>663</v>
      </c>
      <c r="B1581" s="9" t="s">
        <v>808</v>
      </c>
      <c r="C1581" t="s">
        <v>809</v>
      </c>
      <c r="D1581" t="s">
        <v>27</v>
      </c>
      <c r="E1581" t="s">
        <v>15</v>
      </c>
      <c r="F1581">
        <v>4.4000000000000004</v>
      </c>
      <c r="G1581">
        <v>28490</v>
      </c>
      <c r="H1581">
        <v>33450</v>
      </c>
      <c r="I1581">
        <f>FlipkartTable[[#This Row],[Original Price]]-FlipkartTable[[#This Row],[Selling Price]]</f>
        <v>4960</v>
      </c>
      <c r="J1581" s="4">
        <f>(FlipkartTable[[#This Row],[Original Price]]-FlipkartTable[[#This Row],[Selling Price]])/FlipkartTable[[#This Row],[Original Price]]</f>
        <v>0.14828101644245142</v>
      </c>
      <c r="K1581">
        <f>(FlipkartTable[[#This Row],[Rating]]/FlipkartTable[[#This Row],[Selling Price]])*1000</f>
        <v>0.15444015444015444</v>
      </c>
      <c r="L1581" t="str">
        <f>IF(FlipkartTable[[#This Row],[Selling Price]]&lt;15000,"Budget",IF(FlipkartTable[[#This Row],[Selling Price]]&lt;50000,"Mid Range","Premium"))</f>
        <v>Mid Range</v>
      </c>
      <c r="M1581" t="str">
        <f>IF(FlipkartTable[[#This Row],[Rating]]&gt;4.5,"Excellent",IF(FlipkartTable[[#This Row],[Rating]]&gt;4,"Good",IF(FlipkartTable[[#This Row],[Rating]]&gt;3.5,"Average","Poor")))</f>
        <v>Good</v>
      </c>
    </row>
    <row r="1582" spans="1:13" x14ac:dyDescent="0.35">
      <c r="A1582" t="s">
        <v>663</v>
      </c>
      <c r="B1582" s="9" t="s">
        <v>709</v>
      </c>
      <c r="C1582" t="s">
        <v>395</v>
      </c>
      <c r="D1582" t="s">
        <v>14</v>
      </c>
      <c r="E1582" t="s">
        <v>15</v>
      </c>
      <c r="F1582">
        <v>4.3</v>
      </c>
      <c r="G1582">
        <v>14499</v>
      </c>
      <c r="H1582">
        <v>20999</v>
      </c>
      <c r="I1582">
        <f>FlipkartTable[[#This Row],[Original Price]]-FlipkartTable[[#This Row],[Selling Price]]</f>
        <v>6500</v>
      </c>
      <c r="J1582" s="4">
        <f>(FlipkartTable[[#This Row],[Original Price]]-FlipkartTable[[#This Row],[Selling Price]])/FlipkartTable[[#This Row],[Original Price]]</f>
        <v>0.30953854945473597</v>
      </c>
      <c r="K1582">
        <f>(FlipkartTable[[#This Row],[Rating]]/FlipkartTable[[#This Row],[Selling Price]])*1000</f>
        <v>0.29657217739154423</v>
      </c>
      <c r="L1582" t="str">
        <f>IF(FlipkartTable[[#This Row],[Selling Price]]&lt;15000,"Budget",IF(FlipkartTable[[#This Row],[Selling Price]]&lt;50000,"Mid Range","Premium"))</f>
        <v>Budget</v>
      </c>
      <c r="M1582" t="str">
        <f>IF(FlipkartTable[[#This Row],[Rating]]&gt;4.5,"Excellent",IF(FlipkartTable[[#This Row],[Rating]]&gt;4,"Good",IF(FlipkartTable[[#This Row],[Rating]]&gt;3.5,"Average","Poor")))</f>
        <v>Good</v>
      </c>
    </row>
    <row r="1583" spans="1:13" x14ac:dyDescent="0.35">
      <c r="A1583" t="s">
        <v>663</v>
      </c>
      <c r="B1583" s="9" t="s">
        <v>709</v>
      </c>
      <c r="C1583" t="s">
        <v>435</v>
      </c>
      <c r="D1583" t="s">
        <v>14</v>
      </c>
      <c r="E1583" t="s">
        <v>12</v>
      </c>
      <c r="F1583">
        <v>4.3</v>
      </c>
      <c r="G1583">
        <v>15999</v>
      </c>
      <c r="H1583">
        <v>19999</v>
      </c>
      <c r="I1583">
        <f>FlipkartTable[[#This Row],[Original Price]]-FlipkartTable[[#This Row],[Selling Price]]</f>
        <v>4000</v>
      </c>
      <c r="J1583" s="4">
        <f>(FlipkartTable[[#This Row],[Original Price]]-FlipkartTable[[#This Row],[Selling Price]])/FlipkartTable[[#This Row],[Original Price]]</f>
        <v>0.20001000050002501</v>
      </c>
      <c r="K1583">
        <f>(FlipkartTable[[#This Row],[Rating]]/FlipkartTable[[#This Row],[Selling Price]])*1000</f>
        <v>0.26876679792487029</v>
      </c>
      <c r="L1583" t="str">
        <f>IF(FlipkartTable[[#This Row],[Selling Price]]&lt;15000,"Budget",IF(FlipkartTable[[#This Row],[Selling Price]]&lt;50000,"Mid Range","Premium"))</f>
        <v>Mid Range</v>
      </c>
      <c r="M1583" t="str">
        <f>IF(FlipkartTable[[#This Row],[Rating]]&gt;4.5,"Excellent",IF(FlipkartTable[[#This Row],[Rating]]&gt;4,"Good",IF(FlipkartTable[[#This Row],[Rating]]&gt;3.5,"Average","Poor")))</f>
        <v>Good</v>
      </c>
    </row>
    <row r="1584" spans="1:13" x14ac:dyDescent="0.35">
      <c r="A1584" t="s">
        <v>663</v>
      </c>
      <c r="B1584" s="9" t="s">
        <v>672</v>
      </c>
      <c r="C1584" t="s">
        <v>84</v>
      </c>
      <c r="D1584" t="s">
        <v>11</v>
      </c>
      <c r="E1584" t="s">
        <v>12</v>
      </c>
      <c r="F1584">
        <v>4.0999999999999996</v>
      </c>
      <c r="G1584">
        <v>9999</v>
      </c>
      <c r="H1584">
        <v>10490</v>
      </c>
      <c r="I1584">
        <f>FlipkartTable[[#This Row],[Original Price]]-FlipkartTable[[#This Row],[Selling Price]]</f>
        <v>491</v>
      </c>
      <c r="J1584" s="4">
        <f>(FlipkartTable[[#This Row],[Original Price]]-FlipkartTable[[#This Row],[Selling Price]])/FlipkartTable[[#This Row],[Original Price]]</f>
        <v>4.680648236415634E-2</v>
      </c>
      <c r="K1584">
        <f>(FlipkartTable[[#This Row],[Rating]]/FlipkartTable[[#This Row],[Selling Price]])*1000</f>
        <v>0.41004100410041</v>
      </c>
      <c r="L1584" t="str">
        <f>IF(FlipkartTable[[#This Row],[Selling Price]]&lt;15000,"Budget",IF(FlipkartTable[[#This Row],[Selling Price]]&lt;50000,"Mid Range","Premium"))</f>
        <v>Budget</v>
      </c>
      <c r="M1584" t="str">
        <f>IF(FlipkartTable[[#This Row],[Rating]]&gt;4.5,"Excellent",IF(FlipkartTable[[#This Row],[Rating]]&gt;4,"Good",IF(FlipkartTable[[#This Row],[Rating]]&gt;3.5,"Average","Poor")))</f>
        <v>Good</v>
      </c>
    </row>
    <row r="1585" spans="1:13" x14ac:dyDescent="0.35">
      <c r="A1585" t="s">
        <v>663</v>
      </c>
      <c r="B1585" s="9" t="s">
        <v>711</v>
      </c>
      <c r="C1585" t="s">
        <v>694</v>
      </c>
      <c r="D1585" t="s">
        <v>27</v>
      </c>
      <c r="E1585" t="s">
        <v>15</v>
      </c>
      <c r="F1585">
        <v>4.4000000000000004</v>
      </c>
      <c r="G1585">
        <v>28999</v>
      </c>
      <c r="H1585">
        <v>31999</v>
      </c>
      <c r="I1585">
        <f>FlipkartTable[[#This Row],[Original Price]]-FlipkartTable[[#This Row],[Selling Price]]</f>
        <v>3000</v>
      </c>
      <c r="J1585" s="4">
        <f>(FlipkartTable[[#This Row],[Original Price]]-FlipkartTable[[#This Row],[Selling Price]])/FlipkartTable[[#This Row],[Original Price]]</f>
        <v>9.3752929779055597E-2</v>
      </c>
      <c r="K1585">
        <f>(FlipkartTable[[#This Row],[Rating]]/FlipkartTable[[#This Row],[Selling Price]])*1000</f>
        <v>0.15172936997827513</v>
      </c>
      <c r="L1585" t="str">
        <f>IF(FlipkartTable[[#This Row],[Selling Price]]&lt;15000,"Budget",IF(FlipkartTable[[#This Row],[Selling Price]]&lt;50000,"Mid Range","Premium"))</f>
        <v>Mid Range</v>
      </c>
      <c r="M1585" t="str">
        <f>IF(FlipkartTable[[#This Row],[Rating]]&gt;4.5,"Excellent",IF(FlipkartTable[[#This Row],[Rating]]&gt;4,"Good",IF(FlipkartTable[[#This Row],[Rating]]&gt;3.5,"Average","Poor")))</f>
        <v>Good</v>
      </c>
    </row>
    <row r="1586" spans="1:13" x14ac:dyDescent="0.35">
      <c r="A1586" t="s">
        <v>663</v>
      </c>
      <c r="B1586" s="9" t="s">
        <v>693</v>
      </c>
      <c r="C1586" t="s">
        <v>719</v>
      </c>
      <c r="D1586" t="s">
        <v>27</v>
      </c>
      <c r="E1586" t="s">
        <v>15</v>
      </c>
      <c r="F1586">
        <v>4.3</v>
      </c>
      <c r="G1586">
        <v>34999</v>
      </c>
      <c r="H1586">
        <v>41999</v>
      </c>
      <c r="I1586">
        <f>FlipkartTable[[#This Row],[Original Price]]-FlipkartTable[[#This Row],[Selling Price]]</f>
        <v>7000</v>
      </c>
      <c r="J1586" s="4">
        <f>(FlipkartTable[[#This Row],[Original Price]]-FlipkartTable[[#This Row],[Selling Price]])/FlipkartTable[[#This Row],[Original Price]]</f>
        <v>0.16667063501511942</v>
      </c>
      <c r="K1586">
        <f>(FlipkartTable[[#This Row],[Rating]]/FlipkartTable[[#This Row],[Selling Price]])*1000</f>
        <v>0.1228606531615189</v>
      </c>
      <c r="L1586" t="str">
        <f>IF(FlipkartTable[[#This Row],[Selling Price]]&lt;15000,"Budget",IF(FlipkartTable[[#This Row],[Selling Price]]&lt;50000,"Mid Range","Premium"))</f>
        <v>Mid Range</v>
      </c>
      <c r="M1586" t="str">
        <f>IF(FlipkartTable[[#This Row],[Rating]]&gt;4.5,"Excellent",IF(FlipkartTable[[#This Row],[Rating]]&gt;4,"Good",IF(FlipkartTable[[#This Row],[Rating]]&gt;3.5,"Average","Poor")))</f>
        <v>Good</v>
      </c>
    </row>
    <row r="1587" spans="1:13" x14ac:dyDescent="0.35">
      <c r="A1587" t="s">
        <v>663</v>
      </c>
      <c r="B1587" s="9" t="s">
        <v>709</v>
      </c>
      <c r="C1587" t="s">
        <v>810</v>
      </c>
      <c r="D1587" t="s">
        <v>14</v>
      </c>
      <c r="E1587" t="s">
        <v>15</v>
      </c>
      <c r="F1587">
        <v>4.3</v>
      </c>
      <c r="G1587">
        <v>14499</v>
      </c>
      <c r="H1587">
        <v>20999</v>
      </c>
      <c r="I1587">
        <f>FlipkartTable[[#This Row],[Original Price]]-FlipkartTable[[#This Row],[Selling Price]]</f>
        <v>6500</v>
      </c>
      <c r="J1587" s="4">
        <f>(FlipkartTable[[#This Row],[Original Price]]-FlipkartTable[[#This Row],[Selling Price]])/FlipkartTable[[#This Row],[Original Price]]</f>
        <v>0.30953854945473597</v>
      </c>
      <c r="K1587">
        <f>(FlipkartTable[[#This Row],[Rating]]/FlipkartTable[[#This Row],[Selling Price]])*1000</f>
        <v>0.29657217739154423</v>
      </c>
      <c r="L1587" t="str">
        <f>IF(FlipkartTable[[#This Row],[Selling Price]]&lt;15000,"Budget",IF(FlipkartTable[[#This Row],[Selling Price]]&lt;50000,"Mid Range","Premium"))</f>
        <v>Budget</v>
      </c>
      <c r="M1587" t="str">
        <f>IF(FlipkartTable[[#This Row],[Rating]]&gt;4.5,"Excellent",IF(FlipkartTable[[#This Row],[Rating]]&gt;4,"Good",IF(FlipkartTable[[#This Row],[Rating]]&gt;3.5,"Average","Poor")))</f>
        <v>Good</v>
      </c>
    </row>
    <row r="1588" spans="1:13" x14ac:dyDescent="0.35">
      <c r="A1588" t="s">
        <v>663</v>
      </c>
      <c r="B1588" s="9" t="s">
        <v>696</v>
      </c>
      <c r="C1588" t="s">
        <v>19</v>
      </c>
      <c r="D1588" t="s">
        <v>14</v>
      </c>
      <c r="E1588" t="s">
        <v>15</v>
      </c>
      <c r="F1588">
        <v>4.4000000000000004</v>
      </c>
      <c r="G1588">
        <v>16980</v>
      </c>
      <c r="H1588">
        <v>18200</v>
      </c>
      <c r="I1588">
        <f>FlipkartTable[[#This Row],[Original Price]]-FlipkartTable[[#This Row],[Selling Price]]</f>
        <v>1220</v>
      </c>
      <c r="J1588" s="4">
        <f>(FlipkartTable[[#This Row],[Original Price]]-FlipkartTable[[#This Row],[Selling Price]])/FlipkartTable[[#This Row],[Original Price]]</f>
        <v>6.7032967032967031E-2</v>
      </c>
      <c r="K1588">
        <f>(FlipkartTable[[#This Row],[Rating]]/FlipkartTable[[#This Row],[Selling Price]])*1000</f>
        <v>0.25912838633686691</v>
      </c>
      <c r="L1588" t="str">
        <f>IF(FlipkartTable[[#This Row],[Selling Price]]&lt;15000,"Budget",IF(FlipkartTable[[#This Row],[Selling Price]]&lt;50000,"Mid Range","Premium"))</f>
        <v>Mid Range</v>
      </c>
      <c r="M1588" t="str">
        <f>IF(FlipkartTable[[#This Row],[Rating]]&gt;4.5,"Excellent",IF(FlipkartTable[[#This Row],[Rating]]&gt;4,"Good",IF(FlipkartTable[[#This Row],[Rating]]&gt;3.5,"Average","Poor")))</f>
        <v>Good</v>
      </c>
    </row>
    <row r="1589" spans="1:13" x14ac:dyDescent="0.35">
      <c r="A1589" t="s">
        <v>663</v>
      </c>
      <c r="B1589" s="9" t="s">
        <v>693</v>
      </c>
      <c r="C1589" t="s">
        <v>713</v>
      </c>
      <c r="D1589" t="s">
        <v>27</v>
      </c>
      <c r="E1589" t="s">
        <v>15</v>
      </c>
      <c r="F1589">
        <v>4.3</v>
      </c>
      <c r="G1589">
        <v>34999</v>
      </c>
      <c r="H1589">
        <v>41999</v>
      </c>
      <c r="I1589">
        <f>FlipkartTable[[#This Row],[Original Price]]-FlipkartTable[[#This Row],[Selling Price]]</f>
        <v>7000</v>
      </c>
      <c r="J1589" s="4">
        <f>(FlipkartTable[[#This Row],[Original Price]]-FlipkartTable[[#This Row],[Selling Price]])/FlipkartTable[[#This Row],[Original Price]]</f>
        <v>0.16667063501511942</v>
      </c>
      <c r="K1589">
        <f>(FlipkartTable[[#This Row],[Rating]]/FlipkartTable[[#This Row],[Selling Price]])*1000</f>
        <v>0.1228606531615189</v>
      </c>
      <c r="L1589" t="str">
        <f>IF(FlipkartTable[[#This Row],[Selling Price]]&lt;15000,"Budget",IF(FlipkartTable[[#This Row],[Selling Price]]&lt;50000,"Mid Range","Premium"))</f>
        <v>Mid Range</v>
      </c>
      <c r="M1589" t="str">
        <f>IF(FlipkartTable[[#This Row],[Rating]]&gt;4.5,"Excellent",IF(FlipkartTable[[#This Row],[Rating]]&gt;4,"Good",IF(FlipkartTable[[#This Row],[Rating]]&gt;3.5,"Average","Poor")))</f>
        <v>Good</v>
      </c>
    </row>
    <row r="1590" spans="1:13" x14ac:dyDescent="0.35">
      <c r="A1590" t="s">
        <v>663</v>
      </c>
      <c r="B1590" s="9" t="s">
        <v>811</v>
      </c>
      <c r="C1590" t="s">
        <v>152</v>
      </c>
      <c r="D1590" t="s">
        <v>11</v>
      </c>
      <c r="E1590" t="s">
        <v>12</v>
      </c>
      <c r="F1590">
        <v>4.3</v>
      </c>
      <c r="G1590">
        <v>14990</v>
      </c>
      <c r="H1590">
        <v>14990</v>
      </c>
      <c r="I1590">
        <f>FlipkartTable[[#This Row],[Original Price]]-FlipkartTable[[#This Row],[Selling Price]]</f>
        <v>0</v>
      </c>
      <c r="J1590" s="4">
        <f>(FlipkartTable[[#This Row],[Original Price]]-FlipkartTable[[#This Row],[Selling Price]])/FlipkartTable[[#This Row],[Original Price]]</f>
        <v>0</v>
      </c>
      <c r="K1590">
        <f>(FlipkartTable[[#This Row],[Rating]]/FlipkartTable[[#This Row],[Selling Price]])*1000</f>
        <v>0.28685790527018012</v>
      </c>
      <c r="L1590" t="str">
        <f>IF(FlipkartTable[[#This Row],[Selling Price]]&lt;15000,"Budget",IF(FlipkartTable[[#This Row],[Selling Price]]&lt;50000,"Mid Range","Premium"))</f>
        <v>Budget</v>
      </c>
      <c r="M1590" t="str">
        <f>IF(FlipkartTable[[#This Row],[Rating]]&gt;4.5,"Excellent",IF(FlipkartTable[[#This Row],[Rating]]&gt;4,"Good",IF(FlipkartTable[[#This Row],[Rating]]&gt;3.5,"Average","Poor")))</f>
        <v>Good</v>
      </c>
    </row>
    <row r="1591" spans="1:13" x14ac:dyDescent="0.35">
      <c r="A1591" t="s">
        <v>663</v>
      </c>
      <c r="B1591" s="9" t="s">
        <v>752</v>
      </c>
      <c r="C1591" t="s">
        <v>22</v>
      </c>
      <c r="D1591" t="s">
        <v>20</v>
      </c>
      <c r="E1591" t="s">
        <v>21</v>
      </c>
      <c r="F1591">
        <v>4.3</v>
      </c>
      <c r="G1591">
        <v>11599</v>
      </c>
      <c r="H1591">
        <v>12900</v>
      </c>
      <c r="I1591">
        <f>FlipkartTable[[#This Row],[Original Price]]-FlipkartTable[[#This Row],[Selling Price]]</f>
        <v>1301</v>
      </c>
      <c r="J1591" s="4">
        <f>(FlipkartTable[[#This Row],[Original Price]]-FlipkartTable[[#This Row],[Selling Price]])/FlipkartTable[[#This Row],[Original Price]]</f>
        <v>0.10085271317829457</v>
      </c>
      <c r="K1591">
        <f>(FlipkartTable[[#This Row],[Rating]]/FlipkartTable[[#This Row],[Selling Price]])*1000</f>
        <v>0.37072161393223552</v>
      </c>
      <c r="L1591" t="str">
        <f>IF(FlipkartTable[[#This Row],[Selling Price]]&lt;15000,"Budget",IF(FlipkartTable[[#This Row],[Selling Price]]&lt;50000,"Mid Range","Premium"))</f>
        <v>Budget</v>
      </c>
      <c r="M1591" t="str">
        <f>IF(FlipkartTable[[#This Row],[Rating]]&gt;4.5,"Excellent",IF(FlipkartTable[[#This Row],[Rating]]&gt;4,"Good",IF(FlipkartTable[[#This Row],[Rating]]&gt;3.5,"Average","Poor")))</f>
        <v>Good</v>
      </c>
    </row>
    <row r="1592" spans="1:13" x14ac:dyDescent="0.35">
      <c r="A1592" t="s">
        <v>663</v>
      </c>
      <c r="B1592" s="9" t="s">
        <v>703</v>
      </c>
      <c r="C1592" t="s">
        <v>719</v>
      </c>
      <c r="D1592" t="s">
        <v>14</v>
      </c>
      <c r="E1592" t="s">
        <v>15</v>
      </c>
      <c r="F1592">
        <v>4.3</v>
      </c>
      <c r="G1592">
        <v>35999</v>
      </c>
      <c r="H1592">
        <v>38999</v>
      </c>
      <c r="I1592">
        <f>FlipkartTable[[#This Row],[Original Price]]-FlipkartTable[[#This Row],[Selling Price]]</f>
        <v>3000</v>
      </c>
      <c r="J1592" s="4">
        <f>(FlipkartTable[[#This Row],[Original Price]]-FlipkartTable[[#This Row],[Selling Price]])/FlipkartTable[[#This Row],[Original Price]]</f>
        <v>7.692504936024E-2</v>
      </c>
      <c r="K1592">
        <f>(FlipkartTable[[#This Row],[Rating]]/FlipkartTable[[#This Row],[Selling Price]])*1000</f>
        <v>0.11944776243784549</v>
      </c>
      <c r="L1592" t="str">
        <f>IF(FlipkartTable[[#This Row],[Selling Price]]&lt;15000,"Budget",IF(FlipkartTable[[#This Row],[Selling Price]]&lt;50000,"Mid Range","Premium"))</f>
        <v>Mid Range</v>
      </c>
      <c r="M1592" t="str">
        <f>IF(FlipkartTable[[#This Row],[Rating]]&gt;4.5,"Excellent",IF(FlipkartTable[[#This Row],[Rating]]&gt;4,"Good",IF(FlipkartTable[[#This Row],[Rating]]&gt;3.5,"Average","Poor")))</f>
        <v>Good</v>
      </c>
    </row>
    <row r="1593" spans="1:13" x14ac:dyDescent="0.35">
      <c r="A1593" t="s">
        <v>663</v>
      </c>
      <c r="B1593" s="9" t="s">
        <v>677</v>
      </c>
      <c r="C1593" t="s">
        <v>717</v>
      </c>
      <c r="D1593" t="s">
        <v>14</v>
      </c>
      <c r="E1593" t="s">
        <v>15</v>
      </c>
      <c r="F1593">
        <v>4.3</v>
      </c>
      <c r="G1593">
        <v>19999</v>
      </c>
      <c r="H1593">
        <v>22499</v>
      </c>
      <c r="I1593">
        <f>FlipkartTable[[#This Row],[Original Price]]-FlipkartTable[[#This Row],[Selling Price]]</f>
        <v>2500</v>
      </c>
      <c r="J1593" s="4">
        <f>(FlipkartTable[[#This Row],[Original Price]]-FlipkartTable[[#This Row],[Selling Price]])/FlipkartTable[[#This Row],[Original Price]]</f>
        <v>0.11111604960220454</v>
      </c>
      <c r="K1593">
        <f>(FlipkartTable[[#This Row],[Rating]]/FlipkartTable[[#This Row],[Selling Price]])*1000</f>
        <v>0.21501075053752686</v>
      </c>
      <c r="L1593" t="str">
        <f>IF(FlipkartTable[[#This Row],[Selling Price]]&lt;15000,"Budget",IF(FlipkartTable[[#This Row],[Selling Price]]&lt;50000,"Mid Range","Premium"))</f>
        <v>Mid Range</v>
      </c>
      <c r="M1593" t="str">
        <f>IF(FlipkartTable[[#This Row],[Rating]]&gt;4.5,"Excellent",IF(FlipkartTable[[#This Row],[Rating]]&gt;4,"Good",IF(FlipkartTable[[#This Row],[Rating]]&gt;3.5,"Average","Poor")))</f>
        <v>Good</v>
      </c>
    </row>
    <row r="1594" spans="1:13" x14ac:dyDescent="0.35">
      <c r="A1594" t="s">
        <v>663</v>
      </c>
      <c r="B1594" s="9" t="s">
        <v>693</v>
      </c>
      <c r="C1594" t="s">
        <v>713</v>
      </c>
      <c r="D1594" t="s">
        <v>27</v>
      </c>
      <c r="E1594" t="s">
        <v>64</v>
      </c>
      <c r="F1594">
        <v>4.3</v>
      </c>
      <c r="G1594">
        <v>37999</v>
      </c>
      <c r="H1594">
        <v>43999</v>
      </c>
      <c r="I1594">
        <f>FlipkartTable[[#This Row],[Original Price]]-FlipkartTable[[#This Row],[Selling Price]]</f>
        <v>6000</v>
      </c>
      <c r="J1594" s="4">
        <f>(FlipkartTable[[#This Row],[Original Price]]-FlipkartTable[[#This Row],[Selling Price]])/FlipkartTable[[#This Row],[Original Price]]</f>
        <v>0.13636673560762744</v>
      </c>
      <c r="K1594">
        <f>(FlipkartTable[[#This Row],[Rating]]/FlipkartTable[[#This Row],[Selling Price]])*1000</f>
        <v>0.11316087265454354</v>
      </c>
      <c r="L1594" t="str">
        <f>IF(FlipkartTable[[#This Row],[Selling Price]]&lt;15000,"Budget",IF(FlipkartTable[[#This Row],[Selling Price]]&lt;50000,"Mid Range","Premium"))</f>
        <v>Mid Range</v>
      </c>
      <c r="M1594" t="str">
        <f>IF(FlipkartTable[[#This Row],[Rating]]&gt;4.5,"Excellent",IF(FlipkartTable[[#This Row],[Rating]]&gt;4,"Good",IF(FlipkartTable[[#This Row],[Rating]]&gt;3.5,"Average","Poor")))</f>
        <v>Good</v>
      </c>
    </row>
    <row r="1595" spans="1:13" x14ac:dyDescent="0.35">
      <c r="A1595" t="s">
        <v>663</v>
      </c>
      <c r="B1595" s="9" t="s">
        <v>782</v>
      </c>
      <c r="C1595" t="s">
        <v>79</v>
      </c>
      <c r="D1595" t="s">
        <v>14</v>
      </c>
      <c r="E1595" t="s">
        <v>15</v>
      </c>
      <c r="F1595">
        <v>4.0999999999999996</v>
      </c>
      <c r="G1595">
        <v>14300</v>
      </c>
      <c r="H1595">
        <v>14300</v>
      </c>
      <c r="I1595">
        <f>FlipkartTable[[#This Row],[Original Price]]-FlipkartTable[[#This Row],[Selling Price]]</f>
        <v>0</v>
      </c>
      <c r="J1595" s="4">
        <f>(FlipkartTable[[#This Row],[Original Price]]-FlipkartTable[[#This Row],[Selling Price]])/FlipkartTable[[#This Row],[Original Price]]</f>
        <v>0</v>
      </c>
      <c r="K1595">
        <f>(FlipkartTable[[#This Row],[Rating]]/FlipkartTable[[#This Row],[Selling Price]])*1000</f>
        <v>0.28671328671328672</v>
      </c>
      <c r="L1595" t="str">
        <f>IF(FlipkartTable[[#This Row],[Selling Price]]&lt;15000,"Budget",IF(FlipkartTable[[#This Row],[Selling Price]]&lt;50000,"Mid Range","Premium"))</f>
        <v>Budget</v>
      </c>
      <c r="M1595" t="str">
        <f>IF(FlipkartTable[[#This Row],[Rating]]&gt;4.5,"Excellent",IF(FlipkartTable[[#This Row],[Rating]]&gt;4,"Good",IF(FlipkartTable[[#This Row],[Rating]]&gt;3.5,"Average","Poor")))</f>
        <v>Good</v>
      </c>
    </row>
    <row r="1596" spans="1:13" x14ac:dyDescent="0.35">
      <c r="A1596" t="s">
        <v>663</v>
      </c>
      <c r="B1596" s="9" t="s">
        <v>675</v>
      </c>
      <c r="C1596" t="s">
        <v>22</v>
      </c>
      <c r="D1596" t="s">
        <v>11</v>
      </c>
      <c r="E1596" t="s">
        <v>15</v>
      </c>
      <c r="F1596">
        <v>4.2</v>
      </c>
      <c r="G1596">
        <v>14999</v>
      </c>
      <c r="H1596">
        <v>14999</v>
      </c>
      <c r="I1596">
        <f>FlipkartTable[[#This Row],[Original Price]]-FlipkartTable[[#This Row],[Selling Price]]</f>
        <v>0</v>
      </c>
      <c r="J1596" s="4">
        <f>(FlipkartTable[[#This Row],[Original Price]]-FlipkartTable[[#This Row],[Selling Price]])/FlipkartTable[[#This Row],[Original Price]]</f>
        <v>0</v>
      </c>
      <c r="K1596">
        <f>(FlipkartTable[[#This Row],[Rating]]/FlipkartTable[[#This Row],[Selling Price]])*1000</f>
        <v>0.28001866791119412</v>
      </c>
      <c r="L1596" t="str">
        <f>IF(FlipkartTable[[#This Row],[Selling Price]]&lt;15000,"Budget",IF(FlipkartTable[[#This Row],[Selling Price]]&lt;50000,"Mid Range","Premium"))</f>
        <v>Budget</v>
      </c>
      <c r="M1596" t="str">
        <f>IF(FlipkartTable[[#This Row],[Rating]]&gt;4.5,"Excellent",IF(FlipkartTable[[#This Row],[Rating]]&gt;4,"Good",IF(FlipkartTable[[#This Row],[Rating]]&gt;3.5,"Average","Poor")))</f>
        <v>Good</v>
      </c>
    </row>
    <row r="1597" spans="1:13" x14ac:dyDescent="0.35">
      <c r="A1597" t="s">
        <v>663</v>
      </c>
      <c r="B1597" s="9" t="s">
        <v>698</v>
      </c>
      <c r="C1597" t="s">
        <v>726</v>
      </c>
      <c r="D1597" t="s">
        <v>14</v>
      </c>
      <c r="E1597" t="s">
        <v>15</v>
      </c>
      <c r="F1597">
        <v>4.3</v>
      </c>
      <c r="G1597">
        <v>20999</v>
      </c>
      <c r="H1597">
        <v>25999</v>
      </c>
      <c r="I1597">
        <f>FlipkartTable[[#This Row],[Original Price]]-FlipkartTable[[#This Row],[Selling Price]]</f>
        <v>5000</v>
      </c>
      <c r="J1597" s="4">
        <f>(FlipkartTable[[#This Row],[Original Price]]-FlipkartTable[[#This Row],[Selling Price]])/FlipkartTable[[#This Row],[Original Price]]</f>
        <v>0.19231508904188624</v>
      </c>
      <c r="K1597">
        <f>(FlipkartTable[[#This Row],[Rating]]/FlipkartTable[[#This Row],[Selling Price]])*1000</f>
        <v>0.204771655793133</v>
      </c>
      <c r="L1597" t="str">
        <f>IF(FlipkartTable[[#This Row],[Selling Price]]&lt;15000,"Budget",IF(FlipkartTable[[#This Row],[Selling Price]]&lt;50000,"Mid Range","Premium"))</f>
        <v>Mid Range</v>
      </c>
      <c r="M1597" t="str">
        <f>IF(FlipkartTable[[#This Row],[Rating]]&gt;4.5,"Excellent",IF(FlipkartTable[[#This Row],[Rating]]&gt;4,"Good",IF(FlipkartTable[[#This Row],[Rating]]&gt;3.5,"Average","Poor")))</f>
        <v>Good</v>
      </c>
    </row>
    <row r="1598" spans="1:13" x14ac:dyDescent="0.35">
      <c r="A1598" t="s">
        <v>663</v>
      </c>
      <c r="B1598" s="9" t="s">
        <v>812</v>
      </c>
      <c r="C1598" t="s">
        <v>813</v>
      </c>
      <c r="D1598" t="s">
        <v>35</v>
      </c>
      <c r="E1598" t="s">
        <v>124</v>
      </c>
      <c r="F1598">
        <v>3.9</v>
      </c>
      <c r="G1598">
        <v>21999</v>
      </c>
      <c r="H1598">
        <v>21999</v>
      </c>
      <c r="I1598">
        <f>FlipkartTable[[#This Row],[Original Price]]-FlipkartTable[[#This Row],[Selling Price]]</f>
        <v>0</v>
      </c>
      <c r="J1598" s="4">
        <f>(FlipkartTable[[#This Row],[Original Price]]-FlipkartTable[[#This Row],[Selling Price]])/FlipkartTable[[#This Row],[Original Price]]</f>
        <v>0</v>
      </c>
      <c r="K1598">
        <f>(FlipkartTable[[#This Row],[Rating]]/FlipkartTable[[#This Row],[Selling Price]])*1000</f>
        <v>0.17728078549024953</v>
      </c>
      <c r="L1598" t="str">
        <f>IF(FlipkartTable[[#This Row],[Selling Price]]&lt;15000,"Budget",IF(FlipkartTable[[#This Row],[Selling Price]]&lt;50000,"Mid Range","Premium"))</f>
        <v>Mid Range</v>
      </c>
      <c r="M1598" t="str">
        <f>IF(FlipkartTable[[#This Row],[Rating]]&gt;4.5,"Excellent",IF(FlipkartTable[[#This Row],[Rating]]&gt;4,"Good",IF(FlipkartTable[[#This Row],[Rating]]&gt;3.5,"Average","Poor")))</f>
        <v>Average</v>
      </c>
    </row>
    <row r="1599" spans="1:13" x14ac:dyDescent="0.35">
      <c r="A1599" t="s">
        <v>663</v>
      </c>
      <c r="B1599" s="9" t="s">
        <v>672</v>
      </c>
      <c r="C1599" t="s">
        <v>19</v>
      </c>
      <c r="D1599" t="s">
        <v>11</v>
      </c>
      <c r="E1599" t="s">
        <v>12</v>
      </c>
      <c r="F1599">
        <v>4.0999999999999996</v>
      </c>
      <c r="G1599">
        <v>11499</v>
      </c>
      <c r="H1599">
        <v>11499</v>
      </c>
      <c r="I1599">
        <f>FlipkartTable[[#This Row],[Original Price]]-FlipkartTable[[#This Row],[Selling Price]]</f>
        <v>0</v>
      </c>
      <c r="J1599" s="4">
        <f>(FlipkartTable[[#This Row],[Original Price]]-FlipkartTable[[#This Row],[Selling Price]])/FlipkartTable[[#This Row],[Original Price]]</f>
        <v>0</v>
      </c>
      <c r="K1599">
        <f>(FlipkartTable[[#This Row],[Rating]]/FlipkartTable[[#This Row],[Selling Price]])*1000</f>
        <v>0.35655274371684487</v>
      </c>
      <c r="L1599" t="str">
        <f>IF(FlipkartTable[[#This Row],[Selling Price]]&lt;15000,"Budget",IF(FlipkartTable[[#This Row],[Selling Price]]&lt;50000,"Mid Range","Premium"))</f>
        <v>Budget</v>
      </c>
      <c r="M1599" t="str">
        <f>IF(FlipkartTable[[#This Row],[Rating]]&gt;4.5,"Excellent",IF(FlipkartTable[[#This Row],[Rating]]&gt;4,"Good",IF(FlipkartTable[[#This Row],[Rating]]&gt;3.5,"Average","Poor")))</f>
        <v>Good</v>
      </c>
    </row>
    <row r="1600" spans="1:13" x14ac:dyDescent="0.35">
      <c r="A1600" t="s">
        <v>663</v>
      </c>
      <c r="B1600" s="9" t="s">
        <v>814</v>
      </c>
      <c r="C1600" t="s">
        <v>19</v>
      </c>
      <c r="D1600" t="s">
        <v>20</v>
      </c>
      <c r="E1600" t="s">
        <v>21</v>
      </c>
      <c r="F1600">
        <v>4.3</v>
      </c>
      <c r="G1600">
        <v>14990</v>
      </c>
      <c r="H1600">
        <v>14990</v>
      </c>
      <c r="I1600">
        <f>FlipkartTable[[#This Row],[Original Price]]-FlipkartTable[[#This Row],[Selling Price]]</f>
        <v>0</v>
      </c>
      <c r="J1600" s="4">
        <f>(FlipkartTable[[#This Row],[Original Price]]-FlipkartTable[[#This Row],[Selling Price]])/FlipkartTable[[#This Row],[Original Price]]</f>
        <v>0</v>
      </c>
      <c r="K1600">
        <f>(FlipkartTable[[#This Row],[Rating]]/FlipkartTable[[#This Row],[Selling Price]])*1000</f>
        <v>0.28685790527018012</v>
      </c>
      <c r="L1600" t="str">
        <f>IF(FlipkartTable[[#This Row],[Selling Price]]&lt;15000,"Budget",IF(FlipkartTable[[#This Row],[Selling Price]]&lt;50000,"Mid Range","Premium"))</f>
        <v>Budget</v>
      </c>
      <c r="M1600" t="str">
        <f>IF(FlipkartTable[[#This Row],[Rating]]&gt;4.5,"Excellent",IF(FlipkartTable[[#This Row],[Rating]]&gt;4,"Good",IF(FlipkartTable[[#This Row],[Rating]]&gt;3.5,"Average","Poor")))</f>
        <v>Good</v>
      </c>
    </row>
    <row r="1601" spans="1:13" x14ac:dyDescent="0.35">
      <c r="A1601" t="s">
        <v>663</v>
      </c>
      <c r="B1601" s="9" t="s">
        <v>672</v>
      </c>
      <c r="C1601" t="s">
        <v>84</v>
      </c>
      <c r="D1601" t="s">
        <v>20</v>
      </c>
      <c r="E1601" t="s">
        <v>21</v>
      </c>
      <c r="F1601">
        <v>4.2</v>
      </c>
      <c r="G1601">
        <v>8999</v>
      </c>
      <c r="H1601">
        <v>8999</v>
      </c>
      <c r="I1601">
        <f>FlipkartTable[[#This Row],[Original Price]]-FlipkartTable[[#This Row],[Selling Price]]</f>
        <v>0</v>
      </c>
      <c r="J1601" s="4">
        <f>(FlipkartTable[[#This Row],[Original Price]]-FlipkartTable[[#This Row],[Selling Price]])/FlipkartTable[[#This Row],[Original Price]]</f>
        <v>0</v>
      </c>
      <c r="K1601">
        <f>(FlipkartTable[[#This Row],[Rating]]/FlipkartTable[[#This Row],[Selling Price]])*1000</f>
        <v>0.46671852428047561</v>
      </c>
      <c r="L1601" t="str">
        <f>IF(FlipkartTable[[#This Row],[Selling Price]]&lt;15000,"Budget",IF(FlipkartTable[[#This Row],[Selling Price]]&lt;50000,"Mid Range","Premium"))</f>
        <v>Budget</v>
      </c>
      <c r="M1601" t="str">
        <f>IF(FlipkartTable[[#This Row],[Rating]]&gt;4.5,"Excellent",IF(FlipkartTable[[#This Row],[Rating]]&gt;4,"Good",IF(FlipkartTable[[#This Row],[Rating]]&gt;3.5,"Average","Poor")))</f>
        <v>Good</v>
      </c>
    </row>
    <row r="1602" spans="1:13" x14ac:dyDescent="0.35">
      <c r="A1602" t="s">
        <v>663</v>
      </c>
      <c r="B1602" s="9" t="s">
        <v>675</v>
      </c>
      <c r="C1602" t="s">
        <v>19</v>
      </c>
      <c r="D1602" t="s">
        <v>11</v>
      </c>
      <c r="E1602" t="s">
        <v>15</v>
      </c>
      <c r="F1602">
        <v>4.2</v>
      </c>
      <c r="G1602">
        <v>14999</v>
      </c>
      <c r="H1602">
        <v>14999</v>
      </c>
      <c r="I1602">
        <f>FlipkartTable[[#This Row],[Original Price]]-FlipkartTable[[#This Row],[Selling Price]]</f>
        <v>0</v>
      </c>
      <c r="J1602" s="4">
        <f>(FlipkartTable[[#This Row],[Original Price]]-FlipkartTable[[#This Row],[Selling Price]])/FlipkartTable[[#This Row],[Original Price]]</f>
        <v>0</v>
      </c>
      <c r="K1602">
        <f>(FlipkartTable[[#This Row],[Rating]]/FlipkartTable[[#This Row],[Selling Price]])*1000</f>
        <v>0.28001866791119412</v>
      </c>
      <c r="L1602" t="str">
        <f>IF(FlipkartTable[[#This Row],[Selling Price]]&lt;15000,"Budget",IF(FlipkartTable[[#This Row],[Selling Price]]&lt;50000,"Mid Range","Premium"))</f>
        <v>Budget</v>
      </c>
      <c r="M1602" t="str">
        <f>IF(FlipkartTable[[#This Row],[Rating]]&gt;4.5,"Excellent",IF(FlipkartTable[[#This Row],[Rating]]&gt;4,"Good",IF(FlipkartTable[[#This Row],[Rating]]&gt;3.5,"Average","Poor")))</f>
        <v>Good</v>
      </c>
    </row>
    <row r="1603" spans="1:13" x14ac:dyDescent="0.35">
      <c r="A1603" t="s">
        <v>663</v>
      </c>
      <c r="B1603" s="9" t="s">
        <v>815</v>
      </c>
      <c r="C1603" t="s">
        <v>700</v>
      </c>
      <c r="D1603" t="s">
        <v>27</v>
      </c>
      <c r="E1603" t="s">
        <v>15</v>
      </c>
      <c r="F1603">
        <v>4.4000000000000004</v>
      </c>
      <c r="G1603">
        <v>71999</v>
      </c>
      <c r="H1603">
        <v>100999</v>
      </c>
      <c r="I1603">
        <f>FlipkartTable[[#This Row],[Original Price]]-FlipkartTable[[#This Row],[Selling Price]]</f>
        <v>29000</v>
      </c>
      <c r="J1603" s="4">
        <f>(FlipkartTable[[#This Row],[Original Price]]-FlipkartTable[[#This Row],[Selling Price]])/FlipkartTable[[#This Row],[Original Price]]</f>
        <v>0.28713155575797777</v>
      </c>
      <c r="K1603">
        <f>(FlipkartTable[[#This Row],[Rating]]/FlipkartTable[[#This Row],[Selling Price]])*1000</f>
        <v>6.111195988833179E-2</v>
      </c>
      <c r="L1603" t="str">
        <f>IF(FlipkartTable[[#This Row],[Selling Price]]&lt;15000,"Budget",IF(FlipkartTable[[#This Row],[Selling Price]]&lt;50000,"Mid Range","Premium"))</f>
        <v>Premium</v>
      </c>
      <c r="M1603" t="str">
        <f>IF(FlipkartTable[[#This Row],[Rating]]&gt;4.5,"Excellent",IF(FlipkartTable[[#This Row],[Rating]]&gt;4,"Good",IF(FlipkartTable[[#This Row],[Rating]]&gt;3.5,"Average","Poor")))</f>
        <v>Good</v>
      </c>
    </row>
    <row r="1604" spans="1:13" x14ac:dyDescent="0.35">
      <c r="A1604" t="s">
        <v>663</v>
      </c>
      <c r="B1604" s="9" t="s">
        <v>752</v>
      </c>
      <c r="C1604" t="s">
        <v>139</v>
      </c>
      <c r="D1604" t="s">
        <v>20</v>
      </c>
      <c r="E1604" t="s">
        <v>21</v>
      </c>
      <c r="F1604">
        <v>4.3</v>
      </c>
      <c r="G1604">
        <v>11599</v>
      </c>
      <c r="H1604">
        <v>12900</v>
      </c>
      <c r="I1604">
        <f>FlipkartTable[[#This Row],[Original Price]]-FlipkartTable[[#This Row],[Selling Price]]</f>
        <v>1301</v>
      </c>
      <c r="J1604" s="4">
        <f>(FlipkartTable[[#This Row],[Original Price]]-FlipkartTable[[#This Row],[Selling Price]])/FlipkartTable[[#This Row],[Original Price]]</f>
        <v>0.10085271317829457</v>
      </c>
      <c r="K1604">
        <f>(FlipkartTable[[#This Row],[Rating]]/FlipkartTable[[#This Row],[Selling Price]])*1000</f>
        <v>0.37072161393223552</v>
      </c>
      <c r="L1604" t="str">
        <f>IF(FlipkartTable[[#This Row],[Selling Price]]&lt;15000,"Budget",IF(FlipkartTable[[#This Row],[Selling Price]]&lt;50000,"Mid Range","Premium"))</f>
        <v>Budget</v>
      </c>
      <c r="M1604" t="str">
        <f>IF(FlipkartTable[[#This Row],[Rating]]&gt;4.5,"Excellent",IF(FlipkartTable[[#This Row],[Rating]]&gt;4,"Good",IF(FlipkartTable[[#This Row],[Rating]]&gt;3.5,"Average","Poor")))</f>
        <v>Good</v>
      </c>
    </row>
    <row r="1605" spans="1:13" x14ac:dyDescent="0.35">
      <c r="A1605" t="s">
        <v>663</v>
      </c>
      <c r="B1605" s="9" t="s">
        <v>816</v>
      </c>
      <c r="C1605" t="s">
        <v>19</v>
      </c>
      <c r="D1605" t="s">
        <v>554</v>
      </c>
      <c r="E1605" t="s">
        <v>539</v>
      </c>
      <c r="F1605">
        <v>4.0999999999999996</v>
      </c>
      <c r="G1605">
        <v>2899</v>
      </c>
      <c r="H1605">
        <v>2899</v>
      </c>
      <c r="I1605">
        <f>FlipkartTable[[#This Row],[Original Price]]-FlipkartTable[[#This Row],[Selling Price]]</f>
        <v>0</v>
      </c>
      <c r="J1605" s="4">
        <f>(FlipkartTable[[#This Row],[Original Price]]-FlipkartTable[[#This Row],[Selling Price]])/FlipkartTable[[#This Row],[Original Price]]</f>
        <v>0</v>
      </c>
      <c r="K1605">
        <f>(FlipkartTable[[#This Row],[Rating]]/FlipkartTable[[#This Row],[Selling Price]])*1000</f>
        <v>1.4142807864780957</v>
      </c>
      <c r="L1605" t="str">
        <f>IF(FlipkartTable[[#This Row],[Selling Price]]&lt;15000,"Budget",IF(FlipkartTable[[#This Row],[Selling Price]]&lt;50000,"Mid Range","Premium"))</f>
        <v>Budget</v>
      </c>
      <c r="M1605" t="str">
        <f>IF(FlipkartTable[[#This Row],[Rating]]&gt;4.5,"Excellent",IF(FlipkartTable[[#This Row],[Rating]]&gt;4,"Good",IF(FlipkartTable[[#This Row],[Rating]]&gt;3.5,"Average","Poor")))</f>
        <v>Good</v>
      </c>
    </row>
    <row r="1606" spans="1:13" x14ac:dyDescent="0.35">
      <c r="A1606" t="s">
        <v>663</v>
      </c>
      <c r="B1606" s="9" t="s">
        <v>701</v>
      </c>
      <c r="C1606" t="s">
        <v>702</v>
      </c>
      <c r="D1606" t="s">
        <v>27</v>
      </c>
      <c r="E1606" t="s">
        <v>15</v>
      </c>
      <c r="F1606">
        <v>4.3</v>
      </c>
      <c r="G1606">
        <v>25999</v>
      </c>
      <c r="H1606">
        <v>31999</v>
      </c>
      <c r="I1606">
        <f>FlipkartTable[[#This Row],[Original Price]]-FlipkartTable[[#This Row],[Selling Price]]</f>
        <v>6000</v>
      </c>
      <c r="J1606" s="4">
        <f>(FlipkartTable[[#This Row],[Original Price]]-FlipkartTable[[#This Row],[Selling Price]])/FlipkartTable[[#This Row],[Original Price]]</f>
        <v>0.18750585955811119</v>
      </c>
      <c r="K1606">
        <f>(FlipkartTable[[#This Row],[Rating]]/FlipkartTable[[#This Row],[Selling Price]])*1000</f>
        <v>0.16539097657602217</v>
      </c>
      <c r="L1606" t="str">
        <f>IF(FlipkartTable[[#This Row],[Selling Price]]&lt;15000,"Budget",IF(FlipkartTable[[#This Row],[Selling Price]]&lt;50000,"Mid Range","Premium"))</f>
        <v>Mid Range</v>
      </c>
      <c r="M1606" t="str">
        <f>IF(FlipkartTable[[#This Row],[Rating]]&gt;4.5,"Excellent",IF(FlipkartTable[[#This Row],[Rating]]&gt;4,"Good",IF(FlipkartTable[[#This Row],[Rating]]&gt;3.5,"Average","Poor")))</f>
        <v>Good</v>
      </c>
    </row>
    <row r="1607" spans="1:13" x14ac:dyDescent="0.35">
      <c r="A1607" t="s">
        <v>663</v>
      </c>
      <c r="B1607" s="9" t="s">
        <v>698</v>
      </c>
      <c r="C1607" t="s">
        <v>746</v>
      </c>
      <c r="D1607" t="s">
        <v>14</v>
      </c>
      <c r="E1607" t="s">
        <v>15</v>
      </c>
      <c r="F1607">
        <v>4.3</v>
      </c>
      <c r="G1607">
        <v>20999</v>
      </c>
      <c r="H1607">
        <v>25999</v>
      </c>
      <c r="I1607">
        <f>FlipkartTable[[#This Row],[Original Price]]-FlipkartTable[[#This Row],[Selling Price]]</f>
        <v>5000</v>
      </c>
      <c r="J1607" s="4">
        <f>(FlipkartTable[[#This Row],[Original Price]]-FlipkartTable[[#This Row],[Selling Price]])/FlipkartTable[[#This Row],[Original Price]]</f>
        <v>0.19231508904188624</v>
      </c>
      <c r="K1607">
        <f>(FlipkartTable[[#This Row],[Rating]]/FlipkartTable[[#This Row],[Selling Price]])*1000</f>
        <v>0.204771655793133</v>
      </c>
      <c r="L1607" t="str">
        <f>IF(FlipkartTable[[#This Row],[Selling Price]]&lt;15000,"Budget",IF(FlipkartTable[[#This Row],[Selling Price]]&lt;50000,"Mid Range","Premium"))</f>
        <v>Mid Range</v>
      </c>
      <c r="M1607" t="str">
        <f>IF(FlipkartTable[[#This Row],[Rating]]&gt;4.5,"Excellent",IF(FlipkartTable[[#This Row],[Rating]]&gt;4,"Good",IF(FlipkartTable[[#This Row],[Rating]]&gt;3.5,"Average","Poor")))</f>
        <v>Good</v>
      </c>
    </row>
    <row r="1608" spans="1:13" x14ac:dyDescent="0.35">
      <c r="A1608" t="s">
        <v>663</v>
      </c>
      <c r="B1608" s="9" t="s">
        <v>775</v>
      </c>
      <c r="C1608" t="s">
        <v>429</v>
      </c>
      <c r="D1608" t="s">
        <v>63</v>
      </c>
      <c r="E1608" t="s">
        <v>64</v>
      </c>
      <c r="F1608">
        <v>3</v>
      </c>
      <c r="G1608">
        <v>149999</v>
      </c>
      <c r="H1608">
        <v>189999</v>
      </c>
      <c r="I1608">
        <f>FlipkartTable[[#This Row],[Original Price]]-FlipkartTable[[#This Row],[Selling Price]]</f>
        <v>40000</v>
      </c>
      <c r="J1608" s="4">
        <f>(FlipkartTable[[#This Row],[Original Price]]-FlipkartTable[[#This Row],[Selling Price]])/FlipkartTable[[#This Row],[Original Price]]</f>
        <v>0.21052742382854647</v>
      </c>
      <c r="K1608">
        <f>(FlipkartTable[[#This Row],[Rating]]/FlipkartTable[[#This Row],[Selling Price]])*1000</f>
        <v>2.000013333422223E-2</v>
      </c>
      <c r="L1608" t="str">
        <f>IF(FlipkartTable[[#This Row],[Selling Price]]&lt;15000,"Budget",IF(FlipkartTable[[#This Row],[Selling Price]]&lt;50000,"Mid Range","Premium"))</f>
        <v>Premium</v>
      </c>
      <c r="M1608" t="str">
        <f>IF(FlipkartTable[[#This Row],[Rating]]&gt;4.5,"Excellent",IF(FlipkartTable[[#This Row],[Rating]]&gt;4,"Good",IF(FlipkartTable[[#This Row],[Rating]]&gt;3.5,"Average","Poor")))</f>
        <v>Poor</v>
      </c>
    </row>
    <row r="1609" spans="1:13" x14ac:dyDescent="0.35">
      <c r="A1609" t="s">
        <v>663</v>
      </c>
      <c r="B1609" s="9" t="s">
        <v>772</v>
      </c>
      <c r="C1609" t="s">
        <v>773</v>
      </c>
      <c r="D1609" t="s">
        <v>14</v>
      </c>
      <c r="E1609" t="s">
        <v>15</v>
      </c>
      <c r="F1609">
        <v>4.4000000000000004</v>
      </c>
      <c r="G1609">
        <v>19990</v>
      </c>
      <c r="H1609">
        <v>19990</v>
      </c>
      <c r="I1609">
        <f>FlipkartTable[[#This Row],[Original Price]]-FlipkartTable[[#This Row],[Selling Price]]</f>
        <v>0</v>
      </c>
      <c r="J1609" s="4">
        <f>(FlipkartTable[[#This Row],[Original Price]]-FlipkartTable[[#This Row],[Selling Price]])/FlipkartTable[[#This Row],[Original Price]]</f>
        <v>0</v>
      </c>
      <c r="K1609">
        <f>(FlipkartTable[[#This Row],[Rating]]/FlipkartTable[[#This Row],[Selling Price]])*1000</f>
        <v>0.22011005502751377</v>
      </c>
      <c r="L1609" t="str">
        <f>IF(FlipkartTable[[#This Row],[Selling Price]]&lt;15000,"Budget",IF(FlipkartTable[[#This Row],[Selling Price]]&lt;50000,"Mid Range","Premium"))</f>
        <v>Mid Range</v>
      </c>
      <c r="M1609" t="str">
        <f>IF(FlipkartTable[[#This Row],[Rating]]&gt;4.5,"Excellent",IF(FlipkartTable[[#This Row],[Rating]]&gt;4,"Good",IF(FlipkartTable[[#This Row],[Rating]]&gt;3.5,"Average","Poor")))</f>
        <v>Good</v>
      </c>
    </row>
    <row r="1610" spans="1:13" x14ac:dyDescent="0.35">
      <c r="A1610" t="s">
        <v>663</v>
      </c>
      <c r="B1610" s="9" t="s">
        <v>817</v>
      </c>
      <c r="C1610" t="s">
        <v>818</v>
      </c>
      <c r="D1610" t="s">
        <v>27</v>
      </c>
      <c r="E1610" t="s">
        <v>64</v>
      </c>
      <c r="F1610">
        <v>4.3</v>
      </c>
      <c r="G1610">
        <v>73999</v>
      </c>
      <c r="H1610">
        <v>87999</v>
      </c>
      <c r="I1610">
        <f>FlipkartTable[[#This Row],[Original Price]]-FlipkartTable[[#This Row],[Selling Price]]</f>
        <v>14000</v>
      </c>
      <c r="J1610" s="4">
        <f>(FlipkartTable[[#This Row],[Original Price]]-FlipkartTable[[#This Row],[Selling Price]])/FlipkartTable[[#This Row],[Original Price]]</f>
        <v>0.15909271696269275</v>
      </c>
      <c r="K1610">
        <f>(FlipkartTable[[#This Row],[Rating]]/FlipkartTable[[#This Row],[Selling Price]])*1000</f>
        <v>5.8108893363423827E-2</v>
      </c>
      <c r="L1610" t="str">
        <f>IF(FlipkartTable[[#This Row],[Selling Price]]&lt;15000,"Budget",IF(FlipkartTable[[#This Row],[Selling Price]]&lt;50000,"Mid Range","Premium"))</f>
        <v>Premium</v>
      </c>
      <c r="M1610" t="str">
        <f>IF(FlipkartTable[[#This Row],[Rating]]&gt;4.5,"Excellent",IF(FlipkartTable[[#This Row],[Rating]]&gt;4,"Good",IF(FlipkartTable[[#This Row],[Rating]]&gt;3.5,"Average","Poor")))</f>
        <v>Good</v>
      </c>
    </row>
    <row r="1611" spans="1:13" x14ac:dyDescent="0.35">
      <c r="A1611" t="s">
        <v>663</v>
      </c>
      <c r="B1611" s="9" t="s">
        <v>675</v>
      </c>
      <c r="C1611" t="s">
        <v>152</v>
      </c>
      <c r="D1611" t="s">
        <v>11</v>
      </c>
      <c r="E1611" t="s">
        <v>15</v>
      </c>
      <c r="F1611">
        <v>4.2</v>
      </c>
      <c r="G1611">
        <v>14999</v>
      </c>
      <c r="H1611">
        <v>14999</v>
      </c>
      <c r="I1611">
        <f>FlipkartTable[[#This Row],[Original Price]]-FlipkartTable[[#This Row],[Selling Price]]</f>
        <v>0</v>
      </c>
      <c r="J1611" s="4">
        <f>(FlipkartTable[[#This Row],[Original Price]]-FlipkartTable[[#This Row],[Selling Price]])/FlipkartTable[[#This Row],[Original Price]]</f>
        <v>0</v>
      </c>
      <c r="K1611">
        <f>(FlipkartTable[[#This Row],[Rating]]/FlipkartTable[[#This Row],[Selling Price]])*1000</f>
        <v>0.28001866791119412</v>
      </c>
      <c r="L1611" t="str">
        <f>IF(FlipkartTable[[#This Row],[Selling Price]]&lt;15000,"Budget",IF(FlipkartTable[[#This Row],[Selling Price]]&lt;50000,"Mid Range","Premium"))</f>
        <v>Budget</v>
      </c>
      <c r="M1611" t="str">
        <f>IF(FlipkartTable[[#This Row],[Rating]]&gt;4.5,"Excellent",IF(FlipkartTable[[#This Row],[Rating]]&gt;4,"Good",IF(FlipkartTable[[#This Row],[Rating]]&gt;3.5,"Average","Poor")))</f>
        <v>Good</v>
      </c>
    </row>
    <row r="1612" spans="1:13" x14ac:dyDescent="0.35">
      <c r="A1612" t="s">
        <v>663</v>
      </c>
      <c r="B1612" s="9" t="s">
        <v>723</v>
      </c>
      <c r="C1612" t="s">
        <v>819</v>
      </c>
      <c r="D1612" t="s">
        <v>27</v>
      </c>
      <c r="E1612" t="s">
        <v>15</v>
      </c>
      <c r="F1612">
        <v>4.3</v>
      </c>
      <c r="G1612">
        <v>39999</v>
      </c>
      <c r="H1612">
        <v>45000</v>
      </c>
      <c r="I1612">
        <f>FlipkartTable[[#This Row],[Original Price]]-FlipkartTable[[#This Row],[Selling Price]]</f>
        <v>5001</v>
      </c>
      <c r="J1612" s="4">
        <f>(FlipkartTable[[#This Row],[Original Price]]-FlipkartTable[[#This Row],[Selling Price]])/FlipkartTable[[#This Row],[Original Price]]</f>
        <v>0.11113333333333333</v>
      </c>
      <c r="K1612">
        <f>(FlipkartTable[[#This Row],[Rating]]/FlipkartTable[[#This Row],[Selling Price]])*1000</f>
        <v>0.10750268756718918</v>
      </c>
      <c r="L1612" t="str">
        <f>IF(FlipkartTable[[#This Row],[Selling Price]]&lt;15000,"Budget",IF(FlipkartTable[[#This Row],[Selling Price]]&lt;50000,"Mid Range","Premium"))</f>
        <v>Mid Range</v>
      </c>
      <c r="M1612" t="str">
        <f>IF(FlipkartTable[[#This Row],[Rating]]&gt;4.5,"Excellent",IF(FlipkartTable[[#This Row],[Rating]]&gt;4,"Good",IF(FlipkartTable[[#This Row],[Rating]]&gt;3.5,"Average","Poor")))</f>
        <v>Good</v>
      </c>
    </row>
    <row r="1613" spans="1:13" x14ac:dyDescent="0.35">
      <c r="A1613" t="s">
        <v>663</v>
      </c>
      <c r="B1613" s="9" t="s">
        <v>820</v>
      </c>
      <c r="C1613" t="s">
        <v>770</v>
      </c>
      <c r="D1613" t="s">
        <v>14</v>
      </c>
      <c r="E1613" t="s">
        <v>15</v>
      </c>
      <c r="F1613">
        <v>4.3</v>
      </c>
      <c r="G1613">
        <v>21450</v>
      </c>
      <c r="H1613">
        <v>21450</v>
      </c>
      <c r="I1613">
        <f>FlipkartTable[[#This Row],[Original Price]]-FlipkartTable[[#This Row],[Selling Price]]</f>
        <v>0</v>
      </c>
      <c r="J1613" s="4">
        <f>(FlipkartTable[[#This Row],[Original Price]]-FlipkartTable[[#This Row],[Selling Price]])/FlipkartTable[[#This Row],[Original Price]]</f>
        <v>0</v>
      </c>
      <c r="K1613">
        <f>(FlipkartTable[[#This Row],[Rating]]/FlipkartTable[[#This Row],[Selling Price]])*1000</f>
        <v>0.20046620046620048</v>
      </c>
      <c r="L1613" t="str">
        <f>IF(FlipkartTable[[#This Row],[Selling Price]]&lt;15000,"Budget",IF(FlipkartTable[[#This Row],[Selling Price]]&lt;50000,"Mid Range","Premium"))</f>
        <v>Mid Range</v>
      </c>
      <c r="M1613" t="str">
        <f>IF(FlipkartTable[[#This Row],[Rating]]&gt;4.5,"Excellent",IF(FlipkartTable[[#This Row],[Rating]]&gt;4,"Good",IF(FlipkartTable[[#This Row],[Rating]]&gt;3.5,"Average","Poor")))</f>
        <v>Good</v>
      </c>
    </row>
    <row r="1614" spans="1:13" x14ac:dyDescent="0.35">
      <c r="A1614" t="s">
        <v>663</v>
      </c>
      <c r="B1614" s="9" t="s">
        <v>758</v>
      </c>
      <c r="C1614" t="s">
        <v>22</v>
      </c>
      <c r="D1614" t="s">
        <v>14</v>
      </c>
      <c r="E1614" t="s">
        <v>15</v>
      </c>
      <c r="F1614">
        <v>4.4000000000000004</v>
      </c>
      <c r="G1614">
        <v>24600</v>
      </c>
      <c r="H1614">
        <v>24600</v>
      </c>
      <c r="I1614">
        <f>FlipkartTable[[#This Row],[Original Price]]-FlipkartTable[[#This Row],[Selling Price]]</f>
        <v>0</v>
      </c>
      <c r="J1614" s="4">
        <f>(FlipkartTable[[#This Row],[Original Price]]-FlipkartTable[[#This Row],[Selling Price]])/FlipkartTable[[#This Row],[Original Price]]</f>
        <v>0</v>
      </c>
      <c r="K1614">
        <f>(FlipkartTable[[#This Row],[Rating]]/FlipkartTable[[#This Row],[Selling Price]])*1000</f>
        <v>0.17886178861788618</v>
      </c>
      <c r="L1614" t="str">
        <f>IF(FlipkartTable[[#This Row],[Selling Price]]&lt;15000,"Budget",IF(FlipkartTable[[#This Row],[Selling Price]]&lt;50000,"Mid Range","Premium"))</f>
        <v>Mid Range</v>
      </c>
      <c r="M1614" t="str">
        <f>IF(FlipkartTable[[#This Row],[Rating]]&gt;4.5,"Excellent",IF(FlipkartTable[[#This Row],[Rating]]&gt;4,"Good",IF(FlipkartTable[[#This Row],[Rating]]&gt;3.5,"Average","Poor")))</f>
        <v>Good</v>
      </c>
    </row>
    <row r="1615" spans="1:13" x14ac:dyDescent="0.35">
      <c r="A1615" t="s">
        <v>663</v>
      </c>
      <c r="B1615" s="9" t="s">
        <v>821</v>
      </c>
      <c r="C1615" t="s">
        <v>19</v>
      </c>
      <c r="D1615" t="s">
        <v>11</v>
      </c>
      <c r="E1615" t="s">
        <v>12</v>
      </c>
      <c r="F1615">
        <v>4.4000000000000004</v>
      </c>
      <c r="G1615">
        <v>19990</v>
      </c>
      <c r="H1615">
        <v>19990</v>
      </c>
      <c r="I1615">
        <f>FlipkartTable[[#This Row],[Original Price]]-FlipkartTable[[#This Row],[Selling Price]]</f>
        <v>0</v>
      </c>
      <c r="J1615" s="4">
        <f>(FlipkartTable[[#This Row],[Original Price]]-FlipkartTable[[#This Row],[Selling Price]])/FlipkartTable[[#This Row],[Original Price]]</f>
        <v>0</v>
      </c>
      <c r="K1615">
        <f>(FlipkartTable[[#This Row],[Rating]]/FlipkartTable[[#This Row],[Selling Price]])*1000</f>
        <v>0.22011005502751377</v>
      </c>
      <c r="L1615" t="str">
        <f>IF(FlipkartTable[[#This Row],[Selling Price]]&lt;15000,"Budget",IF(FlipkartTable[[#This Row],[Selling Price]]&lt;50000,"Mid Range","Premium"))</f>
        <v>Mid Range</v>
      </c>
      <c r="M1615" t="str">
        <f>IF(FlipkartTable[[#This Row],[Rating]]&gt;4.5,"Excellent",IF(FlipkartTable[[#This Row],[Rating]]&gt;4,"Good",IF(FlipkartTable[[#This Row],[Rating]]&gt;3.5,"Average","Poor")))</f>
        <v>Good</v>
      </c>
    </row>
    <row r="1616" spans="1:13" x14ac:dyDescent="0.35">
      <c r="A1616" t="s">
        <v>663</v>
      </c>
      <c r="B1616" s="9" t="s">
        <v>769</v>
      </c>
      <c r="C1616" t="s">
        <v>822</v>
      </c>
      <c r="D1616" t="s">
        <v>27</v>
      </c>
      <c r="E1616" t="s">
        <v>15</v>
      </c>
      <c r="F1616">
        <v>4.3</v>
      </c>
      <c r="G1616">
        <v>24499</v>
      </c>
      <c r="H1616">
        <v>25900</v>
      </c>
      <c r="I1616">
        <f>FlipkartTable[[#This Row],[Original Price]]-FlipkartTable[[#This Row],[Selling Price]]</f>
        <v>1401</v>
      </c>
      <c r="J1616" s="4">
        <f>(FlipkartTable[[#This Row],[Original Price]]-FlipkartTable[[#This Row],[Selling Price]])/FlipkartTable[[#This Row],[Original Price]]</f>
        <v>5.409266409266409E-2</v>
      </c>
      <c r="K1616">
        <f>(FlipkartTable[[#This Row],[Rating]]/FlipkartTable[[#This Row],[Selling Price]])*1000</f>
        <v>0.17551736805583901</v>
      </c>
      <c r="L1616" t="str">
        <f>IF(FlipkartTable[[#This Row],[Selling Price]]&lt;15000,"Budget",IF(FlipkartTable[[#This Row],[Selling Price]]&lt;50000,"Mid Range","Premium"))</f>
        <v>Mid Range</v>
      </c>
      <c r="M1616" t="str">
        <f>IF(FlipkartTable[[#This Row],[Rating]]&gt;4.5,"Excellent",IF(FlipkartTable[[#This Row],[Rating]]&gt;4,"Good",IF(FlipkartTable[[#This Row],[Rating]]&gt;3.5,"Average","Poor")))</f>
        <v>Good</v>
      </c>
    </row>
    <row r="1617" spans="1:13" x14ac:dyDescent="0.35">
      <c r="A1617" t="s">
        <v>663</v>
      </c>
      <c r="B1617" s="9" t="s">
        <v>759</v>
      </c>
      <c r="C1617" t="s">
        <v>116</v>
      </c>
      <c r="D1617" t="s">
        <v>134</v>
      </c>
      <c r="E1617" t="s">
        <v>124</v>
      </c>
      <c r="F1617">
        <v>4.2</v>
      </c>
      <c r="G1617">
        <v>6999</v>
      </c>
      <c r="H1617">
        <v>6999</v>
      </c>
      <c r="I1617">
        <f>FlipkartTable[[#This Row],[Original Price]]-FlipkartTable[[#This Row],[Selling Price]]</f>
        <v>0</v>
      </c>
      <c r="J1617" s="4">
        <f>(FlipkartTable[[#This Row],[Original Price]]-FlipkartTable[[#This Row],[Selling Price]])/FlipkartTable[[#This Row],[Original Price]]</f>
        <v>0</v>
      </c>
      <c r="K1617">
        <f>(FlipkartTable[[#This Row],[Rating]]/FlipkartTable[[#This Row],[Selling Price]])*1000</f>
        <v>0.60008572653236181</v>
      </c>
      <c r="L1617" t="str">
        <f>IF(FlipkartTable[[#This Row],[Selling Price]]&lt;15000,"Budget",IF(FlipkartTable[[#This Row],[Selling Price]]&lt;50000,"Mid Range","Premium"))</f>
        <v>Budget</v>
      </c>
      <c r="M1617" t="str">
        <f>IF(FlipkartTable[[#This Row],[Rating]]&gt;4.5,"Excellent",IF(FlipkartTable[[#This Row],[Rating]]&gt;4,"Good",IF(FlipkartTable[[#This Row],[Rating]]&gt;3.5,"Average","Poor")))</f>
        <v>Good</v>
      </c>
    </row>
    <row r="1618" spans="1:13" x14ac:dyDescent="0.35">
      <c r="A1618" t="s">
        <v>663</v>
      </c>
      <c r="B1618" s="9" t="s">
        <v>759</v>
      </c>
      <c r="C1618" t="s">
        <v>19</v>
      </c>
      <c r="D1618" t="s">
        <v>134</v>
      </c>
      <c r="E1618" t="s">
        <v>124</v>
      </c>
      <c r="F1618">
        <v>4.2</v>
      </c>
      <c r="G1618">
        <v>6999</v>
      </c>
      <c r="H1618">
        <v>6999</v>
      </c>
      <c r="I1618">
        <f>FlipkartTable[[#This Row],[Original Price]]-FlipkartTable[[#This Row],[Selling Price]]</f>
        <v>0</v>
      </c>
      <c r="J1618" s="4">
        <f>(FlipkartTable[[#This Row],[Original Price]]-FlipkartTable[[#This Row],[Selling Price]])/FlipkartTable[[#This Row],[Original Price]]</f>
        <v>0</v>
      </c>
      <c r="K1618">
        <f>(FlipkartTable[[#This Row],[Rating]]/FlipkartTable[[#This Row],[Selling Price]])*1000</f>
        <v>0.60008572653236181</v>
      </c>
      <c r="L1618" t="str">
        <f>IF(FlipkartTable[[#This Row],[Selling Price]]&lt;15000,"Budget",IF(FlipkartTable[[#This Row],[Selling Price]]&lt;50000,"Mid Range","Premium"))</f>
        <v>Budget</v>
      </c>
      <c r="M1618" t="str">
        <f>IF(FlipkartTable[[#This Row],[Rating]]&gt;4.5,"Excellent",IF(FlipkartTable[[#This Row],[Rating]]&gt;4,"Good",IF(FlipkartTable[[#This Row],[Rating]]&gt;3.5,"Average","Poor")))</f>
        <v>Good</v>
      </c>
    </row>
    <row r="1619" spans="1:13" x14ac:dyDescent="0.35">
      <c r="A1619" t="s">
        <v>663</v>
      </c>
      <c r="B1619" s="9" t="s">
        <v>823</v>
      </c>
      <c r="C1619" t="s">
        <v>824</v>
      </c>
      <c r="D1619" t="s">
        <v>27</v>
      </c>
      <c r="E1619" t="s">
        <v>15</v>
      </c>
      <c r="F1619">
        <v>4.4000000000000004</v>
      </c>
      <c r="G1619">
        <v>54999</v>
      </c>
      <c r="H1619">
        <v>83000</v>
      </c>
      <c r="I1619">
        <f>FlipkartTable[[#This Row],[Original Price]]-FlipkartTable[[#This Row],[Selling Price]]</f>
        <v>28001</v>
      </c>
      <c r="J1619" s="4">
        <f>(FlipkartTable[[#This Row],[Original Price]]-FlipkartTable[[#This Row],[Selling Price]])/FlipkartTable[[#This Row],[Original Price]]</f>
        <v>0.33736144578313254</v>
      </c>
      <c r="K1619">
        <f>(FlipkartTable[[#This Row],[Rating]]/FlipkartTable[[#This Row],[Selling Price]])*1000</f>
        <v>8.0001454571901318E-2</v>
      </c>
      <c r="L1619" t="str">
        <f>IF(FlipkartTable[[#This Row],[Selling Price]]&lt;15000,"Budget",IF(FlipkartTable[[#This Row],[Selling Price]]&lt;50000,"Mid Range","Premium"))</f>
        <v>Premium</v>
      </c>
      <c r="M1619" t="str">
        <f>IF(FlipkartTable[[#This Row],[Rating]]&gt;4.5,"Excellent",IF(FlipkartTable[[#This Row],[Rating]]&gt;4,"Good",IF(FlipkartTable[[#This Row],[Rating]]&gt;3.5,"Average","Poor")))</f>
        <v>Good</v>
      </c>
    </row>
    <row r="1620" spans="1:13" x14ac:dyDescent="0.35">
      <c r="A1620" t="s">
        <v>663</v>
      </c>
      <c r="B1620" s="9" t="s">
        <v>825</v>
      </c>
      <c r="C1620" t="s">
        <v>826</v>
      </c>
      <c r="D1620" t="s">
        <v>134</v>
      </c>
      <c r="E1620" t="s">
        <v>124</v>
      </c>
      <c r="F1620">
        <v>4.2</v>
      </c>
      <c r="G1620">
        <v>5900</v>
      </c>
      <c r="H1620">
        <v>5900</v>
      </c>
      <c r="I1620">
        <f>FlipkartTable[[#This Row],[Original Price]]-FlipkartTable[[#This Row],[Selling Price]]</f>
        <v>0</v>
      </c>
      <c r="J1620" s="4">
        <f>(FlipkartTable[[#This Row],[Original Price]]-FlipkartTable[[#This Row],[Selling Price]])/FlipkartTable[[#This Row],[Original Price]]</f>
        <v>0</v>
      </c>
      <c r="K1620">
        <f>(FlipkartTable[[#This Row],[Rating]]/FlipkartTable[[#This Row],[Selling Price]])*1000</f>
        <v>0.71186440677966101</v>
      </c>
      <c r="L1620" t="str">
        <f>IF(FlipkartTable[[#This Row],[Selling Price]]&lt;15000,"Budget",IF(FlipkartTable[[#This Row],[Selling Price]]&lt;50000,"Mid Range","Premium"))</f>
        <v>Budget</v>
      </c>
      <c r="M1620" t="str">
        <f>IF(FlipkartTable[[#This Row],[Rating]]&gt;4.5,"Excellent",IF(FlipkartTable[[#This Row],[Rating]]&gt;4,"Good",IF(FlipkartTable[[#This Row],[Rating]]&gt;3.5,"Average","Poor")))</f>
        <v>Good</v>
      </c>
    </row>
    <row r="1621" spans="1:13" x14ac:dyDescent="0.35">
      <c r="A1621" t="s">
        <v>663</v>
      </c>
      <c r="B1621" s="9" t="s">
        <v>827</v>
      </c>
      <c r="C1621" t="s">
        <v>183</v>
      </c>
      <c r="D1621" t="s">
        <v>35</v>
      </c>
      <c r="E1621" t="s">
        <v>124</v>
      </c>
      <c r="F1621">
        <v>4.3</v>
      </c>
      <c r="G1621">
        <v>8190</v>
      </c>
      <c r="H1621">
        <v>8190</v>
      </c>
      <c r="I1621">
        <f>FlipkartTable[[#This Row],[Original Price]]-FlipkartTable[[#This Row],[Selling Price]]</f>
        <v>0</v>
      </c>
      <c r="J1621" s="4">
        <f>(FlipkartTable[[#This Row],[Original Price]]-FlipkartTable[[#This Row],[Selling Price]])/FlipkartTable[[#This Row],[Original Price]]</f>
        <v>0</v>
      </c>
      <c r="K1621">
        <f>(FlipkartTable[[#This Row],[Rating]]/FlipkartTable[[#This Row],[Selling Price]])*1000</f>
        <v>0.52503052503052505</v>
      </c>
      <c r="L1621" t="str">
        <f>IF(FlipkartTable[[#This Row],[Selling Price]]&lt;15000,"Budget",IF(FlipkartTable[[#This Row],[Selling Price]]&lt;50000,"Mid Range","Premium"))</f>
        <v>Budget</v>
      </c>
      <c r="M1621" t="str">
        <f>IF(FlipkartTable[[#This Row],[Rating]]&gt;4.5,"Excellent",IF(FlipkartTable[[#This Row],[Rating]]&gt;4,"Good",IF(FlipkartTable[[#This Row],[Rating]]&gt;3.5,"Average","Poor")))</f>
        <v>Good</v>
      </c>
    </row>
    <row r="1622" spans="1:13" x14ac:dyDescent="0.35">
      <c r="A1622" t="s">
        <v>663</v>
      </c>
      <c r="B1622" s="9" t="s">
        <v>828</v>
      </c>
      <c r="C1622" t="s">
        <v>354</v>
      </c>
      <c r="D1622" t="s">
        <v>14</v>
      </c>
      <c r="E1622" t="s">
        <v>15</v>
      </c>
      <c r="F1622">
        <v>4.3</v>
      </c>
      <c r="G1622">
        <v>16750</v>
      </c>
      <c r="H1622">
        <v>16800</v>
      </c>
      <c r="I1622">
        <f>FlipkartTable[[#This Row],[Original Price]]-FlipkartTable[[#This Row],[Selling Price]]</f>
        <v>50</v>
      </c>
      <c r="J1622" s="4">
        <f>(FlipkartTable[[#This Row],[Original Price]]-FlipkartTable[[#This Row],[Selling Price]])/FlipkartTable[[#This Row],[Original Price]]</f>
        <v>2.976190476190476E-3</v>
      </c>
      <c r="K1622">
        <f>(FlipkartTable[[#This Row],[Rating]]/FlipkartTable[[#This Row],[Selling Price]])*1000</f>
        <v>0.25671641791044775</v>
      </c>
      <c r="L1622" t="str">
        <f>IF(FlipkartTable[[#This Row],[Selling Price]]&lt;15000,"Budget",IF(FlipkartTable[[#This Row],[Selling Price]]&lt;50000,"Mid Range","Premium"))</f>
        <v>Mid Range</v>
      </c>
      <c r="M1622" t="str">
        <f>IF(FlipkartTable[[#This Row],[Rating]]&gt;4.5,"Excellent",IF(FlipkartTable[[#This Row],[Rating]]&gt;4,"Good",IF(FlipkartTable[[#This Row],[Rating]]&gt;3.5,"Average","Poor")))</f>
        <v>Good</v>
      </c>
    </row>
    <row r="1623" spans="1:13" x14ac:dyDescent="0.35">
      <c r="A1623" t="s">
        <v>663</v>
      </c>
      <c r="B1623" s="9" t="s">
        <v>759</v>
      </c>
      <c r="C1623" t="s">
        <v>22</v>
      </c>
      <c r="D1623" t="s">
        <v>134</v>
      </c>
      <c r="E1623" t="s">
        <v>124</v>
      </c>
      <c r="F1623">
        <v>4.2</v>
      </c>
      <c r="G1623">
        <v>6999</v>
      </c>
      <c r="H1623">
        <v>6999</v>
      </c>
      <c r="I1623">
        <f>FlipkartTable[[#This Row],[Original Price]]-FlipkartTable[[#This Row],[Selling Price]]</f>
        <v>0</v>
      </c>
      <c r="J1623" s="4">
        <f>(FlipkartTable[[#This Row],[Original Price]]-FlipkartTable[[#This Row],[Selling Price]])/FlipkartTable[[#This Row],[Original Price]]</f>
        <v>0</v>
      </c>
      <c r="K1623">
        <f>(FlipkartTable[[#This Row],[Rating]]/FlipkartTable[[#This Row],[Selling Price]])*1000</f>
        <v>0.60008572653236181</v>
      </c>
      <c r="L1623" t="str">
        <f>IF(FlipkartTable[[#This Row],[Selling Price]]&lt;15000,"Budget",IF(FlipkartTable[[#This Row],[Selling Price]]&lt;50000,"Mid Range","Premium"))</f>
        <v>Budget</v>
      </c>
      <c r="M1623" t="str">
        <f>IF(FlipkartTable[[#This Row],[Rating]]&gt;4.5,"Excellent",IF(FlipkartTable[[#This Row],[Rating]]&gt;4,"Good",IF(FlipkartTable[[#This Row],[Rating]]&gt;3.5,"Average","Poor")))</f>
        <v>Good</v>
      </c>
    </row>
    <row r="1624" spans="1:13" x14ac:dyDescent="0.35">
      <c r="A1624" t="s">
        <v>663</v>
      </c>
      <c r="B1624" s="9" t="s">
        <v>829</v>
      </c>
      <c r="C1624" t="s">
        <v>830</v>
      </c>
      <c r="D1624" t="s">
        <v>263</v>
      </c>
      <c r="E1624" t="s">
        <v>11</v>
      </c>
      <c r="F1624">
        <v>3.9</v>
      </c>
      <c r="G1624">
        <v>4890</v>
      </c>
      <c r="H1624">
        <v>4890</v>
      </c>
      <c r="I1624">
        <f>FlipkartTable[[#This Row],[Original Price]]-FlipkartTable[[#This Row],[Selling Price]]</f>
        <v>0</v>
      </c>
      <c r="J1624" s="4">
        <f>(FlipkartTable[[#This Row],[Original Price]]-FlipkartTable[[#This Row],[Selling Price]])/FlipkartTable[[#This Row],[Original Price]]</f>
        <v>0</v>
      </c>
      <c r="K1624">
        <f>(FlipkartTable[[#This Row],[Rating]]/FlipkartTable[[#This Row],[Selling Price]])*1000</f>
        <v>0.7975460122699386</v>
      </c>
      <c r="L1624" t="str">
        <f>IF(FlipkartTable[[#This Row],[Selling Price]]&lt;15000,"Budget",IF(FlipkartTable[[#This Row],[Selling Price]]&lt;50000,"Mid Range","Premium"))</f>
        <v>Budget</v>
      </c>
      <c r="M1624" t="str">
        <f>IF(FlipkartTable[[#This Row],[Rating]]&gt;4.5,"Excellent",IF(FlipkartTable[[#This Row],[Rating]]&gt;4,"Good",IF(FlipkartTable[[#This Row],[Rating]]&gt;3.5,"Average","Poor")))</f>
        <v>Average</v>
      </c>
    </row>
    <row r="1625" spans="1:13" x14ac:dyDescent="0.35">
      <c r="A1625" t="s">
        <v>663</v>
      </c>
      <c r="B1625" s="9" t="s">
        <v>692</v>
      </c>
      <c r="C1625" t="s">
        <v>743</v>
      </c>
      <c r="D1625" t="s">
        <v>11</v>
      </c>
      <c r="E1625" t="s">
        <v>12</v>
      </c>
      <c r="F1625">
        <v>4.2</v>
      </c>
      <c r="G1625">
        <v>10499</v>
      </c>
      <c r="H1625">
        <v>11499</v>
      </c>
      <c r="I1625">
        <f>FlipkartTable[[#This Row],[Original Price]]-FlipkartTable[[#This Row],[Selling Price]]</f>
        <v>1000</v>
      </c>
      <c r="J1625" s="4">
        <f>(FlipkartTable[[#This Row],[Original Price]]-FlipkartTable[[#This Row],[Selling Price]])/FlipkartTable[[#This Row],[Original Price]]</f>
        <v>8.696408383337681E-2</v>
      </c>
      <c r="K1625">
        <f>(FlipkartTable[[#This Row],[Rating]]/FlipkartTable[[#This Row],[Selling Price]])*1000</f>
        <v>0.40003809886655872</v>
      </c>
      <c r="L1625" t="str">
        <f>IF(FlipkartTable[[#This Row],[Selling Price]]&lt;15000,"Budget",IF(FlipkartTable[[#This Row],[Selling Price]]&lt;50000,"Mid Range","Premium"))</f>
        <v>Budget</v>
      </c>
      <c r="M1625" t="str">
        <f>IF(FlipkartTable[[#This Row],[Rating]]&gt;4.5,"Excellent",IF(FlipkartTable[[#This Row],[Rating]]&gt;4,"Good",IF(FlipkartTable[[#This Row],[Rating]]&gt;3.5,"Average","Poor")))</f>
        <v>Good</v>
      </c>
    </row>
    <row r="1626" spans="1:13" x14ac:dyDescent="0.35">
      <c r="A1626" t="s">
        <v>663</v>
      </c>
      <c r="B1626" s="9" t="s">
        <v>831</v>
      </c>
      <c r="C1626" t="s">
        <v>19</v>
      </c>
      <c r="D1626" t="s">
        <v>554</v>
      </c>
      <c r="E1626" t="s">
        <v>539</v>
      </c>
      <c r="F1626">
        <v>4.2</v>
      </c>
      <c r="G1626">
        <v>2870</v>
      </c>
      <c r="H1626">
        <v>2870</v>
      </c>
      <c r="I1626">
        <f>FlipkartTable[[#This Row],[Original Price]]-FlipkartTable[[#This Row],[Selling Price]]</f>
        <v>0</v>
      </c>
      <c r="J1626" s="4">
        <f>(FlipkartTable[[#This Row],[Original Price]]-FlipkartTable[[#This Row],[Selling Price]])/FlipkartTable[[#This Row],[Original Price]]</f>
        <v>0</v>
      </c>
      <c r="K1626">
        <f>(FlipkartTable[[#This Row],[Rating]]/FlipkartTable[[#This Row],[Selling Price]])*1000</f>
        <v>1.4634146341463414</v>
      </c>
      <c r="L1626" t="str">
        <f>IF(FlipkartTable[[#This Row],[Selling Price]]&lt;15000,"Budget",IF(FlipkartTable[[#This Row],[Selling Price]]&lt;50000,"Mid Range","Premium"))</f>
        <v>Budget</v>
      </c>
      <c r="M1626" t="str">
        <f>IF(FlipkartTable[[#This Row],[Rating]]&gt;4.5,"Excellent",IF(FlipkartTable[[#This Row],[Rating]]&gt;4,"Good",IF(FlipkartTable[[#This Row],[Rating]]&gt;3.5,"Average","Poor")))</f>
        <v>Good</v>
      </c>
    </row>
    <row r="1627" spans="1:13" x14ac:dyDescent="0.35">
      <c r="A1627" t="s">
        <v>663</v>
      </c>
      <c r="B1627" s="9" t="s">
        <v>804</v>
      </c>
      <c r="C1627" t="s">
        <v>19</v>
      </c>
      <c r="D1627" t="s">
        <v>35</v>
      </c>
      <c r="E1627" t="s">
        <v>21</v>
      </c>
      <c r="F1627">
        <v>4.3</v>
      </c>
      <c r="G1627">
        <v>9000</v>
      </c>
      <c r="H1627">
        <v>9000</v>
      </c>
      <c r="I1627">
        <f>FlipkartTable[[#This Row],[Original Price]]-FlipkartTable[[#This Row],[Selling Price]]</f>
        <v>0</v>
      </c>
      <c r="J1627" s="4">
        <f>(FlipkartTable[[#This Row],[Original Price]]-FlipkartTable[[#This Row],[Selling Price]])/FlipkartTable[[#This Row],[Original Price]]</f>
        <v>0</v>
      </c>
      <c r="K1627">
        <f>(FlipkartTable[[#This Row],[Rating]]/FlipkartTable[[#This Row],[Selling Price]])*1000</f>
        <v>0.47777777777777775</v>
      </c>
      <c r="L1627" t="str">
        <f>IF(FlipkartTable[[#This Row],[Selling Price]]&lt;15000,"Budget",IF(FlipkartTable[[#This Row],[Selling Price]]&lt;50000,"Mid Range","Premium"))</f>
        <v>Budget</v>
      </c>
      <c r="M1627" t="str">
        <f>IF(FlipkartTable[[#This Row],[Rating]]&gt;4.5,"Excellent",IF(FlipkartTable[[#This Row],[Rating]]&gt;4,"Good",IF(FlipkartTable[[#This Row],[Rating]]&gt;3.5,"Average","Poor")))</f>
        <v>Good</v>
      </c>
    </row>
    <row r="1628" spans="1:13" x14ac:dyDescent="0.35">
      <c r="A1628" t="s">
        <v>663</v>
      </c>
      <c r="B1628" s="9" t="s">
        <v>763</v>
      </c>
      <c r="C1628" t="s">
        <v>19</v>
      </c>
      <c r="D1628" t="s">
        <v>35</v>
      </c>
      <c r="E1628" t="s">
        <v>21</v>
      </c>
      <c r="F1628">
        <v>4.4000000000000004</v>
      </c>
      <c r="G1628">
        <v>10000</v>
      </c>
      <c r="H1628">
        <v>10000</v>
      </c>
      <c r="I1628">
        <f>FlipkartTable[[#This Row],[Original Price]]-FlipkartTable[[#This Row],[Selling Price]]</f>
        <v>0</v>
      </c>
      <c r="J1628" s="4">
        <f>(FlipkartTable[[#This Row],[Original Price]]-FlipkartTable[[#This Row],[Selling Price]])/FlipkartTable[[#This Row],[Original Price]]</f>
        <v>0</v>
      </c>
      <c r="K1628">
        <f>(FlipkartTable[[#This Row],[Rating]]/FlipkartTable[[#This Row],[Selling Price]])*1000</f>
        <v>0.44</v>
      </c>
      <c r="L1628" t="str">
        <f>IF(FlipkartTable[[#This Row],[Selling Price]]&lt;15000,"Budget",IF(FlipkartTable[[#This Row],[Selling Price]]&lt;50000,"Mid Range","Premium"))</f>
        <v>Budget</v>
      </c>
      <c r="M1628" t="str">
        <f>IF(FlipkartTable[[#This Row],[Rating]]&gt;4.5,"Excellent",IF(FlipkartTable[[#This Row],[Rating]]&gt;4,"Good",IF(FlipkartTable[[#This Row],[Rating]]&gt;3.5,"Average","Poor")))</f>
        <v>Good</v>
      </c>
    </row>
    <row r="1629" spans="1:13" x14ac:dyDescent="0.35">
      <c r="A1629" t="s">
        <v>663</v>
      </c>
      <c r="B1629" s="9" t="s">
        <v>751</v>
      </c>
      <c r="C1629" t="s">
        <v>19</v>
      </c>
      <c r="D1629" t="s">
        <v>554</v>
      </c>
      <c r="E1629" t="s">
        <v>586</v>
      </c>
      <c r="F1629">
        <v>4.0999999999999996</v>
      </c>
      <c r="G1629">
        <v>2849</v>
      </c>
      <c r="H1629">
        <v>2849</v>
      </c>
      <c r="I1629">
        <f>FlipkartTable[[#This Row],[Original Price]]-FlipkartTable[[#This Row],[Selling Price]]</f>
        <v>0</v>
      </c>
      <c r="J1629" s="4">
        <f>(FlipkartTable[[#This Row],[Original Price]]-FlipkartTable[[#This Row],[Selling Price]])/FlipkartTable[[#This Row],[Original Price]]</f>
        <v>0</v>
      </c>
      <c r="K1629">
        <f>(FlipkartTable[[#This Row],[Rating]]/FlipkartTable[[#This Row],[Selling Price]])*1000</f>
        <v>1.439101439101439</v>
      </c>
      <c r="L1629" t="str">
        <f>IF(FlipkartTable[[#This Row],[Selling Price]]&lt;15000,"Budget",IF(FlipkartTable[[#This Row],[Selling Price]]&lt;50000,"Mid Range","Premium"))</f>
        <v>Budget</v>
      </c>
      <c r="M1629" t="str">
        <f>IF(FlipkartTable[[#This Row],[Rating]]&gt;4.5,"Excellent",IF(FlipkartTable[[#This Row],[Rating]]&gt;4,"Good",IF(FlipkartTable[[#This Row],[Rating]]&gt;3.5,"Average","Poor")))</f>
        <v>Good</v>
      </c>
    </row>
    <row r="1630" spans="1:13" x14ac:dyDescent="0.35">
      <c r="A1630" t="s">
        <v>663</v>
      </c>
      <c r="B1630" s="9" t="s">
        <v>701</v>
      </c>
      <c r="C1630" t="s">
        <v>710</v>
      </c>
      <c r="D1630" t="s">
        <v>27</v>
      </c>
      <c r="E1630" t="s">
        <v>15</v>
      </c>
      <c r="F1630">
        <v>4.3</v>
      </c>
      <c r="G1630">
        <v>25999</v>
      </c>
      <c r="H1630">
        <v>31999</v>
      </c>
      <c r="I1630">
        <f>FlipkartTable[[#This Row],[Original Price]]-FlipkartTable[[#This Row],[Selling Price]]</f>
        <v>6000</v>
      </c>
      <c r="J1630" s="4">
        <f>(FlipkartTable[[#This Row],[Original Price]]-FlipkartTable[[#This Row],[Selling Price]])/FlipkartTable[[#This Row],[Original Price]]</f>
        <v>0.18750585955811119</v>
      </c>
      <c r="K1630">
        <f>(FlipkartTable[[#This Row],[Rating]]/FlipkartTable[[#This Row],[Selling Price]])*1000</f>
        <v>0.16539097657602217</v>
      </c>
      <c r="L1630" t="str">
        <f>IF(FlipkartTable[[#This Row],[Selling Price]]&lt;15000,"Budget",IF(FlipkartTable[[#This Row],[Selling Price]]&lt;50000,"Mid Range","Premium"))</f>
        <v>Mid Range</v>
      </c>
      <c r="M1630" t="str">
        <f>IF(FlipkartTable[[#This Row],[Rating]]&gt;4.5,"Excellent",IF(FlipkartTable[[#This Row],[Rating]]&gt;4,"Good",IF(FlipkartTable[[#This Row],[Rating]]&gt;3.5,"Average","Poor")))</f>
        <v>Good</v>
      </c>
    </row>
    <row r="1631" spans="1:13" x14ac:dyDescent="0.35">
      <c r="A1631" t="s">
        <v>663</v>
      </c>
      <c r="B1631" s="9" t="s">
        <v>698</v>
      </c>
      <c r="C1631" t="s">
        <v>761</v>
      </c>
      <c r="D1631" t="s">
        <v>27</v>
      </c>
      <c r="E1631" t="s">
        <v>15</v>
      </c>
      <c r="F1631">
        <v>4.3</v>
      </c>
      <c r="G1631">
        <v>22499</v>
      </c>
      <c r="H1631">
        <v>29999</v>
      </c>
      <c r="I1631">
        <f>FlipkartTable[[#This Row],[Original Price]]-FlipkartTable[[#This Row],[Selling Price]]</f>
        <v>7500</v>
      </c>
      <c r="J1631" s="4">
        <f>(FlipkartTable[[#This Row],[Original Price]]-FlipkartTable[[#This Row],[Selling Price]])/FlipkartTable[[#This Row],[Original Price]]</f>
        <v>0.25000833361112035</v>
      </c>
      <c r="K1631">
        <f>(FlipkartTable[[#This Row],[Rating]]/FlipkartTable[[#This Row],[Selling Price]])*1000</f>
        <v>0.19111960531579181</v>
      </c>
      <c r="L1631" t="str">
        <f>IF(FlipkartTable[[#This Row],[Selling Price]]&lt;15000,"Budget",IF(FlipkartTable[[#This Row],[Selling Price]]&lt;50000,"Mid Range","Premium"))</f>
        <v>Mid Range</v>
      </c>
      <c r="M1631" t="str">
        <f>IF(FlipkartTable[[#This Row],[Rating]]&gt;4.5,"Excellent",IF(FlipkartTable[[#This Row],[Rating]]&gt;4,"Good",IF(FlipkartTable[[#This Row],[Rating]]&gt;3.5,"Average","Poor")))</f>
        <v>Good</v>
      </c>
    </row>
    <row r="1632" spans="1:13" x14ac:dyDescent="0.35">
      <c r="A1632" t="s">
        <v>663</v>
      </c>
      <c r="B1632" s="9" t="s">
        <v>718</v>
      </c>
      <c r="C1632" t="s">
        <v>84</v>
      </c>
      <c r="D1632" t="s">
        <v>35</v>
      </c>
      <c r="E1632" t="s">
        <v>21</v>
      </c>
      <c r="F1632">
        <v>3.9</v>
      </c>
      <c r="G1632">
        <v>5990</v>
      </c>
      <c r="H1632">
        <v>5990</v>
      </c>
      <c r="I1632">
        <f>FlipkartTable[[#This Row],[Original Price]]-FlipkartTable[[#This Row],[Selling Price]]</f>
        <v>0</v>
      </c>
      <c r="J1632" s="4">
        <f>(FlipkartTable[[#This Row],[Original Price]]-FlipkartTable[[#This Row],[Selling Price]])/FlipkartTable[[#This Row],[Original Price]]</f>
        <v>0</v>
      </c>
      <c r="K1632">
        <f>(FlipkartTable[[#This Row],[Rating]]/FlipkartTable[[#This Row],[Selling Price]])*1000</f>
        <v>0.65108514190317202</v>
      </c>
      <c r="L1632" t="str">
        <f>IF(FlipkartTable[[#This Row],[Selling Price]]&lt;15000,"Budget",IF(FlipkartTable[[#This Row],[Selling Price]]&lt;50000,"Mid Range","Premium"))</f>
        <v>Budget</v>
      </c>
      <c r="M1632" t="str">
        <f>IF(FlipkartTable[[#This Row],[Rating]]&gt;4.5,"Excellent",IF(FlipkartTable[[#This Row],[Rating]]&gt;4,"Good",IF(FlipkartTable[[#This Row],[Rating]]&gt;3.5,"Average","Poor")))</f>
        <v>Average</v>
      </c>
    </row>
    <row r="1633" spans="1:13" x14ac:dyDescent="0.35">
      <c r="A1633" t="s">
        <v>663</v>
      </c>
      <c r="B1633" s="9" t="s">
        <v>763</v>
      </c>
      <c r="C1633" t="s">
        <v>22</v>
      </c>
      <c r="D1633" t="s">
        <v>20</v>
      </c>
      <c r="E1633" t="s">
        <v>21</v>
      </c>
      <c r="F1633">
        <v>4.3</v>
      </c>
      <c r="G1633">
        <v>11000</v>
      </c>
      <c r="H1633">
        <v>11000</v>
      </c>
      <c r="I1633">
        <f>FlipkartTable[[#This Row],[Original Price]]-FlipkartTable[[#This Row],[Selling Price]]</f>
        <v>0</v>
      </c>
      <c r="J1633" s="4">
        <f>(FlipkartTable[[#This Row],[Original Price]]-FlipkartTable[[#This Row],[Selling Price]])/FlipkartTable[[#This Row],[Original Price]]</f>
        <v>0</v>
      </c>
      <c r="K1633">
        <f>(FlipkartTable[[#This Row],[Rating]]/FlipkartTable[[#This Row],[Selling Price]])*1000</f>
        <v>0.39090909090909093</v>
      </c>
      <c r="L1633" t="str">
        <f>IF(FlipkartTable[[#This Row],[Selling Price]]&lt;15000,"Budget",IF(FlipkartTable[[#This Row],[Selling Price]]&lt;50000,"Mid Range","Premium"))</f>
        <v>Budget</v>
      </c>
      <c r="M1633" t="str">
        <f>IF(FlipkartTable[[#This Row],[Rating]]&gt;4.5,"Excellent",IF(FlipkartTable[[#This Row],[Rating]]&gt;4,"Good",IF(FlipkartTable[[#This Row],[Rating]]&gt;3.5,"Average","Poor")))</f>
        <v>Good</v>
      </c>
    </row>
    <row r="1634" spans="1:13" x14ac:dyDescent="0.35">
      <c r="A1634" t="s">
        <v>663</v>
      </c>
      <c r="B1634" s="9" t="s">
        <v>779</v>
      </c>
      <c r="C1634" t="s">
        <v>68</v>
      </c>
      <c r="D1634" t="s">
        <v>27</v>
      </c>
      <c r="E1634" t="s">
        <v>338</v>
      </c>
      <c r="F1634">
        <v>4.5999999999999996</v>
      </c>
      <c r="G1634">
        <v>49999</v>
      </c>
      <c r="H1634">
        <v>49999</v>
      </c>
      <c r="I1634">
        <f>FlipkartTable[[#This Row],[Original Price]]-FlipkartTable[[#This Row],[Selling Price]]</f>
        <v>0</v>
      </c>
      <c r="J1634" s="4">
        <f>(FlipkartTable[[#This Row],[Original Price]]-FlipkartTable[[#This Row],[Selling Price]])/FlipkartTable[[#This Row],[Original Price]]</f>
        <v>0</v>
      </c>
      <c r="K1634">
        <f>(FlipkartTable[[#This Row],[Rating]]/FlipkartTable[[#This Row],[Selling Price]])*1000</f>
        <v>9.2001840036800731E-2</v>
      </c>
      <c r="L1634" t="str">
        <f>IF(FlipkartTable[[#This Row],[Selling Price]]&lt;15000,"Budget",IF(FlipkartTable[[#This Row],[Selling Price]]&lt;50000,"Mid Range","Premium"))</f>
        <v>Mid Range</v>
      </c>
      <c r="M1634" t="str">
        <f>IF(FlipkartTable[[#This Row],[Rating]]&gt;4.5,"Excellent",IF(FlipkartTable[[#This Row],[Rating]]&gt;4,"Good",IF(FlipkartTable[[#This Row],[Rating]]&gt;3.5,"Average","Poor")))</f>
        <v>Excellent</v>
      </c>
    </row>
    <row r="1635" spans="1:13" x14ac:dyDescent="0.35">
      <c r="A1635" t="s">
        <v>663</v>
      </c>
      <c r="B1635" s="9" t="s">
        <v>829</v>
      </c>
      <c r="C1635" t="s">
        <v>152</v>
      </c>
      <c r="D1635" t="s">
        <v>263</v>
      </c>
      <c r="E1635" t="s">
        <v>11</v>
      </c>
      <c r="F1635">
        <v>3.9</v>
      </c>
      <c r="G1635">
        <v>4890</v>
      </c>
      <c r="H1635">
        <v>4890</v>
      </c>
      <c r="I1635">
        <f>FlipkartTable[[#This Row],[Original Price]]-FlipkartTable[[#This Row],[Selling Price]]</f>
        <v>0</v>
      </c>
      <c r="J1635" s="4">
        <f>(FlipkartTable[[#This Row],[Original Price]]-FlipkartTable[[#This Row],[Selling Price]])/FlipkartTable[[#This Row],[Original Price]]</f>
        <v>0</v>
      </c>
      <c r="K1635">
        <f>(FlipkartTable[[#This Row],[Rating]]/FlipkartTable[[#This Row],[Selling Price]])*1000</f>
        <v>0.7975460122699386</v>
      </c>
      <c r="L1635" t="str">
        <f>IF(FlipkartTable[[#This Row],[Selling Price]]&lt;15000,"Budget",IF(FlipkartTable[[#This Row],[Selling Price]]&lt;50000,"Mid Range","Premium"))</f>
        <v>Budget</v>
      </c>
      <c r="M1635" t="str">
        <f>IF(FlipkartTable[[#This Row],[Rating]]&gt;4.5,"Excellent",IF(FlipkartTable[[#This Row],[Rating]]&gt;4,"Good",IF(FlipkartTable[[#This Row],[Rating]]&gt;3.5,"Average","Poor")))</f>
        <v>Average</v>
      </c>
    </row>
    <row r="1636" spans="1:13" x14ac:dyDescent="0.35">
      <c r="A1636" t="s">
        <v>663</v>
      </c>
      <c r="B1636" s="9" t="s">
        <v>811</v>
      </c>
      <c r="C1636" t="s">
        <v>19</v>
      </c>
      <c r="D1636" t="s">
        <v>14</v>
      </c>
      <c r="E1636" t="s">
        <v>15</v>
      </c>
      <c r="F1636">
        <v>4.0999999999999996</v>
      </c>
      <c r="G1636">
        <v>16999</v>
      </c>
      <c r="H1636">
        <v>16999</v>
      </c>
      <c r="I1636">
        <f>FlipkartTable[[#This Row],[Original Price]]-FlipkartTable[[#This Row],[Selling Price]]</f>
        <v>0</v>
      </c>
      <c r="J1636" s="4">
        <f>(FlipkartTable[[#This Row],[Original Price]]-FlipkartTable[[#This Row],[Selling Price]])/FlipkartTable[[#This Row],[Original Price]]</f>
        <v>0</v>
      </c>
      <c r="K1636">
        <f>(FlipkartTable[[#This Row],[Rating]]/FlipkartTable[[#This Row],[Selling Price]])*1000</f>
        <v>0.24119065827401609</v>
      </c>
      <c r="L1636" t="str">
        <f>IF(FlipkartTable[[#This Row],[Selling Price]]&lt;15000,"Budget",IF(FlipkartTable[[#This Row],[Selling Price]]&lt;50000,"Mid Range","Premium"))</f>
        <v>Mid Range</v>
      </c>
      <c r="M1636" t="str">
        <f>IF(FlipkartTable[[#This Row],[Rating]]&gt;4.5,"Excellent",IF(FlipkartTable[[#This Row],[Rating]]&gt;4,"Good",IF(FlipkartTable[[#This Row],[Rating]]&gt;3.5,"Average","Poor")))</f>
        <v>Good</v>
      </c>
    </row>
    <row r="1637" spans="1:13" x14ac:dyDescent="0.35">
      <c r="A1637" t="s">
        <v>663</v>
      </c>
      <c r="B1637" s="9" t="s">
        <v>817</v>
      </c>
      <c r="C1637" t="s">
        <v>832</v>
      </c>
      <c r="D1637" t="s">
        <v>27</v>
      </c>
      <c r="E1637" t="s">
        <v>15</v>
      </c>
      <c r="F1637">
        <v>4.3</v>
      </c>
      <c r="G1637">
        <v>69999</v>
      </c>
      <c r="H1637">
        <v>83999</v>
      </c>
      <c r="I1637">
        <f>FlipkartTable[[#This Row],[Original Price]]-FlipkartTable[[#This Row],[Selling Price]]</f>
        <v>14000</v>
      </c>
      <c r="J1637" s="4">
        <f>(FlipkartTable[[#This Row],[Original Price]]-FlipkartTable[[#This Row],[Selling Price]])/FlipkartTable[[#This Row],[Original Price]]</f>
        <v>0.16666865081727164</v>
      </c>
      <c r="K1637">
        <f>(FlipkartTable[[#This Row],[Rating]]/FlipkartTable[[#This Row],[Selling Price]])*1000</f>
        <v>6.1429448992128453E-2</v>
      </c>
      <c r="L1637" t="str">
        <f>IF(FlipkartTable[[#This Row],[Selling Price]]&lt;15000,"Budget",IF(FlipkartTable[[#This Row],[Selling Price]]&lt;50000,"Mid Range","Premium"))</f>
        <v>Premium</v>
      </c>
      <c r="M1637" t="str">
        <f>IF(FlipkartTable[[#This Row],[Rating]]&gt;4.5,"Excellent",IF(FlipkartTable[[#This Row],[Rating]]&gt;4,"Good",IF(FlipkartTable[[#This Row],[Rating]]&gt;3.5,"Average","Poor")))</f>
        <v>Good</v>
      </c>
    </row>
    <row r="1638" spans="1:13" x14ac:dyDescent="0.35">
      <c r="A1638" t="s">
        <v>663</v>
      </c>
      <c r="B1638" s="9" t="s">
        <v>698</v>
      </c>
      <c r="C1638" t="s">
        <v>699</v>
      </c>
      <c r="D1638" t="s">
        <v>14</v>
      </c>
      <c r="E1638" t="s">
        <v>15</v>
      </c>
      <c r="F1638">
        <v>4.3</v>
      </c>
      <c r="G1638">
        <v>20999</v>
      </c>
      <c r="H1638">
        <v>25999</v>
      </c>
      <c r="I1638">
        <f>FlipkartTable[[#This Row],[Original Price]]-FlipkartTable[[#This Row],[Selling Price]]</f>
        <v>5000</v>
      </c>
      <c r="J1638" s="4">
        <f>(FlipkartTable[[#This Row],[Original Price]]-FlipkartTable[[#This Row],[Selling Price]])/FlipkartTable[[#This Row],[Original Price]]</f>
        <v>0.19231508904188624</v>
      </c>
      <c r="K1638">
        <f>(FlipkartTable[[#This Row],[Rating]]/FlipkartTable[[#This Row],[Selling Price]])*1000</f>
        <v>0.204771655793133</v>
      </c>
      <c r="L1638" t="str">
        <f>IF(FlipkartTable[[#This Row],[Selling Price]]&lt;15000,"Budget",IF(FlipkartTable[[#This Row],[Selling Price]]&lt;50000,"Mid Range","Premium"))</f>
        <v>Mid Range</v>
      </c>
      <c r="M1638" t="str">
        <f>IF(FlipkartTable[[#This Row],[Rating]]&gt;4.5,"Excellent",IF(FlipkartTable[[#This Row],[Rating]]&gt;4,"Good",IF(FlipkartTable[[#This Row],[Rating]]&gt;3.5,"Average","Poor")))</f>
        <v>Good</v>
      </c>
    </row>
    <row r="1639" spans="1:13" x14ac:dyDescent="0.35">
      <c r="A1639" t="s">
        <v>663</v>
      </c>
      <c r="B1639" s="9" t="s">
        <v>833</v>
      </c>
      <c r="C1639" t="s">
        <v>68</v>
      </c>
      <c r="D1639" t="s">
        <v>11</v>
      </c>
      <c r="E1639" t="s">
        <v>12</v>
      </c>
      <c r="F1639">
        <v>4.4000000000000004</v>
      </c>
      <c r="G1639">
        <v>62500</v>
      </c>
      <c r="H1639">
        <v>62500</v>
      </c>
      <c r="I1639">
        <f>FlipkartTable[[#This Row],[Original Price]]-FlipkartTable[[#This Row],[Selling Price]]</f>
        <v>0</v>
      </c>
      <c r="J1639" s="4">
        <f>(FlipkartTable[[#This Row],[Original Price]]-FlipkartTable[[#This Row],[Selling Price]])/FlipkartTable[[#This Row],[Original Price]]</f>
        <v>0</v>
      </c>
      <c r="K1639">
        <f>(FlipkartTable[[#This Row],[Rating]]/FlipkartTable[[#This Row],[Selling Price]])*1000</f>
        <v>7.0400000000000004E-2</v>
      </c>
      <c r="L1639" t="str">
        <f>IF(FlipkartTable[[#This Row],[Selling Price]]&lt;15000,"Budget",IF(FlipkartTable[[#This Row],[Selling Price]]&lt;50000,"Mid Range","Premium"))</f>
        <v>Premium</v>
      </c>
      <c r="M1639" t="str">
        <f>IF(FlipkartTable[[#This Row],[Rating]]&gt;4.5,"Excellent",IF(FlipkartTable[[#This Row],[Rating]]&gt;4,"Good",IF(FlipkartTable[[#This Row],[Rating]]&gt;3.5,"Average","Poor")))</f>
        <v>Good</v>
      </c>
    </row>
    <row r="1640" spans="1:13" x14ac:dyDescent="0.35">
      <c r="A1640" t="s">
        <v>663</v>
      </c>
      <c r="B1640" s="9" t="s">
        <v>834</v>
      </c>
      <c r="C1640" t="s">
        <v>116</v>
      </c>
      <c r="D1640" t="s">
        <v>20</v>
      </c>
      <c r="E1640" t="s">
        <v>124</v>
      </c>
      <c r="F1640">
        <v>4.0999999999999996</v>
      </c>
      <c r="G1640">
        <v>17490</v>
      </c>
      <c r="H1640">
        <v>17490</v>
      </c>
      <c r="I1640">
        <f>FlipkartTable[[#This Row],[Original Price]]-FlipkartTable[[#This Row],[Selling Price]]</f>
        <v>0</v>
      </c>
      <c r="J1640" s="4">
        <f>(FlipkartTable[[#This Row],[Original Price]]-FlipkartTable[[#This Row],[Selling Price]])/FlipkartTable[[#This Row],[Original Price]]</f>
        <v>0</v>
      </c>
      <c r="K1640">
        <f>(FlipkartTable[[#This Row],[Rating]]/FlipkartTable[[#This Row],[Selling Price]])*1000</f>
        <v>0.23441966838193251</v>
      </c>
      <c r="L1640" t="str">
        <f>IF(FlipkartTable[[#This Row],[Selling Price]]&lt;15000,"Budget",IF(FlipkartTable[[#This Row],[Selling Price]]&lt;50000,"Mid Range","Premium"))</f>
        <v>Mid Range</v>
      </c>
      <c r="M1640" t="str">
        <f>IF(FlipkartTable[[#This Row],[Rating]]&gt;4.5,"Excellent",IF(FlipkartTable[[#This Row],[Rating]]&gt;4,"Good",IF(FlipkartTable[[#This Row],[Rating]]&gt;3.5,"Average","Poor")))</f>
        <v>Good</v>
      </c>
    </row>
    <row r="1641" spans="1:13" x14ac:dyDescent="0.35">
      <c r="A1641" t="s">
        <v>663</v>
      </c>
      <c r="B1641" s="9" t="s">
        <v>835</v>
      </c>
      <c r="C1641" t="s">
        <v>19</v>
      </c>
      <c r="D1641" t="s">
        <v>492</v>
      </c>
      <c r="E1641" t="s">
        <v>493</v>
      </c>
      <c r="F1641">
        <v>4.2</v>
      </c>
      <c r="G1641">
        <v>3271</v>
      </c>
      <c r="H1641">
        <v>3271</v>
      </c>
      <c r="I1641">
        <f>FlipkartTable[[#This Row],[Original Price]]-FlipkartTable[[#This Row],[Selling Price]]</f>
        <v>0</v>
      </c>
      <c r="J1641" s="4">
        <f>(FlipkartTable[[#This Row],[Original Price]]-FlipkartTable[[#This Row],[Selling Price]])/FlipkartTable[[#This Row],[Original Price]]</f>
        <v>0</v>
      </c>
      <c r="K1641">
        <f>(FlipkartTable[[#This Row],[Rating]]/FlipkartTable[[#This Row],[Selling Price]])*1000</f>
        <v>1.2840110058086212</v>
      </c>
      <c r="L1641" t="str">
        <f>IF(FlipkartTable[[#This Row],[Selling Price]]&lt;15000,"Budget",IF(FlipkartTable[[#This Row],[Selling Price]]&lt;50000,"Mid Range","Premium"))</f>
        <v>Budget</v>
      </c>
      <c r="M1641" t="str">
        <f>IF(FlipkartTable[[#This Row],[Rating]]&gt;4.5,"Excellent",IF(FlipkartTable[[#This Row],[Rating]]&gt;4,"Good",IF(FlipkartTable[[#This Row],[Rating]]&gt;3.5,"Average","Poor")))</f>
        <v>Good</v>
      </c>
    </row>
    <row r="1642" spans="1:13" x14ac:dyDescent="0.35">
      <c r="A1642" t="s">
        <v>663</v>
      </c>
      <c r="B1642" s="9" t="s">
        <v>834</v>
      </c>
      <c r="C1642" t="s">
        <v>116</v>
      </c>
      <c r="D1642" t="s">
        <v>20</v>
      </c>
      <c r="E1642" t="s">
        <v>124</v>
      </c>
      <c r="F1642">
        <v>4.0999999999999996</v>
      </c>
      <c r="G1642">
        <v>17490</v>
      </c>
      <c r="H1642">
        <v>17490</v>
      </c>
      <c r="I1642">
        <f>FlipkartTable[[#This Row],[Original Price]]-FlipkartTable[[#This Row],[Selling Price]]</f>
        <v>0</v>
      </c>
      <c r="J1642" s="4">
        <f>(FlipkartTable[[#This Row],[Original Price]]-FlipkartTable[[#This Row],[Selling Price]])/FlipkartTable[[#This Row],[Original Price]]</f>
        <v>0</v>
      </c>
      <c r="K1642">
        <f>(FlipkartTable[[#This Row],[Rating]]/FlipkartTable[[#This Row],[Selling Price]])*1000</f>
        <v>0.23441966838193251</v>
      </c>
      <c r="L1642" t="str">
        <f>IF(FlipkartTable[[#This Row],[Selling Price]]&lt;15000,"Budget",IF(FlipkartTable[[#This Row],[Selling Price]]&lt;50000,"Mid Range","Premium"))</f>
        <v>Mid Range</v>
      </c>
      <c r="M1642" t="str">
        <f>IF(FlipkartTable[[#This Row],[Rating]]&gt;4.5,"Excellent",IF(FlipkartTable[[#This Row],[Rating]]&gt;4,"Good",IF(FlipkartTable[[#This Row],[Rating]]&gt;3.5,"Average","Poor")))</f>
        <v>Good</v>
      </c>
    </row>
    <row r="1643" spans="1:13" x14ac:dyDescent="0.35">
      <c r="A1643" t="s">
        <v>663</v>
      </c>
      <c r="B1643" s="9" t="s">
        <v>835</v>
      </c>
      <c r="C1643" t="s">
        <v>19</v>
      </c>
      <c r="D1643" t="s">
        <v>492</v>
      </c>
      <c r="E1643" t="s">
        <v>493</v>
      </c>
      <c r="F1643">
        <v>4.2</v>
      </c>
      <c r="G1643">
        <v>3271</v>
      </c>
      <c r="H1643">
        <v>3271</v>
      </c>
      <c r="I1643">
        <f>FlipkartTable[[#This Row],[Original Price]]-FlipkartTable[[#This Row],[Selling Price]]</f>
        <v>0</v>
      </c>
      <c r="J1643" s="4">
        <f>(FlipkartTable[[#This Row],[Original Price]]-FlipkartTable[[#This Row],[Selling Price]])/FlipkartTable[[#This Row],[Original Price]]</f>
        <v>0</v>
      </c>
      <c r="K1643">
        <f>(FlipkartTable[[#This Row],[Rating]]/FlipkartTable[[#This Row],[Selling Price]])*1000</f>
        <v>1.2840110058086212</v>
      </c>
      <c r="L1643" t="str">
        <f>IF(FlipkartTable[[#This Row],[Selling Price]]&lt;15000,"Budget",IF(FlipkartTable[[#This Row],[Selling Price]]&lt;50000,"Mid Range","Premium"))</f>
        <v>Budget</v>
      </c>
      <c r="M1643" t="str">
        <f>IF(FlipkartTable[[#This Row],[Rating]]&gt;4.5,"Excellent",IF(FlipkartTable[[#This Row],[Rating]]&gt;4,"Good",IF(FlipkartTable[[#This Row],[Rating]]&gt;3.5,"Average","Poor")))</f>
        <v>Good</v>
      </c>
    </row>
    <row r="1644" spans="1:13" x14ac:dyDescent="0.35">
      <c r="A1644" t="s">
        <v>663</v>
      </c>
      <c r="B1644" s="9" t="s">
        <v>764</v>
      </c>
      <c r="C1644" t="s">
        <v>836</v>
      </c>
      <c r="D1644" t="s">
        <v>11</v>
      </c>
      <c r="E1644" t="s">
        <v>12</v>
      </c>
      <c r="F1644">
        <v>4.3</v>
      </c>
      <c r="G1644">
        <v>13760</v>
      </c>
      <c r="H1644">
        <v>13760</v>
      </c>
      <c r="I1644">
        <f>FlipkartTable[[#This Row],[Original Price]]-FlipkartTable[[#This Row],[Selling Price]]</f>
        <v>0</v>
      </c>
      <c r="J1644" s="4">
        <f>(FlipkartTable[[#This Row],[Original Price]]-FlipkartTable[[#This Row],[Selling Price]])/FlipkartTable[[#This Row],[Original Price]]</f>
        <v>0</v>
      </c>
      <c r="K1644">
        <f>(FlipkartTable[[#This Row],[Rating]]/FlipkartTable[[#This Row],[Selling Price]])*1000</f>
        <v>0.3125</v>
      </c>
      <c r="L1644" t="str">
        <f>IF(FlipkartTable[[#This Row],[Selling Price]]&lt;15000,"Budget",IF(FlipkartTable[[#This Row],[Selling Price]]&lt;50000,"Mid Range","Premium"))</f>
        <v>Budget</v>
      </c>
      <c r="M1644" t="str">
        <f>IF(FlipkartTable[[#This Row],[Rating]]&gt;4.5,"Excellent",IF(FlipkartTable[[#This Row],[Rating]]&gt;4,"Good",IF(FlipkartTable[[#This Row],[Rating]]&gt;3.5,"Average","Poor")))</f>
        <v>Good</v>
      </c>
    </row>
    <row r="1645" spans="1:13" x14ac:dyDescent="0.35">
      <c r="A1645" t="s">
        <v>663</v>
      </c>
      <c r="B1645" s="9" t="s">
        <v>837</v>
      </c>
      <c r="C1645" t="s">
        <v>19</v>
      </c>
      <c r="D1645" t="s">
        <v>134</v>
      </c>
      <c r="E1645" t="s">
        <v>27</v>
      </c>
      <c r="F1645">
        <v>3.6</v>
      </c>
      <c r="G1645">
        <v>4790</v>
      </c>
      <c r="H1645">
        <v>4790</v>
      </c>
      <c r="I1645">
        <f>FlipkartTable[[#This Row],[Original Price]]-FlipkartTable[[#This Row],[Selling Price]]</f>
        <v>0</v>
      </c>
      <c r="J1645" s="4">
        <f>(FlipkartTable[[#This Row],[Original Price]]-FlipkartTable[[#This Row],[Selling Price]])/FlipkartTable[[#This Row],[Original Price]]</f>
        <v>0</v>
      </c>
      <c r="K1645">
        <f>(FlipkartTable[[#This Row],[Rating]]/FlipkartTable[[#This Row],[Selling Price]])*1000</f>
        <v>0.75156576200417535</v>
      </c>
      <c r="L1645" t="str">
        <f>IF(FlipkartTable[[#This Row],[Selling Price]]&lt;15000,"Budget",IF(FlipkartTable[[#This Row],[Selling Price]]&lt;50000,"Mid Range","Premium"))</f>
        <v>Budget</v>
      </c>
      <c r="M1645" t="str">
        <f>IF(FlipkartTable[[#This Row],[Rating]]&gt;4.5,"Excellent",IF(FlipkartTable[[#This Row],[Rating]]&gt;4,"Good",IF(FlipkartTable[[#This Row],[Rating]]&gt;3.5,"Average","Poor")))</f>
        <v>Average</v>
      </c>
    </row>
    <row r="1646" spans="1:13" x14ac:dyDescent="0.35">
      <c r="A1646" t="s">
        <v>663</v>
      </c>
      <c r="B1646" s="9" t="s">
        <v>825</v>
      </c>
      <c r="C1646" t="s">
        <v>116</v>
      </c>
      <c r="D1646" t="s">
        <v>134</v>
      </c>
      <c r="E1646" t="s">
        <v>124</v>
      </c>
      <c r="F1646">
        <v>4.2</v>
      </c>
      <c r="G1646">
        <v>5900</v>
      </c>
      <c r="H1646">
        <v>5900</v>
      </c>
      <c r="I1646">
        <f>FlipkartTable[[#This Row],[Original Price]]-FlipkartTable[[#This Row],[Selling Price]]</f>
        <v>0</v>
      </c>
      <c r="J1646" s="4">
        <f>(FlipkartTable[[#This Row],[Original Price]]-FlipkartTable[[#This Row],[Selling Price]])/FlipkartTable[[#This Row],[Original Price]]</f>
        <v>0</v>
      </c>
      <c r="K1646">
        <f>(FlipkartTable[[#This Row],[Rating]]/FlipkartTable[[#This Row],[Selling Price]])*1000</f>
        <v>0.71186440677966101</v>
      </c>
      <c r="L1646" t="str">
        <f>IF(FlipkartTable[[#This Row],[Selling Price]]&lt;15000,"Budget",IF(FlipkartTable[[#This Row],[Selling Price]]&lt;50000,"Mid Range","Premium"))</f>
        <v>Budget</v>
      </c>
      <c r="M1646" t="str">
        <f>IF(FlipkartTable[[#This Row],[Rating]]&gt;4.5,"Excellent",IF(FlipkartTable[[#This Row],[Rating]]&gt;4,"Good",IF(FlipkartTable[[#This Row],[Rating]]&gt;3.5,"Average","Poor")))</f>
        <v>Good</v>
      </c>
    </row>
    <row r="1647" spans="1:13" x14ac:dyDescent="0.35">
      <c r="A1647" t="s">
        <v>663</v>
      </c>
      <c r="B1647" s="9" t="s">
        <v>827</v>
      </c>
      <c r="C1647" t="s">
        <v>183</v>
      </c>
      <c r="D1647" t="s">
        <v>20</v>
      </c>
      <c r="E1647" t="s">
        <v>21</v>
      </c>
      <c r="F1647">
        <v>4.3</v>
      </c>
      <c r="G1647">
        <v>8690</v>
      </c>
      <c r="H1647">
        <v>9290</v>
      </c>
      <c r="I1647">
        <f>FlipkartTable[[#This Row],[Original Price]]-FlipkartTable[[#This Row],[Selling Price]]</f>
        <v>600</v>
      </c>
      <c r="J1647" s="4">
        <f>(FlipkartTable[[#This Row],[Original Price]]-FlipkartTable[[#This Row],[Selling Price]])/FlipkartTable[[#This Row],[Original Price]]</f>
        <v>6.4585575888051666E-2</v>
      </c>
      <c r="K1647">
        <f>(FlipkartTable[[#This Row],[Rating]]/FlipkartTable[[#This Row],[Selling Price]])*1000</f>
        <v>0.49482163406214036</v>
      </c>
      <c r="L1647" t="str">
        <f>IF(FlipkartTable[[#This Row],[Selling Price]]&lt;15000,"Budget",IF(FlipkartTable[[#This Row],[Selling Price]]&lt;50000,"Mid Range","Premium"))</f>
        <v>Budget</v>
      </c>
      <c r="M1647" t="str">
        <f>IF(FlipkartTable[[#This Row],[Rating]]&gt;4.5,"Excellent",IF(FlipkartTable[[#This Row],[Rating]]&gt;4,"Good",IF(FlipkartTable[[#This Row],[Rating]]&gt;3.5,"Average","Poor")))</f>
        <v>Good</v>
      </c>
    </row>
    <row r="1648" spans="1:13" x14ac:dyDescent="0.35">
      <c r="A1648" t="s">
        <v>663</v>
      </c>
      <c r="B1648" s="9" t="s">
        <v>725</v>
      </c>
      <c r="C1648" t="s">
        <v>699</v>
      </c>
      <c r="D1648" t="s">
        <v>27</v>
      </c>
      <c r="E1648" t="s">
        <v>15</v>
      </c>
      <c r="F1648">
        <v>4.4000000000000004</v>
      </c>
      <c r="G1648">
        <v>27499</v>
      </c>
      <c r="H1648">
        <v>34999</v>
      </c>
      <c r="I1648">
        <f>FlipkartTable[[#This Row],[Original Price]]-FlipkartTable[[#This Row],[Selling Price]]</f>
        <v>7500</v>
      </c>
      <c r="J1648" s="4">
        <f>(FlipkartTable[[#This Row],[Original Price]]-FlipkartTable[[#This Row],[Selling Price]])/FlipkartTable[[#This Row],[Original Price]]</f>
        <v>0.214291836909626</v>
      </c>
      <c r="K1648">
        <f>(FlipkartTable[[#This Row],[Rating]]/FlipkartTable[[#This Row],[Selling Price]])*1000</f>
        <v>0.16000581839339614</v>
      </c>
      <c r="L1648" t="str">
        <f>IF(FlipkartTable[[#This Row],[Selling Price]]&lt;15000,"Budget",IF(FlipkartTable[[#This Row],[Selling Price]]&lt;50000,"Mid Range","Premium"))</f>
        <v>Mid Range</v>
      </c>
      <c r="M1648" t="str">
        <f>IF(FlipkartTable[[#This Row],[Rating]]&gt;4.5,"Excellent",IF(FlipkartTable[[#This Row],[Rating]]&gt;4,"Good",IF(FlipkartTable[[#This Row],[Rating]]&gt;3.5,"Average","Poor")))</f>
        <v>Good</v>
      </c>
    </row>
    <row r="1649" spans="1:13" x14ac:dyDescent="0.35">
      <c r="A1649" t="s">
        <v>663</v>
      </c>
      <c r="B1649" s="9" t="s">
        <v>753</v>
      </c>
      <c r="C1649" t="s">
        <v>19</v>
      </c>
      <c r="D1649" t="s">
        <v>20</v>
      </c>
      <c r="E1649" t="s">
        <v>124</v>
      </c>
      <c r="F1649">
        <v>4.2</v>
      </c>
      <c r="G1649">
        <v>10990</v>
      </c>
      <c r="H1649">
        <v>10990</v>
      </c>
      <c r="I1649">
        <f>FlipkartTable[[#This Row],[Original Price]]-FlipkartTable[[#This Row],[Selling Price]]</f>
        <v>0</v>
      </c>
      <c r="J1649" s="4">
        <f>(FlipkartTable[[#This Row],[Original Price]]-FlipkartTable[[#This Row],[Selling Price]])/FlipkartTable[[#This Row],[Original Price]]</f>
        <v>0</v>
      </c>
      <c r="K1649">
        <f>(FlipkartTable[[#This Row],[Rating]]/FlipkartTable[[#This Row],[Selling Price]])*1000</f>
        <v>0.38216560509554137</v>
      </c>
      <c r="L1649" t="str">
        <f>IF(FlipkartTable[[#This Row],[Selling Price]]&lt;15000,"Budget",IF(FlipkartTable[[#This Row],[Selling Price]]&lt;50000,"Mid Range","Premium"))</f>
        <v>Budget</v>
      </c>
      <c r="M1649" t="str">
        <f>IF(FlipkartTable[[#This Row],[Rating]]&gt;4.5,"Excellent",IF(FlipkartTable[[#This Row],[Rating]]&gt;4,"Good",IF(FlipkartTable[[#This Row],[Rating]]&gt;3.5,"Average","Poor")))</f>
        <v>Good</v>
      </c>
    </row>
    <row r="1650" spans="1:13" x14ac:dyDescent="0.35">
      <c r="A1650" t="s">
        <v>663</v>
      </c>
      <c r="B1650" s="9" t="s">
        <v>793</v>
      </c>
      <c r="C1650" t="s">
        <v>84</v>
      </c>
      <c r="D1650" t="s">
        <v>11</v>
      </c>
      <c r="E1650" t="s">
        <v>12</v>
      </c>
      <c r="F1650">
        <v>4.4000000000000004</v>
      </c>
      <c r="G1650">
        <v>18000</v>
      </c>
      <c r="H1650">
        <v>18000</v>
      </c>
      <c r="I1650">
        <f>FlipkartTable[[#This Row],[Original Price]]-FlipkartTable[[#This Row],[Selling Price]]</f>
        <v>0</v>
      </c>
      <c r="J1650" s="4">
        <f>(FlipkartTable[[#This Row],[Original Price]]-FlipkartTable[[#This Row],[Selling Price]])/FlipkartTable[[#This Row],[Original Price]]</f>
        <v>0</v>
      </c>
      <c r="K1650">
        <f>(FlipkartTable[[#This Row],[Rating]]/FlipkartTable[[#This Row],[Selling Price]])*1000</f>
        <v>0.24444444444444449</v>
      </c>
      <c r="L1650" t="str">
        <f>IF(FlipkartTable[[#This Row],[Selling Price]]&lt;15000,"Budget",IF(FlipkartTable[[#This Row],[Selling Price]]&lt;50000,"Mid Range","Premium"))</f>
        <v>Mid Range</v>
      </c>
      <c r="M1650" t="str">
        <f>IF(FlipkartTable[[#This Row],[Rating]]&gt;4.5,"Excellent",IF(FlipkartTable[[#This Row],[Rating]]&gt;4,"Good",IF(FlipkartTable[[#This Row],[Rating]]&gt;3.5,"Average","Poor")))</f>
        <v>Good</v>
      </c>
    </row>
    <row r="1651" spans="1:13" x14ac:dyDescent="0.35">
      <c r="A1651" t="s">
        <v>663</v>
      </c>
      <c r="B1651" s="9" t="s">
        <v>838</v>
      </c>
      <c r="C1651" t="s">
        <v>839</v>
      </c>
      <c r="D1651" t="s">
        <v>20</v>
      </c>
      <c r="E1651" t="s">
        <v>21</v>
      </c>
      <c r="F1651">
        <v>4.4000000000000004</v>
      </c>
      <c r="G1651">
        <v>9100</v>
      </c>
      <c r="H1651">
        <v>10000</v>
      </c>
      <c r="I1651">
        <f>FlipkartTable[[#This Row],[Original Price]]-FlipkartTable[[#This Row],[Selling Price]]</f>
        <v>900</v>
      </c>
      <c r="J1651" s="4">
        <f>(FlipkartTable[[#This Row],[Original Price]]-FlipkartTable[[#This Row],[Selling Price]])/FlipkartTable[[#This Row],[Original Price]]</f>
        <v>0.09</v>
      </c>
      <c r="K1651">
        <f>(FlipkartTable[[#This Row],[Rating]]/FlipkartTable[[#This Row],[Selling Price]])*1000</f>
        <v>0.48351648351648358</v>
      </c>
      <c r="L1651" t="str">
        <f>IF(FlipkartTable[[#This Row],[Selling Price]]&lt;15000,"Budget",IF(FlipkartTable[[#This Row],[Selling Price]]&lt;50000,"Mid Range","Premium"))</f>
        <v>Budget</v>
      </c>
      <c r="M1651" t="str">
        <f>IF(FlipkartTable[[#This Row],[Rating]]&gt;4.5,"Excellent",IF(FlipkartTable[[#This Row],[Rating]]&gt;4,"Good",IF(FlipkartTable[[#This Row],[Rating]]&gt;3.5,"Average","Poor")))</f>
        <v>Good</v>
      </c>
    </row>
    <row r="1652" spans="1:13" x14ac:dyDescent="0.35">
      <c r="A1652" t="s">
        <v>663</v>
      </c>
      <c r="B1652" s="9" t="s">
        <v>772</v>
      </c>
      <c r="C1652" t="s">
        <v>840</v>
      </c>
      <c r="D1652" t="s">
        <v>27</v>
      </c>
      <c r="E1652" t="s">
        <v>15</v>
      </c>
      <c r="F1652">
        <v>4.3</v>
      </c>
      <c r="G1652">
        <v>39000</v>
      </c>
      <c r="H1652">
        <v>39000</v>
      </c>
      <c r="I1652">
        <f>FlipkartTable[[#This Row],[Original Price]]-FlipkartTable[[#This Row],[Selling Price]]</f>
        <v>0</v>
      </c>
      <c r="J1652" s="4">
        <f>(FlipkartTable[[#This Row],[Original Price]]-FlipkartTable[[#This Row],[Selling Price]])/FlipkartTable[[#This Row],[Original Price]]</f>
        <v>0</v>
      </c>
      <c r="K1652">
        <f>(FlipkartTable[[#This Row],[Rating]]/FlipkartTable[[#This Row],[Selling Price]])*1000</f>
        <v>0.11025641025641025</v>
      </c>
      <c r="L1652" t="str">
        <f>IF(FlipkartTable[[#This Row],[Selling Price]]&lt;15000,"Budget",IF(FlipkartTable[[#This Row],[Selling Price]]&lt;50000,"Mid Range","Premium"))</f>
        <v>Mid Range</v>
      </c>
      <c r="M1652" t="str">
        <f>IF(FlipkartTable[[#This Row],[Rating]]&gt;4.5,"Excellent",IF(FlipkartTable[[#This Row],[Rating]]&gt;4,"Good",IF(FlipkartTable[[#This Row],[Rating]]&gt;3.5,"Average","Poor")))</f>
        <v>Good</v>
      </c>
    </row>
    <row r="1653" spans="1:13" x14ac:dyDescent="0.35">
      <c r="A1653" t="s">
        <v>663</v>
      </c>
      <c r="B1653" s="9" t="s">
        <v>744</v>
      </c>
      <c r="C1653" t="s">
        <v>22</v>
      </c>
      <c r="D1653" t="s">
        <v>14</v>
      </c>
      <c r="E1653" t="s">
        <v>15</v>
      </c>
      <c r="F1653">
        <v>4.3</v>
      </c>
      <c r="G1653">
        <v>30900</v>
      </c>
      <c r="H1653">
        <v>30900</v>
      </c>
      <c r="I1653">
        <f>FlipkartTable[[#This Row],[Original Price]]-FlipkartTable[[#This Row],[Selling Price]]</f>
        <v>0</v>
      </c>
      <c r="J1653" s="4">
        <f>(FlipkartTable[[#This Row],[Original Price]]-FlipkartTable[[#This Row],[Selling Price]])/FlipkartTable[[#This Row],[Original Price]]</f>
        <v>0</v>
      </c>
      <c r="K1653">
        <f>(FlipkartTable[[#This Row],[Rating]]/FlipkartTable[[#This Row],[Selling Price]])*1000</f>
        <v>0.13915857605177995</v>
      </c>
      <c r="L1653" t="str">
        <f>IF(FlipkartTable[[#This Row],[Selling Price]]&lt;15000,"Budget",IF(FlipkartTable[[#This Row],[Selling Price]]&lt;50000,"Mid Range","Premium"))</f>
        <v>Mid Range</v>
      </c>
      <c r="M1653" t="str">
        <f>IF(FlipkartTable[[#This Row],[Rating]]&gt;4.5,"Excellent",IF(FlipkartTable[[#This Row],[Rating]]&gt;4,"Good",IF(FlipkartTable[[#This Row],[Rating]]&gt;3.5,"Average","Poor")))</f>
        <v>Good</v>
      </c>
    </row>
    <row r="1654" spans="1:13" x14ac:dyDescent="0.35">
      <c r="A1654" t="s">
        <v>663</v>
      </c>
      <c r="B1654" s="9" t="s">
        <v>841</v>
      </c>
      <c r="C1654" t="s">
        <v>19</v>
      </c>
      <c r="D1654" t="s">
        <v>263</v>
      </c>
      <c r="E1654" t="s">
        <v>11</v>
      </c>
      <c r="F1654">
        <v>3.9</v>
      </c>
      <c r="G1654">
        <v>4988</v>
      </c>
      <c r="H1654">
        <v>4988</v>
      </c>
      <c r="I1654">
        <f>FlipkartTable[[#This Row],[Original Price]]-FlipkartTable[[#This Row],[Selling Price]]</f>
        <v>0</v>
      </c>
      <c r="J1654" s="4">
        <f>(FlipkartTable[[#This Row],[Original Price]]-FlipkartTable[[#This Row],[Selling Price]])/FlipkartTable[[#This Row],[Original Price]]</f>
        <v>0</v>
      </c>
      <c r="K1654">
        <f>(FlipkartTable[[#This Row],[Rating]]/FlipkartTable[[#This Row],[Selling Price]])*1000</f>
        <v>0.78187650360866079</v>
      </c>
      <c r="L1654" t="str">
        <f>IF(FlipkartTable[[#This Row],[Selling Price]]&lt;15000,"Budget",IF(FlipkartTable[[#This Row],[Selling Price]]&lt;50000,"Mid Range","Premium"))</f>
        <v>Budget</v>
      </c>
      <c r="M1654" t="str">
        <f>IF(FlipkartTable[[#This Row],[Rating]]&gt;4.5,"Excellent",IF(FlipkartTable[[#This Row],[Rating]]&gt;4,"Good",IF(FlipkartTable[[#This Row],[Rating]]&gt;3.5,"Average","Poor")))</f>
        <v>Average</v>
      </c>
    </row>
    <row r="1655" spans="1:13" x14ac:dyDescent="0.35">
      <c r="A1655" t="s">
        <v>663</v>
      </c>
      <c r="B1655" s="9" t="s">
        <v>842</v>
      </c>
      <c r="C1655" t="s">
        <v>152</v>
      </c>
      <c r="D1655" t="s">
        <v>295</v>
      </c>
      <c r="E1655" t="s">
        <v>11</v>
      </c>
      <c r="F1655">
        <v>3.5</v>
      </c>
      <c r="G1655">
        <v>3990</v>
      </c>
      <c r="H1655">
        <v>3990</v>
      </c>
      <c r="I1655">
        <f>FlipkartTable[[#This Row],[Original Price]]-FlipkartTable[[#This Row],[Selling Price]]</f>
        <v>0</v>
      </c>
      <c r="J1655" s="4">
        <f>(FlipkartTable[[#This Row],[Original Price]]-FlipkartTable[[#This Row],[Selling Price]])/FlipkartTable[[#This Row],[Original Price]]</f>
        <v>0</v>
      </c>
      <c r="K1655">
        <f>(FlipkartTable[[#This Row],[Rating]]/FlipkartTable[[#This Row],[Selling Price]])*1000</f>
        <v>0.87719298245614041</v>
      </c>
      <c r="L1655" t="str">
        <f>IF(FlipkartTable[[#This Row],[Selling Price]]&lt;15000,"Budget",IF(FlipkartTable[[#This Row],[Selling Price]]&lt;50000,"Mid Range","Premium"))</f>
        <v>Budget</v>
      </c>
      <c r="M1655" t="str">
        <f>IF(FlipkartTable[[#This Row],[Rating]]&gt;4.5,"Excellent",IF(FlipkartTable[[#This Row],[Rating]]&gt;4,"Good",IF(FlipkartTable[[#This Row],[Rating]]&gt;3.5,"Average","Poor")))</f>
        <v>Poor</v>
      </c>
    </row>
    <row r="1656" spans="1:13" x14ac:dyDescent="0.35">
      <c r="A1656" t="s">
        <v>663</v>
      </c>
      <c r="B1656" s="9" t="s">
        <v>843</v>
      </c>
      <c r="C1656" t="s">
        <v>183</v>
      </c>
      <c r="D1656" t="s">
        <v>11</v>
      </c>
      <c r="E1656" t="s">
        <v>12</v>
      </c>
      <c r="F1656">
        <v>4.3</v>
      </c>
      <c r="G1656">
        <v>11999</v>
      </c>
      <c r="H1656">
        <v>11999</v>
      </c>
      <c r="I1656">
        <f>FlipkartTable[[#This Row],[Original Price]]-FlipkartTable[[#This Row],[Selling Price]]</f>
        <v>0</v>
      </c>
      <c r="J1656" s="4">
        <f>(FlipkartTable[[#This Row],[Original Price]]-FlipkartTable[[#This Row],[Selling Price]])/FlipkartTable[[#This Row],[Original Price]]</f>
        <v>0</v>
      </c>
      <c r="K1656">
        <f>(FlipkartTable[[#This Row],[Rating]]/FlipkartTable[[#This Row],[Selling Price]])*1000</f>
        <v>0.35836319693307778</v>
      </c>
      <c r="L1656" t="str">
        <f>IF(FlipkartTable[[#This Row],[Selling Price]]&lt;15000,"Budget",IF(FlipkartTable[[#This Row],[Selling Price]]&lt;50000,"Mid Range","Premium"))</f>
        <v>Budget</v>
      </c>
      <c r="M1656" t="str">
        <f>IF(FlipkartTable[[#This Row],[Rating]]&gt;4.5,"Excellent",IF(FlipkartTable[[#This Row],[Rating]]&gt;4,"Good",IF(FlipkartTable[[#This Row],[Rating]]&gt;3.5,"Average","Poor")))</f>
        <v>Good</v>
      </c>
    </row>
    <row r="1657" spans="1:13" x14ac:dyDescent="0.35">
      <c r="A1657" t="s">
        <v>663</v>
      </c>
      <c r="B1657" s="9" t="s">
        <v>752</v>
      </c>
      <c r="C1657" t="s">
        <v>139</v>
      </c>
      <c r="D1657" t="s">
        <v>11</v>
      </c>
      <c r="E1657" t="s">
        <v>12</v>
      </c>
      <c r="F1657">
        <v>4.3</v>
      </c>
      <c r="G1657">
        <v>13695</v>
      </c>
      <c r="H1657">
        <v>14900</v>
      </c>
      <c r="I1657">
        <f>FlipkartTable[[#This Row],[Original Price]]-FlipkartTable[[#This Row],[Selling Price]]</f>
        <v>1205</v>
      </c>
      <c r="J1657" s="4">
        <f>(FlipkartTable[[#This Row],[Original Price]]-FlipkartTable[[#This Row],[Selling Price]])/FlipkartTable[[#This Row],[Original Price]]</f>
        <v>8.0872483221476513E-2</v>
      </c>
      <c r="K1657">
        <f>(FlipkartTable[[#This Row],[Rating]]/FlipkartTable[[#This Row],[Selling Price]])*1000</f>
        <v>0.31398320554947062</v>
      </c>
      <c r="L1657" t="str">
        <f>IF(FlipkartTable[[#This Row],[Selling Price]]&lt;15000,"Budget",IF(FlipkartTable[[#This Row],[Selling Price]]&lt;50000,"Mid Range","Premium"))</f>
        <v>Budget</v>
      </c>
      <c r="M1657" t="str">
        <f>IF(FlipkartTable[[#This Row],[Rating]]&gt;4.5,"Excellent",IF(FlipkartTable[[#This Row],[Rating]]&gt;4,"Good",IF(FlipkartTable[[#This Row],[Rating]]&gt;3.5,"Average","Poor")))</f>
        <v>Good</v>
      </c>
    </row>
    <row r="1658" spans="1:13" x14ac:dyDescent="0.35">
      <c r="A1658" t="s">
        <v>663</v>
      </c>
      <c r="B1658" s="9" t="s">
        <v>793</v>
      </c>
      <c r="C1658" t="s">
        <v>152</v>
      </c>
      <c r="D1658" t="s">
        <v>11</v>
      </c>
      <c r="E1658" t="s">
        <v>12</v>
      </c>
      <c r="F1658">
        <v>4.4000000000000004</v>
      </c>
      <c r="G1658">
        <v>18000</v>
      </c>
      <c r="H1658">
        <v>18000</v>
      </c>
      <c r="I1658">
        <f>FlipkartTable[[#This Row],[Original Price]]-FlipkartTable[[#This Row],[Selling Price]]</f>
        <v>0</v>
      </c>
      <c r="J1658" s="4">
        <f>(FlipkartTable[[#This Row],[Original Price]]-FlipkartTable[[#This Row],[Selling Price]])/FlipkartTable[[#This Row],[Original Price]]</f>
        <v>0</v>
      </c>
      <c r="K1658">
        <f>(FlipkartTable[[#This Row],[Rating]]/FlipkartTable[[#This Row],[Selling Price]])*1000</f>
        <v>0.24444444444444449</v>
      </c>
      <c r="L1658" t="str">
        <f>IF(FlipkartTable[[#This Row],[Selling Price]]&lt;15000,"Budget",IF(FlipkartTable[[#This Row],[Selling Price]]&lt;50000,"Mid Range","Premium"))</f>
        <v>Mid Range</v>
      </c>
      <c r="M1658" t="str">
        <f>IF(FlipkartTable[[#This Row],[Rating]]&gt;4.5,"Excellent",IF(FlipkartTable[[#This Row],[Rating]]&gt;4,"Good",IF(FlipkartTable[[#This Row],[Rating]]&gt;3.5,"Average","Poor")))</f>
        <v>Good</v>
      </c>
    </row>
    <row r="1659" spans="1:13" x14ac:dyDescent="0.35">
      <c r="A1659" t="s">
        <v>663</v>
      </c>
      <c r="B1659" s="9" t="s">
        <v>844</v>
      </c>
      <c r="C1659" t="s">
        <v>19</v>
      </c>
      <c r="D1659" t="s">
        <v>284</v>
      </c>
      <c r="E1659" t="s">
        <v>27</v>
      </c>
      <c r="F1659">
        <v>4.3</v>
      </c>
      <c r="G1659">
        <v>7990</v>
      </c>
      <c r="H1659">
        <v>7990</v>
      </c>
      <c r="I1659">
        <f>FlipkartTable[[#This Row],[Original Price]]-FlipkartTable[[#This Row],[Selling Price]]</f>
        <v>0</v>
      </c>
      <c r="J1659" s="4">
        <f>(FlipkartTable[[#This Row],[Original Price]]-FlipkartTable[[#This Row],[Selling Price]])/FlipkartTable[[#This Row],[Original Price]]</f>
        <v>0</v>
      </c>
      <c r="K1659">
        <f>(FlipkartTable[[#This Row],[Rating]]/FlipkartTable[[#This Row],[Selling Price]])*1000</f>
        <v>0.53817271589486848</v>
      </c>
      <c r="L1659" t="str">
        <f>IF(FlipkartTable[[#This Row],[Selling Price]]&lt;15000,"Budget",IF(FlipkartTable[[#This Row],[Selling Price]]&lt;50000,"Mid Range","Premium"))</f>
        <v>Budget</v>
      </c>
      <c r="M1659" t="str">
        <f>IF(FlipkartTable[[#This Row],[Rating]]&gt;4.5,"Excellent",IF(FlipkartTable[[#This Row],[Rating]]&gt;4,"Good",IF(FlipkartTable[[#This Row],[Rating]]&gt;3.5,"Average","Poor")))</f>
        <v>Good</v>
      </c>
    </row>
    <row r="1660" spans="1:13" x14ac:dyDescent="0.35">
      <c r="A1660" t="s">
        <v>663</v>
      </c>
      <c r="B1660" s="9" t="s">
        <v>845</v>
      </c>
      <c r="C1660" t="s">
        <v>22</v>
      </c>
      <c r="D1660" t="s">
        <v>11</v>
      </c>
      <c r="E1660" t="s">
        <v>12</v>
      </c>
      <c r="F1660">
        <v>4.3</v>
      </c>
      <c r="G1660">
        <v>17600</v>
      </c>
      <c r="H1660">
        <v>17600</v>
      </c>
      <c r="I1660">
        <f>FlipkartTable[[#This Row],[Original Price]]-FlipkartTable[[#This Row],[Selling Price]]</f>
        <v>0</v>
      </c>
      <c r="J1660" s="4">
        <f>(FlipkartTable[[#This Row],[Original Price]]-FlipkartTable[[#This Row],[Selling Price]])/FlipkartTable[[#This Row],[Original Price]]</f>
        <v>0</v>
      </c>
      <c r="K1660">
        <f>(FlipkartTable[[#This Row],[Rating]]/FlipkartTable[[#This Row],[Selling Price]])*1000</f>
        <v>0.2443181818181818</v>
      </c>
      <c r="L1660" t="str">
        <f>IF(FlipkartTable[[#This Row],[Selling Price]]&lt;15000,"Budget",IF(FlipkartTable[[#This Row],[Selling Price]]&lt;50000,"Mid Range","Premium"))</f>
        <v>Mid Range</v>
      </c>
      <c r="M1660" t="str">
        <f>IF(FlipkartTable[[#This Row],[Rating]]&gt;4.5,"Excellent",IF(FlipkartTable[[#This Row],[Rating]]&gt;4,"Good",IF(FlipkartTable[[#This Row],[Rating]]&gt;3.5,"Average","Poor")))</f>
        <v>Good</v>
      </c>
    </row>
    <row r="1661" spans="1:13" x14ac:dyDescent="0.35">
      <c r="A1661" t="s">
        <v>663</v>
      </c>
      <c r="B1661" s="9" t="s">
        <v>844</v>
      </c>
      <c r="C1661" t="s">
        <v>152</v>
      </c>
      <c r="D1661" t="s">
        <v>284</v>
      </c>
      <c r="E1661" t="s">
        <v>27</v>
      </c>
      <c r="F1661">
        <v>4.3</v>
      </c>
      <c r="G1661">
        <v>11390</v>
      </c>
      <c r="H1661">
        <v>11390</v>
      </c>
      <c r="I1661">
        <f>FlipkartTable[[#This Row],[Original Price]]-FlipkartTable[[#This Row],[Selling Price]]</f>
        <v>0</v>
      </c>
      <c r="J1661" s="4">
        <f>(FlipkartTable[[#This Row],[Original Price]]-FlipkartTable[[#This Row],[Selling Price]])/FlipkartTable[[#This Row],[Original Price]]</f>
        <v>0</v>
      </c>
      <c r="K1661">
        <f>(FlipkartTable[[#This Row],[Rating]]/FlipkartTable[[#This Row],[Selling Price]])*1000</f>
        <v>0.37752414398595258</v>
      </c>
      <c r="L1661" t="str">
        <f>IF(FlipkartTable[[#This Row],[Selling Price]]&lt;15000,"Budget",IF(FlipkartTable[[#This Row],[Selling Price]]&lt;50000,"Mid Range","Premium"))</f>
        <v>Budget</v>
      </c>
      <c r="M1661" t="str">
        <f>IF(FlipkartTable[[#This Row],[Rating]]&gt;4.5,"Excellent",IF(FlipkartTable[[#This Row],[Rating]]&gt;4,"Good",IF(FlipkartTable[[#This Row],[Rating]]&gt;3.5,"Average","Poor")))</f>
        <v>Good</v>
      </c>
    </row>
    <row r="1662" spans="1:13" x14ac:dyDescent="0.35">
      <c r="A1662" t="s">
        <v>663</v>
      </c>
      <c r="B1662" s="9" t="s">
        <v>698</v>
      </c>
      <c r="C1662" t="s">
        <v>726</v>
      </c>
      <c r="D1662" t="s">
        <v>27</v>
      </c>
      <c r="E1662" t="s">
        <v>15</v>
      </c>
      <c r="F1662">
        <v>4.3</v>
      </c>
      <c r="G1662">
        <v>22499</v>
      </c>
      <c r="H1662">
        <v>29999</v>
      </c>
      <c r="I1662">
        <f>FlipkartTable[[#This Row],[Original Price]]-FlipkartTable[[#This Row],[Selling Price]]</f>
        <v>7500</v>
      </c>
      <c r="J1662" s="4">
        <f>(FlipkartTable[[#This Row],[Original Price]]-FlipkartTable[[#This Row],[Selling Price]])/FlipkartTable[[#This Row],[Original Price]]</f>
        <v>0.25000833361112035</v>
      </c>
      <c r="K1662">
        <f>(FlipkartTable[[#This Row],[Rating]]/FlipkartTable[[#This Row],[Selling Price]])*1000</f>
        <v>0.19111960531579181</v>
      </c>
      <c r="L1662" t="str">
        <f>IF(FlipkartTable[[#This Row],[Selling Price]]&lt;15000,"Budget",IF(FlipkartTable[[#This Row],[Selling Price]]&lt;50000,"Mid Range","Premium"))</f>
        <v>Mid Range</v>
      </c>
      <c r="M1662" t="str">
        <f>IF(FlipkartTable[[#This Row],[Rating]]&gt;4.5,"Excellent",IF(FlipkartTable[[#This Row],[Rating]]&gt;4,"Good",IF(FlipkartTable[[#This Row],[Rating]]&gt;3.5,"Average","Poor")))</f>
        <v>Good</v>
      </c>
    </row>
    <row r="1663" spans="1:13" x14ac:dyDescent="0.35">
      <c r="A1663" t="s">
        <v>663</v>
      </c>
      <c r="B1663" s="9" t="s">
        <v>846</v>
      </c>
      <c r="C1663" t="s">
        <v>847</v>
      </c>
      <c r="D1663" t="s">
        <v>11</v>
      </c>
      <c r="E1663" t="s">
        <v>21</v>
      </c>
      <c r="F1663">
        <v>3.9</v>
      </c>
      <c r="G1663">
        <v>46900</v>
      </c>
      <c r="H1663">
        <v>46900</v>
      </c>
      <c r="I1663">
        <f>FlipkartTable[[#This Row],[Original Price]]-FlipkartTable[[#This Row],[Selling Price]]</f>
        <v>0</v>
      </c>
      <c r="J1663" s="4">
        <f>(FlipkartTable[[#This Row],[Original Price]]-FlipkartTable[[#This Row],[Selling Price]])/FlipkartTable[[#This Row],[Original Price]]</f>
        <v>0</v>
      </c>
      <c r="K1663">
        <f>(FlipkartTable[[#This Row],[Rating]]/FlipkartTable[[#This Row],[Selling Price]])*1000</f>
        <v>8.3155650319829424E-2</v>
      </c>
      <c r="L1663" t="str">
        <f>IF(FlipkartTable[[#This Row],[Selling Price]]&lt;15000,"Budget",IF(FlipkartTable[[#This Row],[Selling Price]]&lt;50000,"Mid Range","Premium"))</f>
        <v>Mid Range</v>
      </c>
      <c r="M1663" t="str">
        <f>IF(FlipkartTable[[#This Row],[Rating]]&gt;4.5,"Excellent",IF(FlipkartTable[[#This Row],[Rating]]&gt;4,"Good",IF(FlipkartTable[[#This Row],[Rating]]&gt;3.5,"Average","Poor")))</f>
        <v>Average</v>
      </c>
    </row>
    <row r="1664" spans="1:13" x14ac:dyDescent="0.35">
      <c r="A1664" t="s">
        <v>663</v>
      </c>
      <c r="B1664" s="9" t="s">
        <v>784</v>
      </c>
      <c r="C1664" t="s">
        <v>116</v>
      </c>
      <c r="D1664" t="s">
        <v>134</v>
      </c>
      <c r="E1664" t="s">
        <v>27</v>
      </c>
      <c r="F1664">
        <v>4.0999999999999996</v>
      </c>
      <c r="G1664">
        <v>7400</v>
      </c>
      <c r="H1664">
        <v>7400</v>
      </c>
      <c r="I1664">
        <f>FlipkartTable[[#This Row],[Original Price]]-FlipkartTable[[#This Row],[Selling Price]]</f>
        <v>0</v>
      </c>
      <c r="J1664" s="4">
        <f>(FlipkartTable[[#This Row],[Original Price]]-FlipkartTable[[#This Row],[Selling Price]])/FlipkartTable[[#This Row],[Original Price]]</f>
        <v>0</v>
      </c>
      <c r="K1664">
        <f>(FlipkartTable[[#This Row],[Rating]]/FlipkartTable[[#This Row],[Selling Price]])*1000</f>
        <v>0.55405405405405395</v>
      </c>
      <c r="L1664" t="str">
        <f>IF(FlipkartTable[[#This Row],[Selling Price]]&lt;15000,"Budget",IF(FlipkartTable[[#This Row],[Selling Price]]&lt;50000,"Mid Range","Premium"))</f>
        <v>Budget</v>
      </c>
      <c r="M1664" t="str">
        <f>IF(FlipkartTable[[#This Row],[Rating]]&gt;4.5,"Excellent",IF(FlipkartTable[[#This Row],[Rating]]&gt;4,"Good",IF(FlipkartTable[[#This Row],[Rating]]&gt;3.5,"Average","Poor")))</f>
        <v>Good</v>
      </c>
    </row>
    <row r="1665" spans="1:13" x14ac:dyDescent="0.35">
      <c r="A1665" t="s">
        <v>663</v>
      </c>
      <c r="B1665" s="9" t="s">
        <v>735</v>
      </c>
      <c r="C1665" t="s">
        <v>761</v>
      </c>
      <c r="D1665" t="s">
        <v>11</v>
      </c>
      <c r="E1665" t="s">
        <v>15</v>
      </c>
      <c r="F1665">
        <v>4.3</v>
      </c>
      <c r="G1665">
        <v>14999</v>
      </c>
      <c r="H1665">
        <v>24900</v>
      </c>
      <c r="I1665">
        <f>FlipkartTable[[#This Row],[Original Price]]-FlipkartTable[[#This Row],[Selling Price]]</f>
        <v>9901</v>
      </c>
      <c r="J1665" s="4">
        <f>(FlipkartTable[[#This Row],[Original Price]]-FlipkartTable[[#This Row],[Selling Price]])/FlipkartTable[[#This Row],[Original Price]]</f>
        <v>0.39763052208835342</v>
      </c>
      <c r="K1665">
        <f>(FlipkartTable[[#This Row],[Rating]]/FlipkartTable[[#This Row],[Selling Price]])*1000</f>
        <v>0.28668577905193682</v>
      </c>
      <c r="L1665" t="str">
        <f>IF(FlipkartTable[[#This Row],[Selling Price]]&lt;15000,"Budget",IF(FlipkartTable[[#This Row],[Selling Price]]&lt;50000,"Mid Range","Premium"))</f>
        <v>Budget</v>
      </c>
      <c r="M1665" t="str">
        <f>IF(FlipkartTable[[#This Row],[Rating]]&gt;4.5,"Excellent",IF(FlipkartTable[[#This Row],[Rating]]&gt;4,"Good",IF(FlipkartTable[[#This Row],[Rating]]&gt;3.5,"Average","Poor")))</f>
        <v>Good</v>
      </c>
    </row>
    <row r="1666" spans="1:13" x14ac:dyDescent="0.35">
      <c r="A1666" t="s">
        <v>663</v>
      </c>
      <c r="B1666" s="9" t="s">
        <v>779</v>
      </c>
      <c r="C1666" t="s">
        <v>183</v>
      </c>
      <c r="D1666" t="s">
        <v>14</v>
      </c>
      <c r="E1666" t="s">
        <v>15</v>
      </c>
      <c r="F1666">
        <v>4.5999999999999996</v>
      </c>
      <c r="G1666">
        <v>53999</v>
      </c>
      <c r="H1666">
        <v>73990</v>
      </c>
      <c r="I1666">
        <f>FlipkartTable[[#This Row],[Original Price]]-FlipkartTable[[#This Row],[Selling Price]]</f>
        <v>19991</v>
      </c>
      <c r="J1666" s="4">
        <f>(FlipkartTable[[#This Row],[Original Price]]-FlipkartTable[[#This Row],[Selling Price]])/FlipkartTable[[#This Row],[Original Price]]</f>
        <v>0.27018516015677796</v>
      </c>
      <c r="K1666">
        <f>(FlipkartTable[[#This Row],[Rating]]/FlipkartTable[[#This Row],[Selling Price]])*1000</f>
        <v>8.5186762717828102E-2</v>
      </c>
      <c r="L1666" t="str">
        <f>IF(FlipkartTable[[#This Row],[Selling Price]]&lt;15000,"Budget",IF(FlipkartTable[[#This Row],[Selling Price]]&lt;50000,"Mid Range","Premium"))</f>
        <v>Premium</v>
      </c>
      <c r="M1666" t="str">
        <f>IF(FlipkartTable[[#This Row],[Rating]]&gt;4.5,"Excellent",IF(FlipkartTable[[#This Row],[Rating]]&gt;4,"Good",IF(FlipkartTable[[#This Row],[Rating]]&gt;3.5,"Average","Poor")))</f>
        <v>Excellent</v>
      </c>
    </row>
    <row r="1667" spans="1:13" x14ac:dyDescent="0.35">
      <c r="A1667" t="s">
        <v>663</v>
      </c>
      <c r="B1667" s="9" t="s">
        <v>779</v>
      </c>
      <c r="C1667" t="s">
        <v>848</v>
      </c>
      <c r="D1667" t="s">
        <v>14</v>
      </c>
      <c r="E1667" t="s">
        <v>15</v>
      </c>
      <c r="F1667">
        <v>4.5999999999999996</v>
      </c>
      <c r="G1667">
        <v>73600</v>
      </c>
      <c r="H1667">
        <v>73600</v>
      </c>
      <c r="I1667">
        <f>FlipkartTable[[#This Row],[Original Price]]-FlipkartTable[[#This Row],[Selling Price]]</f>
        <v>0</v>
      </c>
      <c r="J1667" s="4">
        <f>(FlipkartTable[[#This Row],[Original Price]]-FlipkartTable[[#This Row],[Selling Price]])/FlipkartTable[[#This Row],[Original Price]]</f>
        <v>0</v>
      </c>
      <c r="K1667">
        <f>(FlipkartTable[[#This Row],[Rating]]/FlipkartTable[[#This Row],[Selling Price]])*1000</f>
        <v>6.25E-2</v>
      </c>
      <c r="L1667" t="str">
        <f>IF(FlipkartTable[[#This Row],[Selling Price]]&lt;15000,"Budget",IF(FlipkartTable[[#This Row],[Selling Price]]&lt;50000,"Mid Range","Premium"))</f>
        <v>Premium</v>
      </c>
      <c r="M1667" t="str">
        <f>IF(FlipkartTable[[#This Row],[Rating]]&gt;4.5,"Excellent",IF(FlipkartTable[[#This Row],[Rating]]&gt;4,"Good",IF(FlipkartTable[[#This Row],[Rating]]&gt;3.5,"Average","Poor")))</f>
        <v>Excellent</v>
      </c>
    </row>
    <row r="1668" spans="1:13" x14ac:dyDescent="0.35">
      <c r="A1668" t="s">
        <v>663</v>
      </c>
      <c r="B1668" s="9" t="s">
        <v>715</v>
      </c>
      <c r="C1668" t="s">
        <v>716</v>
      </c>
      <c r="D1668" t="s">
        <v>27</v>
      </c>
      <c r="E1668" t="s">
        <v>15</v>
      </c>
      <c r="F1668">
        <v>4.5999999999999996</v>
      </c>
      <c r="G1668">
        <v>39999</v>
      </c>
      <c r="H1668">
        <v>71000</v>
      </c>
      <c r="I1668">
        <f>FlipkartTable[[#This Row],[Original Price]]-FlipkartTable[[#This Row],[Selling Price]]</f>
        <v>31001</v>
      </c>
      <c r="J1668" s="4">
        <f>(FlipkartTable[[#This Row],[Original Price]]-FlipkartTable[[#This Row],[Selling Price]])/FlipkartTable[[#This Row],[Original Price]]</f>
        <v>0.4366338028169014</v>
      </c>
      <c r="K1668">
        <f>(FlipkartTable[[#This Row],[Rating]]/FlipkartTable[[#This Row],[Selling Price]])*1000</f>
        <v>0.11500287507187679</v>
      </c>
      <c r="L1668" t="str">
        <f>IF(FlipkartTable[[#This Row],[Selling Price]]&lt;15000,"Budget",IF(FlipkartTable[[#This Row],[Selling Price]]&lt;50000,"Mid Range","Premium"))</f>
        <v>Mid Range</v>
      </c>
      <c r="M1668" t="str">
        <f>IF(FlipkartTable[[#This Row],[Rating]]&gt;4.5,"Excellent",IF(FlipkartTable[[#This Row],[Rating]]&gt;4,"Good",IF(FlipkartTable[[#This Row],[Rating]]&gt;3.5,"Average","Poor")))</f>
        <v>Excellent</v>
      </c>
    </row>
    <row r="1669" spans="1:13" x14ac:dyDescent="0.35">
      <c r="A1669" t="s">
        <v>663</v>
      </c>
      <c r="B1669" s="9" t="s">
        <v>849</v>
      </c>
      <c r="C1669" t="s">
        <v>850</v>
      </c>
      <c r="D1669" t="s">
        <v>284</v>
      </c>
      <c r="E1669" t="s">
        <v>27</v>
      </c>
      <c r="F1669">
        <v>3.8</v>
      </c>
      <c r="G1669">
        <v>20400</v>
      </c>
      <c r="H1669">
        <v>20400</v>
      </c>
      <c r="I1669">
        <f>FlipkartTable[[#This Row],[Original Price]]-FlipkartTable[[#This Row],[Selling Price]]</f>
        <v>0</v>
      </c>
      <c r="J1669" s="4">
        <f>(FlipkartTable[[#This Row],[Original Price]]-FlipkartTable[[#This Row],[Selling Price]])/FlipkartTable[[#This Row],[Original Price]]</f>
        <v>0</v>
      </c>
      <c r="K1669">
        <f>(FlipkartTable[[#This Row],[Rating]]/FlipkartTable[[#This Row],[Selling Price]])*1000</f>
        <v>0.18627450980392157</v>
      </c>
      <c r="L1669" t="str">
        <f>IF(FlipkartTable[[#This Row],[Selling Price]]&lt;15000,"Budget",IF(FlipkartTable[[#This Row],[Selling Price]]&lt;50000,"Mid Range","Premium"))</f>
        <v>Mid Range</v>
      </c>
      <c r="M1669" t="str">
        <f>IF(FlipkartTable[[#This Row],[Rating]]&gt;4.5,"Excellent",IF(FlipkartTable[[#This Row],[Rating]]&gt;4,"Good",IF(FlipkartTable[[#This Row],[Rating]]&gt;3.5,"Average","Poor")))</f>
        <v>Average</v>
      </c>
    </row>
    <row r="1670" spans="1:13" x14ac:dyDescent="0.35">
      <c r="A1670" t="s">
        <v>663</v>
      </c>
      <c r="B1670" s="9" t="s">
        <v>735</v>
      </c>
      <c r="C1670" t="s">
        <v>761</v>
      </c>
      <c r="D1670" t="s">
        <v>14</v>
      </c>
      <c r="E1670" t="s">
        <v>15</v>
      </c>
      <c r="F1670">
        <v>4.3</v>
      </c>
      <c r="G1670">
        <v>21099</v>
      </c>
      <c r="H1670">
        <v>26900</v>
      </c>
      <c r="I1670">
        <f>FlipkartTable[[#This Row],[Original Price]]-FlipkartTable[[#This Row],[Selling Price]]</f>
        <v>5801</v>
      </c>
      <c r="J1670" s="4">
        <f>(FlipkartTable[[#This Row],[Original Price]]-FlipkartTable[[#This Row],[Selling Price]])/FlipkartTable[[#This Row],[Original Price]]</f>
        <v>0.21565055762081783</v>
      </c>
      <c r="K1670">
        <f>(FlipkartTable[[#This Row],[Rating]]/FlipkartTable[[#This Row],[Selling Price]])*1000</f>
        <v>0.20380112801554576</v>
      </c>
      <c r="L1670" t="str">
        <f>IF(FlipkartTable[[#This Row],[Selling Price]]&lt;15000,"Budget",IF(FlipkartTable[[#This Row],[Selling Price]]&lt;50000,"Mid Range","Premium"))</f>
        <v>Mid Range</v>
      </c>
      <c r="M1670" t="str">
        <f>IF(FlipkartTable[[#This Row],[Rating]]&gt;4.5,"Excellent",IF(FlipkartTable[[#This Row],[Rating]]&gt;4,"Good",IF(FlipkartTable[[#This Row],[Rating]]&gt;3.5,"Average","Poor")))</f>
        <v>Good</v>
      </c>
    </row>
    <row r="1671" spans="1:13" x14ac:dyDescent="0.35">
      <c r="A1671" t="s">
        <v>663</v>
      </c>
      <c r="B1671" s="9" t="s">
        <v>828</v>
      </c>
      <c r="C1671" t="s">
        <v>851</v>
      </c>
      <c r="D1671" t="s">
        <v>14</v>
      </c>
      <c r="E1671" t="s">
        <v>12</v>
      </c>
      <c r="F1671">
        <v>4.3</v>
      </c>
      <c r="G1671">
        <v>18699</v>
      </c>
      <c r="H1671">
        <v>18699</v>
      </c>
      <c r="I1671">
        <f>FlipkartTable[[#This Row],[Original Price]]-FlipkartTable[[#This Row],[Selling Price]]</f>
        <v>0</v>
      </c>
      <c r="J1671" s="4">
        <f>(FlipkartTable[[#This Row],[Original Price]]-FlipkartTable[[#This Row],[Selling Price]])/FlipkartTable[[#This Row],[Original Price]]</f>
        <v>0</v>
      </c>
      <c r="K1671">
        <f>(FlipkartTable[[#This Row],[Rating]]/FlipkartTable[[#This Row],[Selling Price]])*1000</f>
        <v>0.22995882132734369</v>
      </c>
      <c r="L1671" t="str">
        <f>IF(FlipkartTable[[#This Row],[Selling Price]]&lt;15000,"Budget",IF(FlipkartTable[[#This Row],[Selling Price]]&lt;50000,"Mid Range","Premium"))</f>
        <v>Mid Range</v>
      </c>
      <c r="M1671" t="str">
        <f>IF(FlipkartTable[[#This Row],[Rating]]&gt;4.5,"Excellent",IF(FlipkartTable[[#This Row],[Rating]]&gt;4,"Good",IF(FlipkartTable[[#This Row],[Rating]]&gt;3.5,"Average","Poor")))</f>
        <v>Good</v>
      </c>
    </row>
    <row r="1672" spans="1:13" x14ac:dyDescent="0.35">
      <c r="A1672" t="s">
        <v>663</v>
      </c>
      <c r="B1672" s="9" t="s">
        <v>762</v>
      </c>
      <c r="C1672" t="s">
        <v>84</v>
      </c>
      <c r="D1672" t="s">
        <v>20</v>
      </c>
      <c r="E1672" t="s">
        <v>21</v>
      </c>
      <c r="F1672">
        <v>4.3</v>
      </c>
      <c r="G1672">
        <v>12900</v>
      </c>
      <c r="H1672">
        <v>12900</v>
      </c>
      <c r="I1672">
        <f>FlipkartTable[[#This Row],[Original Price]]-FlipkartTable[[#This Row],[Selling Price]]</f>
        <v>0</v>
      </c>
      <c r="J1672" s="4">
        <f>(FlipkartTable[[#This Row],[Original Price]]-FlipkartTable[[#This Row],[Selling Price]])/FlipkartTable[[#This Row],[Original Price]]</f>
        <v>0</v>
      </c>
      <c r="K1672">
        <f>(FlipkartTable[[#This Row],[Rating]]/FlipkartTable[[#This Row],[Selling Price]])*1000</f>
        <v>0.33333333333333331</v>
      </c>
      <c r="L1672" t="str">
        <f>IF(FlipkartTable[[#This Row],[Selling Price]]&lt;15000,"Budget",IF(FlipkartTable[[#This Row],[Selling Price]]&lt;50000,"Mid Range","Premium"))</f>
        <v>Budget</v>
      </c>
      <c r="M1672" t="str">
        <f>IF(FlipkartTable[[#This Row],[Rating]]&gt;4.5,"Excellent",IF(FlipkartTable[[#This Row],[Rating]]&gt;4,"Good",IF(FlipkartTable[[#This Row],[Rating]]&gt;3.5,"Average","Poor")))</f>
        <v>Good</v>
      </c>
    </row>
    <row r="1673" spans="1:13" x14ac:dyDescent="0.35">
      <c r="A1673" t="s">
        <v>663</v>
      </c>
      <c r="B1673" s="9" t="s">
        <v>852</v>
      </c>
      <c r="C1673" t="s">
        <v>152</v>
      </c>
      <c r="D1673" t="s">
        <v>11</v>
      </c>
      <c r="E1673" t="s">
        <v>21</v>
      </c>
      <c r="F1673">
        <v>4.3</v>
      </c>
      <c r="G1673">
        <v>26900</v>
      </c>
      <c r="H1673">
        <v>26900</v>
      </c>
      <c r="I1673">
        <f>FlipkartTable[[#This Row],[Original Price]]-FlipkartTable[[#This Row],[Selling Price]]</f>
        <v>0</v>
      </c>
      <c r="J1673" s="4">
        <f>(FlipkartTable[[#This Row],[Original Price]]-FlipkartTable[[#This Row],[Selling Price]])/FlipkartTable[[#This Row],[Original Price]]</f>
        <v>0</v>
      </c>
      <c r="K1673">
        <f>(FlipkartTable[[#This Row],[Rating]]/FlipkartTable[[#This Row],[Selling Price]])*1000</f>
        <v>0.15985130111524162</v>
      </c>
      <c r="L1673" t="str">
        <f>IF(FlipkartTable[[#This Row],[Selling Price]]&lt;15000,"Budget",IF(FlipkartTable[[#This Row],[Selling Price]]&lt;50000,"Mid Range","Premium"))</f>
        <v>Mid Range</v>
      </c>
      <c r="M1673" t="str">
        <f>IF(FlipkartTable[[#This Row],[Rating]]&gt;4.5,"Excellent",IF(FlipkartTable[[#This Row],[Rating]]&gt;4,"Good",IF(FlipkartTable[[#This Row],[Rating]]&gt;3.5,"Average","Poor")))</f>
        <v>Good</v>
      </c>
    </row>
    <row r="1674" spans="1:13" x14ac:dyDescent="0.35">
      <c r="A1674" t="s">
        <v>663</v>
      </c>
      <c r="B1674" s="9" t="s">
        <v>814</v>
      </c>
      <c r="C1674" t="s">
        <v>116</v>
      </c>
      <c r="D1674" t="s">
        <v>20</v>
      </c>
      <c r="E1674" t="s">
        <v>21</v>
      </c>
      <c r="F1674">
        <v>4.3</v>
      </c>
      <c r="G1674">
        <v>14990</v>
      </c>
      <c r="H1674">
        <v>14990</v>
      </c>
      <c r="I1674">
        <f>FlipkartTable[[#This Row],[Original Price]]-FlipkartTable[[#This Row],[Selling Price]]</f>
        <v>0</v>
      </c>
      <c r="J1674" s="4">
        <f>(FlipkartTable[[#This Row],[Original Price]]-FlipkartTable[[#This Row],[Selling Price]])/FlipkartTable[[#This Row],[Original Price]]</f>
        <v>0</v>
      </c>
      <c r="K1674">
        <f>(FlipkartTable[[#This Row],[Rating]]/FlipkartTable[[#This Row],[Selling Price]])*1000</f>
        <v>0.28685790527018012</v>
      </c>
      <c r="L1674" t="str">
        <f>IF(FlipkartTable[[#This Row],[Selling Price]]&lt;15000,"Budget",IF(FlipkartTable[[#This Row],[Selling Price]]&lt;50000,"Mid Range","Premium"))</f>
        <v>Budget</v>
      </c>
      <c r="M1674" t="str">
        <f>IF(FlipkartTable[[#This Row],[Rating]]&gt;4.5,"Excellent",IF(FlipkartTable[[#This Row],[Rating]]&gt;4,"Good",IF(FlipkartTable[[#This Row],[Rating]]&gt;3.5,"Average","Poor")))</f>
        <v>Good</v>
      </c>
    </row>
    <row r="1675" spans="1:13" x14ac:dyDescent="0.35">
      <c r="A1675" t="s">
        <v>663</v>
      </c>
      <c r="B1675" s="9" t="s">
        <v>827</v>
      </c>
      <c r="C1675" t="s">
        <v>853</v>
      </c>
      <c r="D1675" t="s">
        <v>20</v>
      </c>
      <c r="E1675" t="s">
        <v>21</v>
      </c>
      <c r="F1675">
        <v>4.3</v>
      </c>
      <c r="G1675">
        <v>8650</v>
      </c>
      <c r="H1675">
        <v>9290</v>
      </c>
      <c r="I1675">
        <f>FlipkartTable[[#This Row],[Original Price]]-FlipkartTable[[#This Row],[Selling Price]]</f>
        <v>640</v>
      </c>
      <c r="J1675" s="4">
        <f>(FlipkartTable[[#This Row],[Original Price]]-FlipkartTable[[#This Row],[Selling Price]])/FlipkartTable[[#This Row],[Original Price]]</f>
        <v>6.8891280947255107E-2</v>
      </c>
      <c r="K1675">
        <f>(FlipkartTable[[#This Row],[Rating]]/FlipkartTable[[#This Row],[Selling Price]])*1000</f>
        <v>0.4971098265895954</v>
      </c>
      <c r="L1675" t="str">
        <f>IF(FlipkartTable[[#This Row],[Selling Price]]&lt;15000,"Budget",IF(FlipkartTable[[#This Row],[Selling Price]]&lt;50000,"Mid Range","Premium"))</f>
        <v>Budget</v>
      </c>
      <c r="M1675" t="str">
        <f>IF(FlipkartTable[[#This Row],[Rating]]&gt;4.5,"Excellent",IF(FlipkartTable[[#This Row],[Rating]]&gt;4,"Good",IF(FlipkartTable[[#This Row],[Rating]]&gt;3.5,"Average","Poor")))</f>
        <v>Good</v>
      </c>
    </row>
    <row r="1676" spans="1:13" x14ac:dyDescent="0.35">
      <c r="A1676" t="s">
        <v>663</v>
      </c>
      <c r="B1676" s="9" t="s">
        <v>815</v>
      </c>
      <c r="C1676" t="s">
        <v>832</v>
      </c>
      <c r="D1676" t="s">
        <v>27</v>
      </c>
      <c r="E1676" t="s">
        <v>15</v>
      </c>
      <c r="F1676">
        <v>4.4000000000000004</v>
      </c>
      <c r="G1676">
        <v>71999</v>
      </c>
      <c r="H1676">
        <v>100999</v>
      </c>
      <c r="I1676">
        <f>FlipkartTable[[#This Row],[Original Price]]-FlipkartTable[[#This Row],[Selling Price]]</f>
        <v>29000</v>
      </c>
      <c r="J1676" s="4">
        <f>(FlipkartTable[[#This Row],[Original Price]]-FlipkartTable[[#This Row],[Selling Price]])/FlipkartTable[[#This Row],[Original Price]]</f>
        <v>0.28713155575797777</v>
      </c>
      <c r="K1676">
        <f>(FlipkartTable[[#This Row],[Rating]]/FlipkartTable[[#This Row],[Selling Price]])*1000</f>
        <v>6.111195988833179E-2</v>
      </c>
      <c r="L1676" t="str">
        <f>IF(FlipkartTable[[#This Row],[Selling Price]]&lt;15000,"Budget",IF(FlipkartTable[[#This Row],[Selling Price]]&lt;50000,"Mid Range","Premium"))</f>
        <v>Premium</v>
      </c>
      <c r="M1676" t="str">
        <f>IF(FlipkartTable[[#This Row],[Rating]]&gt;4.5,"Excellent",IF(FlipkartTable[[#This Row],[Rating]]&gt;4,"Good",IF(FlipkartTable[[#This Row],[Rating]]&gt;3.5,"Average","Poor")))</f>
        <v>Good</v>
      </c>
    </row>
    <row r="1677" spans="1:13" x14ac:dyDescent="0.35">
      <c r="A1677" t="s">
        <v>663</v>
      </c>
      <c r="B1677" s="9" t="s">
        <v>815</v>
      </c>
      <c r="C1677" t="s">
        <v>832</v>
      </c>
      <c r="D1677" t="s">
        <v>27</v>
      </c>
      <c r="E1677" t="s">
        <v>64</v>
      </c>
      <c r="F1677">
        <v>4.4000000000000004</v>
      </c>
      <c r="G1677">
        <v>75999</v>
      </c>
      <c r="H1677">
        <v>104999</v>
      </c>
      <c r="I1677">
        <f>FlipkartTable[[#This Row],[Original Price]]-FlipkartTable[[#This Row],[Selling Price]]</f>
        <v>29000</v>
      </c>
      <c r="J1677" s="4">
        <f>(FlipkartTable[[#This Row],[Original Price]]-FlipkartTable[[#This Row],[Selling Price]])/FlipkartTable[[#This Row],[Original Price]]</f>
        <v>0.27619310660101526</v>
      </c>
      <c r="K1677">
        <f>(FlipkartTable[[#This Row],[Rating]]/FlipkartTable[[#This Row],[Selling Price]])*1000</f>
        <v>5.7895498624981917E-2</v>
      </c>
      <c r="L1677" t="str">
        <f>IF(FlipkartTable[[#This Row],[Selling Price]]&lt;15000,"Budget",IF(FlipkartTable[[#This Row],[Selling Price]]&lt;50000,"Mid Range","Premium"))</f>
        <v>Premium</v>
      </c>
      <c r="M1677" t="str">
        <f>IF(FlipkartTable[[#This Row],[Rating]]&gt;4.5,"Excellent",IF(FlipkartTable[[#This Row],[Rating]]&gt;4,"Good",IF(FlipkartTable[[#This Row],[Rating]]&gt;3.5,"Average","Poor")))</f>
        <v>Good</v>
      </c>
    </row>
    <row r="1678" spans="1:13" x14ac:dyDescent="0.35">
      <c r="A1678" t="s">
        <v>663</v>
      </c>
      <c r="B1678" s="9" t="s">
        <v>854</v>
      </c>
      <c r="C1678" t="s">
        <v>19</v>
      </c>
      <c r="D1678" t="s">
        <v>284</v>
      </c>
      <c r="E1678" t="s">
        <v>27</v>
      </c>
      <c r="F1678">
        <v>4</v>
      </c>
      <c r="G1678">
        <v>6990</v>
      </c>
      <c r="H1678">
        <v>6990</v>
      </c>
      <c r="I1678">
        <f>FlipkartTable[[#This Row],[Original Price]]-FlipkartTable[[#This Row],[Selling Price]]</f>
        <v>0</v>
      </c>
      <c r="J1678" s="4">
        <f>(FlipkartTable[[#This Row],[Original Price]]-FlipkartTable[[#This Row],[Selling Price]])/FlipkartTable[[#This Row],[Original Price]]</f>
        <v>0</v>
      </c>
      <c r="K1678">
        <f>(FlipkartTable[[#This Row],[Rating]]/FlipkartTable[[#This Row],[Selling Price]])*1000</f>
        <v>0.57224606580829762</v>
      </c>
      <c r="L1678" t="str">
        <f>IF(FlipkartTable[[#This Row],[Selling Price]]&lt;15000,"Budget",IF(FlipkartTable[[#This Row],[Selling Price]]&lt;50000,"Mid Range","Premium"))</f>
        <v>Budget</v>
      </c>
      <c r="M1678" t="str">
        <f>IF(FlipkartTable[[#This Row],[Rating]]&gt;4.5,"Excellent",IF(FlipkartTable[[#This Row],[Rating]]&gt;4,"Good",IF(FlipkartTable[[#This Row],[Rating]]&gt;3.5,"Average","Poor")))</f>
        <v>Average</v>
      </c>
    </row>
    <row r="1679" spans="1:13" x14ac:dyDescent="0.35">
      <c r="A1679" t="s">
        <v>663</v>
      </c>
      <c r="B1679" s="9" t="s">
        <v>779</v>
      </c>
      <c r="C1679" t="s">
        <v>855</v>
      </c>
      <c r="D1679" t="s">
        <v>14</v>
      </c>
      <c r="E1679" t="s">
        <v>15</v>
      </c>
      <c r="F1679">
        <v>4.5999999999999996</v>
      </c>
      <c r="G1679">
        <v>73600</v>
      </c>
      <c r="H1679">
        <v>73600</v>
      </c>
      <c r="I1679">
        <f>FlipkartTable[[#This Row],[Original Price]]-FlipkartTable[[#This Row],[Selling Price]]</f>
        <v>0</v>
      </c>
      <c r="J1679" s="4">
        <f>(FlipkartTable[[#This Row],[Original Price]]-FlipkartTable[[#This Row],[Selling Price]])/FlipkartTable[[#This Row],[Original Price]]</f>
        <v>0</v>
      </c>
      <c r="K1679">
        <f>(FlipkartTable[[#This Row],[Rating]]/FlipkartTable[[#This Row],[Selling Price]])*1000</f>
        <v>6.25E-2</v>
      </c>
      <c r="L1679" t="str">
        <f>IF(FlipkartTable[[#This Row],[Selling Price]]&lt;15000,"Budget",IF(FlipkartTable[[#This Row],[Selling Price]]&lt;50000,"Mid Range","Premium"))</f>
        <v>Premium</v>
      </c>
      <c r="M1679" t="str">
        <f>IF(FlipkartTable[[#This Row],[Rating]]&gt;4.5,"Excellent",IF(FlipkartTable[[#This Row],[Rating]]&gt;4,"Good",IF(FlipkartTable[[#This Row],[Rating]]&gt;3.5,"Average","Poor")))</f>
        <v>Excellent</v>
      </c>
    </row>
    <row r="1680" spans="1:13" x14ac:dyDescent="0.35">
      <c r="A1680" t="s">
        <v>663</v>
      </c>
      <c r="B1680" s="9" t="s">
        <v>797</v>
      </c>
      <c r="C1680" t="s">
        <v>798</v>
      </c>
      <c r="D1680" t="s">
        <v>20</v>
      </c>
      <c r="E1680" t="s">
        <v>21</v>
      </c>
      <c r="F1680">
        <v>4</v>
      </c>
      <c r="G1680">
        <v>44900</v>
      </c>
      <c r="H1680">
        <v>44900</v>
      </c>
      <c r="I1680">
        <f>FlipkartTable[[#This Row],[Original Price]]-FlipkartTable[[#This Row],[Selling Price]]</f>
        <v>0</v>
      </c>
      <c r="J1680" s="4">
        <f>(FlipkartTable[[#This Row],[Original Price]]-FlipkartTable[[#This Row],[Selling Price]])/FlipkartTable[[#This Row],[Original Price]]</f>
        <v>0</v>
      </c>
      <c r="K1680">
        <f>(FlipkartTable[[#This Row],[Rating]]/FlipkartTable[[#This Row],[Selling Price]])*1000</f>
        <v>8.9086859688195991E-2</v>
      </c>
      <c r="L1680" t="str">
        <f>IF(FlipkartTable[[#This Row],[Selling Price]]&lt;15000,"Budget",IF(FlipkartTable[[#This Row],[Selling Price]]&lt;50000,"Mid Range","Premium"))</f>
        <v>Mid Range</v>
      </c>
      <c r="M1680" t="str">
        <f>IF(FlipkartTable[[#This Row],[Rating]]&gt;4.5,"Excellent",IF(FlipkartTable[[#This Row],[Rating]]&gt;4,"Good",IF(FlipkartTable[[#This Row],[Rating]]&gt;3.5,"Average","Poor")))</f>
        <v>Average</v>
      </c>
    </row>
    <row r="1681" spans="1:13" x14ac:dyDescent="0.35">
      <c r="A1681" t="s">
        <v>663</v>
      </c>
      <c r="B1681" s="9" t="s">
        <v>771</v>
      </c>
      <c r="C1681" t="s">
        <v>22</v>
      </c>
      <c r="D1681" t="s">
        <v>11</v>
      </c>
      <c r="E1681" t="s">
        <v>21</v>
      </c>
      <c r="F1681">
        <v>4.3</v>
      </c>
      <c r="G1681">
        <v>17990</v>
      </c>
      <c r="H1681">
        <v>17990</v>
      </c>
      <c r="I1681">
        <f>FlipkartTable[[#This Row],[Original Price]]-FlipkartTable[[#This Row],[Selling Price]]</f>
        <v>0</v>
      </c>
      <c r="J1681" s="4">
        <f>(FlipkartTable[[#This Row],[Original Price]]-FlipkartTable[[#This Row],[Selling Price]])/FlipkartTable[[#This Row],[Original Price]]</f>
        <v>0</v>
      </c>
      <c r="K1681">
        <f>(FlipkartTable[[#This Row],[Rating]]/FlipkartTable[[#This Row],[Selling Price]])*1000</f>
        <v>0.23902167871039465</v>
      </c>
      <c r="L1681" t="str">
        <f>IF(FlipkartTable[[#This Row],[Selling Price]]&lt;15000,"Budget",IF(FlipkartTable[[#This Row],[Selling Price]]&lt;50000,"Mid Range","Premium"))</f>
        <v>Mid Range</v>
      </c>
      <c r="M1681" t="str">
        <f>IF(FlipkartTable[[#This Row],[Rating]]&gt;4.5,"Excellent",IF(FlipkartTable[[#This Row],[Rating]]&gt;4,"Good",IF(FlipkartTable[[#This Row],[Rating]]&gt;3.5,"Average","Poor")))</f>
        <v>Good</v>
      </c>
    </row>
    <row r="1682" spans="1:13" x14ac:dyDescent="0.35">
      <c r="A1682" t="s">
        <v>663</v>
      </c>
      <c r="B1682" s="9" t="s">
        <v>712</v>
      </c>
      <c r="C1682" t="s">
        <v>719</v>
      </c>
      <c r="D1682" t="s">
        <v>14</v>
      </c>
      <c r="E1682" t="s">
        <v>15</v>
      </c>
      <c r="F1682">
        <v>4.0999999999999996</v>
      </c>
      <c r="G1682">
        <v>21999</v>
      </c>
      <c r="H1682">
        <v>24999</v>
      </c>
      <c r="I1682">
        <f>FlipkartTable[[#This Row],[Original Price]]-FlipkartTable[[#This Row],[Selling Price]]</f>
        <v>3000</v>
      </c>
      <c r="J1682" s="4">
        <f>(FlipkartTable[[#This Row],[Original Price]]-FlipkartTable[[#This Row],[Selling Price]])/FlipkartTable[[#This Row],[Original Price]]</f>
        <v>0.12000480019200768</v>
      </c>
      <c r="K1682">
        <f>(FlipkartTable[[#This Row],[Rating]]/FlipkartTable[[#This Row],[Selling Price]])*1000</f>
        <v>0.18637210782308283</v>
      </c>
      <c r="L1682" t="str">
        <f>IF(FlipkartTable[[#This Row],[Selling Price]]&lt;15000,"Budget",IF(FlipkartTable[[#This Row],[Selling Price]]&lt;50000,"Mid Range","Premium"))</f>
        <v>Mid Range</v>
      </c>
      <c r="M1682" t="str">
        <f>IF(FlipkartTable[[#This Row],[Rating]]&gt;4.5,"Excellent",IF(FlipkartTable[[#This Row],[Rating]]&gt;4,"Good",IF(FlipkartTable[[#This Row],[Rating]]&gt;3.5,"Average","Poor")))</f>
        <v>Good</v>
      </c>
    </row>
    <row r="1683" spans="1:13" x14ac:dyDescent="0.35">
      <c r="A1683" t="s">
        <v>663</v>
      </c>
      <c r="B1683" s="9" t="s">
        <v>735</v>
      </c>
      <c r="C1683" t="s">
        <v>746</v>
      </c>
      <c r="D1683" t="s">
        <v>14</v>
      </c>
      <c r="E1683" t="s">
        <v>15</v>
      </c>
      <c r="F1683">
        <v>4.3</v>
      </c>
      <c r="G1683">
        <v>21099</v>
      </c>
      <c r="H1683">
        <v>26900</v>
      </c>
      <c r="I1683">
        <f>FlipkartTable[[#This Row],[Original Price]]-FlipkartTable[[#This Row],[Selling Price]]</f>
        <v>5801</v>
      </c>
      <c r="J1683" s="4">
        <f>(FlipkartTable[[#This Row],[Original Price]]-FlipkartTable[[#This Row],[Selling Price]])/FlipkartTable[[#This Row],[Original Price]]</f>
        <v>0.21565055762081783</v>
      </c>
      <c r="K1683">
        <f>(FlipkartTable[[#This Row],[Rating]]/FlipkartTable[[#This Row],[Selling Price]])*1000</f>
        <v>0.20380112801554576</v>
      </c>
      <c r="L1683" t="str">
        <f>IF(FlipkartTable[[#This Row],[Selling Price]]&lt;15000,"Budget",IF(FlipkartTable[[#This Row],[Selling Price]]&lt;50000,"Mid Range","Premium"))</f>
        <v>Mid Range</v>
      </c>
      <c r="M1683" t="str">
        <f>IF(FlipkartTable[[#This Row],[Rating]]&gt;4.5,"Excellent",IF(FlipkartTable[[#This Row],[Rating]]&gt;4,"Good",IF(FlipkartTable[[#This Row],[Rating]]&gt;3.5,"Average","Poor")))</f>
        <v>Good</v>
      </c>
    </row>
    <row r="1684" spans="1:13" x14ac:dyDescent="0.35">
      <c r="A1684" t="s">
        <v>663</v>
      </c>
      <c r="B1684" s="9" t="s">
        <v>817</v>
      </c>
      <c r="C1684" t="s">
        <v>832</v>
      </c>
      <c r="D1684" t="s">
        <v>27</v>
      </c>
      <c r="E1684" t="s">
        <v>64</v>
      </c>
      <c r="F1684">
        <v>4.3</v>
      </c>
      <c r="G1684">
        <v>73999</v>
      </c>
      <c r="H1684">
        <v>87999</v>
      </c>
      <c r="I1684">
        <f>FlipkartTable[[#This Row],[Original Price]]-FlipkartTable[[#This Row],[Selling Price]]</f>
        <v>14000</v>
      </c>
      <c r="J1684" s="4">
        <f>(FlipkartTable[[#This Row],[Original Price]]-FlipkartTable[[#This Row],[Selling Price]])/FlipkartTable[[#This Row],[Original Price]]</f>
        <v>0.15909271696269275</v>
      </c>
      <c r="K1684">
        <f>(FlipkartTable[[#This Row],[Rating]]/FlipkartTable[[#This Row],[Selling Price]])*1000</f>
        <v>5.8108893363423827E-2</v>
      </c>
      <c r="L1684" t="str">
        <f>IF(FlipkartTable[[#This Row],[Selling Price]]&lt;15000,"Budget",IF(FlipkartTable[[#This Row],[Selling Price]]&lt;50000,"Mid Range","Premium"))</f>
        <v>Premium</v>
      </c>
      <c r="M1684" t="str">
        <f>IF(FlipkartTable[[#This Row],[Rating]]&gt;4.5,"Excellent",IF(FlipkartTable[[#This Row],[Rating]]&gt;4,"Good",IF(FlipkartTable[[#This Row],[Rating]]&gt;3.5,"Average","Poor")))</f>
        <v>Good</v>
      </c>
    </row>
    <row r="1685" spans="1:13" x14ac:dyDescent="0.35">
      <c r="A1685" t="s">
        <v>663</v>
      </c>
      <c r="B1685" s="9" t="s">
        <v>725</v>
      </c>
      <c r="C1685" t="s">
        <v>856</v>
      </c>
      <c r="D1685" t="s">
        <v>27</v>
      </c>
      <c r="E1685" t="s">
        <v>15</v>
      </c>
      <c r="F1685">
        <v>4.4000000000000004</v>
      </c>
      <c r="G1685">
        <v>27499</v>
      </c>
      <c r="H1685">
        <v>34999</v>
      </c>
      <c r="I1685">
        <f>FlipkartTable[[#This Row],[Original Price]]-FlipkartTable[[#This Row],[Selling Price]]</f>
        <v>7500</v>
      </c>
      <c r="J1685" s="4">
        <f>(FlipkartTable[[#This Row],[Original Price]]-FlipkartTable[[#This Row],[Selling Price]])/FlipkartTable[[#This Row],[Original Price]]</f>
        <v>0.214291836909626</v>
      </c>
      <c r="K1685">
        <f>(FlipkartTable[[#This Row],[Rating]]/FlipkartTable[[#This Row],[Selling Price]])*1000</f>
        <v>0.16000581839339614</v>
      </c>
      <c r="L1685" t="str">
        <f>IF(FlipkartTable[[#This Row],[Selling Price]]&lt;15000,"Budget",IF(FlipkartTable[[#This Row],[Selling Price]]&lt;50000,"Mid Range","Premium"))</f>
        <v>Mid Range</v>
      </c>
      <c r="M1685" t="str">
        <f>IF(FlipkartTable[[#This Row],[Rating]]&gt;4.5,"Excellent",IF(FlipkartTable[[#This Row],[Rating]]&gt;4,"Good",IF(FlipkartTable[[#This Row],[Rating]]&gt;3.5,"Average","Poor")))</f>
        <v>Good</v>
      </c>
    </row>
    <row r="1686" spans="1:13" x14ac:dyDescent="0.35">
      <c r="A1686" t="s">
        <v>663</v>
      </c>
      <c r="B1686" s="9" t="s">
        <v>763</v>
      </c>
      <c r="C1686" t="s">
        <v>139</v>
      </c>
      <c r="D1686" t="s">
        <v>35</v>
      </c>
      <c r="E1686" t="s">
        <v>21</v>
      </c>
      <c r="F1686">
        <v>4.4000000000000004</v>
      </c>
      <c r="G1686">
        <v>10000</v>
      </c>
      <c r="H1686">
        <v>10000</v>
      </c>
      <c r="I1686">
        <f>FlipkartTable[[#This Row],[Original Price]]-FlipkartTable[[#This Row],[Selling Price]]</f>
        <v>0</v>
      </c>
      <c r="J1686" s="4">
        <f>(FlipkartTable[[#This Row],[Original Price]]-FlipkartTable[[#This Row],[Selling Price]])/FlipkartTable[[#This Row],[Original Price]]</f>
        <v>0</v>
      </c>
      <c r="K1686">
        <f>(FlipkartTable[[#This Row],[Rating]]/FlipkartTable[[#This Row],[Selling Price]])*1000</f>
        <v>0.44</v>
      </c>
      <c r="L1686" t="str">
        <f>IF(FlipkartTable[[#This Row],[Selling Price]]&lt;15000,"Budget",IF(FlipkartTable[[#This Row],[Selling Price]]&lt;50000,"Mid Range","Premium"))</f>
        <v>Budget</v>
      </c>
      <c r="M1686" t="str">
        <f>IF(FlipkartTable[[#This Row],[Rating]]&gt;4.5,"Excellent",IF(FlipkartTable[[#This Row],[Rating]]&gt;4,"Good",IF(FlipkartTable[[#This Row],[Rating]]&gt;3.5,"Average","Poor")))</f>
        <v>Good</v>
      </c>
    </row>
    <row r="1687" spans="1:13" x14ac:dyDescent="0.35">
      <c r="A1687" t="s">
        <v>663</v>
      </c>
      <c r="B1687" s="9" t="s">
        <v>857</v>
      </c>
      <c r="C1687" t="s">
        <v>19</v>
      </c>
      <c r="D1687" t="s">
        <v>35</v>
      </c>
      <c r="E1687" t="s">
        <v>124</v>
      </c>
      <c r="F1687">
        <v>4.2</v>
      </c>
      <c r="G1687">
        <v>8200</v>
      </c>
      <c r="H1687">
        <v>8200</v>
      </c>
      <c r="I1687">
        <f>FlipkartTable[[#This Row],[Original Price]]-FlipkartTable[[#This Row],[Selling Price]]</f>
        <v>0</v>
      </c>
      <c r="J1687" s="4">
        <f>(FlipkartTable[[#This Row],[Original Price]]-FlipkartTable[[#This Row],[Selling Price]])/FlipkartTable[[#This Row],[Original Price]]</f>
        <v>0</v>
      </c>
      <c r="K1687">
        <f>(FlipkartTable[[#This Row],[Rating]]/FlipkartTable[[#This Row],[Selling Price]])*1000</f>
        <v>0.51219512195121952</v>
      </c>
      <c r="L1687" t="str">
        <f>IF(FlipkartTable[[#This Row],[Selling Price]]&lt;15000,"Budget",IF(FlipkartTable[[#This Row],[Selling Price]]&lt;50000,"Mid Range","Premium"))</f>
        <v>Budget</v>
      </c>
      <c r="M1687" t="str">
        <f>IF(FlipkartTable[[#This Row],[Rating]]&gt;4.5,"Excellent",IF(FlipkartTable[[#This Row],[Rating]]&gt;4,"Good",IF(FlipkartTable[[#This Row],[Rating]]&gt;3.5,"Average","Poor")))</f>
        <v>Good</v>
      </c>
    </row>
    <row r="1688" spans="1:13" x14ac:dyDescent="0.35">
      <c r="A1688" t="s">
        <v>663</v>
      </c>
      <c r="B1688" s="9" t="s">
        <v>820</v>
      </c>
      <c r="C1688" t="s">
        <v>822</v>
      </c>
      <c r="D1688" t="s">
        <v>14</v>
      </c>
      <c r="E1688" t="s">
        <v>15</v>
      </c>
      <c r="F1688">
        <v>4.3</v>
      </c>
      <c r="G1688">
        <v>17000</v>
      </c>
      <c r="H1688">
        <v>21540</v>
      </c>
      <c r="I1688">
        <f>FlipkartTable[[#This Row],[Original Price]]-FlipkartTable[[#This Row],[Selling Price]]</f>
        <v>4540</v>
      </c>
      <c r="J1688" s="4">
        <f>(FlipkartTable[[#This Row],[Original Price]]-FlipkartTable[[#This Row],[Selling Price]])/FlipkartTable[[#This Row],[Original Price]]</f>
        <v>0.21077065923862581</v>
      </c>
      <c r="K1688">
        <f>(FlipkartTable[[#This Row],[Rating]]/FlipkartTable[[#This Row],[Selling Price]])*1000</f>
        <v>0.25294117647058822</v>
      </c>
      <c r="L1688" t="str">
        <f>IF(FlipkartTable[[#This Row],[Selling Price]]&lt;15000,"Budget",IF(FlipkartTable[[#This Row],[Selling Price]]&lt;50000,"Mid Range","Premium"))</f>
        <v>Mid Range</v>
      </c>
      <c r="M1688" t="str">
        <f>IF(FlipkartTable[[#This Row],[Rating]]&gt;4.5,"Excellent",IF(FlipkartTable[[#This Row],[Rating]]&gt;4,"Good",IF(FlipkartTable[[#This Row],[Rating]]&gt;3.5,"Average","Poor")))</f>
        <v>Good</v>
      </c>
    </row>
    <row r="1689" spans="1:13" x14ac:dyDescent="0.35">
      <c r="A1689" t="s">
        <v>663</v>
      </c>
      <c r="B1689" s="9" t="s">
        <v>776</v>
      </c>
      <c r="C1689" t="s">
        <v>116</v>
      </c>
      <c r="D1689" t="s">
        <v>35</v>
      </c>
      <c r="E1689" t="s">
        <v>124</v>
      </c>
      <c r="F1689">
        <v>4.3</v>
      </c>
      <c r="G1689">
        <v>13800</v>
      </c>
      <c r="H1689">
        <v>13800</v>
      </c>
      <c r="I1689">
        <f>FlipkartTable[[#This Row],[Original Price]]-FlipkartTable[[#This Row],[Selling Price]]</f>
        <v>0</v>
      </c>
      <c r="J1689" s="4">
        <f>(FlipkartTable[[#This Row],[Original Price]]-FlipkartTable[[#This Row],[Selling Price]])/FlipkartTable[[#This Row],[Original Price]]</f>
        <v>0</v>
      </c>
      <c r="K1689">
        <f>(FlipkartTable[[#This Row],[Rating]]/FlipkartTable[[#This Row],[Selling Price]])*1000</f>
        <v>0.31159420289855072</v>
      </c>
      <c r="L1689" t="str">
        <f>IF(FlipkartTable[[#This Row],[Selling Price]]&lt;15000,"Budget",IF(FlipkartTable[[#This Row],[Selling Price]]&lt;50000,"Mid Range","Premium"))</f>
        <v>Budget</v>
      </c>
      <c r="M1689" t="str">
        <f>IF(FlipkartTable[[#This Row],[Rating]]&gt;4.5,"Excellent",IF(FlipkartTable[[#This Row],[Rating]]&gt;4,"Good",IF(FlipkartTable[[#This Row],[Rating]]&gt;3.5,"Average","Poor")))</f>
        <v>Good</v>
      </c>
    </row>
    <row r="1690" spans="1:13" x14ac:dyDescent="0.35">
      <c r="A1690" t="s">
        <v>663</v>
      </c>
      <c r="B1690" s="9" t="s">
        <v>727</v>
      </c>
      <c r="C1690" t="s">
        <v>746</v>
      </c>
      <c r="D1690" t="s">
        <v>14</v>
      </c>
      <c r="E1690" t="s">
        <v>15</v>
      </c>
      <c r="F1690">
        <v>4.3</v>
      </c>
      <c r="G1690">
        <v>17999</v>
      </c>
      <c r="H1690">
        <v>31000</v>
      </c>
      <c r="I1690">
        <f>FlipkartTable[[#This Row],[Original Price]]-FlipkartTable[[#This Row],[Selling Price]]</f>
        <v>13001</v>
      </c>
      <c r="J1690" s="4">
        <f>(FlipkartTable[[#This Row],[Original Price]]-FlipkartTable[[#This Row],[Selling Price]])/FlipkartTable[[#This Row],[Original Price]]</f>
        <v>0.41938709677419356</v>
      </c>
      <c r="K1690">
        <f>(FlipkartTable[[#This Row],[Rating]]/FlipkartTable[[#This Row],[Selling Price]])*1000</f>
        <v>0.23890216123117949</v>
      </c>
      <c r="L1690" t="str">
        <f>IF(FlipkartTable[[#This Row],[Selling Price]]&lt;15000,"Budget",IF(FlipkartTable[[#This Row],[Selling Price]]&lt;50000,"Mid Range","Premium"))</f>
        <v>Mid Range</v>
      </c>
      <c r="M1690" t="str">
        <f>IF(FlipkartTable[[#This Row],[Rating]]&gt;4.5,"Excellent",IF(FlipkartTable[[#This Row],[Rating]]&gt;4,"Good",IF(FlipkartTable[[#This Row],[Rating]]&gt;3.5,"Average","Poor")))</f>
        <v>Good</v>
      </c>
    </row>
    <row r="1691" spans="1:13" x14ac:dyDescent="0.35">
      <c r="A1691" t="s">
        <v>663</v>
      </c>
      <c r="B1691" s="9" t="s">
        <v>858</v>
      </c>
      <c r="C1691" t="s">
        <v>724</v>
      </c>
      <c r="D1691" t="s">
        <v>63</v>
      </c>
      <c r="E1691" t="s">
        <v>338</v>
      </c>
      <c r="F1691">
        <v>4.5999999999999996</v>
      </c>
      <c r="G1691">
        <v>95000</v>
      </c>
      <c r="H1691">
        <v>95000</v>
      </c>
      <c r="I1691">
        <f>FlipkartTable[[#This Row],[Original Price]]-FlipkartTable[[#This Row],[Selling Price]]</f>
        <v>0</v>
      </c>
      <c r="J1691" s="4">
        <f>(FlipkartTable[[#This Row],[Original Price]]-FlipkartTable[[#This Row],[Selling Price]])/FlipkartTable[[#This Row],[Original Price]]</f>
        <v>0</v>
      </c>
      <c r="K1691">
        <f>(FlipkartTable[[#This Row],[Rating]]/FlipkartTable[[#This Row],[Selling Price]])*1000</f>
        <v>4.8421052631578941E-2</v>
      </c>
      <c r="L1691" t="str">
        <f>IF(FlipkartTable[[#This Row],[Selling Price]]&lt;15000,"Budget",IF(FlipkartTable[[#This Row],[Selling Price]]&lt;50000,"Mid Range","Premium"))</f>
        <v>Premium</v>
      </c>
      <c r="M1691" t="str">
        <f>IF(FlipkartTable[[#This Row],[Rating]]&gt;4.5,"Excellent",IF(FlipkartTable[[#This Row],[Rating]]&gt;4,"Good",IF(FlipkartTable[[#This Row],[Rating]]&gt;3.5,"Average","Poor")))</f>
        <v>Excellent</v>
      </c>
    </row>
    <row r="1692" spans="1:13" x14ac:dyDescent="0.35">
      <c r="A1692" t="s">
        <v>663</v>
      </c>
      <c r="B1692" s="9" t="s">
        <v>711</v>
      </c>
      <c r="C1692" t="s">
        <v>719</v>
      </c>
      <c r="D1692" t="s">
        <v>27</v>
      </c>
      <c r="E1692" t="s">
        <v>15</v>
      </c>
      <c r="F1692">
        <v>4.4000000000000004</v>
      </c>
      <c r="G1692">
        <v>28999</v>
      </c>
      <c r="H1692">
        <v>31999</v>
      </c>
      <c r="I1692">
        <f>FlipkartTable[[#This Row],[Original Price]]-FlipkartTable[[#This Row],[Selling Price]]</f>
        <v>3000</v>
      </c>
      <c r="J1692" s="4">
        <f>(FlipkartTable[[#This Row],[Original Price]]-FlipkartTable[[#This Row],[Selling Price]])/FlipkartTable[[#This Row],[Original Price]]</f>
        <v>9.3752929779055597E-2</v>
      </c>
      <c r="K1692">
        <f>(FlipkartTable[[#This Row],[Rating]]/FlipkartTable[[#This Row],[Selling Price]])*1000</f>
        <v>0.15172936997827513</v>
      </c>
      <c r="L1692" t="str">
        <f>IF(FlipkartTable[[#This Row],[Selling Price]]&lt;15000,"Budget",IF(FlipkartTable[[#This Row],[Selling Price]]&lt;50000,"Mid Range","Premium"))</f>
        <v>Mid Range</v>
      </c>
      <c r="M1692" t="str">
        <f>IF(FlipkartTable[[#This Row],[Rating]]&gt;4.5,"Excellent",IF(FlipkartTable[[#This Row],[Rating]]&gt;4,"Good",IF(FlipkartTable[[#This Row],[Rating]]&gt;3.5,"Average","Poor")))</f>
        <v>Good</v>
      </c>
    </row>
    <row r="1693" spans="1:13" x14ac:dyDescent="0.35">
      <c r="A1693" t="s">
        <v>663</v>
      </c>
      <c r="B1693" s="9" t="s">
        <v>708</v>
      </c>
      <c r="C1693" t="s">
        <v>859</v>
      </c>
      <c r="D1693" t="s">
        <v>27</v>
      </c>
      <c r="E1693" t="s">
        <v>338</v>
      </c>
      <c r="F1693">
        <v>4.5</v>
      </c>
      <c r="G1693">
        <v>45999</v>
      </c>
      <c r="H1693">
        <v>51000</v>
      </c>
      <c r="I1693">
        <f>FlipkartTable[[#This Row],[Original Price]]-FlipkartTable[[#This Row],[Selling Price]]</f>
        <v>5001</v>
      </c>
      <c r="J1693" s="4">
        <f>(FlipkartTable[[#This Row],[Original Price]]-FlipkartTable[[#This Row],[Selling Price]])/FlipkartTable[[#This Row],[Original Price]]</f>
        <v>9.8058823529411768E-2</v>
      </c>
      <c r="K1693">
        <f>(FlipkartTable[[#This Row],[Rating]]/FlipkartTable[[#This Row],[Selling Price]])*1000</f>
        <v>9.7828213656818624E-2</v>
      </c>
      <c r="L1693" t="str">
        <f>IF(FlipkartTable[[#This Row],[Selling Price]]&lt;15000,"Budget",IF(FlipkartTable[[#This Row],[Selling Price]]&lt;50000,"Mid Range","Premium"))</f>
        <v>Mid Range</v>
      </c>
      <c r="M1693" t="str">
        <f>IF(FlipkartTable[[#This Row],[Rating]]&gt;4.5,"Excellent",IF(FlipkartTable[[#This Row],[Rating]]&gt;4,"Good",IF(FlipkartTable[[#This Row],[Rating]]&gt;3.5,"Average","Poor")))</f>
        <v>Good</v>
      </c>
    </row>
    <row r="1694" spans="1:13" x14ac:dyDescent="0.35">
      <c r="A1694" t="s">
        <v>663</v>
      </c>
      <c r="B1694" s="9" t="s">
        <v>756</v>
      </c>
      <c r="C1694" t="s">
        <v>761</v>
      </c>
      <c r="D1694" t="s">
        <v>11</v>
      </c>
      <c r="E1694" t="s">
        <v>12</v>
      </c>
      <c r="F1694">
        <v>4.3</v>
      </c>
      <c r="G1694">
        <v>15899</v>
      </c>
      <c r="H1694">
        <v>18900</v>
      </c>
      <c r="I1694">
        <f>FlipkartTable[[#This Row],[Original Price]]-FlipkartTable[[#This Row],[Selling Price]]</f>
        <v>3001</v>
      </c>
      <c r="J1694" s="4">
        <f>(FlipkartTable[[#This Row],[Original Price]]-FlipkartTable[[#This Row],[Selling Price]])/FlipkartTable[[#This Row],[Original Price]]</f>
        <v>0.15878306878306878</v>
      </c>
      <c r="K1694">
        <f>(FlipkartTable[[#This Row],[Rating]]/FlipkartTable[[#This Row],[Selling Price]])*1000</f>
        <v>0.2704572614629851</v>
      </c>
      <c r="L1694" t="str">
        <f>IF(FlipkartTable[[#This Row],[Selling Price]]&lt;15000,"Budget",IF(FlipkartTable[[#This Row],[Selling Price]]&lt;50000,"Mid Range","Premium"))</f>
        <v>Mid Range</v>
      </c>
      <c r="M1694" t="str">
        <f>IF(FlipkartTable[[#This Row],[Rating]]&gt;4.5,"Excellent",IF(FlipkartTable[[#This Row],[Rating]]&gt;4,"Good",IF(FlipkartTable[[#This Row],[Rating]]&gt;3.5,"Average","Poor")))</f>
        <v>Good</v>
      </c>
    </row>
    <row r="1695" spans="1:13" x14ac:dyDescent="0.35">
      <c r="A1695" t="s">
        <v>663</v>
      </c>
      <c r="B1695" s="9" t="s">
        <v>751</v>
      </c>
      <c r="C1695" t="s">
        <v>19</v>
      </c>
      <c r="D1695" t="s">
        <v>554</v>
      </c>
      <c r="E1695" t="s">
        <v>586</v>
      </c>
      <c r="F1695">
        <v>4.0999999999999996</v>
      </c>
      <c r="G1695">
        <v>2940</v>
      </c>
      <c r="H1695">
        <v>2940</v>
      </c>
      <c r="I1695">
        <f>FlipkartTable[[#This Row],[Original Price]]-FlipkartTable[[#This Row],[Selling Price]]</f>
        <v>0</v>
      </c>
      <c r="J1695" s="4">
        <f>(FlipkartTable[[#This Row],[Original Price]]-FlipkartTable[[#This Row],[Selling Price]])/FlipkartTable[[#This Row],[Original Price]]</f>
        <v>0</v>
      </c>
      <c r="K1695">
        <f>(FlipkartTable[[#This Row],[Rating]]/FlipkartTable[[#This Row],[Selling Price]])*1000</f>
        <v>1.3945578231292517</v>
      </c>
      <c r="L1695" t="str">
        <f>IF(FlipkartTable[[#This Row],[Selling Price]]&lt;15000,"Budget",IF(FlipkartTable[[#This Row],[Selling Price]]&lt;50000,"Mid Range","Premium"))</f>
        <v>Budget</v>
      </c>
      <c r="M1695" t="str">
        <f>IF(FlipkartTable[[#This Row],[Rating]]&gt;4.5,"Excellent",IF(FlipkartTable[[#This Row],[Rating]]&gt;4,"Good",IF(FlipkartTable[[#This Row],[Rating]]&gt;3.5,"Average","Poor")))</f>
        <v>Good</v>
      </c>
    </row>
    <row r="1696" spans="1:13" x14ac:dyDescent="0.35">
      <c r="A1696" t="s">
        <v>663</v>
      </c>
      <c r="B1696" s="9" t="s">
        <v>860</v>
      </c>
      <c r="C1696" t="s">
        <v>861</v>
      </c>
      <c r="D1696" t="s">
        <v>11</v>
      </c>
      <c r="E1696" t="s">
        <v>12</v>
      </c>
      <c r="F1696">
        <v>4.5999999999999996</v>
      </c>
      <c r="G1696">
        <v>49990</v>
      </c>
      <c r="H1696">
        <v>49990</v>
      </c>
      <c r="I1696">
        <f>FlipkartTable[[#This Row],[Original Price]]-FlipkartTable[[#This Row],[Selling Price]]</f>
        <v>0</v>
      </c>
      <c r="J1696" s="4">
        <f>(FlipkartTable[[#This Row],[Original Price]]-FlipkartTable[[#This Row],[Selling Price]])/FlipkartTable[[#This Row],[Original Price]]</f>
        <v>0</v>
      </c>
      <c r="K1696">
        <f>(FlipkartTable[[#This Row],[Rating]]/FlipkartTable[[#This Row],[Selling Price]])*1000</f>
        <v>9.2018403680736133E-2</v>
      </c>
      <c r="L1696" t="str">
        <f>IF(FlipkartTable[[#This Row],[Selling Price]]&lt;15000,"Budget",IF(FlipkartTable[[#This Row],[Selling Price]]&lt;50000,"Mid Range","Premium"))</f>
        <v>Mid Range</v>
      </c>
      <c r="M1696" t="str">
        <f>IF(FlipkartTable[[#This Row],[Rating]]&gt;4.5,"Excellent",IF(FlipkartTable[[#This Row],[Rating]]&gt;4,"Good",IF(FlipkartTable[[#This Row],[Rating]]&gt;3.5,"Average","Poor")))</f>
        <v>Excellent</v>
      </c>
    </row>
    <row r="1697" spans="1:13" x14ac:dyDescent="0.35">
      <c r="A1697" t="s">
        <v>663</v>
      </c>
      <c r="B1697" s="9" t="s">
        <v>846</v>
      </c>
      <c r="C1697" t="s">
        <v>170</v>
      </c>
      <c r="D1697" t="s">
        <v>11</v>
      </c>
      <c r="E1697" t="s">
        <v>21</v>
      </c>
      <c r="F1697">
        <v>3.9</v>
      </c>
      <c r="G1697">
        <v>56999</v>
      </c>
      <c r="H1697">
        <v>56999</v>
      </c>
      <c r="I1697">
        <f>FlipkartTable[[#This Row],[Original Price]]-FlipkartTable[[#This Row],[Selling Price]]</f>
        <v>0</v>
      </c>
      <c r="J1697" s="4">
        <f>(FlipkartTable[[#This Row],[Original Price]]-FlipkartTable[[#This Row],[Selling Price]])/FlipkartTable[[#This Row],[Original Price]]</f>
        <v>0</v>
      </c>
      <c r="K1697">
        <f>(FlipkartTable[[#This Row],[Rating]]/FlipkartTable[[#This Row],[Selling Price]])*1000</f>
        <v>6.8422253021982848E-2</v>
      </c>
      <c r="L1697" t="str">
        <f>IF(FlipkartTable[[#This Row],[Selling Price]]&lt;15000,"Budget",IF(FlipkartTable[[#This Row],[Selling Price]]&lt;50000,"Mid Range","Premium"))</f>
        <v>Premium</v>
      </c>
      <c r="M1697" t="str">
        <f>IF(FlipkartTable[[#This Row],[Rating]]&gt;4.5,"Excellent",IF(FlipkartTable[[#This Row],[Rating]]&gt;4,"Good",IF(FlipkartTable[[#This Row],[Rating]]&gt;3.5,"Average","Poor")))</f>
        <v>Average</v>
      </c>
    </row>
    <row r="1698" spans="1:13" x14ac:dyDescent="0.35">
      <c r="A1698" t="s">
        <v>663</v>
      </c>
      <c r="B1698" s="9" t="s">
        <v>834</v>
      </c>
      <c r="C1698" t="s">
        <v>152</v>
      </c>
      <c r="D1698" t="s">
        <v>20</v>
      </c>
      <c r="E1698" t="s">
        <v>124</v>
      </c>
      <c r="F1698">
        <v>4.0999999999999996</v>
      </c>
      <c r="G1698">
        <v>20700</v>
      </c>
      <c r="H1698">
        <v>20700</v>
      </c>
      <c r="I1698">
        <f>FlipkartTable[[#This Row],[Original Price]]-FlipkartTable[[#This Row],[Selling Price]]</f>
        <v>0</v>
      </c>
      <c r="J1698" s="4">
        <f>(FlipkartTable[[#This Row],[Original Price]]-FlipkartTable[[#This Row],[Selling Price]])/FlipkartTable[[#This Row],[Original Price]]</f>
        <v>0</v>
      </c>
      <c r="K1698">
        <f>(FlipkartTable[[#This Row],[Rating]]/FlipkartTable[[#This Row],[Selling Price]])*1000</f>
        <v>0.19806763285024151</v>
      </c>
      <c r="L1698" t="str">
        <f>IF(FlipkartTable[[#This Row],[Selling Price]]&lt;15000,"Budget",IF(FlipkartTable[[#This Row],[Selling Price]]&lt;50000,"Mid Range","Premium"))</f>
        <v>Mid Range</v>
      </c>
      <c r="M1698" t="str">
        <f>IF(FlipkartTable[[#This Row],[Rating]]&gt;4.5,"Excellent",IF(FlipkartTable[[#This Row],[Rating]]&gt;4,"Good",IF(FlipkartTable[[#This Row],[Rating]]&gt;3.5,"Average","Poor")))</f>
        <v>Good</v>
      </c>
    </row>
    <row r="1699" spans="1:13" x14ac:dyDescent="0.35">
      <c r="A1699" t="s">
        <v>663</v>
      </c>
      <c r="B1699" s="9" t="s">
        <v>862</v>
      </c>
      <c r="C1699" t="s">
        <v>116</v>
      </c>
      <c r="D1699" t="s">
        <v>134</v>
      </c>
      <c r="E1699" t="s">
        <v>27</v>
      </c>
      <c r="F1699">
        <v>3.5</v>
      </c>
      <c r="G1699">
        <v>6200</v>
      </c>
      <c r="H1699">
        <v>6200</v>
      </c>
      <c r="I1699">
        <f>FlipkartTable[[#This Row],[Original Price]]-FlipkartTable[[#This Row],[Selling Price]]</f>
        <v>0</v>
      </c>
      <c r="J1699" s="4">
        <f>(FlipkartTable[[#This Row],[Original Price]]-FlipkartTable[[#This Row],[Selling Price]])/FlipkartTable[[#This Row],[Original Price]]</f>
        <v>0</v>
      </c>
      <c r="K1699">
        <f>(FlipkartTable[[#This Row],[Rating]]/FlipkartTable[[#This Row],[Selling Price]])*1000</f>
        <v>0.56451612903225812</v>
      </c>
      <c r="L1699" t="str">
        <f>IF(FlipkartTable[[#This Row],[Selling Price]]&lt;15000,"Budget",IF(FlipkartTable[[#This Row],[Selling Price]]&lt;50000,"Mid Range","Premium"))</f>
        <v>Budget</v>
      </c>
      <c r="M1699" t="str">
        <f>IF(FlipkartTable[[#This Row],[Rating]]&gt;4.5,"Excellent",IF(FlipkartTable[[#This Row],[Rating]]&gt;4,"Good",IF(FlipkartTable[[#This Row],[Rating]]&gt;3.5,"Average","Poor")))</f>
        <v>Poor</v>
      </c>
    </row>
    <row r="1700" spans="1:13" x14ac:dyDescent="0.35">
      <c r="A1700" t="s">
        <v>663</v>
      </c>
      <c r="B1700" s="9" t="s">
        <v>693</v>
      </c>
      <c r="C1700" t="s">
        <v>719</v>
      </c>
      <c r="D1700" t="s">
        <v>27</v>
      </c>
      <c r="E1700" t="s">
        <v>64</v>
      </c>
      <c r="F1700">
        <v>4.3</v>
      </c>
      <c r="G1700">
        <v>37999</v>
      </c>
      <c r="H1700">
        <v>43999</v>
      </c>
      <c r="I1700">
        <f>FlipkartTable[[#This Row],[Original Price]]-FlipkartTable[[#This Row],[Selling Price]]</f>
        <v>6000</v>
      </c>
      <c r="J1700" s="4">
        <f>(FlipkartTable[[#This Row],[Original Price]]-FlipkartTable[[#This Row],[Selling Price]])/FlipkartTable[[#This Row],[Original Price]]</f>
        <v>0.13636673560762744</v>
      </c>
      <c r="K1700">
        <f>(FlipkartTable[[#This Row],[Rating]]/FlipkartTable[[#This Row],[Selling Price]])*1000</f>
        <v>0.11316087265454354</v>
      </c>
      <c r="L1700" t="str">
        <f>IF(FlipkartTable[[#This Row],[Selling Price]]&lt;15000,"Budget",IF(FlipkartTable[[#This Row],[Selling Price]]&lt;50000,"Mid Range","Premium"))</f>
        <v>Mid Range</v>
      </c>
      <c r="M1700" t="str">
        <f>IF(FlipkartTable[[#This Row],[Rating]]&gt;4.5,"Excellent",IF(FlipkartTable[[#This Row],[Rating]]&gt;4,"Good",IF(FlipkartTable[[#This Row],[Rating]]&gt;3.5,"Average","Poor")))</f>
        <v>Good</v>
      </c>
    </row>
    <row r="1701" spans="1:13" x14ac:dyDescent="0.35">
      <c r="A1701" t="s">
        <v>663</v>
      </c>
      <c r="B1701" s="9" t="s">
        <v>863</v>
      </c>
      <c r="C1701" t="s">
        <v>152</v>
      </c>
      <c r="D1701" t="s">
        <v>263</v>
      </c>
      <c r="E1701" t="s">
        <v>11</v>
      </c>
      <c r="F1701">
        <v>3.8</v>
      </c>
      <c r="G1701">
        <v>5499</v>
      </c>
      <c r="H1701">
        <v>5499</v>
      </c>
      <c r="I1701">
        <f>FlipkartTable[[#This Row],[Original Price]]-FlipkartTable[[#This Row],[Selling Price]]</f>
        <v>0</v>
      </c>
      <c r="J1701" s="4">
        <f>(FlipkartTable[[#This Row],[Original Price]]-FlipkartTable[[#This Row],[Selling Price]])/FlipkartTable[[#This Row],[Original Price]]</f>
        <v>0</v>
      </c>
      <c r="K1701">
        <f>(FlipkartTable[[#This Row],[Rating]]/FlipkartTable[[#This Row],[Selling Price]])*1000</f>
        <v>0.69103473358792511</v>
      </c>
      <c r="L1701" t="str">
        <f>IF(FlipkartTable[[#This Row],[Selling Price]]&lt;15000,"Budget",IF(FlipkartTable[[#This Row],[Selling Price]]&lt;50000,"Mid Range","Premium"))</f>
        <v>Budget</v>
      </c>
      <c r="M1701" t="str">
        <f>IF(FlipkartTable[[#This Row],[Rating]]&gt;4.5,"Excellent",IF(FlipkartTable[[#This Row],[Rating]]&gt;4,"Good",IF(FlipkartTable[[#This Row],[Rating]]&gt;3.5,"Average","Poor")))</f>
        <v>Average</v>
      </c>
    </row>
    <row r="1702" spans="1:13" x14ac:dyDescent="0.35">
      <c r="A1702" t="s">
        <v>663</v>
      </c>
      <c r="B1702" s="9" t="s">
        <v>808</v>
      </c>
      <c r="C1702" t="s">
        <v>864</v>
      </c>
      <c r="D1702" t="s">
        <v>27</v>
      </c>
      <c r="E1702" t="s">
        <v>15</v>
      </c>
      <c r="F1702">
        <v>4.4000000000000004</v>
      </c>
      <c r="G1702">
        <v>29899</v>
      </c>
      <c r="H1702">
        <v>29899</v>
      </c>
      <c r="I1702">
        <f>FlipkartTable[[#This Row],[Original Price]]-FlipkartTable[[#This Row],[Selling Price]]</f>
        <v>0</v>
      </c>
      <c r="J1702" s="4">
        <f>(FlipkartTable[[#This Row],[Original Price]]-FlipkartTable[[#This Row],[Selling Price]])/FlipkartTable[[#This Row],[Original Price]]</f>
        <v>0</v>
      </c>
      <c r="K1702">
        <f>(FlipkartTable[[#This Row],[Rating]]/FlipkartTable[[#This Row],[Selling Price]])*1000</f>
        <v>0.14716211244523231</v>
      </c>
      <c r="L1702" t="str">
        <f>IF(FlipkartTable[[#This Row],[Selling Price]]&lt;15000,"Budget",IF(FlipkartTable[[#This Row],[Selling Price]]&lt;50000,"Mid Range","Premium"))</f>
        <v>Mid Range</v>
      </c>
      <c r="M1702" t="str">
        <f>IF(FlipkartTable[[#This Row],[Rating]]&gt;4.5,"Excellent",IF(FlipkartTable[[#This Row],[Rating]]&gt;4,"Good",IF(FlipkartTable[[#This Row],[Rating]]&gt;3.5,"Average","Poor")))</f>
        <v>Good</v>
      </c>
    </row>
    <row r="1703" spans="1:13" x14ac:dyDescent="0.35">
      <c r="A1703" t="s">
        <v>663</v>
      </c>
      <c r="B1703" s="9" t="s">
        <v>865</v>
      </c>
      <c r="C1703" t="s">
        <v>22</v>
      </c>
      <c r="D1703" t="s">
        <v>263</v>
      </c>
      <c r="E1703" t="s">
        <v>11</v>
      </c>
      <c r="F1703">
        <v>4</v>
      </c>
      <c r="G1703">
        <v>7454</v>
      </c>
      <c r="H1703">
        <v>7454</v>
      </c>
      <c r="I1703">
        <f>FlipkartTable[[#This Row],[Original Price]]-FlipkartTable[[#This Row],[Selling Price]]</f>
        <v>0</v>
      </c>
      <c r="J1703" s="4">
        <f>(FlipkartTable[[#This Row],[Original Price]]-FlipkartTable[[#This Row],[Selling Price]])/FlipkartTable[[#This Row],[Original Price]]</f>
        <v>0</v>
      </c>
      <c r="K1703">
        <f>(FlipkartTable[[#This Row],[Rating]]/FlipkartTable[[#This Row],[Selling Price]])*1000</f>
        <v>0.53662463107056613</v>
      </c>
      <c r="L1703" t="str">
        <f>IF(FlipkartTable[[#This Row],[Selling Price]]&lt;15000,"Budget",IF(FlipkartTable[[#This Row],[Selling Price]]&lt;50000,"Mid Range","Premium"))</f>
        <v>Budget</v>
      </c>
      <c r="M1703" t="str">
        <f>IF(FlipkartTable[[#This Row],[Rating]]&gt;4.5,"Excellent",IF(FlipkartTable[[#This Row],[Rating]]&gt;4,"Good",IF(FlipkartTable[[#This Row],[Rating]]&gt;3.5,"Average","Poor")))</f>
        <v>Average</v>
      </c>
    </row>
    <row r="1704" spans="1:13" x14ac:dyDescent="0.35">
      <c r="A1704" t="s">
        <v>663</v>
      </c>
      <c r="B1704" s="9" t="s">
        <v>866</v>
      </c>
      <c r="C1704" t="s">
        <v>867</v>
      </c>
      <c r="D1704" t="s">
        <v>27</v>
      </c>
      <c r="E1704" t="s">
        <v>15</v>
      </c>
      <c r="F1704">
        <v>4.3</v>
      </c>
      <c r="G1704">
        <v>74000</v>
      </c>
      <c r="H1704">
        <v>74000</v>
      </c>
      <c r="I1704">
        <f>FlipkartTable[[#This Row],[Original Price]]-FlipkartTable[[#This Row],[Selling Price]]</f>
        <v>0</v>
      </c>
      <c r="J1704" s="4">
        <f>(FlipkartTable[[#This Row],[Original Price]]-FlipkartTable[[#This Row],[Selling Price]])/FlipkartTable[[#This Row],[Original Price]]</f>
        <v>0</v>
      </c>
      <c r="K1704">
        <f>(FlipkartTable[[#This Row],[Rating]]/FlipkartTable[[#This Row],[Selling Price]])*1000</f>
        <v>5.8108108108108104E-2</v>
      </c>
      <c r="L1704" t="str">
        <f>IF(FlipkartTable[[#This Row],[Selling Price]]&lt;15000,"Budget",IF(FlipkartTable[[#This Row],[Selling Price]]&lt;50000,"Mid Range","Premium"))</f>
        <v>Premium</v>
      </c>
      <c r="M1704" t="str">
        <f>IF(FlipkartTable[[#This Row],[Rating]]&gt;4.5,"Excellent",IF(FlipkartTable[[#This Row],[Rating]]&gt;4,"Good",IF(FlipkartTable[[#This Row],[Rating]]&gt;3.5,"Average","Poor")))</f>
        <v>Good</v>
      </c>
    </row>
    <row r="1705" spans="1:13" x14ac:dyDescent="0.35">
      <c r="A1705" t="s">
        <v>663</v>
      </c>
      <c r="B1705" s="9" t="s">
        <v>831</v>
      </c>
      <c r="C1705" t="s">
        <v>19</v>
      </c>
      <c r="D1705" t="s">
        <v>554</v>
      </c>
      <c r="E1705" t="s">
        <v>539</v>
      </c>
      <c r="F1705">
        <v>4.2</v>
      </c>
      <c r="G1705">
        <v>2089</v>
      </c>
      <c r="H1705">
        <v>2089</v>
      </c>
      <c r="I1705">
        <f>FlipkartTable[[#This Row],[Original Price]]-FlipkartTable[[#This Row],[Selling Price]]</f>
        <v>0</v>
      </c>
      <c r="J1705" s="4">
        <f>(FlipkartTable[[#This Row],[Original Price]]-FlipkartTable[[#This Row],[Selling Price]])/FlipkartTable[[#This Row],[Original Price]]</f>
        <v>0</v>
      </c>
      <c r="K1705">
        <f>(FlipkartTable[[#This Row],[Rating]]/FlipkartTable[[#This Row],[Selling Price]])*1000</f>
        <v>2.0105313547151744</v>
      </c>
      <c r="L1705" t="str">
        <f>IF(FlipkartTable[[#This Row],[Selling Price]]&lt;15000,"Budget",IF(FlipkartTable[[#This Row],[Selling Price]]&lt;50000,"Mid Range","Premium"))</f>
        <v>Budget</v>
      </c>
      <c r="M1705" t="str">
        <f>IF(FlipkartTable[[#This Row],[Rating]]&gt;4.5,"Excellent",IF(FlipkartTable[[#This Row],[Rating]]&gt;4,"Good",IF(FlipkartTable[[#This Row],[Rating]]&gt;3.5,"Average","Poor")))</f>
        <v>Good</v>
      </c>
    </row>
    <row r="1706" spans="1:13" x14ac:dyDescent="0.35">
      <c r="A1706" t="s">
        <v>663</v>
      </c>
      <c r="B1706" s="9" t="s">
        <v>772</v>
      </c>
      <c r="C1706" t="s">
        <v>840</v>
      </c>
      <c r="D1706" t="s">
        <v>14</v>
      </c>
      <c r="E1706" t="s">
        <v>15</v>
      </c>
      <c r="F1706">
        <v>4.4000000000000004</v>
      </c>
      <c r="G1706">
        <v>36000</v>
      </c>
      <c r="H1706">
        <v>36000</v>
      </c>
      <c r="I1706">
        <f>FlipkartTable[[#This Row],[Original Price]]-FlipkartTable[[#This Row],[Selling Price]]</f>
        <v>0</v>
      </c>
      <c r="J1706" s="4">
        <f>(FlipkartTable[[#This Row],[Original Price]]-FlipkartTable[[#This Row],[Selling Price]])/FlipkartTable[[#This Row],[Original Price]]</f>
        <v>0</v>
      </c>
      <c r="K1706">
        <f>(FlipkartTable[[#This Row],[Rating]]/FlipkartTable[[#This Row],[Selling Price]])*1000</f>
        <v>0.12222222222222225</v>
      </c>
      <c r="L1706" t="str">
        <f>IF(FlipkartTable[[#This Row],[Selling Price]]&lt;15000,"Budget",IF(FlipkartTable[[#This Row],[Selling Price]]&lt;50000,"Mid Range","Premium"))</f>
        <v>Mid Range</v>
      </c>
      <c r="M1706" t="str">
        <f>IF(FlipkartTable[[#This Row],[Rating]]&gt;4.5,"Excellent",IF(FlipkartTable[[#This Row],[Rating]]&gt;4,"Good",IF(FlipkartTable[[#This Row],[Rating]]&gt;3.5,"Average","Poor")))</f>
        <v>Good</v>
      </c>
    </row>
    <row r="1707" spans="1:13" x14ac:dyDescent="0.35">
      <c r="A1707" t="s">
        <v>663</v>
      </c>
      <c r="B1707" s="9" t="s">
        <v>751</v>
      </c>
      <c r="C1707" t="s">
        <v>19</v>
      </c>
      <c r="D1707" t="s">
        <v>554</v>
      </c>
      <c r="E1707" t="s">
        <v>539</v>
      </c>
      <c r="F1707">
        <v>4.0999999999999996</v>
      </c>
      <c r="G1707">
        <v>2815</v>
      </c>
      <c r="H1707">
        <v>2815</v>
      </c>
      <c r="I1707">
        <f>FlipkartTable[[#This Row],[Original Price]]-FlipkartTable[[#This Row],[Selling Price]]</f>
        <v>0</v>
      </c>
      <c r="J1707" s="4">
        <f>(FlipkartTable[[#This Row],[Original Price]]-FlipkartTable[[#This Row],[Selling Price]])/FlipkartTable[[#This Row],[Original Price]]</f>
        <v>0</v>
      </c>
      <c r="K1707">
        <f>(FlipkartTable[[#This Row],[Rating]]/FlipkartTable[[#This Row],[Selling Price]])*1000</f>
        <v>1.4564831261101243</v>
      </c>
      <c r="L1707" t="str">
        <f>IF(FlipkartTable[[#This Row],[Selling Price]]&lt;15000,"Budget",IF(FlipkartTable[[#This Row],[Selling Price]]&lt;50000,"Mid Range","Premium"))</f>
        <v>Budget</v>
      </c>
      <c r="M1707" t="str">
        <f>IF(FlipkartTable[[#This Row],[Rating]]&gt;4.5,"Excellent",IF(FlipkartTable[[#This Row],[Rating]]&gt;4,"Good",IF(FlipkartTable[[#This Row],[Rating]]&gt;3.5,"Average","Poor")))</f>
        <v>Good</v>
      </c>
    </row>
    <row r="1708" spans="1:13" x14ac:dyDescent="0.35">
      <c r="A1708" t="s">
        <v>663</v>
      </c>
      <c r="B1708" s="9" t="s">
        <v>833</v>
      </c>
      <c r="C1708" t="s">
        <v>868</v>
      </c>
      <c r="D1708" t="s">
        <v>11</v>
      </c>
      <c r="E1708" t="s">
        <v>15</v>
      </c>
      <c r="F1708">
        <v>4.4000000000000004</v>
      </c>
      <c r="G1708">
        <v>61900</v>
      </c>
      <c r="H1708">
        <v>61900</v>
      </c>
      <c r="I1708">
        <f>FlipkartTable[[#This Row],[Original Price]]-FlipkartTable[[#This Row],[Selling Price]]</f>
        <v>0</v>
      </c>
      <c r="J1708" s="4">
        <f>(FlipkartTable[[#This Row],[Original Price]]-FlipkartTable[[#This Row],[Selling Price]])/FlipkartTable[[#This Row],[Original Price]]</f>
        <v>0</v>
      </c>
      <c r="K1708">
        <f>(FlipkartTable[[#This Row],[Rating]]/FlipkartTable[[#This Row],[Selling Price]])*1000</f>
        <v>7.1082390953150248E-2</v>
      </c>
      <c r="L1708" t="str">
        <f>IF(FlipkartTable[[#This Row],[Selling Price]]&lt;15000,"Budget",IF(FlipkartTable[[#This Row],[Selling Price]]&lt;50000,"Mid Range","Premium"))</f>
        <v>Premium</v>
      </c>
      <c r="M1708" t="str">
        <f>IF(FlipkartTable[[#This Row],[Rating]]&gt;4.5,"Excellent",IF(FlipkartTable[[#This Row],[Rating]]&gt;4,"Good",IF(FlipkartTable[[#This Row],[Rating]]&gt;3.5,"Average","Poor")))</f>
        <v>Good</v>
      </c>
    </row>
    <row r="1709" spans="1:13" x14ac:dyDescent="0.35">
      <c r="A1709" t="s">
        <v>663</v>
      </c>
      <c r="B1709" s="9" t="s">
        <v>869</v>
      </c>
      <c r="C1709" t="s">
        <v>870</v>
      </c>
      <c r="D1709" t="s">
        <v>35</v>
      </c>
      <c r="E1709" t="s">
        <v>21</v>
      </c>
      <c r="F1709">
        <v>3.6</v>
      </c>
      <c r="G1709">
        <v>42000</v>
      </c>
      <c r="H1709">
        <v>42000</v>
      </c>
      <c r="I1709">
        <f>FlipkartTable[[#This Row],[Original Price]]-FlipkartTable[[#This Row],[Selling Price]]</f>
        <v>0</v>
      </c>
      <c r="J1709" s="4">
        <f>(FlipkartTable[[#This Row],[Original Price]]-FlipkartTable[[#This Row],[Selling Price]])/FlipkartTable[[#This Row],[Original Price]]</f>
        <v>0</v>
      </c>
      <c r="K1709">
        <f>(FlipkartTable[[#This Row],[Rating]]/FlipkartTable[[#This Row],[Selling Price]])*1000</f>
        <v>8.5714285714285715E-2</v>
      </c>
      <c r="L1709" t="str">
        <f>IF(FlipkartTable[[#This Row],[Selling Price]]&lt;15000,"Budget",IF(FlipkartTable[[#This Row],[Selling Price]]&lt;50000,"Mid Range","Premium"))</f>
        <v>Mid Range</v>
      </c>
      <c r="M1709" t="str">
        <f>IF(FlipkartTable[[#This Row],[Rating]]&gt;4.5,"Excellent",IF(FlipkartTable[[#This Row],[Rating]]&gt;4,"Good",IF(FlipkartTable[[#This Row],[Rating]]&gt;3.5,"Average","Poor")))</f>
        <v>Average</v>
      </c>
    </row>
    <row r="1710" spans="1:13" x14ac:dyDescent="0.35">
      <c r="A1710" t="s">
        <v>663</v>
      </c>
      <c r="B1710" s="9" t="s">
        <v>869</v>
      </c>
      <c r="C1710" t="s">
        <v>853</v>
      </c>
      <c r="D1710" t="s">
        <v>35</v>
      </c>
      <c r="E1710" t="s">
        <v>21</v>
      </c>
      <c r="F1710">
        <v>3.6</v>
      </c>
      <c r="G1710">
        <v>22389</v>
      </c>
      <c r="H1710">
        <v>22389</v>
      </c>
      <c r="I1710">
        <f>FlipkartTable[[#This Row],[Original Price]]-FlipkartTable[[#This Row],[Selling Price]]</f>
        <v>0</v>
      </c>
      <c r="J1710" s="4">
        <f>(FlipkartTable[[#This Row],[Original Price]]-FlipkartTable[[#This Row],[Selling Price]])/FlipkartTable[[#This Row],[Original Price]]</f>
        <v>0</v>
      </c>
      <c r="K1710">
        <f>(FlipkartTable[[#This Row],[Rating]]/FlipkartTable[[#This Row],[Selling Price]])*1000</f>
        <v>0.16079324668363928</v>
      </c>
      <c r="L1710" t="str">
        <f>IF(FlipkartTable[[#This Row],[Selling Price]]&lt;15000,"Budget",IF(FlipkartTable[[#This Row],[Selling Price]]&lt;50000,"Mid Range","Premium"))</f>
        <v>Mid Range</v>
      </c>
      <c r="M1710" t="str">
        <f>IF(FlipkartTable[[#This Row],[Rating]]&gt;4.5,"Excellent",IF(FlipkartTable[[#This Row],[Rating]]&gt;4,"Good",IF(FlipkartTable[[#This Row],[Rating]]&gt;3.5,"Average","Poor")))</f>
        <v>Average</v>
      </c>
    </row>
    <row r="1711" spans="1:13" x14ac:dyDescent="0.35">
      <c r="A1711" t="s">
        <v>663</v>
      </c>
      <c r="B1711" s="9" t="s">
        <v>738</v>
      </c>
      <c r="C1711" t="s">
        <v>861</v>
      </c>
      <c r="D1711" t="s">
        <v>14</v>
      </c>
      <c r="E1711" t="s">
        <v>12</v>
      </c>
      <c r="F1711">
        <v>4.5</v>
      </c>
      <c r="G1711">
        <v>70000</v>
      </c>
      <c r="H1711">
        <v>70000</v>
      </c>
      <c r="I1711">
        <f>FlipkartTable[[#This Row],[Original Price]]-FlipkartTable[[#This Row],[Selling Price]]</f>
        <v>0</v>
      </c>
      <c r="J1711" s="4">
        <f>(FlipkartTable[[#This Row],[Original Price]]-FlipkartTable[[#This Row],[Selling Price]])/FlipkartTable[[#This Row],[Original Price]]</f>
        <v>0</v>
      </c>
      <c r="K1711">
        <f>(FlipkartTable[[#This Row],[Rating]]/FlipkartTable[[#This Row],[Selling Price]])*1000</f>
        <v>6.4285714285714293E-2</v>
      </c>
      <c r="L1711" t="str">
        <f>IF(FlipkartTable[[#This Row],[Selling Price]]&lt;15000,"Budget",IF(FlipkartTable[[#This Row],[Selling Price]]&lt;50000,"Mid Range","Premium"))</f>
        <v>Premium</v>
      </c>
      <c r="M1711" t="str">
        <f>IF(FlipkartTable[[#This Row],[Rating]]&gt;4.5,"Excellent",IF(FlipkartTable[[#This Row],[Rating]]&gt;4,"Good",IF(FlipkartTable[[#This Row],[Rating]]&gt;3.5,"Average","Poor")))</f>
        <v>Good</v>
      </c>
    </row>
    <row r="1712" spans="1:13" x14ac:dyDescent="0.35">
      <c r="A1712" t="s">
        <v>663</v>
      </c>
      <c r="B1712" s="9" t="s">
        <v>751</v>
      </c>
      <c r="C1712" t="s">
        <v>19</v>
      </c>
      <c r="D1712" t="s">
        <v>806</v>
      </c>
      <c r="E1712" t="s">
        <v>539</v>
      </c>
      <c r="F1712">
        <v>4.0999999999999996</v>
      </c>
      <c r="G1712">
        <v>2699</v>
      </c>
      <c r="H1712">
        <v>3270</v>
      </c>
      <c r="I1712">
        <f>FlipkartTable[[#This Row],[Original Price]]-FlipkartTable[[#This Row],[Selling Price]]</f>
        <v>571</v>
      </c>
      <c r="J1712" s="4">
        <f>(FlipkartTable[[#This Row],[Original Price]]-FlipkartTable[[#This Row],[Selling Price]])/FlipkartTable[[#This Row],[Original Price]]</f>
        <v>0.1746177370030581</v>
      </c>
      <c r="K1712">
        <f>(FlipkartTable[[#This Row],[Rating]]/FlipkartTable[[#This Row],[Selling Price]])*1000</f>
        <v>1.5190811411633938</v>
      </c>
      <c r="L1712" t="str">
        <f>IF(FlipkartTable[[#This Row],[Selling Price]]&lt;15000,"Budget",IF(FlipkartTable[[#This Row],[Selling Price]]&lt;50000,"Mid Range","Premium"))</f>
        <v>Budget</v>
      </c>
      <c r="M1712" t="str">
        <f>IF(FlipkartTable[[#This Row],[Rating]]&gt;4.5,"Excellent",IF(FlipkartTable[[#This Row],[Rating]]&gt;4,"Good",IF(FlipkartTable[[#This Row],[Rating]]&gt;3.5,"Average","Poor")))</f>
        <v>Good</v>
      </c>
    </row>
    <row r="1713" spans="1:13" x14ac:dyDescent="0.35">
      <c r="A1713" t="s">
        <v>663</v>
      </c>
      <c r="B1713" s="9" t="s">
        <v>698</v>
      </c>
      <c r="C1713" t="s">
        <v>761</v>
      </c>
      <c r="D1713" t="s">
        <v>14</v>
      </c>
      <c r="E1713" t="s">
        <v>15</v>
      </c>
      <c r="F1713">
        <v>4.3</v>
      </c>
      <c r="G1713">
        <v>20999</v>
      </c>
      <c r="H1713">
        <v>25999</v>
      </c>
      <c r="I1713">
        <f>FlipkartTable[[#This Row],[Original Price]]-FlipkartTable[[#This Row],[Selling Price]]</f>
        <v>5000</v>
      </c>
      <c r="J1713" s="4">
        <f>(FlipkartTable[[#This Row],[Original Price]]-FlipkartTable[[#This Row],[Selling Price]])/FlipkartTable[[#This Row],[Original Price]]</f>
        <v>0.19231508904188624</v>
      </c>
      <c r="K1713">
        <f>(FlipkartTable[[#This Row],[Rating]]/FlipkartTable[[#This Row],[Selling Price]])*1000</f>
        <v>0.204771655793133</v>
      </c>
      <c r="L1713" t="str">
        <f>IF(FlipkartTable[[#This Row],[Selling Price]]&lt;15000,"Budget",IF(FlipkartTable[[#This Row],[Selling Price]]&lt;50000,"Mid Range","Premium"))</f>
        <v>Mid Range</v>
      </c>
      <c r="M1713" t="str">
        <f>IF(FlipkartTable[[#This Row],[Rating]]&gt;4.5,"Excellent",IF(FlipkartTable[[#This Row],[Rating]]&gt;4,"Good",IF(FlipkartTable[[#This Row],[Rating]]&gt;3.5,"Average","Poor")))</f>
        <v>Good</v>
      </c>
    </row>
    <row r="1714" spans="1:13" x14ac:dyDescent="0.35">
      <c r="A1714" t="s">
        <v>663</v>
      </c>
      <c r="B1714" s="9" t="s">
        <v>723</v>
      </c>
      <c r="C1714" t="s">
        <v>871</v>
      </c>
      <c r="D1714" t="s">
        <v>14</v>
      </c>
      <c r="E1714" t="s">
        <v>15</v>
      </c>
      <c r="F1714">
        <v>4.3</v>
      </c>
      <c r="G1714">
        <v>37999</v>
      </c>
      <c r="H1714">
        <v>43000</v>
      </c>
      <c r="I1714">
        <f>FlipkartTable[[#This Row],[Original Price]]-FlipkartTable[[#This Row],[Selling Price]]</f>
        <v>5001</v>
      </c>
      <c r="J1714" s="4">
        <f>(FlipkartTable[[#This Row],[Original Price]]-FlipkartTable[[#This Row],[Selling Price]])/FlipkartTable[[#This Row],[Original Price]]</f>
        <v>0.11630232558139535</v>
      </c>
      <c r="K1714">
        <f>(FlipkartTable[[#This Row],[Rating]]/FlipkartTable[[#This Row],[Selling Price]])*1000</f>
        <v>0.11316087265454354</v>
      </c>
      <c r="L1714" t="str">
        <f>IF(FlipkartTable[[#This Row],[Selling Price]]&lt;15000,"Budget",IF(FlipkartTable[[#This Row],[Selling Price]]&lt;50000,"Mid Range","Premium"))</f>
        <v>Mid Range</v>
      </c>
      <c r="M1714" t="str">
        <f>IF(FlipkartTable[[#This Row],[Rating]]&gt;4.5,"Excellent",IF(FlipkartTable[[#This Row],[Rating]]&gt;4,"Good",IF(FlipkartTable[[#This Row],[Rating]]&gt;3.5,"Average","Poor")))</f>
        <v>Good</v>
      </c>
    </row>
    <row r="1715" spans="1:13" x14ac:dyDescent="0.35">
      <c r="A1715" t="s">
        <v>663</v>
      </c>
      <c r="B1715" s="9" t="s">
        <v>872</v>
      </c>
      <c r="C1715" t="s">
        <v>152</v>
      </c>
      <c r="D1715" t="s">
        <v>134</v>
      </c>
      <c r="E1715" t="s">
        <v>27</v>
      </c>
      <c r="F1715">
        <v>3.7</v>
      </c>
      <c r="G1715">
        <v>7999</v>
      </c>
      <c r="H1715">
        <v>7999</v>
      </c>
      <c r="I1715">
        <f>FlipkartTable[[#This Row],[Original Price]]-FlipkartTable[[#This Row],[Selling Price]]</f>
        <v>0</v>
      </c>
      <c r="J1715" s="4">
        <f>(FlipkartTable[[#This Row],[Original Price]]-FlipkartTable[[#This Row],[Selling Price]])/FlipkartTable[[#This Row],[Original Price]]</f>
        <v>0</v>
      </c>
      <c r="K1715">
        <f>(FlipkartTable[[#This Row],[Rating]]/FlipkartTable[[#This Row],[Selling Price]])*1000</f>
        <v>0.46255781972746596</v>
      </c>
      <c r="L1715" t="str">
        <f>IF(FlipkartTable[[#This Row],[Selling Price]]&lt;15000,"Budget",IF(FlipkartTable[[#This Row],[Selling Price]]&lt;50000,"Mid Range","Premium"))</f>
        <v>Budget</v>
      </c>
      <c r="M1715" t="str">
        <f>IF(FlipkartTable[[#This Row],[Rating]]&gt;4.5,"Excellent",IF(FlipkartTable[[#This Row],[Rating]]&gt;4,"Good",IF(FlipkartTable[[#This Row],[Rating]]&gt;3.5,"Average","Poor")))</f>
        <v>Average</v>
      </c>
    </row>
    <row r="1716" spans="1:13" x14ac:dyDescent="0.35">
      <c r="A1716" t="s">
        <v>663</v>
      </c>
      <c r="B1716" s="9" t="s">
        <v>727</v>
      </c>
      <c r="C1716" t="s">
        <v>746</v>
      </c>
      <c r="D1716" t="s">
        <v>27</v>
      </c>
      <c r="E1716" t="s">
        <v>15</v>
      </c>
      <c r="F1716">
        <v>4.3</v>
      </c>
      <c r="G1716">
        <v>30500</v>
      </c>
      <c r="H1716">
        <v>33100</v>
      </c>
      <c r="I1716">
        <f>FlipkartTable[[#This Row],[Original Price]]-FlipkartTable[[#This Row],[Selling Price]]</f>
        <v>2600</v>
      </c>
      <c r="J1716" s="4">
        <f>(FlipkartTable[[#This Row],[Original Price]]-FlipkartTable[[#This Row],[Selling Price]])/FlipkartTable[[#This Row],[Original Price]]</f>
        <v>7.8549848942598186E-2</v>
      </c>
      <c r="K1716">
        <f>(FlipkartTable[[#This Row],[Rating]]/FlipkartTable[[#This Row],[Selling Price]])*1000</f>
        <v>0.14098360655737704</v>
      </c>
      <c r="L1716" t="str">
        <f>IF(FlipkartTable[[#This Row],[Selling Price]]&lt;15000,"Budget",IF(FlipkartTable[[#This Row],[Selling Price]]&lt;50000,"Mid Range","Premium"))</f>
        <v>Mid Range</v>
      </c>
      <c r="M1716" t="str">
        <f>IF(FlipkartTable[[#This Row],[Rating]]&gt;4.5,"Excellent",IF(FlipkartTable[[#This Row],[Rating]]&gt;4,"Good",IF(FlipkartTable[[#This Row],[Rating]]&gt;3.5,"Average","Poor")))</f>
        <v>Good</v>
      </c>
    </row>
    <row r="1717" spans="1:13" x14ac:dyDescent="0.35">
      <c r="A1717" t="s">
        <v>663</v>
      </c>
      <c r="B1717" s="9" t="s">
        <v>834</v>
      </c>
      <c r="C1717" t="s">
        <v>19</v>
      </c>
      <c r="D1717" t="s">
        <v>20</v>
      </c>
      <c r="E1717" t="s">
        <v>124</v>
      </c>
      <c r="F1717">
        <v>4.0999999999999996</v>
      </c>
      <c r="G1717">
        <v>20700</v>
      </c>
      <c r="H1717">
        <v>20700</v>
      </c>
      <c r="I1717">
        <f>FlipkartTable[[#This Row],[Original Price]]-FlipkartTable[[#This Row],[Selling Price]]</f>
        <v>0</v>
      </c>
      <c r="J1717" s="4">
        <f>(FlipkartTable[[#This Row],[Original Price]]-FlipkartTable[[#This Row],[Selling Price]])/FlipkartTable[[#This Row],[Original Price]]</f>
        <v>0</v>
      </c>
      <c r="K1717">
        <f>(FlipkartTable[[#This Row],[Rating]]/FlipkartTable[[#This Row],[Selling Price]])*1000</f>
        <v>0.19806763285024151</v>
      </c>
      <c r="L1717" t="str">
        <f>IF(FlipkartTable[[#This Row],[Selling Price]]&lt;15000,"Budget",IF(FlipkartTable[[#This Row],[Selling Price]]&lt;50000,"Mid Range","Premium"))</f>
        <v>Mid Range</v>
      </c>
      <c r="M1717" t="str">
        <f>IF(FlipkartTable[[#This Row],[Rating]]&gt;4.5,"Excellent",IF(FlipkartTable[[#This Row],[Rating]]&gt;4,"Good",IF(FlipkartTable[[#This Row],[Rating]]&gt;3.5,"Average","Poor")))</f>
        <v>Good</v>
      </c>
    </row>
    <row r="1718" spans="1:13" x14ac:dyDescent="0.35">
      <c r="A1718" t="s">
        <v>663</v>
      </c>
      <c r="B1718" s="9" t="s">
        <v>817</v>
      </c>
      <c r="C1718" t="s">
        <v>873</v>
      </c>
      <c r="D1718" t="s">
        <v>27</v>
      </c>
      <c r="E1718" t="s">
        <v>15</v>
      </c>
      <c r="F1718">
        <v>4.3</v>
      </c>
      <c r="G1718">
        <v>69999</v>
      </c>
      <c r="H1718">
        <v>83999</v>
      </c>
      <c r="I1718">
        <f>FlipkartTable[[#This Row],[Original Price]]-FlipkartTable[[#This Row],[Selling Price]]</f>
        <v>14000</v>
      </c>
      <c r="J1718" s="4">
        <f>(FlipkartTable[[#This Row],[Original Price]]-FlipkartTable[[#This Row],[Selling Price]])/FlipkartTable[[#This Row],[Original Price]]</f>
        <v>0.16666865081727164</v>
      </c>
      <c r="K1718">
        <f>(FlipkartTable[[#This Row],[Rating]]/FlipkartTable[[#This Row],[Selling Price]])*1000</f>
        <v>6.1429448992128453E-2</v>
      </c>
      <c r="L1718" t="str">
        <f>IF(FlipkartTable[[#This Row],[Selling Price]]&lt;15000,"Budget",IF(FlipkartTable[[#This Row],[Selling Price]]&lt;50000,"Mid Range","Premium"))</f>
        <v>Premium</v>
      </c>
      <c r="M1718" t="str">
        <f>IF(FlipkartTable[[#This Row],[Rating]]&gt;4.5,"Excellent",IF(FlipkartTable[[#This Row],[Rating]]&gt;4,"Good",IF(FlipkartTable[[#This Row],[Rating]]&gt;3.5,"Average","Poor")))</f>
        <v>Good</v>
      </c>
    </row>
    <row r="1719" spans="1:13" x14ac:dyDescent="0.35">
      <c r="A1719" t="s">
        <v>663</v>
      </c>
      <c r="B1719" s="9" t="s">
        <v>738</v>
      </c>
      <c r="C1719" t="s">
        <v>68</v>
      </c>
      <c r="D1719" t="s">
        <v>14</v>
      </c>
      <c r="E1719" t="s">
        <v>15</v>
      </c>
      <c r="F1719">
        <v>4.5</v>
      </c>
      <c r="G1719">
        <v>68900</v>
      </c>
      <c r="H1719">
        <v>68900</v>
      </c>
      <c r="I1719">
        <f>FlipkartTable[[#This Row],[Original Price]]-FlipkartTable[[#This Row],[Selling Price]]</f>
        <v>0</v>
      </c>
      <c r="J1719" s="4">
        <f>(FlipkartTable[[#This Row],[Original Price]]-FlipkartTable[[#This Row],[Selling Price]])/FlipkartTable[[#This Row],[Original Price]]</f>
        <v>0</v>
      </c>
      <c r="K1719">
        <f>(FlipkartTable[[#This Row],[Rating]]/FlipkartTable[[#This Row],[Selling Price]])*1000</f>
        <v>6.5312046444121918E-2</v>
      </c>
      <c r="L1719" t="str">
        <f>IF(FlipkartTable[[#This Row],[Selling Price]]&lt;15000,"Budget",IF(FlipkartTable[[#This Row],[Selling Price]]&lt;50000,"Mid Range","Premium"))</f>
        <v>Premium</v>
      </c>
      <c r="M1719" t="str">
        <f>IF(FlipkartTable[[#This Row],[Rating]]&gt;4.5,"Excellent",IF(FlipkartTable[[#This Row],[Rating]]&gt;4,"Good",IF(FlipkartTable[[#This Row],[Rating]]&gt;3.5,"Average","Poor")))</f>
        <v>Good</v>
      </c>
    </row>
    <row r="1720" spans="1:13" x14ac:dyDescent="0.35">
      <c r="A1720" t="s">
        <v>663</v>
      </c>
      <c r="B1720" s="9" t="s">
        <v>874</v>
      </c>
      <c r="C1720" t="s">
        <v>19</v>
      </c>
      <c r="D1720" t="s">
        <v>554</v>
      </c>
      <c r="E1720" t="s">
        <v>539</v>
      </c>
      <c r="F1720">
        <v>4.2</v>
      </c>
      <c r="G1720">
        <v>2849</v>
      </c>
      <c r="H1720">
        <v>2849</v>
      </c>
      <c r="I1720">
        <f>FlipkartTable[[#This Row],[Original Price]]-FlipkartTable[[#This Row],[Selling Price]]</f>
        <v>0</v>
      </c>
      <c r="J1720" s="4">
        <f>(FlipkartTable[[#This Row],[Original Price]]-FlipkartTable[[#This Row],[Selling Price]])/FlipkartTable[[#This Row],[Original Price]]</f>
        <v>0</v>
      </c>
      <c r="K1720">
        <f>(FlipkartTable[[#This Row],[Rating]]/FlipkartTable[[#This Row],[Selling Price]])*1000</f>
        <v>1.4742014742014742</v>
      </c>
      <c r="L1720" t="str">
        <f>IF(FlipkartTable[[#This Row],[Selling Price]]&lt;15000,"Budget",IF(FlipkartTable[[#This Row],[Selling Price]]&lt;50000,"Mid Range","Premium"))</f>
        <v>Budget</v>
      </c>
      <c r="M1720" t="str">
        <f>IF(FlipkartTable[[#This Row],[Rating]]&gt;4.5,"Excellent",IF(FlipkartTable[[#This Row],[Rating]]&gt;4,"Good",IF(FlipkartTable[[#This Row],[Rating]]&gt;3.5,"Average","Poor")))</f>
        <v>Good</v>
      </c>
    </row>
    <row r="1721" spans="1:13" x14ac:dyDescent="0.35">
      <c r="A1721" t="s">
        <v>663</v>
      </c>
      <c r="B1721" s="9" t="s">
        <v>711</v>
      </c>
      <c r="C1721" t="s">
        <v>719</v>
      </c>
      <c r="D1721" t="s">
        <v>14</v>
      </c>
      <c r="E1721" t="s">
        <v>15</v>
      </c>
      <c r="F1721">
        <v>4.3</v>
      </c>
      <c r="G1721">
        <v>27499</v>
      </c>
      <c r="H1721">
        <v>30499</v>
      </c>
      <c r="I1721">
        <f>FlipkartTable[[#This Row],[Original Price]]-FlipkartTable[[#This Row],[Selling Price]]</f>
        <v>3000</v>
      </c>
      <c r="J1721" s="4">
        <f>(FlipkartTable[[#This Row],[Original Price]]-FlipkartTable[[#This Row],[Selling Price]])/FlipkartTable[[#This Row],[Original Price]]</f>
        <v>9.836388078297649E-2</v>
      </c>
      <c r="K1721">
        <f>(FlipkartTable[[#This Row],[Rating]]/FlipkartTable[[#This Row],[Selling Price]])*1000</f>
        <v>0.15636932252081892</v>
      </c>
      <c r="L1721" t="str">
        <f>IF(FlipkartTable[[#This Row],[Selling Price]]&lt;15000,"Budget",IF(FlipkartTable[[#This Row],[Selling Price]]&lt;50000,"Mid Range","Premium"))</f>
        <v>Mid Range</v>
      </c>
      <c r="M1721" t="str">
        <f>IF(FlipkartTable[[#This Row],[Rating]]&gt;4.5,"Excellent",IF(FlipkartTable[[#This Row],[Rating]]&gt;4,"Good",IF(FlipkartTable[[#This Row],[Rating]]&gt;3.5,"Average","Poor")))</f>
        <v>Good</v>
      </c>
    </row>
    <row r="1722" spans="1:13" x14ac:dyDescent="0.35">
      <c r="A1722" t="s">
        <v>663</v>
      </c>
      <c r="B1722" s="9" t="s">
        <v>875</v>
      </c>
      <c r="C1722" t="s">
        <v>19</v>
      </c>
      <c r="D1722" t="s">
        <v>35</v>
      </c>
      <c r="E1722" t="s">
        <v>124</v>
      </c>
      <c r="F1722">
        <v>4.3</v>
      </c>
      <c r="G1722">
        <v>16200</v>
      </c>
      <c r="H1722">
        <v>16200</v>
      </c>
      <c r="I1722">
        <f>FlipkartTable[[#This Row],[Original Price]]-FlipkartTable[[#This Row],[Selling Price]]</f>
        <v>0</v>
      </c>
      <c r="J1722" s="4">
        <f>(FlipkartTable[[#This Row],[Original Price]]-FlipkartTable[[#This Row],[Selling Price]])/FlipkartTable[[#This Row],[Original Price]]</f>
        <v>0</v>
      </c>
      <c r="K1722">
        <f>(FlipkartTable[[#This Row],[Rating]]/FlipkartTable[[#This Row],[Selling Price]])*1000</f>
        <v>0.26543209876543211</v>
      </c>
      <c r="L1722" t="str">
        <f>IF(FlipkartTable[[#This Row],[Selling Price]]&lt;15000,"Budget",IF(FlipkartTable[[#This Row],[Selling Price]]&lt;50000,"Mid Range","Premium"))</f>
        <v>Mid Range</v>
      </c>
      <c r="M1722" t="str">
        <f>IF(FlipkartTable[[#This Row],[Rating]]&gt;4.5,"Excellent",IF(FlipkartTable[[#This Row],[Rating]]&gt;4,"Good",IF(FlipkartTable[[#This Row],[Rating]]&gt;3.5,"Average","Poor")))</f>
        <v>Good</v>
      </c>
    </row>
    <row r="1723" spans="1:13" x14ac:dyDescent="0.35">
      <c r="A1723" t="s">
        <v>663</v>
      </c>
      <c r="B1723" s="9" t="s">
        <v>842</v>
      </c>
      <c r="C1723" t="s">
        <v>19</v>
      </c>
      <c r="D1723" t="s">
        <v>295</v>
      </c>
      <c r="E1723" t="s">
        <v>11</v>
      </c>
      <c r="F1723">
        <v>3.5</v>
      </c>
      <c r="G1723">
        <v>3990</v>
      </c>
      <c r="H1723">
        <v>3990</v>
      </c>
      <c r="I1723">
        <f>FlipkartTable[[#This Row],[Original Price]]-FlipkartTable[[#This Row],[Selling Price]]</f>
        <v>0</v>
      </c>
      <c r="J1723" s="4">
        <f>(FlipkartTable[[#This Row],[Original Price]]-FlipkartTable[[#This Row],[Selling Price]])/FlipkartTable[[#This Row],[Original Price]]</f>
        <v>0</v>
      </c>
      <c r="K1723">
        <f>(FlipkartTable[[#This Row],[Rating]]/FlipkartTable[[#This Row],[Selling Price]])*1000</f>
        <v>0.87719298245614041</v>
      </c>
      <c r="L1723" t="str">
        <f>IF(FlipkartTable[[#This Row],[Selling Price]]&lt;15000,"Budget",IF(FlipkartTable[[#This Row],[Selling Price]]&lt;50000,"Mid Range","Premium"))</f>
        <v>Budget</v>
      </c>
      <c r="M1723" t="str">
        <f>IF(FlipkartTable[[#This Row],[Rating]]&gt;4.5,"Excellent",IF(FlipkartTable[[#This Row],[Rating]]&gt;4,"Good",IF(FlipkartTable[[#This Row],[Rating]]&gt;3.5,"Average","Poor")))</f>
        <v>Poor</v>
      </c>
    </row>
    <row r="1724" spans="1:13" x14ac:dyDescent="0.35">
      <c r="A1724" t="s">
        <v>663</v>
      </c>
      <c r="B1724" s="9" t="s">
        <v>833</v>
      </c>
      <c r="C1724" t="s">
        <v>68</v>
      </c>
      <c r="D1724" t="s">
        <v>11</v>
      </c>
      <c r="E1724" t="s">
        <v>15</v>
      </c>
      <c r="F1724">
        <v>4.4000000000000004</v>
      </c>
      <c r="G1724">
        <v>61900</v>
      </c>
      <c r="H1724">
        <v>61900</v>
      </c>
      <c r="I1724">
        <f>FlipkartTable[[#This Row],[Original Price]]-FlipkartTable[[#This Row],[Selling Price]]</f>
        <v>0</v>
      </c>
      <c r="J1724" s="4">
        <f>(FlipkartTable[[#This Row],[Original Price]]-FlipkartTable[[#This Row],[Selling Price]])/FlipkartTable[[#This Row],[Original Price]]</f>
        <v>0</v>
      </c>
      <c r="K1724">
        <f>(FlipkartTable[[#This Row],[Rating]]/FlipkartTable[[#This Row],[Selling Price]])*1000</f>
        <v>7.1082390953150248E-2</v>
      </c>
      <c r="L1724" t="str">
        <f>IF(FlipkartTable[[#This Row],[Selling Price]]&lt;15000,"Budget",IF(FlipkartTable[[#This Row],[Selling Price]]&lt;50000,"Mid Range","Premium"))</f>
        <v>Premium</v>
      </c>
      <c r="M1724" t="str">
        <f>IF(FlipkartTable[[#This Row],[Rating]]&gt;4.5,"Excellent",IF(FlipkartTable[[#This Row],[Rating]]&gt;4,"Good",IF(FlipkartTable[[#This Row],[Rating]]&gt;3.5,"Average","Poor")))</f>
        <v>Good</v>
      </c>
    </row>
    <row r="1725" spans="1:13" x14ac:dyDescent="0.35">
      <c r="A1725" t="s">
        <v>663</v>
      </c>
      <c r="B1725" s="9" t="s">
        <v>738</v>
      </c>
      <c r="C1725" t="s">
        <v>868</v>
      </c>
      <c r="D1725" t="s">
        <v>14</v>
      </c>
      <c r="E1725" t="s">
        <v>12</v>
      </c>
      <c r="F1725">
        <v>4.5</v>
      </c>
      <c r="G1725">
        <v>70000</v>
      </c>
      <c r="H1725">
        <v>70000</v>
      </c>
      <c r="I1725">
        <f>FlipkartTable[[#This Row],[Original Price]]-FlipkartTable[[#This Row],[Selling Price]]</f>
        <v>0</v>
      </c>
      <c r="J1725" s="4">
        <f>(FlipkartTable[[#This Row],[Original Price]]-FlipkartTable[[#This Row],[Selling Price]])/FlipkartTable[[#This Row],[Original Price]]</f>
        <v>0</v>
      </c>
      <c r="K1725">
        <f>(FlipkartTable[[#This Row],[Rating]]/FlipkartTable[[#This Row],[Selling Price]])*1000</f>
        <v>6.4285714285714293E-2</v>
      </c>
      <c r="L1725" t="str">
        <f>IF(FlipkartTable[[#This Row],[Selling Price]]&lt;15000,"Budget",IF(FlipkartTable[[#This Row],[Selling Price]]&lt;50000,"Mid Range","Premium"))</f>
        <v>Premium</v>
      </c>
      <c r="M1725" t="str">
        <f>IF(FlipkartTable[[#This Row],[Rating]]&gt;4.5,"Excellent",IF(FlipkartTable[[#This Row],[Rating]]&gt;4,"Good",IF(FlipkartTable[[#This Row],[Rating]]&gt;3.5,"Average","Poor")))</f>
        <v>Good</v>
      </c>
    </row>
    <row r="1726" spans="1:13" x14ac:dyDescent="0.35">
      <c r="A1726" t="s">
        <v>663</v>
      </c>
      <c r="B1726" s="9" t="s">
        <v>876</v>
      </c>
      <c r="C1726" t="s">
        <v>877</v>
      </c>
      <c r="D1726" t="s">
        <v>14</v>
      </c>
      <c r="E1726" t="s">
        <v>12</v>
      </c>
      <c r="F1726">
        <v>4.5999999999999996</v>
      </c>
      <c r="G1726">
        <v>49999</v>
      </c>
      <c r="H1726">
        <v>49999</v>
      </c>
      <c r="I1726">
        <f>FlipkartTable[[#This Row],[Original Price]]-FlipkartTable[[#This Row],[Selling Price]]</f>
        <v>0</v>
      </c>
      <c r="J1726" s="4">
        <f>(FlipkartTable[[#This Row],[Original Price]]-FlipkartTable[[#This Row],[Selling Price]])/FlipkartTable[[#This Row],[Original Price]]</f>
        <v>0</v>
      </c>
      <c r="K1726">
        <f>(FlipkartTable[[#This Row],[Rating]]/FlipkartTable[[#This Row],[Selling Price]])*1000</f>
        <v>9.2001840036800731E-2</v>
      </c>
      <c r="L1726" t="str">
        <f>IF(FlipkartTable[[#This Row],[Selling Price]]&lt;15000,"Budget",IF(FlipkartTable[[#This Row],[Selling Price]]&lt;50000,"Mid Range","Premium"))</f>
        <v>Mid Range</v>
      </c>
      <c r="M1726" t="str">
        <f>IF(FlipkartTable[[#This Row],[Rating]]&gt;4.5,"Excellent",IF(FlipkartTable[[#This Row],[Rating]]&gt;4,"Good",IF(FlipkartTable[[#This Row],[Rating]]&gt;3.5,"Average","Poor")))</f>
        <v>Excellent</v>
      </c>
    </row>
    <row r="1727" spans="1:13" x14ac:dyDescent="0.35">
      <c r="A1727" t="s">
        <v>663</v>
      </c>
      <c r="B1727" s="9" t="s">
        <v>878</v>
      </c>
      <c r="C1727" t="s">
        <v>879</v>
      </c>
      <c r="D1727" t="s">
        <v>20</v>
      </c>
      <c r="E1727" t="s">
        <v>21</v>
      </c>
      <c r="F1727">
        <v>4.0999999999999996</v>
      </c>
      <c r="G1727">
        <v>22900</v>
      </c>
      <c r="H1727">
        <v>22900</v>
      </c>
      <c r="I1727">
        <f>FlipkartTable[[#This Row],[Original Price]]-FlipkartTable[[#This Row],[Selling Price]]</f>
        <v>0</v>
      </c>
      <c r="J1727" s="4">
        <f>(FlipkartTable[[#This Row],[Original Price]]-FlipkartTable[[#This Row],[Selling Price]])/FlipkartTable[[#This Row],[Original Price]]</f>
        <v>0</v>
      </c>
      <c r="K1727">
        <f>(FlipkartTable[[#This Row],[Rating]]/FlipkartTable[[#This Row],[Selling Price]])*1000</f>
        <v>0.17903930131004364</v>
      </c>
      <c r="L1727" t="str">
        <f>IF(FlipkartTable[[#This Row],[Selling Price]]&lt;15000,"Budget",IF(FlipkartTable[[#This Row],[Selling Price]]&lt;50000,"Mid Range","Premium"))</f>
        <v>Mid Range</v>
      </c>
      <c r="M1727" t="str">
        <f>IF(FlipkartTable[[#This Row],[Rating]]&gt;4.5,"Excellent",IF(FlipkartTable[[#This Row],[Rating]]&gt;4,"Good",IF(FlipkartTable[[#This Row],[Rating]]&gt;3.5,"Average","Poor")))</f>
        <v>Good</v>
      </c>
    </row>
    <row r="1728" spans="1:13" x14ac:dyDescent="0.35">
      <c r="A1728" t="s">
        <v>663</v>
      </c>
      <c r="B1728" s="9" t="s">
        <v>880</v>
      </c>
      <c r="C1728" t="s">
        <v>116</v>
      </c>
      <c r="D1728" t="s">
        <v>134</v>
      </c>
      <c r="E1728" t="s">
        <v>27</v>
      </c>
      <c r="F1728">
        <v>3.3</v>
      </c>
      <c r="G1728">
        <v>6990</v>
      </c>
      <c r="H1728">
        <v>6990</v>
      </c>
      <c r="I1728">
        <f>FlipkartTable[[#This Row],[Original Price]]-FlipkartTable[[#This Row],[Selling Price]]</f>
        <v>0</v>
      </c>
      <c r="J1728" s="4">
        <f>(FlipkartTable[[#This Row],[Original Price]]-FlipkartTable[[#This Row],[Selling Price]])/FlipkartTable[[#This Row],[Original Price]]</f>
        <v>0</v>
      </c>
      <c r="K1728">
        <f>(FlipkartTable[[#This Row],[Rating]]/FlipkartTable[[#This Row],[Selling Price]])*1000</f>
        <v>0.47210300429184543</v>
      </c>
      <c r="L1728" t="str">
        <f>IF(FlipkartTable[[#This Row],[Selling Price]]&lt;15000,"Budget",IF(FlipkartTable[[#This Row],[Selling Price]]&lt;50000,"Mid Range","Premium"))</f>
        <v>Budget</v>
      </c>
      <c r="M1728" t="str">
        <f>IF(FlipkartTable[[#This Row],[Rating]]&gt;4.5,"Excellent",IF(FlipkartTable[[#This Row],[Rating]]&gt;4,"Good",IF(FlipkartTable[[#This Row],[Rating]]&gt;3.5,"Average","Poor")))</f>
        <v>Poor</v>
      </c>
    </row>
    <row r="1729" spans="1:13" x14ac:dyDescent="0.35">
      <c r="A1729" t="s">
        <v>663</v>
      </c>
      <c r="B1729" s="9" t="s">
        <v>804</v>
      </c>
      <c r="C1729" t="s">
        <v>22</v>
      </c>
      <c r="D1729" t="s">
        <v>35</v>
      </c>
      <c r="E1729" t="s">
        <v>21</v>
      </c>
      <c r="F1729">
        <v>4.3</v>
      </c>
      <c r="G1729">
        <v>9000</v>
      </c>
      <c r="H1729">
        <v>9000</v>
      </c>
      <c r="I1729">
        <f>FlipkartTable[[#This Row],[Original Price]]-FlipkartTable[[#This Row],[Selling Price]]</f>
        <v>0</v>
      </c>
      <c r="J1729" s="4">
        <f>(FlipkartTable[[#This Row],[Original Price]]-FlipkartTable[[#This Row],[Selling Price]])/FlipkartTable[[#This Row],[Original Price]]</f>
        <v>0</v>
      </c>
      <c r="K1729">
        <f>(FlipkartTable[[#This Row],[Rating]]/FlipkartTable[[#This Row],[Selling Price]])*1000</f>
        <v>0.47777777777777775</v>
      </c>
      <c r="L1729" t="str">
        <f>IF(FlipkartTable[[#This Row],[Selling Price]]&lt;15000,"Budget",IF(FlipkartTable[[#This Row],[Selling Price]]&lt;50000,"Mid Range","Premium"))</f>
        <v>Budget</v>
      </c>
      <c r="M1729" t="str">
        <f>IF(FlipkartTable[[#This Row],[Rating]]&gt;4.5,"Excellent",IF(FlipkartTable[[#This Row],[Rating]]&gt;4,"Good",IF(FlipkartTable[[#This Row],[Rating]]&gt;3.5,"Average","Poor")))</f>
        <v>Good</v>
      </c>
    </row>
    <row r="1730" spans="1:13" x14ac:dyDescent="0.35">
      <c r="A1730" t="s">
        <v>663</v>
      </c>
      <c r="B1730" s="9" t="s">
        <v>790</v>
      </c>
      <c r="C1730" t="s">
        <v>859</v>
      </c>
      <c r="D1730" t="s">
        <v>27</v>
      </c>
      <c r="E1730" t="s">
        <v>15</v>
      </c>
      <c r="F1730">
        <v>4.5999999999999996</v>
      </c>
      <c r="G1730">
        <v>59900</v>
      </c>
      <c r="H1730">
        <v>59900</v>
      </c>
      <c r="I1730">
        <f>FlipkartTable[[#This Row],[Original Price]]-FlipkartTable[[#This Row],[Selling Price]]</f>
        <v>0</v>
      </c>
      <c r="J1730" s="4">
        <f>(FlipkartTable[[#This Row],[Original Price]]-FlipkartTable[[#This Row],[Selling Price]])/FlipkartTable[[#This Row],[Original Price]]</f>
        <v>0</v>
      </c>
      <c r="K1730">
        <f>(FlipkartTable[[#This Row],[Rating]]/FlipkartTable[[#This Row],[Selling Price]])*1000</f>
        <v>7.6794657762938229E-2</v>
      </c>
      <c r="L1730" t="str">
        <f>IF(FlipkartTable[[#This Row],[Selling Price]]&lt;15000,"Budget",IF(FlipkartTable[[#This Row],[Selling Price]]&lt;50000,"Mid Range","Premium"))</f>
        <v>Premium</v>
      </c>
      <c r="M1730" t="str">
        <f>IF(FlipkartTable[[#This Row],[Rating]]&gt;4.5,"Excellent",IF(FlipkartTable[[#This Row],[Rating]]&gt;4,"Good",IF(FlipkartTable[[#This Row],[Rating]]&gt;3.5,"Average","Poor")))</f>
        <v>Excellent</v>
      </c>
    </row>
    <row r="1731" spans="1:13" x14ac:dyDescent="0.35">
      <c r="A1731" t="s">
        <v>663</v>
      </c>
      <c r="B1731" s="9" t="s">
        <v>881</v>
      </c>
      <c r="C1731" t="s">
        <v>19</v>
      </c>
      <c r="D1731" t="s">
        <v>20</v>
      </c>
      <c r="E1731" t="s">
        <v>124</v>
      </c>
      <c r="F1731">
        <v>4.3</v>
      </c>
      <c r="G1731">
        <v>11200</v>
      </c>
      <c r="H1731">
        <v>11200</v>
      </c>
      <c r="I1731">
        <f>FlipkartTable[[#This Row],[Original Price]]-FlipkartTable[[#This Row],[Selling Price]]</f>
        <v>0</v>
      </c>
      <c r="J1731" s="4">
        <f>(FlipkartTable[[#This Row],[Original Price]]-FlipkartTable[[#This Row],[Selling Price]])/FlipkartTable[[#This Row],[Original Price]]</f>
        <v>0</v>
      </c>
      <c r="K1731">
        <f>(FlipkartTable[[#This Row],[Rating]]/FlipkartTable[[#This Row],[Selling Price]])*1000</f>
        <v>0.3839285714285714</v>
      </c>
      <c r="L1731" t="str">
        <f>IF(FlipkartTable[[#This Row],[Selling Price]]&lt;15000,"Budget",IF(FlipkartTable[[#This Row],[Selling Price]]&lt;50000,"Mid Range","Premium"))</f>
        <v>Budget</v>
      </c>
      <c r="M1731" t="str">
        <f>IF(FlipkartTable[[#This Row],[Rating]]&gt;4.5,"Excellent",IF(FlipkartTable[[#This Row],[Rating]]&gt;4,"Good",IF(FlipkartTable[[#This Row],[Rating]]&gt;3.5,"Average","Poor")))</f>
        <v>Good</v>
      </c>
    </row>
    <row r="1732" spans="1:13" x14ac:dyDescent="0.35">
      <c r="A1732" t="s">
        <v>663</v>
      </c>
      <c r="B1732" s="9" t="s">
        <v>882</v>
      </c>
      <c r="C1732" t="s">
        <v>883</v>
      </c>
      <c r="D1732" t="s">
        <v>11</v>
      </c>
      <c r="E1732" t="s">
        <v>15</v>
      </c>
      <c r="F1732">
        <v>4.3</v>
      </c>
      <c r="G1732">
        <v>16999</v>
      </c>
      <c r="H1732">
        <v>16999</v>
      </c>
      <c r="I1732">
        <f>FlipkartTable[[#This Row],[Original Price]]-FlipkartTable[[#This Row],[Selling Price]]</f>
        <v>0</v>
      </c>
      <c r="J1732" s="4">
        <f>(FlipkartTable[[#This Row],[Original Price]]-FlipkartTable[[#This Row],[Selling Price]])/FlipkartTable[[#This Row],[Original Price]]</f>
        <v>0</v>
      </c>
      <c r="K1732">
        <f>(FlipkartTable[[#This Row],[Rating]]/FlipkartTable[[#This Row],[Selling Price]])*1000</f>
        <v>0.25295605623860223</v>
      </c>
      <c r="L1732" t="str">
        <f>IF(FlipkartTable[[#This Row],[Selling Price]]&lt;15000,"Budget",IF(FlipkartTable[[#This Row],[Selling Price]]&lt;50000,"Mid Range","Premium"))</f>
        <v>Mid Range</v>
      </c>
      <c r="M1732" t="str">
        <f>IF(FlipkartTable[[#This Row],[Rating]]&gt;4.5,"Excellent",IF(FlipkartTable[[#This Row],[Rating]]&gt;4,"Good",IF(FlipkartTable[[#This Row],[Rating]]&gt;3.5,"Average","Poor")))</f>
        <v>Good</v>
      </c>
    </row>
    <row r="1733" spans="1:13" x14ac:dyDescent="0.35">
      <c r="A1733" t="s">
        <v>663</v>
      </c>
      <c r="B1733" s="9" t="s">
        <v>738</v>
      </c>
      <c r="C1733" t="s">
        <v>884</v>
      </c>
      <c r="D1733" t="s">
        <v>14</v>
      </c>
      <c r="E1733" t="s">
        <v>15</v>
      </c>
      <c r="F1733">
        <v>4.5</v>
      </c>
      <c r="G1733">
        <v>68900</v>
      </c>
      <c r="H1733">
        <v>68900</v>
      </c>
      <c r="I1733">
        <f>FlipkartTable[[#This Row],[Original Price]]-FlipkartTable[[#This Row],[Selling Price]]</f>
        <v>0</v>
      </c>
      <c r="J1733" s="4">
        <f>(FlipkartTable[[#This Row],[Original Price]]-FlipkartTable[[#This Row],[Selling Price]])/FlipkartTable[[#This Row],[Original Price]]</f>
        <v>0</v>
      </c>
      <c r="K1733">
        <f>(FlipkartTable[[#This Row],[Rating]]/FlipkartTable[[#This Row],[Selling Price]])*1000</f>
        <v>6.5312046444121918E-2</v>
      </c>
      <c r="L1733" t="str">
        <f>IF(FlipkartTable[[#This Row],[Selling Price]]&lt;15000,"Budget",IF(FlipkartTable[[#This Row],[Selling Price]]&lt;50000,"Mid Range","Premium"))</f>
        <v>Premium</v>
      </c>
      <c r="M1733" t="str">
        <f>IF(FlipkartTable[[#This Row],[Rating]]&gt;4.5,"Excellent",IF(FlipkartTable[[#This Row],[Rating]]&gt;4,"Good",IF(FlipkartTable[[#This Row],[Rating]]&gt;3.5,"Average","Poor")))</f>
        <v>Good</v>
      </c>
    </row>
    <row r="1734" spans="1:13" x14ac:dyDescent="0.35">
      <c r="A1734" t="s">
        <v>663</v>
      </c>
      <c r="B1734" s="9" t="s">
        <v>821</v>
      </c>
      <c r="C1734" t="s">
        <v>22</v>
      </c>
      <c r="D1734" t="s">
        <v>11</v>
      </c>
      <c r="E1734" t="s">
        <v>12</v>
      </c>
      <c r="F1734">
        <v>4.4000000000000004</v>
      </c>
      <c r="G1734">
        <v>19990</v>
      </c>
      <c r="H1734">
        <v>19990</v>
      </c>
      <c r="I1734">
        <f>FlipkartTable[[#This Row],[Original Price]]-FlipkartTable[[#This Row],[Selling Price]]</f>
        <v>0</v>
      </c>
      <c r="J1734" s="4">
        <f>(FlipkartTable[[#This Row],[Original Price]]-FlipkartTable[[#This Row],[Selling Price]])/FlipkartTable[[#This Row],[Original Price]]</f>
        <v>0</v>
      </c>
      <c r="K1734">
        <f>(FlipkartTable[[#This Row],[Rating]]/FlipkartTable[[#This Row],[Selling Price]])*1000</f>
        <v>0.22011005502751377</v>
      </c>
      <c r="L1734" t="str">
        <f>IF(FlipkartTable[[#This Row],[Selling Price]]&lt;15000,"Budget",IF(FlipkartTable[[#This Row],[Selling Price]]&lt;50000,"Mid Range","Premium"))</f>
        <v>Mid Range</v>
      </c>
      <c r="M1734" t="str">
        <f>IF(FlipkartTable[[#This Row],[Rating]]&gt;4.5,"Excellent",IF(FlipkartTable[[#This Row],[Rating]]&gt;4,"Good",IF(FlipkartTable[[#This Row],[Rating]]&gt;3.5,"Average","Poor")))</f>
        <v>Good</v>
      </c>
    </row>
    <row r="1735" spans="1:13" x14ac:dyDescent="0.35">
      <c r="A1735" t="s">
        <v>663</v>
      </c>
      <c r="B1735" s="9" t="s">
        <v>846</v>
      </c>
      <c r="C1735" t="s">
        <v>885</v>
      </c>
      <c r="D1735" t="s">
        <v>11</v>
      </c>
      <c r="E1735" t="s">
        <v>21</v>
      </c>
      <c r="F1735">
        <v>4.0999999999999996</v>
      </c>
      <c r="G1735">
        <v>46300</v>
      </c>
      <c r="H1735">
        <v>46300</v>
      </c>
      <c r="I1735">
        <f>FlipkartTable[[#This Row],[Original Price]]-FlipkartTable[[#This Row],[Selling Price]]</f>
        <v>0</v>
      </c>
      <c r="J1735" s="4">
        <f>(FlipkartTable[[#This Row],[Original Price]]-FlipkartTable[[#This Row],[Selling Price]])/FlipkartTable[[#This Row],[Original Price]]</f>
        <v>0</v>
      </c>
      <c r="K1735">
        <f>(FlipkartTable[[#This Row],[Rating]]/FlipkartTable[[#This Row],[Selling Price]])*1000</f>
        <v>8.8552915766738641E-2</v>
      </c>
      <c r="L1735" t="str">
        <f>IF(FlipkartTable[[#This Row],[Selling Price]]&lt;15000,"Budget",IF(FlipkartTable[[#This Row],[Selling Price]]&lt;50000,"Mid Range","Premium"))</f>
        <v>Mid Range</v>
      </c>
      <c r="M1735" t="str">
        <f>IF(FlipkartTable[[#This Row],[Rating]]&gt;4.5,"Excellent",IF(FlipkartTable[[#This Row],[Rating]]&gt;4,"Good",IF(FlipkartTable[[#This Row],[Rating]]&gt;3.5,"Average","Poor")))</f>
        <v>Good</v>
      </c>
    </row>
    <row r="1736" spans="1:13" x14ac:dyDescent="0.35">
      <c r="A1736" t="s">
        <v>663</v>
      </c>
      <c r="B1736" s="9" t="s">
        <v>763</v>
      </c>
      <c r="C1736" t="s">
        <v>22</v>
      </c>
      <c r="D1736" t="s">
        <v>35</v>
      </c>
      <c r="E1736" t="s">
        <v>21</v>
      </c>
      <c r="F1736">
        <v>4.4000000000000004</v>
      </c>
      <c r="G1736">
        <v>10000</v>
      </c>
      <c r="H1736">
        <v>10000</v>
      </c>
      <c r="I1736">
        <f>FlipkartTable[[#This Row],[Original Price]]-FlipkartTable[[#This Row],[Selling Price]]</f>
        <v>0</v>
      </c>
      <c r="J1736" s="4">
        <f>(FlipkartTable[[#This Row],[Original Price]]-FlipkartTable[[#This Row],[Selling Price]])/FlipkartTable[[#This Row],[Original Price]]</f>
        <v>0</v>
      </c>
      <c r="K1736">
        <f>(FlipkartTable[[#This Row],[Rating]]/FlipkartTable[[#This Row],[Selling Price]])*1000</f>
        <v>0.44</v>
      </c>
      <c r="L1736" t="str">
        <f>IF(FlipkartTable[[#This Row],[Selling Price]]&lt;15000,"Budget",IF(FlipkartTable[[#This Row],[Selling Price]]&lt;50000,"Mid Range","Premium"))</f>
        <v>Budget</v>
      </c>
      <c r="M1736" t="str">
        <f>IF(FlipkartTable[[#This Row],[Rating]]&gt;4.5,"Excellent",IF(FlipkartTable[[#This Row],[Rating]]&gt;4,"Good",IF(FlipkartTable[[#This Row],[Rating]]&gt;3.5,"Average","Poor")))</f>
        <v>Good</v>
      </c>
    </row>
    <row r="1737" spans="1:13" x14ac:dyDescent="0.35">
      <c r="A1737" t="s">
        <v>663</v>
      </c>
      <c r="B1737" s="9" t="s">
        <v>886</v>
      </c>
      <c r="C1737" t="s">
        <v>170</v>
      </c>
      <c r="D1737" t="s">
        <v>284</v>
      </c>
      <c r="E1737" t="s">
        <v>27</v>
      </c>
      <c r="F1737">
        <v>4.0999999999999996</v>
      </c>
      <c r="G1737">
        <v>8090</v>
      </c>
      <c r="H1737">
        <v>8090</v>
      </c>
      <c r="I1737">
        <f>FlipkartTable[[#This Row],[Original Price]]-FlipkartTable[[#This Row],[Selling Price]]</f>
        <v>0</v>
      </c>
      <c r="J1737" s="4">
        <f>(FlipkartTable[[#This Row],[Original Price]]-FlipkartTable[[#This Row],[Selling Price]])/FlipkartTable[[#This Row],[Original Price]]</f>
        <v>0</v>
      </c>
      <c r="K1737">
        <f>(FlipkartTable[[#This Row],[Rating]]/FlipkartTable[[#This Row],[Selling Price]])*1000</f>
        <v>0.50679851668726816</v>
      </c>
      <c r="L1737" t="str">
        <f>IF(FlipkartTable[[#This Row],[Selling Price]]&lt;15000,"Budget",IF(FlipkartTable[[#This Row],[Selling Price]]&lt;50000,"Mid Range","Premium"))</f>
        <v>Budget</v>
      </c>
      <c r="M1737" t="str">
        <f>IF(FlipkartTable[[#This Row],[Rating]]&gt;4.5,"Excellent",IF(FlipkartTable[[#This Row],[Rating]]&gt;4,"Good",IF(FlipkartTable[[#This Row],[Rating]]&gt;3.5,"Average","Poor")))</f>
        <v>Good</v>
      </c>
    </row>
    <row r="1738" spans="1:13" x14ac:dyDescent="0.35">
      <c r="A1738" t="s">
        <v>663</v>
      </c>
      <c r="B1738" s="9" t="s">
        <v>878</v>
      </c>
      <c r="C1738" t="s">
        <v>803</v>
      </c>
      <c r="D1738" t="s">
        <v>20</v>
      </c>
      <c r="E1738" t="s">
        <v>21</v>
      </c>
      <c r="F1738">
        <v>4.0999999999999996</v>
      </c>
      <c r="G1738">
        <v>22900</v>
      </c>
      <c r="H1738">
        <v>22900</v>
      </c>
      <c r="I1738">
        <f>FlipkartTable[[#This Row],[Original Price]]-FlipkartTable[[#This Row],[Selling Price]]</f>
        <v>0</v>
      </c>
      <c r="J1738" s="4">
        <f>(FlipkartTable[[#This Row],[Original Price]]-FlipkartTable[[#This Row],[Selling Price]])/FlipkartTable[[#This Row],[Original Price]]</f>
        <v>0</v>
      </c>
      <c r="K1738">
        <f>(FlipkartTable[[#This Row],[Rating]]/FlipkartTable[[#This Row],[Selling Price]])*1000</f>
        <v>0.17903930131004364</v>
      </c>
      <c r="L1738" t="str">
        <f>IF(FlipkartTable[[#This Row],[Selling Price]]&lt;15000,"Budget",IF(FlipkartTable[[#This Row],[Selling Price]]&lt;50000,"Mid Range","Premium"))</f>
        <v>Mid Range</v>
      </c>
      <c r="M1738" t="str">
        <f>IF(FlipkartTable[[#This Row],[Rating]]&gt;4.5,"Excellent",IF(FlipkartTable[[#This Row],[Rating]]&gt;4,"Good",IF(FlipkartTable[[#This Row],[Rating]]&gt;3.5,"Average","Poor")))</f>
        <v>Good</v>
      </c>
    </row>
    <row r="1739" spans="1:13" x14ac:dyDescent="0.35">
      <c r="A1739" t="s">
        <v>663</v>
      </c>
      <c r="B1739" s="9" t="s">
        <v>835</v>
      </c>
      <c r="C1739" t="s">
        <v>19</v>
      </c>
      <c r="D1739" t="s">
        <v>492</v>
      </c>
      <c r="E1739" t="s">
        <v>493</v>
      </c>
      <c r="F1739">
        <v>4.2</v>
      </c>
      <c r="G1739">
        <v>3780</v>
      </c>
      <c r="H1739">
        <v>3780</v>
      </c>
      <c r="I1739">
        <f>FlipkartTable[[#This Row],[Original Price]]-FlipkartTable[[#This Row],[Selling Price]]</f>
        <v>0</v>
      </c>
      <c r="J1739" s="4">
        <f>(FlipkartTable[[#This Row],[Original Price]]-FlipkartTable[[#This Row],[Selling Price]])/FlipkartTable[[#This Row],[Original Price]]</f>
        <v>0</v>
      </c>
      <c r="K1739">
        <f>(FlipkartTable[[#This Row],[Rating]]/FlipkartTable[[#This Row],[Selling Price]])*1000</f>
        <v>1.1111111111111112</v>
      </c>
      <c r="L1739" t="str">
        <f>IF(FlipkartTable[[#This Row],[Selling Price]]&lt;15000,"Budget",IF(FlipkartTable[[#This Row],[Selling Price]]&lt;50000,"Mid Range","Premium"))</f>
        <v>Budget</v>
      </c>
      <c r="M1739" t="str">
        <f>IF(FlipkartTable[[#This Row],[Rating]]&gt;4.5,"Excellent",IF(FlipkartTable[[#This Row],[Rating]]&gt;4,"Good",IF(FlipkartTable[[#This Row],[Rating]]&gt;3.5,"Average","Poor")))</f>
        <v>Good</v>
      </c>
    </row>
    <row r="1740" spans="1:13" x14ac:dyDescent="0.35">
      <c r="A1740" t="s">
        <v>663</v>
      </c>
      <c r="B1740" s="9" t="s">
        <v>887</v>
      </c>
      <c r="C1740" t="s">
        <v>888</v>
      </c>
      <c r="D1740" t="s">
        <v>35</v>
      </c>
      <c r="E1740" t="s">
        <v>124</v>
      </c>
      <c r="F1740">
        <v>3.9</v>
      </c>
      <c r="G1740">
        <v>15999</v>
      </c>
      <c r="H1740">
        <v>15999</v>
      </c>
      <c r="I1740">
        <f>FlipkartTable[[#This Row],[Original Price]]-FlipkartTable[[#This Row],[Selling Price]]</f>
        <v>0</v>
      </c>
      <c r="J1740" s="4">
        <f>(FlipkartTable[[#This Row],[Original Price]]-FlipkartTable[[#This Row],[Selling Price]])/FlipkartTable[[#This Row],[Original Price]]</f>
        <v>0</v>
      </c>
      <c r="K1740">
        <f>(FlipkartTable[[#This Row],[Rating]]/FlipkartTable[[#This Row],[Selling Price]])*1000</f>
        <v>0.24376523532720795</v>
      </c>
      <c r="L1740" t="str">
        <f>IF(FlipkartTable[[#This Row],[Selling Price]]&lt;15000,"Budget",IF(FlipkartTable[[#This Row],[Selling Price]]&lt;50000,"Mid Range","Premium"))</f>
        <v>Mid Range</v>
      </c>
      <c r="M1740" t="str">
        <f>IF(FlipkartTable[[#This Row],[Rating]]&gt;4.5,"Excellent",IF(FlipkartTable[[#This Row],[Rating]]&gt;4,"Good",IF(FlipkartTable[[#This Row],[Rating]]&gt;3.5,"Average","Poor")))</f>
        <v>Average</v>
      </c>
    </row>
    <row r="1741" spans="1:13" x14ac:dyDescent="0.35">
      <c r="A1741" t="s">
        <v>663</v>
      </c>
      <c r="B1741" s="9" t="s">
        <v>889</v>
      </c>
      <c r="C1741" t="s">
        <v>890</v>
      </c>
      <c r="D1741" t="s">
        <v>20</v>
      </c>
      <c r="E1741" t="s">
        <v>21</v>
      </c>
      <c r="F1741">
        <v>4.2</v>
      </c>
      <c r="G1741">
        <v>50650</v>
      </c>
      <c r="H1741">
        <v>50650</v>
      </c>
      <c r="I1741">
        <f>FlipkartTable[[#This Row],[Original Price]]-FlipkartTable[[#This Row],[Selling Price]]</f>
        <v>0</v>
      </c>
      <c r="J1741" s="4">
        <f>(FlipkartTable[[#This Row],[Original Price]]-FlipkartTable[[#This Row],[Selling Price]])/FlipkartTable[[#This Row],[Original Price]]</f>
        <v>0</v>
      </c>
      <c r="K1741">
        <f>(FlipkartTable[[#This Row],[Rating]]/FlipkartTable[[#This Row],[Selling Price]])*1000</f>
        <v>8.2922013820335636E-2</v>
      </c>
      <c r="L1741" t="str">
        <f>IF(FlipkartTable[[#This Row],[Selling Price]]&lt;15000,"Budget",IF(FlipkartTable[[#This Row],[Selling Price]]&lt;50000,"Mid Range","Premium"))</f>
        <v>Premium</v>
      </c>
      <c r="M1741" t="str">
        <f>IF(FlipkartTable[[#This Row],[Rating]]&gt;4.5,"Excellent",IF(FlipkartTable[[#This Row],[Rating]]&gt;4,"Good",IF(FlipkartTable[[#This Row],[Rating]]&gt;3.5,"Average","Poor")))</f>
        <v>Good</v>
      </c>
    </row>
    <row r="1742" spans="1:13" x14ac:dyDescent="0.35">
      <c r="A1742" t="s">
        <v>663</v>
      </c>
      <c r="B1742" s="9" t="s">
        <v>891</v>
      </c>
      <c r="C1742" t="s">
        <v>569</v>
      </c>
      <c r="D1742" t="s">
        <v>263</v>
      </c>
      <c r="E1742" t="s">
        <v>11</v>
      </c>
      <c r="F1742">
        <v>4</v>
      </c>
      <c r="G1742">
        <v>6499</v>
      </c>
      <c r="H1742">
        <v>6499</v>
      </c>
      <c r="I1742">
        <f>FlipkartTable[[#This Row],[Original Price]]-FlipkartTable[[#This Row],[Selling Price]]</f>
        <v>0</v>
      </c>
      <c r="J1742" s="4">
        <f>(FlipkartTable[[#This Row],[Original Price]]-FlipkartTable[[#This Row],[Selling Price]])/FlipkartTable[[#This Row],[Original Price]]</f>
        <v>0</v>
      </c>
      <c r="K1742">
        <f>(FlipkartTable[[#This Row],[Rating]]/FlipkartTable[[#This Row],[Selling Price]])*1000</f>
        <v>0.61547930450838595</v>
      </c>
      <c r="L1742" t="str">
        <f>IF(FlipkartTable[[#This Row],[Selling Price]]&lt;15000,"Budget",IF(FlipkartTable[[#This Row],[Selling Price]]&lt;50000,"Mid Range","Premium"))</f>
        <v>Budget</v>
      </c>
      <c r="M1742" t="str">
        <f>IF(FlipkartTable[[#This Row],[Rating]]&gt;4.5,"Excellent",IF(FlipkartTable[[#This Row],[Rating]]&gt;4,"Good",IF(FlipkartTable[[#This Row],[Rating]]&gt;3.5,"Average","Poor")))</f>
        <v>Average</v>
      </c>
    </row>
    <row r="1743" spans="1:13" x14ac:dyDescent="0.35">
      <c r="A1743" t="s">
        <v>663</v>
      </c>
      <c r="B1743" s="9" t="s">
        <v>676</v>
      </c>
      <c r="C1743" t="s">
        <v>678</v>
      </c>
      <c r="D1743" t="s">
        <v>14</v>
      </c>
      <c r="E1743" t="s">
        <v>15</v>
      </c>
      <c r="F1743">
        <v>4.3</v>
      </c>
      <c r="G1743">
        <v>16999</v>
      </c>
      <c r="H1743">
        <v>19499</v>
      </c>
      <c r="I1743">
        <f>FlipkartTable[[#This Row],[Original Price]]-FlipkartTable[[#This Row],[Selling Price]]</f>
        <v>2500</v>
      </c>
      <c r="J1743" s="4">
        <f>(FlipkartTable[[#This Row],[Original Price]]-FlipkartTable[[#This Row],[Selling Price]])/FlipkartTable[[#This Row],[Original Price]]</f>
        <v>0.12821170316426483</v>
      </c>
      <c r="K1743">
        <f>(FlipkartTable[[#This Row],[Rating]]/FlipkartTable[[#This Row],[Selling Price]])*1000</f>
        <v>0.25295605623860223</v>
      </c>
      <c r="L1743" t="str">
        <f>IF(FlipkartTable[[#This Row],[Selling Price]]&lt;15000,"Budget",IF(FlipkartTable[[#This Row],[Selling Price]]&lt;50000,"Mid Range","Premium"))</f>
        <v>Mid Range</v>
      </c>
      <c r="M1743" t="str">
        <f>IF(FlipkartTable[[#This Row],[Rating]]&gt;4.5,"Excellent",IF(FlipkartTable[[#This Row],[Rating]]&gt;4,"Good",IF(FlipkartTable[[#This Row],[Rating]]&gt;3.5,"Average","Poor")))</f>
        <v>Good</v>
      </c>
    </row>
    <row r="1744" spans="1:13" x14ac:dyDescent="0.35">
      <c r="A1744" t="s">
        <v>663</v>
      </c>
      <c r="B1744" s="9" t="s">
        <v>815</v>
      </c>
      <c r="C1744" t="s">
        <v>700</v>
      </c>
      <c r="D1744" t="s">
        <v>27</v>
      </c>
      <c r="E1744" t="s">
        <v>64</v>
      </c>
      <c r="F1744">
        <v>4.4000000000000004</v>
      </c>
      <c r="G1744">
        <v>75999</v>
      </c>
      <c r="H1744">
        <v>104999</v>
      </c>
      <c r="I1744">
        <f>FlipkartTable[[#This Row],[Original Price]]-FlipkartTable[[#This Row],[Selling Price]]</f>
        <v>29000</v>
      </c>
      <c r="J1744" s="4">
        <f>(FlipkartTable[[#This Row],[Original Price]]-FlipkartTable[[#This Row],[Selling Price]])/FlipkartTable[[#This Row],[Original Price]]</f>
        <v>0.27619310660101526</v>
      </c>
      <c r="K1744">
        <f>(FlipkartTable[[#This Row],[Rating]]/FlipkartTable[[#This Row],[Selling Price]])*1000</f>
        <v>5.7895498624981917E-2</v>
      </c>
      <c r="L1744" t="str">
        <f>IF(FlipkartTable[[#This Row],[Selling Price]]&lt;15000,"Budget",IF(FlipkartTable[[#This Row],[Selling Price]]&lt;50000,"Mid Range","Premium"))</f>
        <v>Premium</v>
      </c>
      <c r="M1744" t="str">
        <f>IF(FlipkartTable[[#This Row],[Rating]]&gt;4.5,"Excellent",IF(FlipkartTable[[#This Row],[Rating]]&gt;4,"Good",IF(FlipkartTable[[#This Row],[Rating]]&gt;3.5,"Average","Poor")))</f>
        <v>Good</v>
      </c>
    </row>
    <row r="1745" spans="1:13" x14ac:dyDescent="0.35">
      <c r="A1745" t="s">
        <v>663</v>
      </c>
      <c r="B1745" s="9" t="s">
        <v>886</v>
      </c>
      <c r="C1745" t="s">
        <v>116</v>
      </c>
      <c r="D1745" t="s">
        <v>284</v>
      </c>
      <c r="E1745" t="s">
        <v>27</v>
      </c>
      <c r="F1745">
        <v>4.0999999999999996</v>
      </c>
      <c r="G1745">
        <v>8090</v>
      </c>
      <c r="H1745">
        <v>8090</v>
      </c>
      <c r="I1745">
        <f>FlipkartTable[[#This Row],[Original Price]]-FlipkartTable[[#This Row],[Selling Price]]</f>
        <v>0</v>
      </c>
      <c r="J1745" s="4">
        <f>(FlipkartTable[[#This Row],[Original Price]]-FlipkartTable[[#This Row],[Selling Price]])/FlipkartTable[[#This Row],[Original Price]]</f>
        <v>0</v>
      </c>
      <c r="K1745">
        <f>(FlipkartTable[[#This Row],[Rating]]/FlipkartTable[[#This Row],[Selling Price]])*1000</f>
        <v>0.50679851668726816</v>
      </c>
      <c r="L1745" t="str">
        <f>IF(FlipkartTable[[#This Row],[Selling Price]]&lt;15000,"Budget",IF(FlipkartTable[[#This Row],[Selling Price]]&lt;50000,"Mid Range","Premium"))</f>
        <v>Budget</v>
      </c>
      <c r="M1745" t="str">
        <f>IF(FlipkartTable[[#This Row],[Rating]]&gt;4.5,"Excellent",IF(FlipkartTable[[#This Row],[Rating]]&gt;4,"Good",IF(FlipkartTable[[#This Row],[Rating]]&gt;3.5,"Average","Poor")))</f>
        <v>Good</v>
      </c>
    </row>
    <row r="1746" spans="1:13" x14ac:dyDescent="0.35">
      <c r="A1746" t="s">
        <v>663</v>
      </c>
      <c r="B1746" s="9" t="s">
        <v>846</v>
      </c>
      <c r="C1746" t="s">
        <v>892</v>
      </c>
      <c r="D1746" t="s">
        <v>11</v>
      </c>
      <c r="E1746" t="s">
        <v>21</v>
      </c>
      <c r="F1746">
        <v>4.0999999999999996</v>
      </c>
      <c r="G1746">
        <v>46300</v>
      </c>
      <c r="H1746">
        <v>46300</v>
      </c>
      <c r="I1746">
        <f>FlipkartTable[[#This Row],[Original Price]]-FlipkartTable[[#This Row],[Selling Price]]</f>
        <v>0</v>
      </c>
      <c r="J1746" s="4">
        <f>(FlipkartTable[[#This Row],[Original Price]]-FlipkartTable[[#This Row],[Selling Price]])/FlipkartTable[[#This Row],[Original Price]]</f>
        <v>0</v>
      </c>
      <c r="K1746">
        <f>(FlipkartTable[[#This Row],[Rating]]/FlipkartTable[[#This Row],[Selling Price]])*1000</f>
        <v>8.8552915766738641E-2</v>
      </c>
      <c r="L1746" t="str">
        <f>IF(FlipkartTable[[#This Row],[Selling Price]]&lt;15000,"Budget",IF(FlipkartTable[[#This Row],[Selling Price]]&lt;50000,"Mid Range","Premium"))</f>
        <v>Mid Range</v>
      </c>
      <c r="M1746" t="str">
        <f>IF(FlipkartTable[[#This Row],[Rating]]&gt;4.5,"Excellent",IF(FlipkartTable[[#This Row],[Rating]]&gt;4,"Good",IF(FlipkartTable[[#This Row],[Rating]]&gt;3.5,"Average","Poor")))</f>
        <v>Good</v>
      </c>
    </row>
    <row r="1747" spans="1:13" x14ac:dyDescent="0.35">
      <c r="A1747" t="s">
        <v>663</v>
      </c>
      <c r="B1747" s="9" t="s">
        <v>891</v>
      </c>
      <c r="C1747" t="s">
        <v>795</v>
      </c>
      <c r="D1747" t="s">
        <v>263</v>
      </c>
      <c r="E1747" t="s">
        <v>11</v>
      </c>
      <c r="F1747">
        <v>4</v>
      </c>
      <c r="G1747">
        <v>6048</v>
      </c>
      <c r="H1747">
        <v>6048</v>
      </c>
      <c r="I1747">
        <f>FlipkartTable[[#This Row],[Original Price]]-FlipkartTable[[#This Row],[Selling Price]]</f>
        <v>0</v>
      </c>
      <c r="J1747" s="4">
        <f>(FlipkartTable[[#This Row],[Original Price]]-FlipkartTable[[#This Row],[Selling Price]])/FlipkartTable[[#This Row],[Original Price]]</f>
        <v>0</v>
      </c>
      <c r="K1747">
        <f>(FlipkartTable[[#This Row],[Rating]]/FlipkartTable[[#This Row],[Selling Price]])*1000</f>
        <v>0.66137566137566139</v>
      </c>
      <c r="L1747" t="str">
        <f>IF(FlipkartTable[[#This Row],[Selling Price]]&lt;15000,"Budget",IF(FlipkartTable[[#This Row],[Selling Price]]&lt;50000,"Mid Range","Premium"))</f>
        <v>Budget</v>
      </c>
      <c r="M1747" t="str">
        <f>IF(FlipkartTable[[#This Row],[Rating]]&gt;4.5,"Excellent",IF(FlipkartTable[[#This Row],[Rating]]&gt;4,"Good",IF(FlipkartTable[[#This Row],[Rating]]&gt;3.5,"Average","Poor")))</f>
        <v>Average</v>
      </c>
    </row>
    <row r="1748" spans="1:13" x14ac:dyDescent="0.35">
      <c r="A1748" t="s">
        <v>663</v>
      </c>
      <c r="B1748" s="9" t="s">
        <v>893</v>
      </c>
      <c r="C1748" t="s">
        <v>536</v>
      </c>
      <c r="D1748" t="s">
        <v>134</v>
      </c>
      <c r="E1748" t="s">
        <v>124</v>
      </c>
      <c r="F1748">
        <v>4</v>
      </c>
      <c r="G1748">
        <v>8190</v>
      </c>
      <c r="H1748">
        <v>8190</v>
      </c>
      <c r="I1748">
        <f>FlipkartTable[[#This Row],[Original Price]]-FlipkartTable[[#This Row],[Selling Price]]</f>
        <v>0</v>
      </c>
      <c r="J1748" s="4">
        <f>(FlipkartTable[[#This Row],[Original Price]]-FlipkartTable[[#This Row],[Selling Price]])/FlipkartTable[[#This Row],[Original Price]]</f>
        <v>0</v>
      </c>
      <c r="K1748">
        <f>(FlipkartTable[[#This Row],[Rating]]/FlipkartTable[[#This Row],[Selling Price]])*1000</f>
        <v>0.48840048840048839</v>
      </c>
      <c r="L1748" t="str">
        <f>IF(FlipkartTable[[#This Row],[Selling Price]]&lt;15000,"Budget",IF(FlipkartTable[[#This Row],[Selling Price]]&lt;50000,"Mid Range","Premium"))</f>
        <v>Budget</v>
      </c>
      <c r="M1748" t="str">
        <f>IF(FlipkartTable[[#This Row],[Rating]]&gt;4.5,"Excellent",IF(FlipkartTable[[#This Row],[Rating]]&gt;4,"Good",IF(FlipkartTable[[#This Row],[Rating]]&gt;3.5,"Average","Poor")))</f>
        <v>Average</v>
      </c>
    </row>
    <row r="1749" spans="1:13" x14ac:dyDescent="0.35">
      <c r="A1749" t="s">
        <v>663</v>
      </c>
      <c r="B1749" s="9" t="s">
        <v>846</v>
      </c>
      <c r="C1749" t="s">
        <v>847</v>
      </c>
      <c r="D1749" t="s">
        <v>11</v>
      </c>
      <c r="E1749" t="s">
        <v>21</v>
      </c>
      <c r="F1749">
        <v>4.0999999999999996</v>
      </c>
      <c r="G1749">
        <v>46300</v>
      </c>
      <c r="H1749">
        <v>46300</v>
      </c>
      <c r="I1749">
        <f>FlipkartTable[[#This Row],[Original Price]]-FlipkartTable[[#This Row],[Selling Price]]</f>
        <v>0</v>
      </c>
      <c r="J1749" s="4">
        <f>(FlipkartTable[[#This Row],[Original Price]]-FlipkartTable[[#This Row],[Selling Price]])/FlipkartTable[[#This Row],[Original Price]]</f>
        <v>0</v>
      </c>
      <c r="K1749">
        <f>(FlipkartTable[[#This Row],[Rating]]/FlipkartTable[[#This Row],[Selling Price]])*1000</f>
        <v>8.8552915766738641E-2</v>
      </c>
      <c r="L1749" t="str">
        <f>IF(FlipkartTable[[#This Row],[Selling Price]]&lt;15000,"Budget",IF(FlipkartTable[[#This Row],[Selling Price]]&lt;50000,"Mid Range","Premium"))</f>
        <v>Mid Range</v>
      </c>
      <c r="M1749" t="str">
        <f>IF(FlipkartTable[[#This Row],[Rating]]&gt;4.5,"Excellent",IF(FlipkartTable[[#This Row],[Rating]]&gt;4,"Good",IF(FlipkartTable[[#This Row],[Rating]]&gt;3.5,"Average","Poor")))</f>
        <v>Good</v>
      </c>
    </row>
    <row r="1750" spans="1:13" x14ac:dyDescent="0.35">
      <c r="A1750" t="s">
        <v>663</v>
      </c>
      <c r="B1750" s="9" t="s">
        <v>797</v>
      </c>
      <c r="C1750" t="s">
        <v>798</v>
      </c>
      <c r="D1750" t="s">
        <v>20</v>
      </c>
      <c r="E1750" t="s">
        <v>12</v>
      </c>
      <c r="F1750">
        <v>4</v>
      </c>
      <c r="G1750">
        <v>53900</v>
      </c>
      <c r="H1750">
        <v>53900</v>
      </c>
      <c r="I1750">
        <f>FlipkartTable[[#This Row],[Original Price]]-FlipkartTable[[#This Row],[Selling Price]]</f>
        <v>0</v>
      </c>
      <c r="J1750" s="4">
        <f>(FlipkartTable[[#This Row],[Original Price]]-FlipkartTable[[#This Row],[Selling Price]])/FlipkartTable[[#This Row],[Original Price]]</f>
        <v>0</v>
      </c>
      <c r="K1750">
        <f>(FlipkartTable[[#This Row],[Rating]]/FlipkartTable[[#This Row],[Selling Price]])*1000</f>
        <v>7.4211502782931343E-2</v>
      </c>
      <c r="L1750" t="str">
        <f>IF(FlipkartTable[[#This Row],[Selling Price]]&lt;15000,"Budget",IF(FlipkartTable[[#This Row],[Selling Price]]&lt;50000,"Mid Range","Premium"))</f>
        <v>Premium</v>
      </c>
      <c r="M1750" t="str">
        <f>IF(FlipkartTable[[#This Row],[Rating]]&gt;4.5,"Excellent",IF(FlipkartTable[[#This Row],[Rating]]&gt;4,"Good",IF(FlipkartTable[[#This Row],[Rating]]&gt;3.5,"Average","Poor")))</f>
        <v>Average</v>
      </c>
    </row>
    <row r="1751" spans="1:13" x14ac:dyDescent="0.35">
      <c r="A1751" t="s">
        <v>663</v>
      </c>
      <c r="B1751" s="9" t="s">
        <v>727</v>
      </c>
      <c r="C1751" t="s">
        <v>761</v>
      </c>
      <c r="D1751" t="s">
        <v>14</v>
      </c>
      <c r="E1751" t="s">
        <v>15</v>
      </c>
      <c r="F1751">
        <v>4.3</v>
      </c>
      <c r="G1751">
        <v>17999</v>
      </c>
      <c r="H1751">
        <v>31000</v>
      </c>
      <c r="I1751">
        <f>FlipkartTable[[#This Row],[Original Price]]-FlipkartTable[[#This Row],[Selling Price]]</f>
        <v>13001</v>
      </c>
      <c r="J1751" s="4">
        <f>(FlipkartTable[[#This Row],[Original Price]]-FlipkartTable[[#This Row],[Selling Price]])/FlipkartTable[[#This Row],[Original Price]]</f>
        <v>0.41938709677419356</v>
      </c>
      <c r="K1751">
        <f>(FlipkartTable[[#This Row],[Rating]]/FlipkartTable[[#This Row],[Selling Price]])*1000</f>
        <v>0.23890216123117949</v>
      </c>
      <c r="L1751" t="str">
        <f>IF(FlipkartTable[[#This Row],[Selling Price]]&lt;15000,"Budget",IF(FlipkartTable[[#This Row],[Selling Price]]&lt;50000,"Mid Range","Premium"))</f>
        <v>Mid Range</v>
      </c>
      <c r="M1751" t="str">
        <f>IF(FlipkartTable[[#This Row],[Rating]]&gt;4.5,"Excellent",IF(FlipkartTable[[#This Row],[Rating]]&gt;4,"Good",IF(FlipkartTable[[#This Row],[Rating]]&gt;3.5,"Average","Poor")))</f>
        <v>Good</v>
      </c>
    </row>
    <row r="1752" spans="1:13" x14ac:dyDescent="0.35">
      <c r="A1752" t="s">
        <v>663</v>
      </c>
      <c r="B1752" s="9" t="s">
        <v>881</v>
      </c>
      <c r="C1752" t="s">
        <v>116</v>
      </c>
      <c r="D1752" t="s">
        <v>20</v>
      </c>
      <c r="E1752" t="s">
        <v>124</v>
      </c>
      <c r="F1752">
        <v>4.3</v>
      </c>
      <c r="G1752">
        <v>11200</v>
      </c>
      <c r="H1752">
        <v>11200</v>
      </c>
      <c r="I1752">
        <f>FlipkartTable[[#This Row],[Original Price]]-FlipkartTable[[#This Row],[Selling Price]]</f>
        <v>0</v>
      </c>
      <c r="J1752" s="4">
        <f>(FlipkartTable[[#This Row],[Original Price]]-FlipkartTable[[#This Row],[Selling Price]])/FlipkartTable[[#This Row],[Original Price]]</f>
        <v>0</v>
      </c>
      <c r="K1752">
        <f>(FlipkartTable[[#This Row],[Rating]]/FlipkartTable[[#This Row],[Selling Price]])*1000</f>
        <v>0.3839285714285714</v>
      </c>
      <c r="L1752" t="str">
        <f>IF(FlipkartTable[[#This Row],[Selling Price]]&lt;15000,"Budget",IF(FlipkartTable[[#This Row],[Selling Price]]&lt;50000,"Mid Range","Premium"))</f>
        <v>Budget</v>
      </c>
      <c r="M1752" t="str">
        <f>IF(FlipkartTable[[#This Row],[Rating]]&gt;4.5,"Excellent",IF(FlipkartTable[[#This Row],[Rating]]&gt;4,"Good",IF(FlipkartTable[[#This Row],[Rating]]&gt;3.5,"Average","Poor")))</f>
        <v>Good</v>
      </c>
    </row>
    <row r="1753" spans="1:13" x14ac:dyDescent="0.35">
      <c r="A1753" t="s">
        <v>663</v>
      </c>
      <c r="B1753" s="9" t="s">
        <v>758</v>
      </c>
      <c r="C1753" t="s">
        <v>19</v>
      </c>
      <c r="D1753" t="s">
        <v>14</v>
      </c>
      <c r="E1753" t="s">
        <v>15</v>
      </c>
      <c r="F1753">
        <v>4.4000000000000004</v>
      </c>
      <c r="G1753">
        <v>24600</v>
      </c>
      <c r="H1753">
        <v>24600</v>
      </c>
      <c r="I1753">
        <f>FlipkartTable[[#This Row],[Original Price]]-FlipkartTable[[#This Row],[Selling Price]]</f>
        <v>0</v>
      </c>
      <c r="J1753" s="4">
        <f>(FlipkartTable[[#This Row],[Original Price]]-FlipkartTable[[#This Row],[Selling Price]])/FlipkartTable[[#This Row],[Original Price]]</f>
        <v>0</v>
      </c>
      <c r="K1753">
        <f>(FlipkartTable[[#This Row],[Rating]]/FlipkartTable[[#This Row],[Selling Price]])*1000</f>
        <v>0.17886178861788618</v>
      </c>
      <c r="L1753" t="str">
        <f>IF(FlipkartTable[[#This Row],[Selling Price]]&lt;15000,"Budget",IF(FlipkartTable[[#This Row],[Selling Price]]&lt;50000,"Mid Range","Premium"))</f>
        <v>Mid Range</v>
      </c>
      <c r="M1753" t="str">
        <f>IF(FlipkartTable[[#This Row],[Rating]]&gt;4.5,"Excellent",IF(FlipkartTable[[#This Row],[Rating]]&gt;4,"Good",IF(FlipkartTable[[#This Row],[Rating]]&gt;3.5,"Average","Poor")))</f>
        <v>Good</v>
      </c>
    </row>
    <row r="1754" spans="1:13" x14ac:dyDescent="0.35">
      <c r="A1754" t="s">
        <v>663</v>
      </c>
      <c r="B1754" s="9" t="s">
        <v>727</v>
      </c>
      <c r="C1754" t="s">
        <v>728</v>
      </c>
      <c r="D1754" t="s">
        <v>14</v>
      </c>
      <c r="E1754" t="s">
        <v>15</v>
      </c>
      <c r="F1754">
        <v>4.3</v>
      </c>
      <c r="G1754">
        <v>17999</v>
      </c>
      <c r="H1754">
        <v>31000</v>
      </c>
      <c r="I1754">
        <f>FlipkartTable[[#This Row],[Original Price]]-FlipkartTable[[#This Row],[Selling Price]]</f>
        <v>13001</v>
      </c>
      <c r="J1754" s="4">
        <f>(FlipkartTable[[#This Row],[Original Price]]-FlipkartTable[[#This Row],[Selling Price]])/FlipkartTable[[#This Row],[Original Price]]</f>
        <v>0.41938709677419356</v>
      </c>
      <c r="K1754">
        <f>(FlipkartTable[[#This Row],[Rating]]/FlipkartTable[[#This Row],[Selling Price]])*1000</f>
        <v>0.23890216123117949</v>
      </c>
      <c r="L1754" t="str">
        <f>IF(FlipkartTable[[#This Row],[Selling Price]]&lt;15000,"Budget",IF(FlipkartTable[[#This Row],[Selling Price]]&lt;50000,"Mid Range","Premium"))</f>
        <v>Mid Range</v>
      </c>
      <c r="M1754" t="str">
        <f>IF(FlipkartTable[[#This Row],[Rating]]&gt;4.5,"Excellent",IF(FlipkartTable[[#This Row],[Rating]]&gt;4,"Good",IF(FlipkartTable[[#This Row],[Rating]]&gt;3.5,"Average","Poor")))</f>
        <v>Good</v>
      </c>
    </row>
    <row r="1755" spans="1:13" x14ac:dyDescent="0.35">
      <c r="A1755" t="s">
        <v>663</v>
      </c>
      <c r="B1755" s="9" t="s">
        <v>723</v>
      </c>
      <c r="C1755" t="s">
        <v>871</v>
      </c>
      <c r="D1755" t="s">
        <v>27</v>
      </c>
      <c r="E1755" t="s">
        <v>15</v>
      </c>
      <c r="F1755">
        <v>4.3</v>
      </c>
      <c r="G1755">
        <v>39999</v>
      </c>
      <c r="H1755">
        <v>45000</v>
      </c>
      <c r="I1755">
        <f>FlipkartTable[[#This Row],[Original Price]]-FlipkartTable[[#This Row],[Selling Price]]</f>
        <v>5001</v>
      </c>
      <c r="J1755" s="4">
        <f>(FlipkartTable[[#This Row],[Original Price]]-FlipkartTable[[#This Row],[Selling Price]])/FlipkartTable[[#This Row],[Original Price]]</f>
        <v>0.11113333333333333</v>
      </c>
      <c r="K1755">
        <f>(FlipkartTable[[#This Row],[Rating]]/FlipkartTable[[#This Row],[Selling Price]])*1000</f>
        <v>0.10750268756718918</v>
      </c>
      <c r="L1755" t="str">
        <f>IF(FlipkartTable[[#This Row],[Selling Price]]&lt;15000,"Budget",IF(FlipkartTable[[#This Row],[Selling Price]]&lt;50000,"Mid Range","Premium"))</f>
        <v>Mid Range</v>
      </c>
      <c r="M1755" t="str">
        <f>IF(FlipkartTable[[#This Row],[Rating]]&gt;4.5,"Excellent",IF(FlipkartTable[[#This Row],[Rating]]&gt;4,"Good",IF(FlipkartTable[[#This Row],[Rating]]&gt;3.5,"Average","Poor")))</f>
        <v>Good</v>
      </c>
    </row>
    <row r="1756" spans="1:13" x14ac:dyDescent="0.35">
      <c r="A1756" t="s">
        <v>663</v>
      </c>
      <c r="B1756" s="9" t="s">
        <v>894</v>
      </c>
      <c r="C1756" t="s">
        <v>19</v>
      </c>
      <c r="D1756" t="s">
        <v>35</v>
      </c>
      <c r="E1756" t="s">
        <v>124</v>
      </c>
      <c r="F1756">
        <v>4.2</v>
      </c>
      <c r="G1756">
        <v>19900</v>
      </c>
      <c r="H1756">
        <v>19900</v>
      </c>
      <c r="I1756">
        <f>FlipkartTable[[#This Row],[Original Price]]-FlipkartTable[[#This Row],[Selling Price]]</f>
        <v>0</v>
      </c>
      <c r="J1756" s="4">
        <f>(FlipkartTable[[#This Row],[Original Price]]-FlipkartTable[[#This Row],[Selling Price]])/FlipkartTable[[#This Row],[Original Price]]</f>
        <v>0</v>
      </c>
      <c r="K1756">
        <f>(FlipkartTable[[#This Row],[Rating]]/FlipkartTable[[#This Row],[Selling Price]])*1000</f>
        <v>0.21105527638190955</v>
      </c>
      <c r="L1756" t="str">
        <f>IF(FlipkartTable[[#This Row],[Selling Price]]&lt;15000,"Budget",IF(FlipkartTable[[#This Row],[Selling Price]]&lt;50000,"Mid Range","Premium"))</f>
        <v>Mid Range</v>
      </c>
      <c r="M1756" t="str">
        <f>IF(FlipkartTable[[#This Row],[Rating]]&gt;4.5,"Excellent",IF(FlipkartTable[[#This Row],[Rating]]&gt;4,"Good",IF(FlipkartTable[[#This Row],[Rating]]&gt;3.5,"Average","Poor")))</f>
        <v>Good</v>
      </c>
    </row>
    <row r="1757" spans="1:13" x14ac:dyDescent="0.35">
      <c r="A1757" t="s">
        <v>663</v>
      </c>
      <c r="B1757" s="9" t="s">
        <v>895</v>
      </c>
      <c r="C1757" t="s">
        <v>152</v>
      </c>
      <c r="D1757" t="s">
        <v>35</v>
      </c>
      <c r="E1757" t="s">
        <v>21</v>
      </c>
      <c r="F1757">
        <v>4.2</v>
      </c>
      <c r="G1757">
        <v>33500</v>
      </c>
      <c r="H1757">
        <v>33500</v>
      </c>
      <c r="I1757">
        <f>FlipkartTable[[#This Row],[Original Price]]-FlipkartTable[[#This Row],[Selling Price]]</f>
        <v>0</v>
      </c>
      <c r="J1757" s="4">
        <f>(FlipkartTable[[#This Row],[Original Price]]-FlipkartTable[[#This Row],[Selling Price]])/FlipkartTable[[#This Row],[Original Price]]</f>
        <v>0</v>
      </c>
      <c r="K1757">
        <f>(FlipkartTable[[#This Row],[Rating]]/FlipkartTable[[#This Row],[Selling Price]])*1000</f>
        <v>0.12537313432835823</v>
      </c>
      <c r="L1757" t="str">
        <f>IF(FlipkartTable[[#This Row],[Selling Price]]&lt;15000,"Budget",IF(FlipkartTable[[#This Row],[Selling Price]]&lt;50000,"Mid Range","Premium"))</f>
        <v>Mid Range</v>
      </c>
      <c r="M1757" t="str">
        <f>IF(FlipkartTable[[#This Row],[Rating]]&gt;4.5,"Excellent",IF(FlipkartTable[[#This Row],[Rating]]&gt;4,"Good",IF(FlipkartTable[[#This Row],[Rating]]&gt;3.5,"Average","Poor")))</f>
        <v>Good</v>
      </c>
    </row>
    <row r="1758" spans="1:13" x14ac:dyDescent="0.35">
      <c r="A1758" t="s">
        <v>663</v>
      </c>
      <c r="B1758" s="9" t="s">
        <v>846</v>
      </c>
      <c r="C1758" t="s">
        <v>885</v>
      </c>
      <c r="D1758" t="s">
        <v>11</v>
      </c>
      <c r="E1758" t="s">
        <v>21</v>
      </c>
      <c r="F1758">
        <v>3.9</v>
      </c>
      <c r="G1758">
        <v>38900</v>
      </c>
      <c r="H1758">
        <v>38900</v>
      </c>
      <c r="I1758">
        <f>FlipkartTable[[#This Row],[Original Price]]-FlipkartTable[[#This Row],[Selling Price]]</f>
        <v>0</v>
      </c>
      <c r="J1758" s="4">
        <f>(FlipkartTable[[#This Row],[Original Price]]-FlipkartTable[[#This Row],[Selling Price]])/FlipkartTable[[#This Row],[Original Price]]</f>
        <v>0</v>
      </c>
      <c r="K1758">
        <f>(FlipkartTable[[#This Row],[Rating]]/FlipkartTable[[#This Row],[Selling Price]])*1000</f>
        <v>0.10025706940874035</v>
      </c>
      <c r="L1758" t="str">
        <f>IF(FlipkartTable[[#This Row],[Selling Price]]&lt;15000,"Budget",IF(FlipkartTable[[#This Row],[Selling Price]]&lt;50000,"Mid Range","Premium"))</f>
        <v>Mid Range</v>
      </c>
      <c r="M1758" t="str">
        <f>IF(FlipkartTable[[#This Row],[Rating]]&gt;4.5,"Excellent",IF(FlipkartTable[[#This Row],[Rating]]&gt;4,"Good",IF(FlipkartTable[[#This Row],[Rating]]&gt;3.5,"Average","Poor")))</f>
        <v>Average</v>
      </c>
    </row>
    <row r="1759" spans="1:13" x14ac:dyDescent="0.35">
      <c r="A1759" t="s">
        <v>663</v>
      </c>
      <c r="B1759" s="9" t="s">
        <v>790</v>
      </c>
      <c r="C1759" t="s">
        <v>716</v>
      </c>
      <c r="D1759" t="s">
        <v>27</v>
      </c>
      <c r="E1759" t="s">
        <v>15</v>
      </c>
      <c r="F1759">
        <v>4.5999999999999996</v>
      </c>
      <c r="G1759">
        <v>59900</v>
      </c>
      <c r="H1759">
        <v>59900</v>
      </c>
      <c r="I1759">
        <f>FlipkartTable[[#This Row],[Original Price]]-FlipkartTable[[#This Row],[Selling Price]]</f>
        <v>0</v>
      </c>
      <c r="J1759" s="4">
        <f>(FlipkartTable[[#This Row],[Original Price]]-FlipkartTable[[#This Row],[Selling Price]])/FlipkartTable[[#This Row],[Original Price]]</f>
        <v>0</v>
      </c>
      <c r="K1759">
        <f>(FlipkartTable[[#This Row],[Rating]]/FlipkartTable[[#This Row],[Selling Price]])*1000</f>
        <v>7.6794657762938229E-2</v>
      </c>
      <c r="L1759" t="str">
        <f>IF(FlipkartTable[[#This Row],[Selling Price]]&lt;15000,"Budget",IF(FlipkartTable[[#This Row],[Selling Price]]&lt;50000,"Mid Range","Premium"))</f>
        <v>Premium</v>
      </c>
      <c r="M1759" t="str">
        <f>IF(FlipkartTable[[#This Row],[Rating]]&gt;4.5,"Excellent",IF(FlipkartTable[[#This Row],[Rating]]&gt;4,"Good",IF(FlipkartTable[[#This Row],[Rating]]&gt;3.5,"Average","Poor")))</f>
        <v>Excellent</v>
      </c>
    </row>
    <row r="1760" spans="1:13" x14ac:dyDescent="0.35">
      <c r="A1760" t="s">
        <v>663</v>
      </c>
      <c r="B1760" s="9" t="s">
        <v>896</v>
      </c>
      <c r="C1760" t="s">
        <v>19</v>
      </c>
      <c r="D1760" t="s">
        <v>602</v>
      </c>
      <c r="E1760" t="s">
        <v>539</v>
      </c>
      <c r="F1760">
        <v>4.4000000000000004</v>
      </c>
      <c r="G1760">
        <v>1599</v>
      </c>
      <c r="H1760">
        <v>1599</v>
      </c>
      <c r="I1760">
        <f>FlipkartTable[[#This Row],[Original Price]]-FlipkartTable[[#This Row],[Selling Price]]</f>
        <v>0</v>
      </c>
      <c r="J1760" s="4">
        <f>(FlipkartTable[[#This Row],[Original Price]]-FlipkartTable[[#This Row],[Selling Price]])/FlipkartTable[[#This Row],[Original Price]]</f>
        <v>0</v>
      </c>
      <c r="K1760">
        <f>(FlipkartTable[[#This Row],[Rating]]/FlipkartTable[[#This Row],[Selling Price]])*1000</f>
        <v>2.7517198248905572</v>
      </c>
      <c r="L1760" t="str">
        <f>IF(FlipkartTable[[#This Row],[Selling Price]]&lt;15000,"Budget",IF(FlipkartTable[[#This Row],[Selling Price]]&lt;50000,"Mid Range","Premium"))</f>
        <v>Budget</v>
      </c>
      <c r="M1760" t="str">
        <f>IF(FlipkartTable[[#This Row],[Rating]]&gt;4.5,"Excellent",IF(FlipkartTable[[#This Row],[Rating]]&gt;4,"Good",IF(FlipkartTable[[#This Row],[Rating]]&gt;3.5,"Average","Poor")))</f>
        <v>Good</v>
      </c>
    </row>
    <row r="1761" spans="1:13" x14ac:dyDescent="0.35">
      <c r="A1761" t="s">
        <v>663</v>
      </c>
      <c r="B1761" s="9" t="s">
        <v>825</v>
      </c>
      <c r="C1761" t="s">
        <v>22</v>
      </c>
      <c r="D1761" t="s">
        <v>134</v>
      </c>
      <c r="E1761" t="s">
        <v>124</v>
      </c>
      <c r="F1761">
        <v>4.2</v>
      </c>
      <c r="G1761">
        <v>5900</v>
      </c>
      <c r="H1761">
        <v>5900</v>
      </c>
      <c r="I1761">
        <f>FlipkartTable[[#This Row],[Original Price]]-FlipkartTable[[#This Row],[Selling Price]]</f>
        <v>0</v>
      </c>
      <c r="J1761" s="4">
        <f>(FlipkartTable[[#This Row],[Original Price]]-FlipkartTable[[#This Row],[Selling Price]])/FlipkartTable[[#This Row],[Original Price]]</f>
        <v>0</v>
      </c>
      <c r="K1761">
        <f>(FlipkartTable[[#This Row],[Rating]]/FlipkartTable[[#This Row],[Selling Price]])*1000</f>
        <v>0.71186440677966101</v>
      </c>
      <c r="L1761" t="str">
        <f>IF(FlipkartTable[[#This Row],[Selling Price]]&lt;15000,"Budget",IF(FlipkartTable[[#This Row],[Selling Price]]&lt;50000,"Mid Range","Premium"))</f>
        <v>Budget</v>
      </c>
      <c r="M1761" t="str">
        <f>IF(FlipkartTable[[#This Row],[Rating]]&gt;4.5,"Excellent",IF(FlipkartTable[[#This Row],[Rating]]&gt;4,"Good",IF(FlipkartTable[[#This Row],[Rating]]&gt;3.5,"Average","Poor")))</f>
        <v>Good</v>
      </c>
    </row>
    <row r="1762" spans="1:13" x14ac:dyDescent="0.35">
      <c r="A1762" t="s">
        <v>663</v>
      </c>
      <c r="B1762" s="9" t="s">
        <v>897</v>
      </c>
      <c r="C1762" t="s">
        <v>152</v>
      </c>
      <c r="D1762" t="s">
        <v>35</v>
      </c>
      <c r="E1762" t="s">
        <v>124</v>
      </c>
      <c r="F1762">
        <v>4.0999999999999996</v>
      </c>
      <c r="G1762">
        <v>14490</v>
      </c>
      <c r="H1762">
        <v>14490</v>
      </c>
      <c r="I1762">
        <f>FlipkartTable[[#This Row],[Original Price]]-FlipkartTable[[#This Row],[Selling Price]]</f>
        <v>0</v>
      </c>
      <c r="J1762" s="4">
        <f>(FlipkartTable[[#This Row],[Original Price]]-FlipkartTable[[#This Row],[Selling Price]])/FlipkartTable[[#This Row],[Original Price]]</f>
        <v>0</v>
      </c>
      <c r="K1762">
        <f>(FlipkartTable[[#This Row],[Rating]]/FlipkartTable[[#This Row],[Selling Price]])*1000</f>
        <v>0.28295376121463073</v>
      </c>
      <c r="L1762" t="str">
        <f>IF(FlipkartTable[[#This Row],[Selling Price]]&lt;15000,"Budget",IF(FlipkartTable[[#This Row],[Selling Price]]&lt;50000,"Mid Range","Premium"))</f>
        <v>Budget</v>
      </c>
      <c r="M1762" t="str">
        <f>IF(FlipkartTable[[#This Row],[Rating]]&gt;4.5,"Excellent",IF(FlipkartTable[[#This Row],[Rating]]&gt;4,"Good",IF(FlipkartTable[[#This Row],[Rating]]&gt;3.5,"Average","Poor")))</f>
        <v>Good</v>
      </c>
    </row>
    <row r="1763" spans="1:13" x14ac:dyDescent="0.35">
      <c r="A1763" t="s">
        <v>663</v>
      </c>
      <c r="B1763" s="9" t="s">
        <v>738</v>
      </c>
      <c r="C1763" t="s">
        <v>884</v>
      </c>
      <c r="D1763" t="s">
        <v>14</v>
      </c>
      <c r="E1763" t="s">
        <v>12</v>
      </c>
      <c r="F1763">
        <v>4.5</v>
      </c>
      <c r="G1763">
        <v>70000</v>
      </c>
      <c r="H1763">
        <v>70000</v>
      </c>
      <c r="I1763">
        <f>FlipkartTable[[#This Row],[Original Price]]-FlipkartTable[[#This Row],[Selling Price]]</f>
        <v>0</v>
      </c>
      <c r="J1763" s="4">
        <f>(FlipkartTable[[#This Row],[Original Price]]-FlipkartTable[[#This Row],[Selling Price]])/FlipkartTable[[#This Row],[Original Price]]</f>
        <v>0</v>
      </c>
      <c r="K1763">
        <f>(FlipkartTable[[#This Row],[Rating]]/FlipkartTable[[#This Row],[Selling Price]])*1000</f>
        <v>6.4285714285714293E-2</v>
      </c>
      <c r="L1763" t="str">
        <f>IF(FlipkartTable[[#This Row],[Selling Price]]&lt;15000,"Budget",IF(FlipkartTable[[#This Row],[Selling Price]]&lt;50000,"Mid Range","Premium"))</f>
        <v>Premium</v>
      </c>
      <c r="M1763" t="str">
        <f>IF(FlipkartTable[[#This Row],[Rating]]&gt;4.5,"Excellent",IF(FlipkartTable[[#This Row],[Rating]]&gt;4,"Good",IF(FlipkartTable[[#This Row],[Rating]]&gt;3.5,"Average","Poor")))</f>
        <v>Good</v>
      </c>
    </row>
    <row r="1764" spans="1:13" x14ac:dyDescent="0.35">
      <c r="A1764" t="s">
        <v>663</v>
      </c>
      <c r="B1764" s="9" t="s">
        <v>797</v>
      </c>
      <c r="C1764" t="s">
        <v>892</v>
      </c>
      <c r="D1764" t="s">
        <v>20</v>
      </c>
      <c r="E1764" t="s">
        <v>12</v>
      </c>
      <c r="F1764">
        <v>4</v>
      </c>
      <c r="G1764">
        <v>53900</v>
      </c>
      <c r="H1764">
        <v>53900</v>
      </c>
      <c r="I1764">
        <f>FlipkartTable[[#This Row],[Original Price]]-FlipkartTable[[#This Row],[Selling Price]]</f>
        <v>0</v>
      </c>
      <c r="J1764" s="4">
        <f>(FlipkartTable[[#This Row],[Original Price]]-FlipkartTable[[#This Row],[Selling Price]])/FlipkartTable[[#This Row],[Original Price]]</f>
        <v>0</v>
      </c>
      <c r="K1764">
        <f>(FlipkartTable[[#This Row],[Rating]]/FlipkartTable[[#This Row],[Selling Price]])*1000</f>
        <v>7.4211502782931343E-2</v>
      </c>
      <c r="L1764" t="str">
        <f>IF(FlipkartTable[[#This Row],[Selling Price]]&lt;15000,"Budget",IF(FlipkartTable[[#This Row],[Selling Price]]&lt;50000,"Mid Range","Premium"))</f>
        <v>Premium</v>
      </c>
      <c r="M1764" t="str">
        <f>IF(FlipkartTable[[#This Row],[Rating]]&gt;4.5,"Excellent",IF(FlipkartTable[[#This Row],[Rating]]&gt;4,"Good",IF(FlipkartTable[[#This Row],[Rating]]&gt;3.5,"Average","Poor")))</f>
        <v>Average</v>
      </c>
    </row>
    <row r="1765" spans="1:13" x14ac:dyDescent="0.35">
      <c r="A1765" t="s">
        <v>663</v>
      </c>
      <c r="B1765" s="9" t="s">
        <v>812</v>
      </c>
      <c r="C1765" t="s">
        <v>853</v>
      </c>
      <c r="D1765" t="s">
        <v>35</v>
      </c>
      <c r="E1765" t="s">
        <v>124</v>
      </c>
      <c r="F1765">
        <v>3.9</v>
      </c>
      <c r="G1765">
        <v>21999</v>
      </c>
      <c r="H1765">
        <v>21999</v>
      </c>
      <c r="I1765">
        <f>FlipkartTable[[#This Row],[Original Price]]-FlipkartTable[[#This Row],[Selling Price]]</f>
        <v>0</v>
      </c>
      <c r="J1765" s="4">
        <f>(FlipkartTable[[#This Row],[Original Price]]-FlipkartTable[[#This Row],[Selling Price]])/FlipkartTable[[#This Row],[Original Price]]</f>
        <v>0</v>
      </c>
      <c r="K1765">
        <f>(FlipkartTable[[#This Row],[Rating]]/FlipkartTable[[#This Row],[Selling Price]])*1000</f>
        <v>0.17728078549024953</v>
      </c>
      <c r="L1765" t="str">
        <f>IF(FlipkartTable[[#This Row],[Selling Price]]&lt;15000,"Budget",IF(FlipkartTable[[#This Row],[Selling Price]]&lt;50000,"Mid Range","Premium"))</f>
        <v>Mid Range</v>
      </c>
      <c r="M1765" t="str">
        <f>IF(FlipkartTable[[#This Row],[Rating]]&gt;4.5,"Excellent",IF(FlipkartTable[[#This Row],[Rating]]&gt;4,"Good",IF(FlipkartTable[[#This Row],[Rating]]&gt;3.5,"Average","Poor")))</f>
        <v>Average</v>
      </c>
    </row>
    <row r="1766" spans="1:13" x14ac:dyDescent="0.35">
      <c r="A1766" t="s">
        <v>663</v>
      </c>
      <c r="B1766" s="9" t="s">
        <v>889</v>
      </c>
      <c r="C1766" t="s">
        <v>179</v>
      </c>
      <c r="D1766" t="s">
        <v>20</v>
      </c>
      <c r="E1766" t="s">
        <v>21</v>
      </c>
      <c r="F1766">
        <v>4.2</v>
      </c>
      <c r="G1766">
        <v>21999</v>
      </c>
      <c r="H1766">
        <v>21999</v>
      </c>
      <c r="I1766">
        <f>FlipkartTable[[#This Row],[Original Price]]-FlipkartTable[[#This Row],[Selling Price]]</f>
        <v>0</v>
      </c>
      <c r="J1766" s="4">
        <f>(FlipkartTable[[#This Row],[Original Price]]-FlipkartTable[[#This Row],[Selling Price]])/FlipkartTable[[#This Row],[Original Price]]</f>
        <v>0</v>
      </c>
      <c r="K1766">
        <f>(FlipkartTable[[#This Row],[Rating]]/FlipkartTable[[#This Row],[Selling Price]])*1000</f>
        <v>0.19091776898949953</v>
      </c>
      <c r="L1766" t="str">
        <f>IF(FlipkartTable[[#This Row],[Selling Price]]&lt;15000,"Budget",IF(FlipkartTable[[#This Row],[Selling Price]]&lt;50000,"Mid Range","Premium"))</f>
        <v>Mid Range</v>
      </c>
      <c r="M1766" t="str">
        <f>IF(FlipkartTable[[#This Row],[Rating]]&gt;4.5,"Excellent",IF(FlipkartTable[[#This Row],[Rating]]&gt;4,"Good",IF(FlipkartTable[[#This Row],[Rating]]&gt;3.5,"Average","Poor")))</f>
        <v>Good</v>
      </c>
    </row>
    <row r="1767" spans="1:13" x14ac:dyDescent="0.35">
      <c r="A1767" t="s">
        <v>663</v>
      </c>
      <c r="B1767" s="9" t="s">
        <v>865</v>
      </c>
      <c r="C1767" t="s">
        <v>19</v>
      </c>
      <c r="D1767" t="s">
        <v>134</v>
      </c>
      <c r="E1767" t="s">
        <v>27</v>
      </c>
      <c r="F1767">
        <v>4</v>
      </c>
      <c r="G1767">
        <v>7550</v>
      </c>
      <c r="H1767">
        <v>7550</v>
      </c>
      <c r="I1767">
        <f>FlipkartTable[[#This Row],[Original Price]]-FlipkartTable[[#This Row],[Selling Price]]</f>
        <v>0</v>
      </c>
      <c r="J1767" s="4">
        <f>(FlipkartTable[[#This Row],[Original Price]]-FlipkartTable[[#This Row],[Selling Price]])/FlipkartTable[[#This Row],[Original Price]]</f>
        <v>0</v>
      </c>
      <c r="K1767">
        <f>(FlipkartTable[[#This Row],[Rating]]/FlipkartTable[[#This Row],[Selling Price]])*1000</f>
        <v>0.5298013245033113</v>
      </c>
      <c r="L1767" t="str">
        <f>IF(FlipkartTable[[#This Row],[Selling Price]]&lt;15000,"Budget",IF(FlipkartTable[[#This Row],[Selling Price]]&lt;50000,"Mid Range","Premium"))</f>
        <v>Budget</v>
      </c>
      <c r="M1767" t="str">
        <f>IF(FlipkartTable[[#This Row],[Rating]]&gt;4.5,"Excellent",IF(FlipkartTable[[#This Row],[Rating]]&gt;4,"Good",IF(FlipkartTable[[#This Row],[Rating]]&gt;3.5,"Average","Poor")))</f>
        <v>Average</v>
      </c>
    </row>
    <row r="1768" spans="1:13" x14ac:dyDescent="0.35">
      <c r="A1768" t="s">
        <v>663</v>
      </c>
      <c r="B1768" s="9" t="s">
        <v>833</v>
      </c>
      <c r="C1768" t="s">
        <v>884</v>
      </c>
      <c r="D1768" t="s">
        <v>11</v>
      </c>
      <c r="E1768" t="s">
        <v>15</v>
      </c>
      <c r="F1768">
        <v>4.4000000000000004</v>
      </c>
      <c r="G1768">
        <v>39900</v>
      </c>
      <c r="H1768">
        <v>39900</v>
      </c>
      <c r="I1768">
        <f>FlipkartTable[[#This Row],[Original Price]]-FlipkartTable[[#This Row],[Selling Price]]</f>
        <v>0</v>
      </c>
      <c r="J1768" s="4">
        <f>(FlipkartTable[[#This Row],[Original Price]]-FlipkartTable[[#This Row],[Selling Price]])/FlipkartTable[[#This Row],[Original Price]]</f>
        <v>0</v>
      </c>
      <c r="K1768">
        <f>(FlipkartTable[[#This Row],[Rating]]/FlipkartTable[[#This Row],[Selling Price]])*1000</f>
        <v>0.11027568922305765</v>
      </c>
      <c r="L1768" t="str">
        <f>IF(FlipkartTable[[#This Row],[Selling Price]]&lt;15000,"Budget",IF(FlipkartTable[[#This Row],[Selling Price]]&lt;50000,"Mid Range","Premium"))</f>
        <v>Mid Range</v>
      </c>
      <c r="M1768" t="str">
        <f>IF(FlipkartTable[[#This Row],[Rating]]&gt;4.5,"Excellent",IF(FlipkartTable[[#This Row],[Rating]]&gt;4,"Good",IF(FlipkartTable[[#This Row],[Rating]]&gt;3.5,"Average","Poor")))</f>
        <v>Good</v>
      </c>
    </row>
    <row r="1769" spans="1:13" x14ac:dyDescent="0.35">
      <c r="A1769" t="s">
        <v>663</v>
      </c>
      <c r="B1769" s="9" t="s">
        <v>738</v>
      </c>
      <c r="C1769" t="s">
        <v>898</v>
      </c>
      <c r="D1769" t="s">
        <v>14</v>
      </c>
      <c r="E1769" t="s">
        <v>12</v>
      </c>
      <c r="F1769">
        <v>4.5</v>
      </c>
      <c r="G1769">
        <v>70000</v>
      </c>
      <c r="H1769">
        <v>70000</v>
      </c>
      <c r="I1769">
        <f>FlipkartTable[[#This Row],[Original Price]]-FlipkartTable[[#This Row],[Selling Price]]</f>
        <v>0</v>
      </c>
      <c r="J1769" s="4">
        <f>(FlipkartTable[[#This Row],[Original Price]]-FlipkartTable[[#This Row],[Selling Price]])/FlipkartTable[[#This Row],[Original Price]]</f>
        <v>0</v>
      </c>
      <c r="K1769">
        <f>(FlipkartTable[[#This Row],[Rating]]/FlipkartTable[[#This Row],[Selling Price]])*1000</f>
        <v>6.4285714285714293E-2</v>
      </c>
      <c r="L1769" t="str">
        <f>IF(FlipkartTable[[#This Row],[Selling Price]]&lt;15000,"Budget",IF(FlipkartTable[[#This Row],[Selling Price]]&lt;50000,"Mid Range","Premium"))</f>
        <v>Premium</v>
      </c>
      <c r="M1769" t="str">
        <f>IF(FlipkartTable[[#This Row],[Rating]]&gt;4.5,"Excellent",IF(FlipkartTable[[#This Row],[Rating]]&gt;4,"Good",IF(FlipkartTable[[#This Row],[Rating]]&gt;3.5,"Average","Poor")))</f>
        <v>Good</v>
      </c>
    </row>
    <row r="1770" spans="1:13" x14ac:dyDescent="0.35">
      <c r="A1770" t="s">
        <v>663</v>
      </c>
      <c r="B1770" s="9" t="s">
        <v>812</v>
      </c>
      <c r="C1770" t="s">
        <v>899</v>
      </c>
      <c r="D1770" t="s">
        <v>35</v>
      </c>
      <c r="E1770" t="s">
        <v>124</v>
      </c>
      <c r="F1770">
        <v>3.9</v>
      </c>
      <c r="G1770">
        <v>21999</v>
      </c>
      <c r="H1770">
        <v>21999</v>
      </c>
      <c r="I1770">
        <f>FlipkartTable[[#This Row],[Original Price]]-FlipkartTable[[#This Row],[Selling Price]]</f>
        <v>0</v>
      </c>
      <c r="J1770" s="4">
        <f>(FlipkartTable[[#This Row],[Original Price]]-FlipkartTable[[#This Row],[Selling Price]])/FlipkartTable[[#This Row],[Original Price]]</f>
        <v>0</v>
      </c>
      <c r="K1770">
        <f>(FlipkartTable[[#This Row],[Rating]]/FlipkartTable[[#This Row],[Selling Price]])*1000</f>
        <v>0.17728078549024953</v>
      </c>
      <c r="L1770" t="str">
        <f>IF(FlipkartTable[[#This Row],[Selling Price]]&lt;15000,"Budget",IF(FlipkartTable[[#This Row],[Selling Price]]&lt;50000,"Mid Range","Premium"))</f>
        <v>Mid Range</v>
      </c>
      <c r="M1770" t="str">
        <f>IF(FlipkartTable[[#This Row],[Rating]]&gt;4.5,"Excellent",IF(FlipkartTable[[#This Row],[Rating]]&gt;4,"Good",IF(FlipkartTable[[#This Row],[Rating]]&gt;3.5,"Average","Poor")))</f>
        <v>Average</v>
      </c>
    </row>
    <row r="1771" spans="1:13" x14ac:dyDescent="0.35">
      <c r="A1771" t="s">
        <v>663</v>
      </c>
      <c r="B1771" s="9" t="s">
        <v>738</v>
      </c>
      <c r="C1771" t="s">
        <v>868</v>
      </c>
      <c r="D1771" t="s">
        <v>14</v>
      </c>
      <c r="E1771" t="s">
        <v>15</v>
      </c>
      <c r="F1771">
        <v>4.5</v>
      </c>
      <c r="G1771">
        <v>68900</v>
      </c>
      <c r="H1771">
        <v>68900</v>
      </c>
      <c r="I1771">
        <f>FlipkartTable[[#This Row],[Original Price]]-FlipkartTable[[#This Row],[Selling Price]]</f>
        <v>0</v>
      </c>
      <c r="J1771" s="4">
        <f>(FlipkartTable[[#This Row],[Original Price]]-FlipkartTable[[#This Row],[Selling Price]])/FlipkartTable[[#This Row],[Original Price]]</f>
        <v>0</v>
      </c>
      <c r="K1771">
        <f>(FlipkartTable[[#This Row],[Rating]]/FlipkartTable[[#This Row],[Selling Price]])*1000</f>
        <v>6.5312046444121918E-2</v>
      </c>
      <c r="L1771" t="str">
        <f>IF(FlipkartTable[[#This Row],[Selling Price]]&lt;15000,"Budget",IF(FlipkartTable[[#This Row],[Selling Price]]&lt;50000,"Mid Range","Premium"))</f>
        <v>Premium</v>
      </c>
      <c r="M1771" t="str">
        <f>IF(FlipkartTable[[#This Row],[Rating]]&gt;4.5,"Excellent",IF(FlipkartTable[[#This Row],[Rating]]&gt;4,"Good",IF(FlipkartTable[[#This Row],[Rating]]&gt;3.5,"Average","Poor")))</f>
        <v>Good</v>
      </c>
    </row>
    <row r="1772" spans="1:13" x14ac:dyDescent="0.35">
      <c r="A1772" t="s">
        <v>663</v>
      </c>
      <c r="B1772" s="9" t="s">
        <v>897</v>
      </c>
      <c r="C1772" t="s">
        <v>116</v>
      </c>
      <c r="D1772" t="s">
        <v>35</v>
      </c>
      <c r="E1772" t="s">
        <v>124</v>
      </c>
      <c r="F1772">
        <v>4.0999999999999996</v>
      </c>
      <c r="G1772">
        <v>14490</v>
      </c>
      <c r="H1772">
        <v>14490</v>
      </c>
      <c r="I1772">
        <f>FlipkartTable[[#This Row],[Original Price]]-FlipkartTable[[#This Row],[Selling Price]]</f>
        <v>0</v>
      </c>
      <c r="J1772" s="4">
        <f>(FlipkartTable[[#This Row],[Original Price]]-FlipkartTable[[#This Row],[Selling Price]])/FlipkartTable[[#This Row],[Original Price]]</f>
        <v>0</v>
      </c>
      <c r="K1772">
        <f>(FlipkartTable[[#This Row],[Rating]]/FlipkartTable[[#This Row],[Selling Price]])*1000</f>
        <v>0.28295376121463073</v>
      </c>
      <c r="L1772" t="str">
        <f>IF(FlipkartTable[[#This Row],[Selling Price]]&lt;15000,"Budget",IF(FlipkartTable[[#This Row],[Selling Price]]&lt;50000,"Mid Range","Premium"))</f>
        <v>Budget</v>
      </c>
      <c r="M1772" t="str">
        <f>IF(FlipkartTable[[#This Row],[Rating]]&gt;4.5,"Excellent",IF(FlipkartTable[[#This Row],[Rating]]&gt;4,"Good",IF(FlipkartTable[[#This Row],[Rating]]&gt;3.5,"Average","Poor")))</f>
        <v>Good</v>
      </c>
    </row>
    <row r="1773" spans="1:13" x14ac:dyDescent="0.35">
      <c r="A1773" t="s">
        <v>663</v>
      </c>
      <c r="B1773" s="9" t="s">
        <v>865</v>
      </c>
      <c r="C1773" t="s">
        <v>116</v>
      </c>
      <c r="D1773" t="s">
        <v>134</v>
      </c>
      <c r="E1773" t="s">
        <v>27</v>
      </c>
      <c r="F1773">
        <v>4</v>
      </c>
      <c r="G1773">
        <v>7550</v>
      </c>
      <c r="H1773">
        <v>7550</v>
      </c>
      <c r="I1773">
        <f>FlipkartTable[[#This Row],[Original Price]]-FlipkartTable[[#This Row],[Selling Price]]</f>
        <v>0</v>
      </c>
      <c r="J1773" s="4">
        <f>(FlipkartTable[[#This Row],[Original Price]]-FlipkartTable[[#This Row],[Selling Price]])/FlipkartTable[[#This Row],[Original Price]]</f>
        <v>0</v>
      </c>
      <c r="K1773">
        <f>(FlipkartTable[[#This Row],[Rating]]/FlipkartTable[[#This Row],[Selling Price]])*1000</f>
        <v>0.5298013245033113</v>
      </c>
      <c r="L1773" t="str">
        <f>IF(FlipkartTable[[#This Row],[Selling Price]]&lt;15000,"Budget",IF(FlipkartTable[[#This Row],[Selling Price]]&lt;50000,"Mid Range","Premium"))</f>
        <v>Budget</v>
      </c>
      <c r="M1773" t="str">
        <f>IF(FlipkartTable[[#This Row],[Rating]]&gt;4.5,"Excellent",IF(FlipkartTable[[#This Row],[Rating]]&gt;4,"Good",IF(FlipkartTable[[#This Row],[Rating]]&gt;3.5,"Average","Poor")))</f>
        <v>Average</v>
      </c>
    </row>
    <row r="1774" spans="1:13" x14ac:dyDescent="0.35">
      <c r="A1774" t="s">
        <v>663</v>
      </c>
      <c r="B1774" s="9" t="s">
        <v>785</v>
      </c>
      <c r="C1774" t="s">
        <v>152</v>
      </c>
      <c r="D1774" t="s">
        <v>11</v>
      </c>
      <c r="E1774" t="s">
        <v>12</v>
      </c>
      <c r="F1774">
        <v>4.3</v>
      </c>
      <c r="G1774">
        <v>21000</v>
      </c>
      <c r="H1774">
        <v>21000</v>
      </c>
      <c r="I1774">
        <f>FlipkartTable[[#This Row],[Original Price]]-FlipkartTable[[#This Row],[Selling Price]]</f>
        <v>0</v>
      </c>
      <c r="J1774" s="4">
        <f>(FlipkartTable[[#This Row],[Original Price]]-FlipkartTable[[#This Row],[Selling Price]])/FlipkartTable[[#This Row],[Original Price]]</f>
        <v>0</v>
      </c>
      <c r="K1774">
        <f>(FlipkartTable[[#This Row],[Rating]]/FlipkartTable[[#This Row],[Selling Price]])*1000</f>
        <v>0.20476190476190476</v>
      </c>
      <c r="L1774" t="str">
        <f>IF(FlipkartTable[[#This Row],[Selling Price]]&lt;15000,"Budget",IF(FlipkartTable[[#This Row],[Selling Price]]&lt;50000,"Mid Range","Premium"))</f>
        <v>Mid Range</v>
      </c>
      <c r="M1774" t="str">
        <f>IF(FlipkartTable[[#This Row],[Rating]]&gt;4.5,"Excellent",IF(FlipkartTable[[#This Row],[Rating]]&gt;4,"Good",IF(FlipkartTable[[#This Row],[Rating]]&gt;3.5,"Average","Poor")))</f>
        <v>Good</v>
      </c>
    </row>
    <row r="1775" spans="1:13" x14ac:dyDescent="0.35">
      <c r="A1775" t="s">
        <v>663</v>
      </c>
      <c r="B1775" s="9" t="s">
        <v>893</v>
      </c>
      <c r="C1775" t="s">
        <v>405</v>
      </c>
      <c r="D1775" t="s">
        <v>134</v>
      </c>
      <c r="E1775" t="s">
        <v>124</v>
      </c>
      <c r="F1775">
        <v>4</v>
      </c>
      <c r="G1775">
        <v>10800</v>
      </c>
      <c r="H1775">
        <v>10800</v>
      </c>
      <c r="I1775">
        <f>FlipkartTable[[#This Row],[Original Price]]-FlipkartTable[[#This Row],[Selling Price]]</f>
        <v>0</v>
      </c>
      <c r="J1775" s="4">
        <f>(FlipkartTable[[#This Row],[Original Price]]-FlipkartTable[[#This Row],[Selling Price]])/FlipkartTable[[#This Row],[Original Price]]</f>
        <v>0</v>
      </c>
      <c r="K1775">
        <f>(FlipkartTable[[#This Row],[Rating]]/FlipkartTable[[#This Row],[Selling Price]])*1000</f>
        <v>0.37037037037037035</v>
      </c>
      <c r="L1775" t="str">
        <f>IF(FlipkartTable[[#This Row],[Selling Price]]&lt;15000,"Budget",IF(FlipkartTable[[#This Row],[Selling Price]]&lt;50000,"Mid Range","Premium"))</f>
        <v>Budget</v>
      </c>
      <c r="M1775" t="str">
        <f>IF(FlipkartTable[[#This Row],[Rating]]&gt;4.5,"Excellent",IF(FlipkartTable[[#This Row],[Rating]]&gt;4,"Good",IF(FlipkartTable[[#This Row],[Rating]]&gt;3.5,"Average","Poor")))</f>
        <v>Average</v>
      </c>
    </row>
    <row r="1776" spans="1:13" x14ac:dyDescent="0.35">
      <c r="A1776" t="s">
        <v>663</v>
      </c>
      <c r="B1776" s="9" t="s">
        <v>845</v>
      </c>
      <c r="C1776" t="s">
        <v>19</v>
      </c>
      <c r="D1776" t="s">
        <v>11</v>
      </c>
      <c r="E1776" t="s">
        <v>12</v>
      </c>
      <c r="F1776">
        <v>4.3</v>
      </c>
      <c r="G1776">
        <v>17600</v>
      </c>
      <c r="H1776">
        <v>17600</v>
      </c>
      <c r="I1776">
        <f>FlipkartTable[[#This Row],[Original Price]]-FlipkartTable[[#This Row],[Selling Price]]</f>
        <v>0</v>
      </c>
      <c r="J1776" s="4">
        <f>(FlipkartTable[[#This Row],[Original Price]]-FlipkartTable[[#This Row],[Selling Price]])/FlipkartTable[[#This Row],[Original Price]]</f>
        <v>0</v>
      </c>
      <c r="K1776">
        <f>(FlipkartTable[[#This Row],[Rating]]/FlipkartTable[[#This Row],[Selling Price]])*1000</f>
        <v>0.2443181818181818</v>
      </c>
      <c r="L1776" t="str">
        <f>IF(FlipkartTable[[#This Row],[Selling Price]]&lt;15000,"Budget",IF(FlipkartTable[[#This Row],[Selling Price]]&lt;50000,"Mid Range","Premium"))</f>
        <v>Mid Range</v>
      </c>
      <c r="M1776" t="str">
        <f>IF(FlipkartTable[[#This Row],[Rating]]&gt;4.5,"Excellent",IF(FlipkartTable[[#This Row],[Rating]]&gt;4,"Good",IF(FlipkartTable[[#This Row],[Rating]]&gt;3.5,"Average","Poor")))</f>
        <v>Good</v>
      </c>
    </row>
    <row r="1777" spans="1:13" x14ac:dyDescent="0.35">
      <c r="A1777" t="s">
        <v>663</v>
      </c>
      <c r="B1777" s="9" t="s">
        <v>738</v>
      </c>
      <c r="C1777" t="s">
        <v>900</v>
      </c>
      <c r="D1777" t="s">
        <v>14</v>
      </c>
      <c r="E1777" t="s">
        <v>15</v>
      </c>
      <c r="F1777">
        <v>4.5</v>
      </c>
      <c r="G1777">
        <v>68900</v>
      </c>
      <c r="H1777">
        <v>68900</v>
      </c>
      <c r="I1777">
        <f>FlipkartTable[[#This Row],[Original Price]]-FlipkartTable[[#This Row],[Selling Price]]</f>
        <v>0</v>
      </c>
      <c r="J1777" s="4">
        <f>(FlipkartTable[[#This Row],[Original Price]]-FlipkartTable[[#This Row],[Selling Price]])/FlipkartTable[[#This Row],[Original Price]]</f>
        <v>0</v>
      </c>
      <c r="K1777">
        <f>(FlipkartTable[[#This Row],[Rating]]/FlipkartTable[[#This Row],[Selling Price]])*1000</f>
        <v>6.5312046444121918E-2</v>
      </c>
      <c r="L1777" t="str">
        <f>IF(FlipkartTable[[#This Row],[Selling Price]]&lt;15000,"Budget",IF(FlipkartTable[[#This Row],[Selling Price]]&lt;50000,"Mid Range","Premium"))</f>
        <v>Premium</v>
      </c>
      <c r="M1777" t="str">
        <f>IF(FlipkartTable[[#This Row],[Rating]]&gt;4.5,"Excellent",IF(FlipkartTable[[#This Row],[Rating]]&gt;4,"Good",IF(FlipkartTable[[#This Row],[Rating]]&gt;3.5,"Average","Poor")))</f>
        <v>Good</v>
      </c>
    </row>
    <row r="1778" spans="1:13" x14ac:dyDescent="0.35">
      <c r="A1778" t="s">
        <v>663</v>
      </c>
      <c r="B1778" s="9" t="s">
        <v>854</v>
      </c>
      <c r="C1778" t="s">
        <v>170</v>
      </c>
      <c r="D1778" t="s">
        <v>284</v>
      </c>
      <c r="E1778" t="s">
        <v>27</v>
      </c>
      <c r="F1778">
        <v>4</v>
      </c>
      <c r="G1778">
        <v>7200</v>
      </c>
      <c r="H1778">
        <v>7200</v>
      </c>
      <c r="I1778">
        <f>FlipkartTable[[#This Row],[Original Price]]-FlipkartTable[[#This Row],[Selling Price]]</f>
        <v>0</v>
      </c>
      <c r="J1778" s="4">
        <f>(FlipkartTable[[#This Row],[Original Price]]-FlipkartTable[[#This Row],[Selling Price]])/FlipkartTable[[#This Row],[Original Price]]</f>
        <v>0</v>
      </c>
      <c r="K1778">
        <f>(FlipkartTable[[#This Row],[Rating]]/FlipkartTable[[#This Row],[Selling Price]])*1000</f>
        <v>0.55555555555555558</v>
      </c>
      <c r="L1778" t="str">
        <f>IF(FlipkartTable[[#This Row],[Selling Price]]&lt;15000,"Budget",IF(FlipkartTable[[#This Row],[Selling Price]]&lt;50000,"Mid Range","Premium"))</f>
        <v>Budget</v>
      </c>
      <c r="M1778" t="str">
        <f>IF(FlipkartTable[[#This Row],[Rating]]&gt;4.5,"Excellent",IF(FlipkartTable[[#This Row],[Rating]]&gt;4,"Good",IF(FlipkartTable[[#This Row],[Rating]]&gt;3.5,"Average","Poor")))</f>
        <v>Average</v>
      </c>
    </row>
    <row r="1779" spans="1:13" x14ac:dyDescent="0.35">
      <c r="A1779" t="s">
        <v>663</v>
      </c>
      <c r="B1779" s="9" t="s">
        <v>708</v>
      </c>
      <c r="C1779" t="s">
        <v>92</v>
      </c>
      <c r="D1779" t="s">
        <v>27</v>
      </c>
      <c r="E1779" t="s">
        <v>15</v>
      </c>
      <c r="F1779">
        <v>4.5</v>
      </c>
      <c r="G1779">
        <v>40999</v>
      </c>
      <c r="H1779">
        <v>43999</v>
      </c>
      <c r="I1779">
        <f>FlipkartTable[[#This Row],[Original Price]]-FlipkartTable[[#This Row],[Selling Price]]</f>
        <v>3000</v>
      </c>
      <c r="J1779" s="4">
        <f>(FlipkartTable[[#This Row],[Original Price]]-FlipkartTable[[#This Row],[Selling Price]])/FlipkartTable[[#This Row],[Original Price]]</f>
        <v>6.8183367803813719E-2</v>
      </c>
      <c r="K1779">
        <f>(FlipkartTable[[#This Row],[Rating]]/FlipkartTable[[#This Row],[Selling Price]])*1000</f>
        <v>0.10975877460425865</v>
      </c>
      <c r="L1779" t="str">
        <f>IF(FlipkartTable[[#This Row],[Selling Price]]&lt;15000,"Budget",IF(FlipkartTable[[#This Row],[Selling Price]]&lt;50000,"Mid Range","Premium"))</f>
        <v>Mid Range</v>
      </c>
      <c r="M1779" t="str">
        <f>IF(FlipkartTable[[#This Row],[Rating]]&gt;4.5,"Excellent",IF(FlipkartTable[[#This Row],[Rating]]&gt;4,"Good",IF(FlipkartTable[[#This Row],[Rating]]&gt;3.5,"Average","Poor")))</f>
        <v>Good</v>
      </c>
    </row>
    <row r="1780" spans="1:13" x14ac:dyDescent="0.35">
      <c r="A1780" t="s">
        <v>663</v>
      </c>
      <c r="B1780" s="9" t="s">
        <v>833</v>
      </c>
      <c r="C1780" t="s">
        <v>884</v>
      </c>
      <c r="D1780" t="s">
        <v>11</v>
      </c>
      <c r="E1780" t="s">
        <v>12</v>
      </c>
      <c r="F1780">
        <v>4.4000000000000004</v>
      </c>
      <c r="G1780">
        <v>62500</v>
      </c>
      <c r="H1780">
        <v>62500</v>
      </c>
      <c r="I1780">
        <f>FlipkartTable[[#This Row],[Original Price]]-FlipkartTable[[#This Row],[Selling Price]]</f>
        <v>0</v>
      </c>
      <c r="J1780" s="4">
        <f>(FlipkartTable[[#This Row],[Original Price]]-FlipkartTable[[#This Row],[Selling Price]])/FlipkartTable[[#This Row],[Original Price]]</f>
        <v>0</v>
      </c>
      <c r="K1780">
        <f>(FlipkartTable[[#This Row],[Rating]]/FlipkartTable[[#This Row],[Selling Price]])*1000</f>
        <v>7.0400000000000004E-2</v>
      </c>
      <c r="L1780" t="str">
        <f>IF(FlipkartTable[[#This Row],[Selling Price]]&lt;15000,"Budget",IF(FlipkartTable[[#This Row],[Selling Price]]&lt;50000,"Mid Range","Premium"))</f>
        <v>Premium</v>
      </c>
      <c r="M1780" t="str">
        <f>IF(FlipkartTable[[#This Row],[Rating]]&gt;4.5,"Excellent",IF(FlipkartTable[[#This Row],[Rating]]&gt;4,"Good",IF(FlipkartTable[[#This Row],[Rating]]&gt;3.5,"Average","Poor")))</f>
        <v>Good</v>
      </c>
    </row>
    <row r="1781" spans="1:13" x14ac:dyDescent="0.35">
      <c r="A1781" t="s">
        <v>663</v>
      </c>
      <c r="B1781" s="9" t="s">
        <v>895</v>
      </c>
      <c r="C1781" t="s">
        <v>116</v>
      </c>
      <c r="D1781" t="s">
        <v>35</v>
      </c>
      <c r="E1781" t="s">
        <v>21</v>
      </c>
      <c r="F1781">
        <v>4.2</v>
      </c>
      <c r="G1781">
        <v>25990</v>
      </c>
      <c r="H1781">
        <v>25990</v>
      </c>
      <c r="I1781">
        <f>FlipkartTable[[#This Row],[Original Price]]-FlipkartTable[[#This Row],[Selling Price]]</f>
        <v>0</v>
      </c>
      <c r="J1781" s="4">
        <f>(FlipkartTable[[#This Row],[Original Price]]-FlipkartTable[[#This Row],[Selling Price]])/FlipkartTable[[#This Row],[Original Price]]</f>
        <v>0</v>
      </c>
      <c r="K1781">
        <f>(FlipkartTable[[#This Row],[Rating]]/FlipkartTable[[#This Row],[Selling Price]])*1000</f>
        <v>0.16160061562139286</v>
      </c>
      <c r="L1781" t="str">
        <f>IF(FlipkartTable[[#This Row],[Selling Price]]&lt;15000,"Budget",IF(FlipkartTable[[#This Row],[Selling Price]]&lt;50000,"Mid Range","Premium"))</f>
        <v>Mid Range</v>
      </c>
      <c r="M1781" t="str">
        <f>IF(FlipkartTable[[#This Row],[Rating]]&gt;4.5,"Excellent",IF(FlipkartTable[[#This Row],[Rating]]&gt;4,"Good",IF(FlipkartTable[[#This Row],[Rating]]&gt;3.5,"Average","Poor")))</f>
        <v>Good</v>
      </c>
    </row>
    <row r="1782" spans="1:13" x14ac:dyDescent="0.35">
      <c r="A1782" t="s">
        <v>663</v>
      </c>
      <c r="B1782" s="9" t="s">
        <v>779</v>
      </c>
      <c r="C1782" t="s">
        <v>901</v>
      </c>
      <c r="D1782" t="s">
        <v>14</v>
      </c>
      <c r="E1782" t="s">
        <v>15</v>
      </c>
      <c r="F1782">
        <v>4.5999999999999996</v>
      </c>
      <c r="G1782">
        <v>73600</v>
      </c>
      <c r="H1782">
        <v>73600</v>
      </c>
      <c r="I1782">
        <f>FlipkartTable[[#This Row],[Original Price]]-FlipkartTable[[#This Row],[Selling Price]]</f>
        <v>0</v>
      </c>
      <c r="J1782" s="4">
        <f>(FlipkartTable[[#This Row],[Original Price]]-FlipkartTable[[#This Row],[Selling Price]])/FlipkartTable[[#This Row],[Original Price]]</f>
        <v>0</v>
      </c>
      <c r="K1782">
        <f>(FlipkartTable[[#This Row],[Rating]]/FlipkartTable[[#This Row],[Selling Price]])*1000</f>
        <v>6.25E-2</v>
      </c>
      <c r="L1782" t="str">
        <f>IF(FlipkartTable[[#This Row],[Selling Price]]&lt;15000,"Budget",IF(FlipkartTable[[#This Row],[Selling Price]]&lt;50000,"Mid Range","Premium"))</f>
        <v>Premium</v>
      </c>
      <c r="M1782" t="str">
        <f>IF(FlipkartTable[[#This Row],[Rating]]&gt;4.5,"Excellent",IF(FlipkartTable[[#This Row],[Rating]]&gt;4,"Good",IF(FlipkartTable[[#This Row],[Rating]]&gt;3.5,"Average","Poor")))</f>
        <v>Excellent</v>
      </c>
    </row>
    <row r="1783" spans="1:13" x14ac:dyDescent="0.35">
      <c r="A1783" t="s">
        <v>663</v>
      </c>
      <c r="B1783" s="9" t="s">
        <v>902</v>
      </c>
      <c r="C1783" t="s">
        <v>152</v>
      </c>
      <c r="D1783" t="s">
        <v>284</v>
      </c>
      <c r="E1783" t="s">
        <v>124</v>
      </c>
      <c r="F1783">
        <v>4.3</v>
      </c>
      <c r="G1783">
        <v>11700</v>
      </c>
      <c r="H1783">
        <v>11700</v>
      </c>
      <c r="I1783">
        <f>FlipkartTable[[#This Row],[Original Price]]-FlipkartTable[[#This Row],[Selling Price]]</f>
        <v>0</v>
      </c>
      <c r="J1783" s="4">
        <f>(FlipkartTable[[#This Row],[Original Price]]-FlipkartTable[[#This Row],[Selling Price]])/FlipkartTable[[#This Row],[Original Price]]</f>
        <v>0</v>
      </c>
      <c r="K1783">
        <f>(FlipkartTable[[#This Row],[Rating]]/FlipkartTable[[#This Row],[Selling Price]])*1000</f>
        <v>0.36752136752136749</v>
      </c>
      <c r="L1783" t="str">
        <f>IF(FlipkartTable[[#This Row],[Selling Price]]&lt;15000,"Budget",IF(FlipkartTable[[#This Row],[Selling Price]]&lt;50000,"Mid Range","Premium"))</f>
        <v>Budget</v>
      </c>
      <c r="M1783" t="str">
        <f>IF(FlipkartTable[[#This Row],[Rating]]&gt;4.5,"Excellent",IF(FlipkartTable[[#This Row],[Rating]]&gt;4,"Good",IF(FlipkartTable[[#This Row],[Rating]]&gt;3.5,"Average","Poor")))</f>
        <v>Good</v>
      </c>
    </row>
    <row r="1784" spans="1:13" x14ac:dyDescent="0.35">
      <c r="A1784" t="s">
        <v>663</v>
      </c>
      <c r="B1784" s="9" t="s">
        <v>812</v>
      </c>
      <c r="C1784" t="s">
        <v>807</v>
      </c>
      <c r="D1784" t="s">
        <v>35</v>
      </c>
      <c r="E1784" t="s">
        <v>124</v>
      </c>
      <c r="F1784">
        <v>3.9</v>
      </c>
      <c r="G1784">
        <v>21999</v>
      </c>
      <c r="H1784">
        <v>21999</v>
      </c>
      <c r="I1784">
        <f>FlipkartTable[[#This Row],[Original Price]]-FlipkartTable[[#This Row],[Selling Price]]</f>
        <v>0</v>
      </c>
      <c r="J1784" s="4">
        <f>(FlipkartTable[[#This Row],[Original Price]]-FlipkartTable[[#This Row],[Selling Price]])/FlipkartTable[[#This Row],[Original Price]]</f>
        <v>0</v>
      </c>
      <c r="K1784">
        <f>(FlipkartTable[[#This Row],[Rating]]/FlipkartTable[[#This Row],[Selling Price]])*1000</f>
        <v>0.17728078549024953</v>
      </c>
      <c r="L1784" t="str">
        <f>IF(FlipkartTable[[#This Row],[Selling Price]]&lt;15000,"Budget",IF(FlipkartTable[[#This Row],[Selling Price]]&lt;50000,"Mid Range","Premium"))</f>
        <v>Mid Range</v>
      </c>
      <c r="M1784" t="str">
        <f>IF(FlipkartTable[[#This Row],[Rating]]&gt;4.5,"Excellent",IF(FlipkartTable[[#This Row],[Rating]]&gt;4,"Good",IF(FlipkartTable[[#This Row],[Rating]]&gt;3.5,"Average","Poor")))</f>
        <v>Average</v>
      </c>
    </row>
    <row r="1785" spans="1:13" x14ac:dyDescent="0.35">
      <c r="A1785" t="s">
        <v>663</v>
      </c>
      <c r="B1785" s="9" t="s">
        <v>895</v>
      </c>
      <c r="C1785" t="s">
        <v>19</v>
      </c>
      <c r="D1785" t="s">
        <v>35</v>
      </c>
      <c r="E1785" t="s">
        <v>21</v>
      </c>
      <c r="F1785">
        <v>4.2</v>
      </c>
      <c r="G1785">
        <v>25990</v>
      </c>
      <c r="H1785">
        <v>25990</v>
      </c>
      <c r="I1785">
        <f>FlipkartTable[[#This Row],[Original Price]]-FlipkartTable[[#This Row],[Selling Price]]</f>
        <v>0</v>
      </c>
      <c r="J1785" s="4">
        <f>(FlipkartTable[[#This Row],[Original Price]]-FlipkartTable[[#This Row],[Selling Price]])/FlipkartTable[[#This Row],[Original Price]]</f>
        <v>0</v>
      </c>
      <c r="K1785">
        <f>(FlipkartTable[[#This Row],[Rating]]/FlipkartTable[[#This Row],[Selling Price]])*1000</f>
        <v>0.16160061562139286</v>
      </c>
      <c r="L1785" t="str">
        <f>IF(FlipkartTable[[#This Row],[Selling Price]]&lt;15000,"Budget",IF(FlipkartTable[[#This Row],[Selling Price]]&lt;50000,"Mid Range","Premium"))</f>
        <v>Mid Range</v>
      </c>
      <c r="M1785" t="str">
        <f>IF(FlipkartTable[[#This Row],[Rating]]&gt;4.5,"Excellent",IF(FlipkartTable[[#This Row],[Rating]]&gt;4,"Good",IF(FlipkartTable[[#This Row],[Rating]]&gt;3.5,"Average","Poor")))</f>
        <v>Good</v>
      </c>
    </row>
    <row r="1786" spans="1:13" x14ac:dyDescent="0.35">
      <c r="A1786" t="s">
        <v>663</v>
      </c>
      <c r="B1786" s="9" t="s">
        <v>903</v>
      </c>
      <c r="C1786" t="s">
        <v>904</v>
      </c>
      <c r="D1786" t="s">
        <v>134</v>
      </c>
      <c r="E1786" t="s">
        <v>27</v>
      </c>
      <c r="F1786">
        <v>4</v>
      </c>
      <c r="G1786">
        <v>14700</v>
      </c>
      <c r="H1786">
        <v>14700</v>
      </c>
      <c r="I1786">
        <f>FlipkartTable[[#This Row],[Original Price]]-FlipkartTable[[#This Row],[Selling Price]]</f>
        <v>0</v>
      </c>
      <c r="J1786" s="4">
        <f>(FlipkartTable[[#This Row],[Original Price]]-FlipkartTable[[#This Row],[Selling Price]])/FlipkartTable[[#This Row],[Original Price]]</f>
        <v>0</v>
      </c>
      <c r="K1786">
        <f>(FlipkartTable[[#This Row],[Rating]]/FlipkartTable[[#This Row],[Selling Price]])*1000</f>
        <v>0.27210884353741494</v>
      </c>
      <c r="L1786" t="str">
        <f>IF(FlipkartTable[[#This Row],[Selling Price]]&lt;15000,"Budget",IF(FlipkartTable[[#This Row],[Selling Price]]&lt;50000,"Mid Range","Premium"))</f>
        <v>Budget</v>
      </c>
      <c r="M1786" t="str">
        <f>IF(FlipkartTable[[#This Row],[Rating]]&gt;4.5,"Excellent",IF(FlipkartTable[[#This Row],[Rating]]&gt;4,"Good",IF(FlipkartTable[[#This Row],[Rating]]&gt;3.5,"Average","Poor")))</f>
        <v>Average</v>
      </c>
    </row>
    <row r="1787" spans="1:13" x14ac:dyDescent="0.35">
      <c r="A1787" t="s">
        <v>663</v>
      </c>
      <c r="B1787" s="9" t="s">
        <v>833</v>
      </c>
      <c r="C1787" t="s">
        <v>868</v>
      </c>
      <c r="D1787" t="s">
        <v>11</v>
      </c>
      <c r="E1787" t="s">
        <v>12</v>
      </c>
      <c r="F1787">
        <v>4.4000000000000004</v>
      </c>
      <c r="G1787">
        <v>62500</v>
      </c>
      <c r="H1787">
        <v>62500</v>
      </c>
      <c r="I1787">
        <f>FlipkartTable[[#This Row],[Original Price]]-FlipkartTable[[#This Row],[Selling Price]]</f>
        <v>0</v>
      </c>
      <c r="J1787" s="4">
        <f>(FlipkartTable[[#This Row],[Original Price]]-FlipkartTable[[#This Row],[Selling Price]])/FlipkartTable[[#This Row],[Original Price]]</f>
        <v>0</v>
      </c>
      <c r="K1787">
        <f>(FlipkartTable[[#This Row],[Rating]]/FlipkartTable[[#This Row],[Selling Price]])*1000</f>
        <v>7.0400000000000004E-2</v>
      </c>
      <c r="L1787" t="str">
        <f>IF(FlipkartTable[[#This Row],[Selling Price]]&lt;15000,"Budget",IF(FlipkartTable[[#This Row],[Selling Price]]&lt;50000,"Mid Range","Premium"))</f>
        <v>Premium</v>
      </c>
      <c r="M1787" t="str">
        <f>IF(FlipkartTable[[#This Row],[Rating]]&gt;4.5,"Excellent",IF(FlipkartTable[[#This Row],[Rating]]&gt;4,"Good",IF(FlipkartTable[[#This Row],[Rating]]&gt;3.5,"Average","Poor")))</f>
        <v>Good</v>
      </c>
    </row>
    <row r="1788" spans="1:13" x14ac:dyDescent="0.35">
      <c r="A1788" t="s">
        <v>663</v>
      </c>
      <c r="B1788" s="9" t="s">
        <v>844</v>
      </c>
      <c r="C1788" t="s">
        <v>116</v>
      </c>
      <c r="D1788" t="s">
        <v>284</v>
      </c>
      <c r="E1788" t="s">
        <v>27</v>
      </c>
      <c r="F1788">
        <v>4.3</v>
      </c>
      <c r="G1788">
        <v>10490</v>
      </c>
      <c r="H1788">
        <v>10490</v>
      </c>
      <c r="I1788">
        <f>FlipkartTable[[#This Row],[Original Price]]-FlipkartTable[[#This Row],[Selling Price]]</f>
        <v>0</v>
      </c>
      <c r="J1788" s="4">
        <f>(FlipkartTable[[#This Row],[Original Price]]-FlipkartTable[[#This Row],[Selling Price]])/FlipkartTable[[#This Row],[Original Price]]</f>
        <v>0</v>
      </c>
      <c r="K1788">
        <f>(FlipkartTable[[#This Row],[Rating]]/FlipkartTable[[#This Row],[Selling Price]])*1000</f>
        <v>0.40991420400381312</v>
      </c>
      <c r="L1788" t="str">
        <f>IF(FlipkartTable[[#This Row],[Selling Price]]&lt;15000,"Budget",IF(FlipkartTable[[#This Row],[Selling Price]]&lt;50000,"Mid Range","Premium"))</f>
        <v>Budget</v>
      </c>
      <c r="M1788" t="str">
        <f>IF(FlipkartTable[[#This Row],[Rating]]&gt;4.5,"Excellent",IF(FlipkartTable[[#This Row],[Rating]]&gt;4,"Good",IF(FlipkartTable[[#This Row],[Rating]]&gt;3.5,"Average","Poor")))</f>
        <v>Good</v>
      </c>
    </row>
    <row r="1789" spans="1:13" x14ac:dyDescent="0.35">
      <c r="A1789" t="s">
        <v>663</v>
      </c>
      <c r="B1789" s="9" t="s">
        <v>905</v>
      </c>
      <c r="C1789" t="s">
        <v>724</v>
      </c>
      <c r="D1789" t="s">
        <v>27</v>
      </c>
      <c r="E1789" t="s">
        <v>64</v>
      </c>
      <c r="F1789">
        <v>4.5</v>
      </c>
      <c r="G1789">
        <v>73600</v>
      </c>
      <c r="H1789">
        <v>75000</v>
      </c>
      <c r="I1789">
        <f>FlipkartTable[[#This Row],[Original Price]]-FlipkartTable[[#This Row],[Selling Price]]</f>
        <v>1400</v>
      </c>
      <c r="J1789" s="4">
        <f>(FlipkartTable[[#This Row],[Original Price]]-FlipkartTable[[#This Row],[Selling Price]])/FlipkartTable[[#This Row],[Original Price]]</f>
        <v>1.8666666666666668E-2</v>
      </c>
      <c r="K1789">
        <f>(FlipkartTable[[#This Row],[Rating]]/FlipkartTable[[#This Row],[Selling Price]])*1000</f>
        <v>6.1141304347826095E-2</v>
      </c>
      <c r="L1789" t="str">
        <f>IF(FlipkartTable[[#This Row],[Selling Price]]&lt;15000,"Budget",IF(FlipkartTable[[#This Row],[Selling Price]]&lt;50000,"Mid Range","Premium"))</f>
        <v>Premium</v>
      </c>
      <c r="M1789" t="str">
        <f>IF(FlipkartTable[[#This Row],[Rating]]&gt;4.5,"Excellent",IF(FlipkartTable[[#This Row],[Rating]]&gt;4,"Good",IF(FlipkartTable[[#This Row],[Rating]]&gt;3.5,"Average","Poor")))</f>
        <v>Good</v>
      </c>
    </row>
    <row r="1790" spans="1:13" x14ac:dyDescent="0.35">
      <c r="A1790" t="s">
        <v>663</v>
      </c>
      <c r="B1790" s="9" t="s">
        <v>756</v>
      </c>
      <c r="C1790" t="s">
        <v>736</v>
      </c>
      <c r="D1790" t="s">
        <v>11</v>
      </c>
      <c r="E1790" t="s">
        <v>15</v>
      </c>
      <c r="F1790">
        <v>4.3</v>
      </c>
      <c r="G1790">
        <v>19900</v>
      </c>
      <c r="H1790">
        <v>19900</v>
      </c>
      <c r="I1790">
        <f>FlipkartTable[[#This Row],[Original Price]]-FlipkartTable[[#This Row],[Selling Price]]</f>
        <v>0</v>
      </c>
      <c r="J1790" s="4">
        <f>(FlipkartTable[[#This Row],[Original Price]]-FlipkartTable[[#This Row],[Selling Price]])/FlipkartTable[[#This Row],[Original Price]]</f>
        <v>0</v>
      </c>
      <c r="K1790">
        <f>(FlipkartTable[[#This Row],[Rating]]/FlipkartTable[[#This Row],[Selling Price]])*1000</f>
        <v>0.21608040201005024</v>
      </c>
      <c r="L1790" t="str">
        <f>IF(FlipkartTable[[#This Row],[Selling Price]]&lt;15000,"Budget",IF(FlipkartTable[[#This Row],[Selling Price]]&lt;50000,"Mid Range","Premium"))</f>
        <v>Mid Range</v>
      </c>
      <c r="M1790" t="str">
        <f>IF(FlipkartTable[[#This Row],[Rating]]&gt;4.5,"Excellent",IF(FlipkartTable[[#This Row],[Rating]]&gt;4,"Good",IF(FlipkartTable[[#This Row],[Rating]]&gt;3.5,"Average","Poor")))</f>
        <v>Good</v>
      </c>
    </row>
    <row r="1791" spans="1:13" x14ac:dyDescent="0.35">
      <c r="A1791" t="s">
        <v>663</v>
      </c>
      <c r="B1791" s="9" t="s">
        <v>906</v>
      </c>
      <c r="C1791" t="s">
        <v>152</v>
      </c>
      <c r="D1791" t="s">
        <v>134</v>
      </c>
      <c r="E1791" t="s">
        <v>27</v>
      </c>
      <c r="F1791">
        <v>3.8</v>
      </c>
      <c r="G1791">
        <v>13500</v>
      </c>
      <c r="H1791">
        <v>13500</v>
      </c>
      <c r="I1791">
        <f>FlipkartTable[[#This Row],[Original Price]]-FlipkartTable[[#This Row],[Selling Price]]</f>
        <v>0</v>
      </c>
      <c r="J1791" s="4">
        <f>(FlipkartTable[[#This Row],[Original Price]]-FlipkartTable[[#This Row],[Selling Price]])/FlipkartTable[[#This Row],[Original Price]]</f>
        <v>0</v>
      </c>
      <c r="K1791">
        <f>(FlipkartTable[[#This Row],[Rating]]/FlipkartTable[[#This Row],[Selling Price]])*1000</f>
        <v>0.28148148148148144</v>
      </c>
      <c r="L1791" t="str">
        <f>IF(FlipkartTable[[#This Row],[Selling Price]]&lt;15000,"Budget",IF(FlipkartTable[[#This Row],[Selling Price]]&lt;50000,"Mid Range","Premium"))</f>
        <v>Budget</v>
      </c>
      <c r="M1791" t="str">
        <f>IF(FlipkartTable[[#This Row],[Rating]]&gt;4.5,"Excellent",IF(FlipkartTable[[#This Row],[Rating]]&gt;4,"Good",IF(FlipkartTable[[#This Row],[Rating]]&gt;3.5,"Average","Poor")))</f>
        <v>Average</v>
      </c>
    </row>
    <row r="1792" spans="1:13" x14ac:dyDescent="0.35">
      <c r="A1792" t="s">
        <v>663</v>
      </c>
      <c r="B1792" s="9" t="s">
        <v>907</v>
      </c>
      <c r="C1792" t="s">
        <v>853</v>
      </c>
      <c r="D1792" t="s">
        <v>20</v>
      </c>
      <c r="E1792" t="s">
        <v>21</v>
      </c>
      <c r="F1792">
        <v>4.0999999999999996</v>
      </c>
      <c r="G1792">
        <v>36900</v>
      </c>
      <c r="H1792">
        <v>36900</v>
      </c>
      <c r="I1792">
        <f>FlipkartTable[[#This Row],[Original Price]]-FlipkartTable[[#This Row],[Selling Price]]</f>
        <v>0</v>
      </c>
      <c r="J1792" s="4">
        <f>(FlipkartTable[[#This Row],[Original Price]]-FlipkartTable[[#This Row],[Selling Price]])/FlipkartTable[[#This Row],[Original Price]]</f>
        <v>0</v>
      </c>
      <c r="K1792">
        <f>(FlipkartTable[[#This Row],[Rating]]/FlipkartTable[[#This Row],[Selling Price]])*1000</f>
        <v>0.1111111111111111</v>
      </c>
      <c r="L1792" t="str">
        <f>IF(FlipkartTable[[#This Row],[Selling Price]]&lt;15000,"Budget",IF(FlipkartTable[[#This Row],[Selling Price]]&lt;50000,"Mid Range","Premium"))</f>
        <v>Mid Range</v>
      </c>
      <c r="M1792" t="str">
        <f>IF(FlipkartTable[[#This Row],[Rating]]&gt;4.5,"Excellent",IF(FlipkartTable[[#This Row],[Rating]]&gt;4,"Good",IF(FlipkartTable[[#This Row],[Rating]]&gt;3.5,"Average","Poor")))</f>
        <v>Good</v>
      </c>
    </row>
    <row r="1793" spans="1:13" x14ac:dyDescent="0.35">
      <c r="A1793" t="s">
        <v>663</v>
      </c>
      <c r="B1793" s="9" t="s">
        <v>858</v>
      </c>
      <c r="C1793" t="s">
        <v>724</v>
      </c>
      <c r="D1793" t="s">
        <v>63</v>
      </c>
      <c r="E1793" t="s">
        <v>64</v>
      </c>
      <c r="F1793">
        <v>4.5999999999999996</v>
      </c>
      <c r="G1793">
        <v>59999</v>
      </c>
      <c r="H1793">
        <v>85000</v>
      </c>
      <c r="I1793">
        <f>FlipkartTable[[#This Row],[Original Price]]-FlipkartTable[[#This Row],[Selling Price]]</f>
        <v>25001</v>
      </c>
      <c r="J1793" s="4">
        <f>(FlipkartTable[[#This Row],[Original Price]]-FlipkartTable[[#This Row],[Selling Price]])/FlipkartTable[[#This Row],[Original Price]]</f>
        <v>0.29412941176470586</v>
      </c>
      <c r="K1793">
        <f>(FlipkartTable[[#This Row],[Rating]]/FlipkartTable[[#This Row],[Selling Price]])*1000</f>
        <v>7.6667944465741086E-2</v>
      </c>
      <c r="L1793" t="str">
        <f>IF(FlipkartTable[[#This Row],[Selling Price]]&lt;15000,"Budget",IF(FlipkartTable[[#This Row],[Selling Price]]&lt;50000,"Mid Range","Premium"))</f>
        <v>Premium</v>
      </c>
      <c r="M1793" t="str">
        <f>IF(FlipkartTable[[#This Row],[Rating]]&gt;4.5,"Excellent",IF(FlipkartTable[[#This Row],[Rating]]&gt;4,"Good",IF(FlipkartTable[[#This Row],[Rating]]&gt;3.5,"Average","Poor")))</f>
        <v>Excellent</v>
      </c>
    </row>
    <row r="1794" spans="1:13" x14ac:dyDescent="0.35">
      <c r="A1794" t="s">
        <v>663</v>
      </c>
      <c r="B1794" s="9" t="s">
        <v>902</v>
      </c>
      <c r="C1794" t="s">
        <v>116</v>
      </c>
      <c r="D1794" t="s">
        <v>284</v>
      </c>
      <c r="E1794" t="s">
        <v>124</v>
      </c>
      <c r="F1794">
        <v>4.3</v>
      </c>
      <c r="G1794">
        <v>11700</v>
      </c>
      <c r="H1794">
        <v>11700</v>
      </c>
      <c r="I1794">
        <f>FlipkartTable[[#This Row],[Original Price]]-FlipkartTable[[#This Row],[Selling Price]]</f>
        <v>0</v>
      </c>
      <c r="J1794" s="4">
        <f>(FlipkartTable[[#This Row],[Original Price]]-FlipkartTable[[#This Row],[Selling Price]])/FlipkartTable[[#This Row],[Original Price]]</f>
        <v>0</v>
      </c>
      <c r="K1794">
        <f>(FlipkartTable[[#This Row],[Rating]]/FlipkartTable[[#This Row],[Selling Price]])*1000</f>
        <v>0.36752136752136749</v>
      </c>
      <c r="L1794" t="str">
        <f>IF(FlipkartTable[[#This Row],[Selling Price]]&lt;15000,"Budget",IF(FlipkartTable[[#This Row],[Selling Price]]&lt;50000,"Mid Range","Premium"))</f>
        <v>Budget</v>
      </c>
      <c r="M1794" t="str">
        <f>IF(FlipkartTable[[#This Row],[Rating]]&gt;4.5,"Excellent",IF(FlipkartTable[[#This Row],[Rating]]&gt;4,"Good",IF(FlipkartTable[[#This Row],[Rating]]&gt;3.5,"Average","Poor")))</f>
        <v>Good</v>
      </c>
    </row>
    <row r="1795" spans="1:13" x14ac:dyDescent="0.35">
      <c r="A1795" t="s">
        <v>663</v>
      </c>
      <c r="B1795" s="9" t="s">
        <v>908</v>
      </c>
      <c r="C1795" t="s">
        <v>116</v>
      </c>
      <c r="D1795" t="s">
        <v>35</v>
      </c>
      <c r="E1795" t="s">
        <v>124</v>
      </c>
      <c r="F1795">
        <v>4.0999999999999996</v>
      </c>
      <c r="G1795">
        <v>5990</v>
      </c>
      <c r="H1795">
        <v>9499</v>
      </c>
      <c r="I1795">
        <f>FlipkartTable[[#This Row],[Original Price]]-FlipkartTable[[#This Row],[Selling Price]]</f>
        <v>3509</v>
      </c>
      <c r="J1795" s="4">
        <f>(FlipkartTable[[#This Row],[Original Price]]-FlipkartTable[[#This Row],[Selling Price]])/FlipkartTable[[#This Row],[Original Price]]</f>
        <v>0.36940730603221394</v>
      </c>
      <c r="K1795">
        <f>(FlipkartTable[[#This Row],[Rating]]/FlipkartTable[[#This Row],[Selling Price]])*1000</f>
        <v>0.68447412353923198</v>
      </c>
      <c r="L1795" t="str">
        <f>IF(FlipkartTable[[#This Row],[Selling Price]]&lt;15000,"Budget",IF(FlipkartTable[[#This Row],[Selling Price]]&lt;50000,"Mid Range","Premium"))</f>
        <v>Budget</v>
      </c>
      <c r="M1795" t="str">
        <f>IF(FlipkartTable[[#This Row],[Rating]]&gt;4.5,"Excellent",IF(FlipkartTable[[#This Row],[Rating]]&gt;4,"Good",IF(FlipkartTable[[#This Row],[Rating]]&gt;3.5,"Average","Poor")))</f>
        <v>Good</v>
      </c>
    </row>
    <row r="1796" spans="1:13" x14ac:dyDescent="0.35">
      <c r="A1796" t="s">
        <v>663</v>
      </c>
      <c r="B1796" s="9" t="s">
        <v>831</v>
      </c>
      <c r="C1796" t="s">
        <v>19</v>
      </c>
      <c r="D1796" t="s">
        <v>554</v>
      </c>
      <c r="E1796" t="s">
        <v>539</v>
      </c>
      <c r="F1796">
        <v>4.2</v>
      </c>
      <c r="G1796">
        <v>2980</v>
      </c>
      <c r="H1796">
        <v>2980</v>
      </c>
      <c r="I1796">
        <f>FlipkartTable[[#This Row],[Original Price]]-FlipkartTable[[#This Row],[Selling Price]]</f>
        <v>0</v>
      </c>
      <c r="J1796" s="4">
        <f>(FlipkartTable[[#This Row],[Original Price]]-FlipkartTable[[#This Row],[Selling Price]])/FlipkartTable[[#This Row],[Original Price]]</f>
        <v>0</v>
      </c>
      <c r="K1796">
        <f>(FlipkartTable[[#This Row],[Rating]]/FlipkartTable[[#This Row],[Selling Price]])*1000</f>
        <v>1.4093959731543626</v>
      </c>
      <c r="L1796" t="str">
        <f>IF(FlipkartTable[[#This Row],[Selling Price]]&lt;15000,"Budget",IF(FlipkartTable[[#This Row],[Selling Price]]&lt;50000,"Mid Range","Premium"))</f>
        <v>Budget</v>
      </c>
      <c r="M1796" t="str">
        <f>IF(FlipkartTable[[#This Row],[Rating]]&gt;4.5,"Excellent",IF(FlipkartTable[[#This Row],[Rating]]&gt;4,"Good",IF(FlipkartTable[[#This Row],[Rating]]&gt;3.5,"Average","Poor")))</f>
        <v>Good</v>
      </c>
    </row>
    <row r="1797" spans="1:13" x14ac:dyDescent="0.35">
      <c r="A1797" t="s">
        <v>663</v>
      </c>
      <c r="B1797" s="9" t="s">
        <v>887</v>
      </c>
      <c r="C1797" t="s">
        <v>850</v>
      </c>
      <c r="D1797" t="s">
        <v>35</v>
      </c>
      <c r="E1797" t="s">
        <v>124</v>
      </c>
      <c r="F1797">
        <v>3.9</v>
      </c>
      <c r="G1797">
        <v>40690</v>
      </c>
      <c r="H1797">
        <v>40690</v>
      </c>
      <c r="I1797">
        <f>FlipkartTable[[#This Row],[Original Price]]-FlipkartTable[[#This Row],[Selling Price]]</f>
        <v>0</v>
      </c>
      <c r="J1797" s="4">
        <f>(FlipkartTable[[#This Row],[Original Price]]-FlipkartTable[[#This Row],[Selling Price]])/FlipkartTable[[#This Row],[Original Price]]</f>
        <v>0</v>
      </c>
      <c r="K1797">
        <f>(FlipkartTable[[#This Row],[Rating]]/FlipkartTable[[#This Row],[Selling Price]])*1000</f>
        <v>9.5846645367412137E-2</v>
      </c>
      <c r="L1797" t="str">
        <f>IF(FlipkartTable[[#This Row],[Selling Price]]&lt;15000,"Budget",IF(FlipkartTable[[#This Row],[Selling Price]]&lt;50000,"Mid Range","Premium"))</f>
        <v>Mid Range</v>
      </c>
      <c r="M1797" t="str">
        <f>IF(FlipkartTable[[#This Row],[Rating]]&gt;4.5,"Excellent",IF(FlipkartTable[[#This Row],[Rating]]&gt;4,"Good",IF(FlipkartTable[[#This Row],[Rating]]&gt;3.5,"Average","Poor")))</f>
        <v>Average</v>
      </c>
    </row>
    <row r="1798" spans="1:13" x14ac:dyDescent="0.35">
      <c r="A1798" t="s">
        <v>663</v>
      </c>
      <c r="B1798" s="9" t="s">
        <v>902</v>
      </c>
      <c r="C1798" t="s">
        <v>19</v>
      </c>
      <c r="D1798" t="s">
        <v>284</v>
      </c>
      <c r="E1798" t="s">
        <v>124</v>
      </c>
      <c r="F1798">
        <v>4.3</v>
      </c>
      <c r="G1798">
        <v>11700</v>
      </c>
      <c r="H1798">
        <v>11700</v>
      </c>
      <c r="I1798">
        <f>FlipkartTable[[#This Row],[Original Price]]-FlipkartTable[[#This Row],[Selling Price]]</f>
        <v>0</v>
      </c>
      <c r="J1798" s="4">
        <f>(FlipkartTable[[#This Row],[Original Price]]-FlipkartTable[[#This Row],[Selling Price]])/FlipkartTable[[#This Row],[Original Price]]</f>
        <v>0</v>
      </c>
      <c r="K1798">
        <f>(FlipkartTable[[#This Row],[Rating]]/FlipkartTable[[#This Row],[Selling Price]])*1000</f>
        <v>0.36752136752136749</v>
      </c>
      <c r="L1798" t="str">
        <f>IF(FlipkartTable[[#This Row],[Selling Price]]&lt;15000,"Budget",IF(FlipkartTable[[#This Row],[Selling Price]]&lt;50000,"Mid Range","Premium"))</f>
        <v>Budget</v>
      </c>
      <c r="M1798" t="str">
        <f>IF(FlipkartTable[[#This Row],[Rating]]&gt;4.5,"Excellent",IF(FlipkartTable[[#This Row],[Rating]]&gt;4,"Good",IF(FlipkartTable[[#This Row],[Rating]]&gt;3.5,"Average","Poor")))</f>
        <v>Good</v>
      </c>
    </row>
    <row r="1799" spans="1:13" x14ac:dyDescent="0.35">
      <c r="A1799" t="s">
        <v>663</v>
      </c>
      <c r="B1799" s="9" t="s">
        <v>905</v>
      </c>
      <c r="C1799" t="s">
        <v>871</v>
      </c>
      <c r="D1799" t="s">
        <v>27</v>
      </c>
      <c r="E1799" t="s">
        <v>64</v>
      </c>
      <c r="F1799">
        <v>4.5</v>
      </c>
      <c r="G1799">
        <v>73600</v>
      </c>
      <c r="H1799">
        <v>75000</v>
      </c>
      <c r="I1799">
        <f>FlipkartTable[[#This Row],[Original Price]]-FlipkartTable[[#This Row],[Selling Price]]</f>
        <v>1400</v>
      </c>
      <c r="J1799" s="4">
        <f>(FlipkartTable[[#This Row],[Original Price]]-FlipkartTable[[#This Row],[Selling Price]])/FlipkartTable[[#This Row],[Original Price]]</f>
        <v>1.8666666666666668E-2</v>
      </c>
      <c r="K1799">
        <f>(FlipkartTable[[#This Row],[Rating]]/FlipkartTable[[#This Row],[Selling Price]])*1000</f>
        <v>6.1141304347826095E-2</v>
      </c>
      <c r="L1799" t="str">
        <f>IF(FlipkartTable[[#This Row],[Selling Price]]&lt;15000,"Budget",IF(FlipkartTable[[#This Row],[Selling Price]]&lt;50000,"Mid Range","Premium"))</f>
        <v>Premium</v>
      </c>
      <c r="M1799" t="str">
        <f>IF(FlipkartTable[[#This Row],[Rating]]&gt;4.5,"Excellent",IF(FlipkartTable[[#This Row],[Rating]]&gt;4,"Good",IF(FlipkartTable[[#This Row],[Rating]]&gt;3.5,"Average","Poor")))</f>
        <v>Good</v>
      </c>
    </row>
    <row r="1800" spans="1:13" x14ac:dyDescent="0.35">
      <c r="A1800" t="s">
        <v>663</v>
      </c>
      <c r="B1800" s="9" t="s">
        <v>909</v>
      </c>
      <c r="C1800" t="s">
        <v>716</v>
      </c>
      <c r="D1800" t="s">
        <v>14</v>
      </c>
      <c r="E1800" t="s">
        <v>15</v>
      </c>
      <c r="F1800">
        <v>4.5</v>
      </c>
      <c r="G1800">
        <v>59000</v>
      </c>
      <c r="H1800">
        <v>59000</v>
      </c>
      <c r="I1800">
        <f>FlipkartTable[[#This Row],[Original Price]]-FlipkartTable[[#This Row],[Selling Price]]</f>
        <v>0</v>
      </c>
      <c r="J1800" s="4">
        <f>(FlipkartTable[[#This Row],[Original Price]]-FlipkartTable[[#This Row],[Selling Price]])/FlipkartTable[[#This Row],[Original Price]]</f>
        <v>0</v>
      </c>
      <c r="K1800">
        <f>(FlipkartTable[[#This Row],[Rating]]/FlipkartTable[[#This Row],[Selling Price]])*1000</f>
        <v>7.6271186440677957E-2</v>
      </c>
      <c r="L1800" t="str">
        <f>IF(FlipkartTable[[#This Row],[Selling Price]]&lt;15000,"Budget",IF(FlipkartTable[[#This Row],[Selling Price]]&lt;50000,"Mid Range","Premium"))</f>
        <v>Premium</v>
      </c>
      <c r="M1800" t="str">
        <f>IF(FlipkartTable[[#This Row],[Rating]]&gt;4.5,"Excellent",IF(FlipkartTable[[#This Row],[Rating]]&gt;4,"Good",IF(FlipkartTable[[#This Row],[Rating]]&gt;3.5,"Average","Poor")))</f>
        <v>Good</v>
      </c>
    </row>
    <row r="1801" spans="1:13" x14ac:dyDescent="0.35">
      <c r="A1801" t="s">
        <v>663</v>
      </c>
      <c r="B1801" s="9" t="s">
        <v>796</v>
      </c>
      <c r="C1801" t="s">
        <v>116</v>
      </c>
      <c r="D1801" t="s">
        <v>20</v>
      </c>
      <c r="E1801" t="s">
        <v>21</v>
      </c>
      <c r="F1801">
        <v>4.3</v>
      </c>
      <c r="G1801">
        <v>13900</v>
      </c>
      <c r="H1801">
        <v>13900</v>
      </c>
      <c r="I1801">
        <f>FlipkartTable[[#This Row],[Original Price]]-FlipkartTable[[#This Row],[Selling Price]]</f>
        <v>0</v>
      </c>
      <c r="J1801" s="4">
        <f>(FlipkartTable[[#This Row],[Original Price]]-FlipkartTable[[#This Row],[Selling Price]])/FlipkartTable[[#This Row],[Original Price]]</f>
        <v>0</v>
      </c>
      <c r="K1801">
        <f>(FlipkartTable[[#This Row],[Rating]]/FlipkartTable[[#This Row],[Selling Price]])*1000</f>
        <v>0.30935251798561147</v>
      </c>
      <c r="L1801" t="str">
        <f>IF(FlipkartTable[[#This Row],[Selling Price]]&lt;15000,"Budget",IF(FlipkartTable[[#This Row],[Selling Price]]&lt;50000,"Mid Range","Premium"))</f>
        <v>Budget</v>
      </c>
      <c r="M1801" t="str">
        <f>IF(FlipkartTable[[#This Row],[Rating]]&gt;4.5,"Excellent",IF(FlipkartTable[[#This Row],[Rating]]&gt;4,"Good",IF(FlipkartTable[[#This Row],[Rating]]&gt;3.5,"Average","Poor")))</f>
        <v>Good</v>
      </c>
    </row>
    <row r="1802" spans="1:13" x14ac:dyDescent="0.35">
      <c r="A1802" t="s">
        <v>663</v>
      </c>
      <c r="B1802" s="9" t="s">
        <v>821</v>
      </c>
      <c r="C1802" t="s">
        <v>19</v>
      </c>
      <c r="D1802" t="s">
        <v>20</v>
      </c>
      <c r="E1802" t="s">
        <v>124</v>
      </c>
      <c r="F1802">
        <v>4.3</v>
      </c>
      <c r="G1802">
        <v>13490</v>
      </c>
      <c r="H1802">
        <v>13490</v>
      </c>
      <c r="I1802">
        <f>FlipkartTable[[#This Row],[Original Price]]-FlipkartTable[[#This Row],[Selling Price]]</f>
        <v>0</v>
      </c>
      <c r="J1802" s="4">
        <f>(FlipkartTable[[#This Row],[Original Price]]-FlipkartTable[[#This Row],[Selling Price]])/FlipkartTable[[#This Row],[Original Price]]</f>
        <v>0</v>
      </c>
      <c r="K1802">
        <f>(FlipkartTable[[#This Row],[Rating]]/FlipkartTable[[#This Row],[Selling Price]])*1000</f>
        <v>0.31875463306152707</v>
      </c>
      <c r="L1802" t="str">
        <f>IF(FlipkartTable[[#This Row],[Selling Price]]&lt;15000,"Budget",IF(FlipkartTable[[#This Row],[Selling Price]]&lt;50000,"Mid Range","Premium"))</f>
        <v>Budget</v>
      </c>
      <c r="M1802" t="str">
        <f>IF(FlipkartTable[[#This Row],[Rating]]&gt;4.5,"Excellent",IF(FlipkartTable[[#This Row],[Rating]]&gt;4,"Good",IF(FlipkartTable[[#This Row],[Rating]]&gt;3.5,"Average","Poor")))</f>
        <v>Good</v>
      </c>
    </row>
    <row r="1803" spans="1:13" x14ac:dyDescent="0.35">
      <c r="A1803" t="s">
        <v>663</v>
      </c>
      <c r="B1803" s="9" t="s">
        <v>852</v>
      </c>
      <c r="C1803" t="s">
        <v>19</v>
      </c>
      <c r="D1803" t="s">
        <v>11</v>
      </c>
      <c r="E1803" t="s">
        <v>21</v>
      </c>
      <c r="F1803">
        <v>4.3</v>
      </c>
      <c r="G1803">
        <v>22900</v>
      </c>
      <c r="H1803">
        <v>22900</v>
      </c>
      <c r="I1803">
        <f>FlipkartTable[[#This Row],[Original Price]]-FlipkartTable[[#This Row],[Selling Price]]</f>
        <v>0</v>
      </c>
      <c r="J1803" s="4">
        <f>(FlipkartTable[[#This Row],[Original Price]]-FlipkartTable[[#This Row],[Selling Price]])/FlipkartTable[[#This Row],[Original Price]]</f>
        <v>0</v>
      </c>
      <c r="K1803">
        <f>(FlipkartTable[[#This Row],[Rating]]/FlipkartTable[[#This Row],[Selling Price]])*1000</f>
        <v>0.18777292576419213</v>
      </c>
      <c r="L1803" t="str">
        <f>IF(FlipkartTable[[#This Row],[Selling Price]]&lt;15000,"Budget",IF(FlipkartTable[[#This Row],[Selling Price]]&lt;50000,"Mid Range","Premium"))</f>
        <v>Mid Range</v>
      </c>
      <c r="M1803" t="str">
        <f>IF(FlipkartTable[[#This Row],[Rating]]&gt;4.5,"Excellent",IF(FlipkartTable[[#This Row],[Rating]]&gt;4,"Good",IF(FlipkartTable[[#This Row],[Rating]]&gt;3.5,"Average","Poor")))</f>
        <v>Good</v>
      </c>
    </row>
    <row r="1804" spans="1:13" x14ac:dyDescent="0.35">
      <c r="A1804" t="s">
        <v>663</v>
      </c>
      <c r="B1804" s="9" t="s">
        <v>910</v>
      </c>
      <c r="C1804" t="s">
        <v>911</v>
      </c>
      <c r="D1804" t="s">
        <v>11</v>
      </c>
      <c r="E1804" t="s">
        <v>21</v>
      </c>
      <c r="F1804">
        <v>4.4000000000000004</v>
      </c>
      <c r="G1804">
        <v>41900</v>
      </c>
      <c r="H1804">
        <v>41900</v>
      </c>
      <c r="I1804">
        <f>FlipkartTable[[#This Row],[Original Price]]-FlipkartTable[[#This Row],[Selling Price]]</f>
        <v>0</v>
      </c>
      <c r="J1804" s="4">
        <f>(FlipkartTable[[#This Row],[Original Price]]-FlipkartTable[[#This Row],[Selling Price]])/FlipkartTable[[#This Row],[Original Price]]</f>
        <v>0</v>
      </c>
      <c r="K1804">
        <f>(FlipkartTable[[#This Row],[Rating]]/FlipkartTable[[#This Row],[Selling Price]])*1000</f>
        <v>0.10501193317422435</v>
      </c>
      <c r="L1804" t="str">
        <f>IF(FlipkartTable[[#This Row],[Selling Price]]&lt;15000,"Budget",IF(FlipkartTable[[#This Row],[Selling Price]]&lt;50000,"Mid Range","Premium"))</f>
        <v>Mid Range</v>
      </c>
      <c r="M1804" t="str">
        <f>IF(FlipkartTable[[#This Row],[Rating]]&gt;4.5,"Excellent",IF(FlipkartTable[[#This Row],[Rating]]&gt;4,"Good",IF(FlipkartTable[[#This Row],[Rating]]&gt;3.5,"Average","Poor")))</f>
        <v>Good</v>
      </c>
    </row>
    <row r="1805" spans="1:13" x14ac:dyDescent="0.35">
      <c r="A1805" t="s">
        <v>663</v>
      </c>
      <c r="B1805" s="9" t="s">
        <v>784</v>
      </c>
      <c r="C1805" t="s">
        <v>19</v>
      </c>
      <c r="D1805" t="s">
        <v>134</v>
      </c>
      <c r="E1805" t="s">
        <v>27</v>
      </c>
      <c r="F1805">
        <v>4.0999999999999996</v>
      </c>
      <c r="G1805">
        <v>7400</v>
      </c>
      <c r="H1805">
        <v>7400</v>
      </c>
      <c r="I1805">
        <f>FlipkartTable[[#This Row],[Original Price]]-FlipkartTable[[#This Row],[Selling Price]]</f>
        <v>0</v>
      </c>
      <c r="J1805" s="4">
        <f>(FlipkartTable[[#This Row],[Original Price]]-FlipkartTable[[#This Row],[Selling Price]])/FlipkartTable[[#This Row],[Original Price]]</f>
        <v>0</v>
      </c>
      <c r="K1805">
        <f>(FlipkartTable[[#This Row],[Rating]]/FlipkartTable[[#This Row],[Selling Price]])*1000</f>
        <v>0.55405405405405395</v>
      </c>
      <c r="L1805" t="str">
        <f>IF(FlipkartTable[[#This Row],[Selling Price]]&lt;15000,"Budget",IF(FlipkartTable[[#This Row],[Selling Price]]&lt;50000,"Mid Range","Premium"))</f>
        <v>Budget</v>
      </c>
      <c r="M1805" t="str">
        <f>IF(FlipkartTable[[#This Row],[Rating]]&gt;4.5,"Excellent",IF(FlipkartTable[[#This Row],[Rating]]&gt;4,"Good",IF(FlipkartTable[[#This Row],[Rating]]&gt;3.5,"Average","Poor")))</f>
        <v>Good</v>
      </c>
    </row>
    <row r="1806" spans="1:13" x14ac:dyDescent="0.35">
      <c r="A1806" t="s">
        <v>663</v>
      </c>
      <c r="B1806" s="9" t="s">
        <v>779</v>
      </c>
      <c r="C1806" t="s">
        <v>848</v>
      </c>
      <c r="D1806" t="s">
        <v>27</v>
      </c>
      <c r="E1806" t="s">
        <v>338</v>
      </c>
      <c r="F1806">
        <v>4.5999999999999996</v>
      </c>
      <c r="G1806">
        <v>93000</v>
      </c>
      <c r="H1806">
        <v>93000</v>
      </c>
      <c r="I1806">
        <f>FlipkartTable[[#This Row],[Original Price]]-FlipkartTable[[#This Row],[Selling Price]]</f>
        <v>0</v>
      </c>
      <c r="J1806" s="4">
        <f>(FlipkartTable[[#This Row],[Original Price]]-FlipkartTable[[#This Row],[Selling Price]])/FlipkartTable[[#This Row],[Original Price]]</f>
        <v>0</v>
      </c>
      <c r="K1806">
        <f>(FlipkartTable[[#This Row],[Rating]]/FlipkartTable[[#This Row],[Selling Price]])*1000</f>
        <v>4.9462365591397849E-2</v>
      </c>
      <c r="L1806" t="str">
        <f>IF(FlipkartTable[[#This Row],[Selling Price]]&lt;15000,"Budget",IF(FlipkartTable[[#This Row],[Selling Price]]&lt;50000,"Mid Range","Premium"))</f>
        <v>Premium</v>
      </c>
      <c r="M1806" t="str">
        <f>IF(FlipkartTable[[#This Row],[Rating]]&gt;4.5,"Excellent",IF(FlipkartTable[[#This Row],[Rating]]&gt;4,"Good",IF(FlipkartTable[[#This Row],[Rating]]&gt;3.5,"Average","Poor")))</f>
        <v>Excellent</v>
      </c>
    </row>
    <row r="1807" spans="1:13" x14ac:dyDescent="0.35">
      <c r="A1807" t="s">
        <v>663</v>
      </c>
      <c r="B1807" s="9" t="s">
        <v>858</v>
      </c>
      <c r="C1807" t="s">
        <v>912</v>
      </c>
      <c r="D1807" t="s">
        <v>63</v>
      </c>
      <c r="E1807" t="s">
        <v>64</v>
      </c>
      <c r="F1807">
        <v>4.5999999999999996</v>
      </c>
      <c r="G1807">
        <v>59999</v>
      </c>
      <c r="H1807">
        <v>85000</v>
      </c>
      <c r="I1807">
        <f>FlipkartTable[[#This Row],[Original Price]]-FlipkartTable[[#This Row],[Selling Price]]</f>
        <v>25001</v>
      </c>
      <c r="J1807" s="4">
        <f>(FlipkartTable[[#This Row],[Original Price]]-FlipkartTable[[#This Row],[Selling Price]])/FlipkartTable[[#This Row],[Original Price]]</f>
        <v>0.29412941176470586</v>
      </c>
      <c r="K1807">
        <f>(FlipkartTable[[#This Row],[Rating]]/FlipkartTable[[#This Row],[Selling Price]])*1000</f>
        <v>7.6667944465741086E-2</v>
      </c>
      <c r="L1807" t="str">
        <f>IF(FlipkartTable[[#This Row],[Selling Price]]&lt;15000,"Budget",IF(FlipkartTable[[#This Row],[Selling Price]]&lt;50000,"Mid Range","Premium"))</f>
        <v>Premium</v>
      </c>
      <c r="M1807" t="str">
        <f>IF(FlipkartTable[[#This Row],[Rating]]&gt;4.5,"Excellent",IF(FlipkartTable[[#This Row],[Rating]]&gt;4,"Good",IF(FlipkartTable[[#This Row],[Rating]]&gt;3.5,"Average","Poor")))</f>
        <v>Excellent</v>
      </c>
    </row>
    <row r="1808" spans="1:13" x14ac:dyDescent="0.35">
      <c r="A1808" t="s">
        <v>663</v>
      </c>
      <c r="B1808" s="9" t="s">
        <v>758</v>
      </c>
      <c r="C1808" t="s">
        <v>536</v>
      </c>
      <c r="D1808" t="s">
        <v>35</v>
      </c>
      <c r="E1808" t="s">
        <v>124</v>
      </c>
      <c r="F1808">
        <v>4.0999999999999996</v>
      </c>
      <c r="G1808">
        <v>19990</v>
      </c>
      <c r="H1808">
        <v>19990</v>
      </c>
      <c r="I1808">
        <f>FlipkartTable[[#This Row],[Original Price]]-FlipkartTable[[#This Row],[Selling Price]]</f>
        <v>0</v>
      </c>
      <c r="J1808" s="4">
        <f>(FlipkartTable[[#This Row],[Original Price]]-FlipkartTable[[#This Row],[Selling Price]])/FlipkartTable[[#This Row],[Original Price]]</f>
        <v>0</v>
      </c>
      <c r="K1808">
        <f>(FlipkartTable[[#This Row],[Rating]]/FlipkartTable[[#This Row],[Selling Price]])*1000</f>
        <v>0.20510255127563781</v>
      </c>
      <c r="L1808" t="str">
        <f>IF(FlipkartTable[[#This Row],[Selling Price]]&lt;15000,"Budget",IF(FlipkartTable[[#This Row],[Selling Price]]&lt;50000,"Mid Range","Premium"))</f>
        <v>Mid Range</v>
      </c>
      <c r="M1808" t="str">
        <f>IF(FlipkartTable[[#This Row],[Rating]]&gt;4.5,"Excellent",IF(FlipkartTable[[#This Row],[Rating]]&gt;4,"Good",IF(FlipkartTable[[#This Row],[Rating]]&gt;3.5,"Average","Poor")))</f>
        <v>Good</v>
      </c>
    </row>
    <row r="1809" spans="1:13" x14ac:dyDescent="0.35">
      <c r="A1809" t="s">
        <v>663</v>
      </c>
      <c r="B1809" s="9" t="s">
        <v>910</v>
      </c>
      <c r="C1809" t="s">
        <v>885</v>
      </c>
      <c r="D1809" t="s">
        <v>11</v>
      </c>
      <c r="E1809" t="s">
        <v>21</v>
      </c>
      <c r="F1809">
        <v>4.4000000000000004</v>
      </c>
      <c r="G1809">
        <v>41900</v>
      </c>
      <c r="H1809">
        <v>41900</v>
      </c>
      <c r="I1809">
        <f>FlipkartTable[[#This Row],[Original Price]]-FlipkartTable[[#This Row],[Selling Price]]</f>
        <v>0</v>
      </c>
      <c r="J1809" s="4">
        <f>(FlipkartTable[[#This Row],[Original Price]]-FlipkartTable[[#This Row],[Selling Price]])/FlipkartTable[[#This Row],[Original Price]]</f>
        <v>0</v>
      </c>
      <c r="K1809">
        <f>(FlipkartTable[[#This Row],[Rating]]/FlipkartTable[[#This Row],[Selling Price]])*1000</f>
        <v>0.10501193317422435</v>
      </c>
      <c r="L1809" t="str">
        <f>IF(FlipkartTable[[#This Row],[Selling Price]]&lt;15000,"Budget",IF(FlipkartTable[[#This Row],[Selling Price]]&lt;50000,"Mid Range","Premium"))</f>
        <v>Mid Range</v>
      </c>
      <c r="M1809" t="str">
        <f>IF(FlipkartTable[[#This Row],[Rating]]&gt;4.5,"Excellent",IF(FlipkartTable[[#This Row],[Rating]]&gt;4,"Good",IF(FlipkartTable[[#This Row],[Rating]]&gt;3.5,"Average","Poor")))</f>
        <v>Good</v>
      </c>
    </row>
    <row r="1810" spans="1:13" x14ac:dyDescent="0.35">
      <c r="A1810" t="s">
        <v>663</v>
      </c>
      <c r="B1810" s="9" t="s">
        <v>882</v>
      </c>
      <c r="C1810" t="s">
        <v>913</v>
      </c>
      <c r="D1810" t="s">
        <v>11</v>
      </c>
      <c r="E1810" t="s">
        <v>15</v>
      </c>
      <c r="F1810">
        <v>4.3</v>
      </c>
      <c r="G1810">
        <v>15499</v>
      </c>
      <c r="H1810">
        <v>15999</v>
      </c>
      <c r="I1810">
        <f>FlipkartTable[[#This Row],[Original Price]]-FlipkartTable[[#This Row],[Selling Price]]</f>
        <v>500</v>
      </c>
      <c r="J1810" s="4">
        <f>(FlipkartTable[[#This Row],[Original Price]]-FlipkartTable[[#This Row],[Selling Price]])/FlipkartTable[[#This Row],[Original Price]]</f>
        <v>3.125195324707794E-2</v>
      </c>
      <c r="K1810">
        <f>(FlipkartTable[[#This Row],[Rating]]/FlipkartTable[[#This Row],[Selling Price]])*1000</f>
        <v>0.27743725401638814</v>
      </c>
      <c r="L1810" t="str">
        <f>IF(FlipkartTable[[#This Row],[Selling Price]]&lt;15000,"Budget",IF(FlipkartTable[[#This Row],[Selling Price]]&lt;50000,"Mid Range","Premium"))</f>
        <v>Mid Range</v>
      </c>
      <c r="M1810" t="str">
        <f>IF(FlipkartTable[[#This Row],[Rating]]&gt;4.5,"Excellent",IF(FlipkartTable[[#This Row],[Rating]]&gt;4,"Good",IF(FlipkartTable[[#This Row],[Rating]]&gt;3.5,"Average","Poor")))</f>
        <v>Good</v>
      </c>
    </row>
    <row r="1811" spans="1:13" x14ac:dyDescent="0.35">
      <c r="A1811" t="s">
        <v>663</v>
      </c>
      <c r="B1811" s="9" t="s">
        <v>914</v>
      </c>
      <c r="C1811" t="s">
        <v>19</v>
      </c>
      <c r="D1811" t="s">
        <v>14</v>
      </c>
      <c r="E1811" t="s">
        <v>12</v>
      </c>
      <c r="F1811">
        <v>4.3</v>
      </c>
      <c r="G1811">
        <v>16989</v>
      </c>
      <c r="H1811">
        <v>37990</v>
      </c>
      <c r="I1811">
        <f>FlipkartTable[[#This Row],[Original Price]]-FlipkartTable[[#This Row],[Selling Price]]</f>
        <v>21001</v>
      </c>
      <c r="J1811" s="4">
        <f>(FlipkartTable[[#This Row],[Original Price]]-FlipkartTable[[#This Row],[Selling Price]])/FlipkartTable[[#This Row],[Original Price]]</f>
        <v>0.55280336930771257</v>
      </c>
      <c r="K1811">
        <f>(FlipkartTable[[#This Row],[Rating]]/FlipkartTable[[#This Row],[Selling Price]])*1000</f>
        <v>0.25310495026193419</v>
      </c>
      <c r="L1811" t="str">
        <f>IF(FlipkartTable[[#This Row],[Selling Price]]&lt;15000,"Budget",IF(FlipkartTable[[#This Row],[Selling Price]]&lt;50000,"Mid Range","Premium"))</f>
        <v>Mid Range</v>
      </c>
      <c r="M1811" t="str">
        <f>IF(FlipkartTable[[#This Row],[Rating]]&gt;4.5,"Excellent",IF(FlipkartTable[[#This Row],[Rating]]&gt;4,"Good",IF(FlipkartTable[[#This Row],[Rating]]&gt;3.5,"Average","Poor")))</f>
        <v>Good</v>
      </c>
    </row>
    <row r="1812" spans="1:13" x14ac:dyDescent="0.35">
      <c r="A1812" t="s">
        <v>663</v>
      </c>
      <c r="B1812" s="9" t="s">
        <v>815</v>
      </c>
      <c r="C1812" t="s">
        <v>915</v>
      </c>
      <c r="D1812" t="s">
        <v>27</v>
      </c>
      <c r="E1812" t="s">
        <v>64</v>
      </c>
      <c r="F1812">
        <v>4.4000000000000004</v>
      </c>
      <c r="G1812">
        <v>75999</v>
      </c>
      <c r="H1812">
        <v>104999</v>
      </c>
      <c r="I1812">
        <f>FlipkartTable[[#This Row],[Original Price]]-FlipkartTable[[#This Row],[Selling Price]]</f>
        <v>29000</v>
      </c>
      <c r="J1812" s="4">
        <f>(FlipkartTable[[#This Row],[Original Price]]-FlipkartTable[[#This Row],[Selling Price]])/FlipkartTable[[#This Row],[Original Price]]</f>
        <v>0.27619310660101526</v>
      </c>
      <c r="K1812">
        <f>(FlipkartTable[[#This Row],[Rating]]/FlipkartTable[[#This Row],[Selling Price]])*1000</f>
        <v>5.7895498624981917E-2</v>
      </c>
      <c r="L1812" t="str">
        <f>IF(FlipkartTable[[#This Row],[Selling Price]]&lt;15000,"Budget",IF(FlipkartTable[[#This Row],[Selling Price]]&lt;50000,"Mid Range","Premium"))</f>
        <v>Premium</v>
      </c>
      <c r="M1812" t="str">
        <f>IF(FlipkartTable[[#This Row],[Rating]]&gt;4.5,"Excellent",IF(FlipkartTable[[#This Row],[Rating]]&gt;4,"Good",IF(FlipkartTable[[#This Row],[Rating]]&gt;3.5,"Average","Poor")))</f>
        <v>Good</v>
      </c>
    </row>
    <row r="1813" spans="1:13" x14ac:dyDescent="0.35">
      <c r="A1813" t="s">
        <v>663</v>
      </c>
      <c r="B1813" s="9" t="s">
        <v>817</v>
      </c>
      <c r="C1813" t="s">
        <v>873</v>
      </c>
      <c r="D1813" t="s">
        <v>27</v>
      </c>
      <c r="E1813" t="s">
        <v>64</v>
      </c>
      <c r="F1813">
        <v>4.3</v>
      </c>
      <c r="G1813">
        <v>73999</v>
      </c>
      <c r="H1813">
        <v>87999</v>
      </c>
      <c r="I1813">
        <f>FlipkartTable[[#This Row],[Original Price]]-FlipkartTable[[#This Row],[Selling Price]]</f>
        <v>14000</v>
      </c>
      <c r="J1813" s="4">
        <f>(FlipkartTable[[#This Row],[Original Price]]-FlipkartTable[[#This Row],[Selling Price]])/FlipkartTable[[#This Row],[Original Price]]</f>
        <v>0.15909271696269275</v>
      </c>
      <c r="K1813">
        <f>(FlipkartTable[[#This Row],[Rating]]/FlipkartTable[[#This Row],[Selling Price]])*1000</f>
        <v>5.8108893363423827E-2</v>
      </c>
      <c r="L1813" t="str">
        <f>IF(FlipkartTable[[#This Row],[Selling Price]]&lt;15000,"Budget",IF(FlipkartTable[[#This Row],[Selling Price]]&lt;50000,"Mid Range","Premium"))</f>
        <v>Premium</v>
      </c>
      <c r="M1813" t="str">
        <f>IF(FlipkartTable[[#This Row],[Rating]]&gt;4.5,"Excellent",IF(FlipkartTable[[#This Row],[Rating]]&gt;4,"Good",IF(FlipkartTable[[#This Row],[Rating]]&gt;3.5,"Average","Poor")))</f>
        <v>Good</v>
      </c>
    </row>
    <row r="1814" spans="1:13" x14ac:dyDescent="0.35">
      <c r="A1814" t="s">
        <v>663</v>
      </c>
      <c r="B1814" s="9" t="s">
        <v>909</v>
      </c>
      <c r="C1814" t="s">
        <v>92</v>
      </c>
      <c r="D1814" t="s">
        <v>14</v>
      </c>
      <c r="E1814" t="s">
        <v>15</v>
      </c>
      <c r="F1814">
        <v>4.5</v>
      </c>
      <c r="G1814">
        <v>59000</v>
      </c>
      <c r="H1814">
        <v>59000</v>
      </c>
      <c r="I1814">
        <f>FlipkartTable[[#This Row],[Original Price]]-FlipkartTable[[#This Row],[Selling Price]]</f>
        <v>0</v>
      </c>
      <c r="J1814" s="4">
        <f>(FlipkartTable[[#This Row],[Original Price]]-FlipkartTable[[#This Row],[Selling Price]])/FlipkartTable[[#This Row],[Original Price]]</f>
        <v>0</v>
      </c>
      <c r="K1814">
        <f>(FlipkartTable[[#This Row],[Rating]]/FlipkartTable[[#This Row],[Selling Price]])*1000</f>
        <v>7.6271186440677957E-2</v>
      </c>
      <c r="L1814" t="str">
        <f>IF(FlipkartTable[[#This Row],[Selling Price]]&lt;15000,"Budget",IF(FlipkartTable[[#This Row],[Selling Price]]&lt;50000,"Mid Range","Premium"))</f>
        <v>Premium</v>
      </c>
      <c r="M1814" t="str">
        <f>IF(FlipkartTable[[#This Row],[Rating]]&gt;4.5,"Excellent",IF(FlipkartTable[[#This Row],[Rating]]&gt;4,"Good",IF(FlipkartTable[[#This Row],[Rating]]&gt;3.5,"Average","Poor")))</f>
        <v>Good</v>
      </c>
    </row>
    <row r="1815" spans="1:13" x14ac:dyDescent="0.35">
      <c r="A1815" t="s">
        <v>663</v>
      </c>
      <c r="B1815" s="9" t="s">
        <v>858</v>
      </c>
      <c r="C1815" t="s">
        <v>819</v>
      </c>
      <c r="D1815" t="s">
        <v>63</v>
      </c>
      <c r="E1815" t="s">
        <v>64</v>
      </c>
      <c r="F1815">
        <v>4.5999999999999996</v>
      </c>
      <c r="G1815">
        <v>59999</v>
      </c>
      <c r="H1815">
        <v>85000</v>
      </c>
      <c r="I1815">
        <f>FlipkartTable[[#This Row],[Original Price]]-FlipkartTable[[#This Row],[Selling Price]]</f>
        <v>25001</v>
      </c>
      <c r="J1815" s="4">
        <f>(FlipkartTable[[#This Row],[Original Price]]-FlipkartTable[[#This Row],[Selling Price]])/FlipkartTable[[#This Row],[Original Price]]</f>
        <v>0.29412941176470586</v>
      </c>
      <c r="K1815">
        <f>(FlipkartTable[[#This Row],[Rating]]/FlipkartTable[[#This Row],[Selling Price]])*1000</f>
        <v>7.6667944465741086E-2</v>
      </c>
      <c r="L1815" t="str">
        <f>IF(FlipkartTable[[#This Row],[Selling Price]]&lt;15000,"Budget",IF(FlipkartTable[[#This Row],[Selling Price]]&lt;50000,"Mid Range","Premium"))</f>
        <v>Premium</v>
      </c>
      <c r="M1815" t="str">
        <f>IF(FlipkartTable[[#This Row],[Rating]]&gt;4.5,"Excellent",IF(FlipkartTable[[#This Row],[Rating]]&gt;4,"Good",IF(FlipkartTable[[#This Row],[Rating]]&gt;3.5,"Average","Poor")))</f>
        <v>Excellent</v>
      </c>
    </row>
    <row r="1816" spans="1:13" x14ac:dyDescent="0.35">
      <c r="A1816" t="s">
        <v>663</v>
      </c>
      <c r="B1816" s="9" t="s">
        <v>799</v>
      </c>
      <c r="C1816" t="s">
        <v>700</v>
      </c>
      <c r="D1816" t="s">
        <v>124</v>
      </c>
      <c r="E1816" t="s">
        <v>338</v>
      </c>
      <c r="F1816">
        <v>4.3</v>
      </c>
      <c r="G1816">
        <v>116999</v>
      </c>
      <c r="H1816">
        <v>139999</v>
      </c>
      <c r="I1816">
        <f>FlipkartTable[[#This Row],[Original Price]]-FlipkartTable[[#This Row],[Selling Price]]</f>
        <v>23000</v>
      </c>
      <c r="J1816" s="4">
        <f>(FlipkartTable[[#This Row],[Original Price]]-FlipkartTable[[#This Row],[Selling Price]])/FlipkartTable[[#This Row],[Original Price]]</f>
        <v>0.16428688776348402</v>
      </c>
      <c r="K1816">
        <f>(FlipkartTable[[#This Row],[Rating]]/FlipkartTable[[#This Row],[Selling Price]])*1000</f>
        <v>3.6752450875648504E-2</v>
      </c>
      <c r="L1816" t="str">
        <f>IF(FlipkartTable[[#This Row],[Selling Price]]&lt;15000,"Budget",IF(FlipkartTable[[#This Row],[Selling Price]]&lt;50000,"Mid Range","Premium"))</f>
        <v>Premium</v>
      </c>
      <c r="M1816" t="str">
        <f>IF(FlipkartTable[[#This Row],[Rating]]&gt;4.5,"Excellent",IF(FlipkartTable[[#This Row],[Rating]]&gt;4,"Good",IF(FlipkartTable[[#This Row],[Rating]]&gt;3.5,"Average","Poor")))</f>
        <v>Good</v>
      </c>
    </row>
    <row r="1817" spans="1:13" x14ac:dyDescent="0.35">
      <c r="A1817" t="s">
        <v>663</v>
      </c>
      <c r="B1817" s="9" t="s">
        <v>723</v>
      </c>
      <c r="C1817" t="s">
        <v>724</v>
      </c>
      <c r="D1817" t="s">
        <v>27</v>
      </c>
      <c r="E1817" t="s">
        <v>15</v>
      </c>
      <c r="F1817">
        <v>4.3</v>
      </c>
      <c r="G1817">
        <v>39999</v>
      </c>
      <c r="H1817">
        <v>45000</v>
      </c>
      <c r="I1817">
        <f>FlipkartTable[[#This Row],[Original Price]]-FlipkartTable[[#This Row],[Selling Price]]</f>
        <v>5001</v>
      </c>
      <c r="J1817" s="4">
        <f>(FlipkartTable[[#This Row],[Original Price]]-FlipkartTable[[#This Row],[Selling Price]])/FlipkartTable[[#This Row],[Original Price]]</f>
        <v>0.11113333333333333</v>
      </c>
      <c r="K1817">
        <f>(FlipkartTable[[#This Row],[Rating]]/FlipkartTable[[#This Row],[Selling Price]])*1000</f>
        <v>0.10750268756718918</v>
      </c>
      <c r="L1817" t="str">
        <f>IF(FlipkartTable[[#This Row],[Selling Price]]&lt;15000,"Budget",IF(FlipkartTable[[#This Row],[Selling Price]]&lt;50000,"Mid Range","Premium"))</f>
        <v>Mid Range</v>
      </c>
      <c r="M1817" t="str">
        <f>IF(FlipkartTable[[#This Row],[Rating]]&gt;4.5,"Excellent",IF(FlipkartTable[[#This Row],[Rating]]&gt;4,"Good",IF(FlipkartTable[[#This Row],[Rating]]&gt;3.5,"Average","Poor")))</f>
        <v>Good</v>
      </c>
    </row>
    <row r="1818" spans="1:13" x14ac:dyDescent="0.35">
      <c r="A1818" t="s">
        <v>663</v>
      </c>
      <c r="B1818" s="9" t="s">
        <v>696</v>
      </c>
      <c r="C1818" t="s">
        <v>697</v>
      </c>
      <c r="D1818" t="s">
        <v>14</v>
      </c>
      <c r="E1818" t="s">
        <v>15</v>
      </c>
      <c r="F1818">
        <v>4.4000000000000004</v>
      </c>
      <c r="G1818">
        <v>16998</v>
      </c>
      <c r="H1818">
        <v>18439</v>
      </c>
      <c r="I1818">
        <f>FlipkartTable[[#This Row],[Original Price]]-FlipkartTable[[#This Row],[Selling Price]]</f>
        <v>1441</v>
      </c>
      <c r="J1818" s="4">
        <f>(FlipkartTable[[#This Row],[Original Price]]-FlipkartTable[[#This Row],[Selling Price]])/FlipkartTable[[#This Row],[Original Price]]</f>
        <v>7.8149574271923636E-2</v>
      </c>
      <c r="K1818">
        <f>(FlipkartTable[[#This Row],[Rating]]/FlipkartTable[[#This Row],[Selling Price]])*1000</f>
        <v>0.25885398282150845</v>
      </c>
      <c r="L1818" t="str">
        <f>IF(FlipkartTable[[#This Row],[Selling Price]]&lt;15000,"Budget",IF(FlipkartTable[[#This Row],[Selling Price]]&lt;50000,"Mid Range","Premium"))</f>
        <v>Mid Range</v>
      </c>
      <c r="M1818" t="str">
        <f>IF(FlipkartTable[[#This Row],[Rating]]&gt;4.5,"Excellent",IF(FlipkartTable[[#This Row],[Rating]]&gt;4,"Good",IF(FlipkartTable[[#This Row],[Rating]]&gt;3.5,"Average","Poor")))</f>
        <v>Good</v>
      </c>
    </row>
    <row r="1819" spans="1:13" x14ac:dyDescent="0.35">
      <c r="A1819" t="s">
        <v>663</v>
      </c>
      <c r="B1819" s="9" t="s">
        <v>708</v>
      </c>
      <c r="C1819" t="s">
        <v>716</v>
      </c>
      <c r="D1819" t="s">
        <v>27</v>
      </c>
      <c r="E1819" t="s">
        <v>15</v>
      </c>
      <c r="F1819">
        <v>4.5</v>
      </c>
      <c r="G1819">
        <v>40999</v>
      </c>
      <c r="H1819">
        <v>43999</v>
      </c>
      <c r="I1819">
        <f>FlipkartTable[[#This Row],[Original Price]]-FlipkartTable[[#This Row],[Selling Price]]</f>
        <v>3000</v>
      </c>
      <c r="J1819" s="4">
        <f>(FlipkartTable[[#This Row],[Original Price]]-FlipkartTable[[#This Row],[Selling Price]])/FlipkartTable[[#This Row],[Original Price]]</f>
        <v>6.8183367803813719E-2</v>
      </c>
      <c r="K1819">
        <f>(FlipkartTable[[#This Row],[Rating]]/FlipkartTable[[#This Row],[Selling Price]])*1000</f>
        <v>0.10975877460425865</v>
      </c>
      <c r="L1819" t="str">
        <f>IF(FlipkartTable[[#This Row],[Selling Price]]&lt;15000,"Budget",IF(FlipkartTable[[#This Row],[Selling Price]]&lt;50000,"Mid Range","Premium"))</f>
        <v>Mid Range</v>
      </c>
      <c r="M1819" t="str">
        <f>IF(FlipkartTable[[#This Row],[Rating]]&gt;4.5,"Excellent",IF(FlipkartTable[[#This Row],[Rating]]&gt;4,"Good",IF(FlipkartTable[[#This Row],[Rating]]&gt;3.5,"Average","Poor")))</f>
        <v>Good</v>
      </c>
    </row>
    <row r="1820" spans="1:13" x14ac:dyDescent="0.35">
      <c r="A1820" t="s">
        <v>663</v>
      </c>
      <c r="B1820" s="9" t="s">
        <v>916</v>
      </c>
      <c r="C1820" t="s">
        <v>917</v>
      </c>
      <c r="D1820" t="s">
        <v>284</v>
      </c>
      <c r="E1820" t="s">
        <v>124</v>
      </c>
      <c r="F1820">
        <v>4.3</v>
      </c>
      <c r="G1820">
        <v>17000</v>
      </c>
      <c r="H1820">
        <v>17000</v>
      </c>
      <c r="I1820">
        <f>FlipkartTable[[#This Row],[Original Price]]-FlipkartTable[[#This Row],[Selling Price]]</f>
        <v>0</v>
      </c>
      <c r="J1820" s="4">
        <f>(FlipkartTable[[#This Row],[Original Price]]-FlipkartTable[[#This Row],[Selling Price]])/FlipkartTable[[#This Row],[Original Price]]</f>
        <v>0</v>
      </c>
      <c r="K1820">
        <f>(FlipkartTable[[#This Row],[Rating]]/FlipkartTable[[#This Row],[Selling Price]])*1000</f>
        <v>0.25294117647058822</v>
      </c>
      <c r="L1820" t="str">
        <f>IF(FlipkartTable[[#This Row],[Selling Price]]&lt;15000,"Budget",IF(FlipkartTable[[#This Row],[Selling Price]]&lt;50000,"Mid Range","Premium"))</f>
        <v>Mid Range</v>
      </c>
      <c r="M1820" t="str">
        <f>IF(FlipkartTable[[#This Row],[Rating]]&gt;4.5,"Excellent",IF(FlipkartTable[[#This Row],[Rating]]&gt;4,"Good",IF(FlipkartTable[[#This Row],[Rating]]&gt;3.5,"Average","Poor")))</f>
        <v>Good</v>
      </c>
    </row>
    <row r="1821" spans="1:13" x14ac:dyDescent="0.35">
      <c r="A1821" t="s">
        <v>663</v>
      </c>
      <c r="B1821" s="9" t="s">
        <v>763</v>
      </c>
      <c r="C1821" t="s">
        <v>139</v>
      </c>
      <c r="D1821" t="s">
        <v>20</v>
      </c>
      <c r="E1821" t="s">
        <v>21</v>
      </c>
      <c r="F1821">
        <v>4.3</v>
      </c>
      <c r="G1821">
        <v>11000</v>
      </c>
      <c r="H1821">
        <v>11000</v>
      </c>
      <c r="I1821">
        <f>FlipkartTable[[#This Row],[Original Price]]-FlipkartTable[[#This Row],[Selling Price]]</f>
        <v>0</v>
      </c>
      <c r="J1821" s="4">
        <f>(FlipkartTable[[#This Row],[Original Price]]-FlipkartTable[[#This Row],[Selling Price]])/FlipkartTable[[#This Row],[Original Price]]</f>
        <v>0</v>
      </c>
      <c r="K1821">
        <f>(FlipkartTable[[#This Row],[Rating]]/FlipkartTable[[#This Row],[Selling Price]])*1000</f>
        <v>0.39090909090909093</v>
      </c>
      <c r="L1821" t="str">
        <f>IF(FlipkartTable[[#This Row],[Selling Price]]&lt;15000,"Budget",IF(FlipkartTable[[#This Row],[Selling Price]]&lt;50000,"Mid Range","Premium"))</f>
        <v>Budget</v>
      </c>
      <c r="M1821" t="str">
        <f>IF(FlipkartTable[[#This Row],[Rating]]&gt;4.5,"Excellent",IF(FlipkartTable[[#This Row],[Rating]]&gt;4,"Good",IF(FlipkartTable[[#This Row],[Rating]]&gt;3.5,"Average","Poor")))</f>
        <v>Good</v>
      </c>
    </row>
    <row r="1822" spans="1:13" x14ac:dyDescent="0.35">
      <c r="A1822" t="s">
        <v>663</v>
      </c>
      <c r="B1822" s="9" t="s">
        <v>918</v>
      </c>
      <c r="C1822" t="s">
        <v>49</v>
      </c>
      <c r="D1822" t="s">
        <v>11</v>
      </c>
      <c r="E1822" t="s">
        <v>12</v>
      </c>
      <c r="F1822">
        <v>4.4000000000000004</v>
      </c>
      <c r="G1822">
        <v>26600</v>
      </c>
      <c r="H1822">
        <v>26600</v>
      </c>
      <c r="I1822">
        <f>FlipkartTable[[#This Row],[Original Price]]-FlipkartTable[[#This Row],[Selling Price]]</f>
        <v>0</v>
      </c>
      <c r="J1822" s="4">
        <f>(FlipkartTable[[#This Row],[Original Price]]-FlipkartTable[[#This Row],[Selling Price]])/FlipkartTable[[#This Row],[Original Price]]</f>
        <v>0</v>
      </c>
      <c r="K1822">
        <f>(FlipkartTable[[#This Row],[Rating]]/FlipkartTable[[#This Row],[Selling Price]])*1000</f>
        <v>0.16541353383458648</v>
      </c>
      <c r="L1822" t="str">
        <f>IF(FlipkartTable[[#This Row],[Selling Price]]&lt;15000,"Budget",IF(FlipkartTable[[#This Row],[Selling Price]]&lt;50000,"Mid Range","Premium"))</f>
        <v>Mid Range</v>
      </c>
      <c r="M1822" t="str">
        <f>IF(FlipkartTable[[#This Row],[Rating]]&gt;4.5,"Excellent",IF(FlipkartTable[[#This Row],[Rating]]&gt;4,"Good",IF(FlipkartTable[[#This Row],[Rating]]&gt;3.5,"Average","Poor")))</f>
        <v>Good</v>
      </c>
    </row>
    <row r="1823" spans="1:13" x14ac:dyDescent="0.35">
      <c r="A1823" t="s">
        <v>663</v>
      </c>
      <c r="B1823" s="9" t="s">
        <v>910</v>
      </c>
      <c r="C1823" t="s">
        <v>919</v>
      </c>
      <c r="D1823" t="s">
        <v>11</v>
      </c>
      <c r="E1823" t="s">
        <v>21</v>
      </c>
      <c r="F1823">
        <v>4.4000000000000004</v>
      </c>
      <c r="G1823">
        <v>41900</v>
      </c>
      <c r="H1823">
        <v>41900</v>
      </c>
      <c r="I1823">
        <f>FlipkartTable[[#This Row],[Original Price]]-FlipkartTable[[#This Row],[Selling Price]]</f>
        <v>0</v>
      </c>
      <c r="J1823" s="4">
        <f>(FlipkartTable[[#This Row],[Original Price]]-FlipkartTable[[#This Row],[Selling Price]])/FlipkartTable[[#This Row],[Original Price]]</f>
        <v>0</v>
      </c>
      <c r="K1823">
        <f>(FlipkartTable[[#This Row],[Rating]]/FlipkartTable[[#This Row],[Selling Price]])*1000</f>
        <v>0.10501193317422435</v>
      </c>
      <c r="L1823" t="str">
        <f>IF(FlipkartTable[[#This Row],[Selling Price]]&lt;15000,"Budget",IF(FlipkartTable[[#This Row],[Selling Price]]&lt;50000,"Mid Range","Premium"))</f>
        <v>Mid Range</v>
      </c>
      <c r="M1823" t="str">
        <f>IF(FlipkartTable[[#This Row],[Rating]]&gt;4.5,"Excellent",IF(FlipkartTable[[#This Row],[Rating]]&gt;4,"Good",IF(FlipkartTable[[#This Row],[Rating]]&gt;3.5,"Average","Poor")))</f>
        <v>Good</v>
      </c>
    </row>
    <row r="1824" spans="1:13" x14ac:dyDescent="0.35">
      <c r="A1824" t="s">
        <v>663</v>
      </c>
      <c r="B1824" s="9" t="s">
        <v>811</v>
      </c>
      <c r="C1824" t="s">
        <v>22</v>
      </c>
      <c r="D1824" t="s">
        <v>11</v>
      </c>
      <c r="E1824" t="s">
        <v>12</v>
      </c>
      <c r="F1824">
        <v>4.3</v>
      </c>
      <c r="G1824">
        <v>14090</v>
      </c>
      <c r="H1824">
        <v>15500</v>
      </c>
      <c r="I1824">
        <f>FlipkartTable[[#This Row],[Original Price]]-FlipkartTable[[#This Row],[Selling Price]]</f>
        <v>1410</v>
      </c>
      <c r="J1824" s="4">
        <f>(FlipkartTable[[#This Row],[Original Price]]-FlipkartTable[[#This Row],[Selling Price]])/FlipkartTable[[#This Row],[Original Price]]</f>
        <v>9.0967741935483876E-2</v>
      </c>
      <c r="K1824">
        <f>(FlipkartTable[[#This Row],[Rating]]/FlipkartTable[[#This Row],[Selling Price]])*1000</f>
        <v>0.30518097941802691</v>
      </c>
      <c r="L1824" t="str">
        <f>IF(FlipkartTable[[#This Row],[Selling Price]]&lt;15000,"Budget",IF(FlipkartTable[[#This Row],[Selling Price]]&lt;50000,"Mid Range","Premium"))</f>
        <v>Budget</v>
      </c>
      <c r="M1824" t="str">
        <f>IF(FlipkartTable[[#This Row],[Rating]]&gt;4.5,"Excellent",IF(FlipkartTable[[#This Row],[Rating]]&gt;4,"Good",IF(FlipkartTable[[#This Row],[Rating]]&gt;3.5,"Average","Poor")))</f>
        <v>Good</v>
      </c>
    </row>
    <row r="1825" spans="1:13" x14ac:dyDescent="0.35">
      <c r="A1825" t="s">
        <v>663</v>
      </c>
      <c r="B1825" s="9" t="s">
        <v>918</v>
      </c>
      <c r="C1825" t="s">
        <v>116</v>
      </c>
      <c r="D1825" t="s">
        <v>11</v>
      </c>
      <c r="E1825" t="s">
        <v>12</v>
      </c>
      <c r="F1825">
        <v>4.4000000000000004</v>
      </c>
      <c r="G1825">
        <v>26600</v>
      </c>
      <c r="H1825">
        <v>26600</v>
      </c>
      <c r="I1825">
        <f>FlipkartTable[[#This Row],[Original Price]]-FlipkartTable[[#This Row],[Selling Price]]</f>
        <v>0</v>
      </c>
      <c r="J1825" s="4">
        <f>(FlipkartTable[[#This Row],[Original Price]]-FlipkartTable[[#This Row],[Selling Price]])/FlipkartTable[[#This Row],[Original Price]]</f>
        <v>0</v>
      </c>
      <c r="K1825">
        <f>(FlipkartTable[[#This Row],[Rating]]/FlipkartTable[[#This Row],[Selling Price]])*1000</f>
        <v>0.16541353383458648</v>
      </c>
      <c r="L1825" t="str">
        <f>IF(FlipkartTable[[#This Row],[Selling Price]]&lt;15000,"Budget",IF(FlipkartTable[[#This Row],[Selling Price]]&lt;50000,"Mid Range","Premium"))</f>
        <v>Mid Range</v>
      </c>
      <c r="M1825" t="str">
        <f>IF(FlipkartTable[[#This Row],[Rating]]&gt;4.5,"Excellent",IF(FlipkartTable[[#This Row],[Rating]]&gt;4,"Good",IF(FlipkartTable[[#This Row],[Rating]]&gt;3.5,"Average","Poor")))</f>
        <v>Good</v>
      </c>
    </row>
    <row r="1826" spans="1:13" x14ac:dyDescent="0.35">
      <c r="A1826" t="s">
        <v>663</v>
      </c>
      <c r="B1826" s="9" t="s">
        <v>882</v>
      </c>
      <c r="C1826" t="s">
        <v>22</v>
      </c>
      <c r="D1826" t="s">
        <v>11</v>
      </c>
      <c r="E1826" t="s">
        <v>15</v>
      </c>
      <c r="F1826">
        <v>4.3</v>
      </c>
      <c r="G1826">
        <v>13990</v>
      </c>
      <c r="H1826">
        <v>16590</v>
      </c>
      <c r="I1826">
        <f>FlipkartTable[[#This Row],[Original Price]]-FlipkartTable[[#This Row],[Selling Price]]</f>
        <v>2600</v>
      </c>
      <c r="J1826" s="4">
        <f>(FlipkartTable[[#This Row],[Original Price]]-FlipkartTable[[#This Row],[Selling Price]])/FlipkartTable[[#This Row],[Original Price]]</f>
        <v>0.15672091621458711</v>
      </c>
      <c r="K1826">
        <f>(FlipkartTable[[#This Row],[Rating]]/FlipkartTable[[#This Row],[Selling Price]])*1000</f>
        <v>0.30736240171551105</v>
      </c>
      <c r="L1826" t="str">
        <f>IF(FlipkartTable[[#This Row],[Selling Price]]&lt;15000,"Budget",IF(FlipkartTable[[#This Row],[Selling Price]]&lt;50000,"Mid Range","Premium"))</f>
        <v>Budget</v>
      </c>
      <c r="M1826" t="str">
        <f>IF(FlipkartTable[[#This Row],[Rating]]&gt;4.5,"Excellent",IF(FlipkartTable[[#This Row],[Rating]]&gt;4,"Good",IF(FlipkartTable[[#This Row],[Rating]]&gt;3.5,"Average","Poor")))</f>
        <v>Good</v>
      </c>
    </row>
    <row r="1827" spans="1:13" x14ac:dyDescent="0.35">
      <c r="A1827" t="s">
        <v>663</v>
      </c>
      <c r="B1827" s="9" t="s">
        <v>854</v>
      </c>
      <c r="C1827" t="s">
        <v>116</v>
      </c>
      <c r="D1827" t="s">
        <v>284</v>
      </c>
      <c r="E1827" t="s">
        <v>27</v>
      </c>
      <c r="F1827">
        <v>4</v>
      </c>
      <c r="G1827">
        <v>6990</v>
      </c>
      <c r="H1827">
        <v>6990</v>
      </c>
      <c r="I1827">
        <f>FlipkartTable[[#This Row],[Original Price]]-FlipkartTable[[#This Row],[Selling Price]]</f>
        <v>0</v>
      </c>
      <c r="J1827" s="4">
        <f>(FlipkartTable[[#This Row],[Original Price]]-FlipkartTable[[#This Row],[Selling Price]])/FlipkartTable[[#This Row],[Original Price]]</f>
        <v>0</v>
      </c>
      <c r="K1827">
        <f>(FlipkartTable[[#This Row],[Rating]]/FlipkartTable[[#This Row],[Selling Price]])*1000</f>
        <v>0.57224606580829762</v>
      </c>
      <c r="L1827" t="str">
        <f>IF(FlipkartTable[[#This Row],[Selling Price]]&lt;15000,"Budget",IF(FlipkartTable[[#This Row],[Selling Price]]&lt;50000,"Mid Range","Premium"))</f>
        <v>Budget</v>
      </c>
      <c r="M1827" t="str">
        <f>IF(FlipkartTable[[#This Row],[Rating]]&gt;4.5,"Excellent",IF(FlipkartTable[[#This Row],[Rating]]&gt;4,"Good",IF(FlipkartTable[[#This Row],[Rating]]&gt;3.5,"Average","Poor")))</f>
        <v>Average</v>
      </c>
    </row>
    <row r="1828" spans="1:13" x14ac:dyDescent="0.35">
      <c r="A1828" t="s">
        <v>663</v>
      </c>
      <c r="B1828" s="9" t="s">
        <v>764</v>
      </c>
      <c r="C1828" t="s">
        <v>79</v>
      </c>
      <c r="D1828" t="s">
        <v>14</v>
      </c>
      <c r="E1828" t="s">
        <v>15</v>
      </c>
      <c r="F1828">
        <v>4.2</v>
      </c>
      <c r="G1828">
        <v>15499</v>
      </c>
      <c r="H1828">
        <v>15499</v>
      </c>
      <c r="I1828">
        <f>FlipkartTable[[#This Row],[Original Price]]-FlipkartTable[[#This Row],[Selling Price]]</f>
        <v>0</v>
      </c>
      <c r="J1828" s="4">
        <f>(FlipkartTable[[#This Row],[Original Price]]-FlipkartTable[[#This Row],[Selling Price]])/FlipkartTable[[#This Row],[Original Price]]</f>
        <v>0</v>
      </c>
      <c r="K1828">
        <f>(FlipkartTable[[#This Row],[Rating]]/FlipkartTable[[#This Row],[Selling Price]])*1000</f>
        <v>0.27098522485321636</v>
      </c>
      <c r="L1828" t="str">
        <f>IF(FlipkartTable[[#This Row],[Selling Price]]&lt;15000,"Budget",IF(FlipkartTable[[#This Row],[Selling Price]]&lt;50000,"Mid Range","Premium"))</f>
        <v>Mid Range</v>
      </c>
      <c r="M1828" t="str">
        <f>IF(FlipkartTable[[#This Row],[Rating]]&gt;4.5,"Excellent",IF(FlipkartTable[[#This Row],[Rating]]&gt;4,"Good",IF(FlipkartTable[[#This Row],[Rating]]&gt;3.5,"Average","Poor")))</f>
        <v>Good</v>
      </c>
    </row>
    <row r="1829" spans="1:13" x14ac:dyDescent="0.35">
      <c r="A1829" t="s">
        <v>663</v>
      </c>
      <c r="B1829" s="9" t="s">
        <v>843</v>
      </c>
      <c r="C1829" t="s">
        <v>853</v>
      </c>
      <c r="D1829" t="s">
        <v>11</v>
      </c>
      <c r="E1829" t="s">
        <v>12</v>
      </c>
      <c r="F1829">
        <v>4.3</v>
      </c>
      <c r="G1829">
        <v>11990</v>
      </c>
      <c r="H1829">
        <v>12250</v>
      </c>
      <c r="I1829">
        <f>FlipkartTable[[#This Row],[Original Price]]-FlipkartTable[[#This Row],[Selling Price]]</f>
        <v>260</v>
      </c>
      <c r="J1829" s="4">
        <f>(FlipkartTable[[#This Row],[Original Price]]-FlipkartTable[[#This Row],[Selling Price]])/FlipkartTable[[#This Row],[Original Price]]</f>
        <v>2.1224489795918369E-2</v>
      </c>
      <c r="K1829">
        <f>(FlipkartTable[[#This Row],[Rating]]/FlipkartTable[[#This Row],[Selling Price]])*1000</f>
        <v>0.35863219349457881</v>
      </c>
      <c r="L1829" t="str">
        <f>IF(FlipkartTable[[#This Row],[Selling Price]]&lt;15000,"Budget",IF(FlipkartTable[[#This Row],[Selling Price]]&lt;50000,"Mid Range","Premium"))</f>
        <v>Budget</v>
      </c>
      <c r="M1829" t="str">
        <f>IF(FlipkartTable[[#This Row],[Rating]]&gt;4.5,"Excellent",IF(FlipkartTable[[#This Row],[Rating]]&gt;4,"Good",IF(FlipkartTable[[#This Row],[Rating]]&gt;3.5,"Average","Poor")))</f>
        <v>Good</v>
      </c>
    </row>
    <row r="1830" spans="1:13" x14ac:dyDescent="0.35">
      <c r="A1830" t="s">
        <v>663</v>
      </c>
      <c r="B1830" s="9" t="s">
        <v>767</v>
      </c>
      <c r="C1830" t="s">
        <v>22</v>
      </c>
      <c r="D1830" t="s">
        <v>20</v>
      </c>
      <c r="E1830" t="s">
        <v>21</v>
      </c>
      <c r="F1830">
        <v>4.3</v>
      </c>
      <c r="G1830">
        <v>10399</v>
      </c>
      <c r="H1830">
        <v>11000</v>
      </c>
      <c r="I1830">
        <f>FlipkartTable[[#This Row],[Original Price]]-FlipkartTable[[#This Row],[Selling Price]]</f>
        <v>601</v>
      </c>
      <c r="J1830" s="4">
        <f>(FlipkartTable[[#This Row],[Original Price]]-FlipkartTable[[#This Row],[Selling Price]])/FlipkartTable[[#This Row],[Original Price]]</f>
        <v>5.4636363636363636E-2</v>
      </c>
      <c r="K1830">
        <f>(FlipkartTable[[#This Row],[Rating]]/FlipkartTable[[#This Row],[Selling Price]])*1000</f>
        <v>0.41350129820175019</v>
      </c>
      <c r="L1830" t="str">
        <f>IF(FlipkartTable[[#This Row],[Selling Price]]&lt;15000,"Budget",IF(FlipkartTable[[#This Row],[Selling Price]]&lt;50000,"Mid Range","Premium"))</f>
        <v>Budget</v>
      </c>
      <c r="M1830" t="str">
        <f>IF(FlipkartTable[[#This Row],[Rating]]&gt;4.5,"Excellent",IF(FlipkartTable[[#This Row],[Rating]]&gt;4,"Good",IF(FlipkartTable[[#This Row],[Rating]]&gt;3.5,"Average","Poor")))</f>
        <v>Good</v>
      </c>
    </row>
    <row r="1831" spans="1:13" x14ac:dyDescent="0.35">
      <c r="A1831" t="s">
        <v>663</v>
      </c>
      <c r="B1831" s="9" t="s">
        <v>693</v>
      </c>
      <c r="C1831" t="s">
        <v>704</v>
      </c>
      <c r="D1831" t="s">
        <v>27</v>
      </c>
      <c r="E1831" t="s">
        <v>64</v>
      </c>
      <c r="F1831">
        <v>4.3</v>
      </c>
      <c r="G1831">
        <v>37999</v>
      </c>
      <c r="H1831">
        <v>43999</v>
      </c>
      <c r="I1831">
        <f>FlipkartTable[[#This Row],[Original Price]]-FlipkartTable[[#This Row],[Selling Price]]</f>
        <v>6000</v>
      </c>
      <c r="J1831" s="4">
        <f>(FlipkartTable[[#This Row],[Original Price]]-FlipkartTable[[#This Row],[Selling Price]])/FlipkartTable[[#This Row],[Original Price]]</f>
        <v>0.13636673560762744</v>
      </c>
      <c r="K1831">
        <f>(FlipkartTable[[#This Row],[Rating]]/FlipkartTable[[#This Row],[Selling Price]])*1000</f>
        <v>0.11316087265454354</v>
      </c>
      <c r="L1831" t="str">
        <f>IF(FlipkartTable[[#This Row],[Selling Price]]&lt;15000,"Budget",IF(FlipkartTable[[#This Row],[Selling Price]]&lt;50000,"Mid Range","Premium"))</f>
        <v>Mid Range</v>
      </c>
      <c r="M1831" t="str">
        <f>IF(FlipkartTable[[#This Row],[Rating]]&gt;4.5,"Excellent",IF(FlipkartTable[[#This Row],[Rating]]&gt;4,"Good",IF(FlipkartTable[[#This Row],[Rating]]&gt;3.5,"Average","Poor")))</f>
        <v>Good</v>
      </c>
    </row>
    <row r="1832" spans="1:13" x14ac:dyDescent="0.35">
      <c r="A1832" t="s">
        <v>663</v>
      </c>
      <c r="B1832" s="9" t="s">
        <v>755</v>
      </c>
      <c r="C1832" t="s">
        <v>920</v>
      </c>
      <c r="D1832" t="s">
        <v>27</v>
      </c>
      <c r="E1832" t="s">
        <v>15</v>
      </c>
      <c r="F1832">
        <v>4</v>
      </c>
      <c r="G1832">
        <v>49999</v>
      </c>
      <c r="H1832">
        <v>65999</v>
      </c>
      <c r="I1832">
        <f>FlipkartTable[[#This Row],[Original Price]]-FlipkartTable[[#This Row],[Selling Price]]</f>
        <v>16000</v>
      </c>
      <c r="J1832" s="4">
        <f>(FlipkartTable[[#This Row],[Original Price]]-FlipkartTable[[#This Row],[Selling Price]])/FlipkartTable[[#This Row],[Original Price]]</f>
        <v>0.2424279155744784</v>
      </c>
      <c r="K1832">
        <f>(FlipkartTable[[#This Row],[Rating]]/FlipkartTable[[#This Row],[Selling Price]])*1000</f>
        <v>8.0001600032000644E-2</v>
      </c>
      <c r="L1832" t="str">
        <f>IF(FlipkartTable[[#This Row],[Selling Price]]&lt;15000,"Budget",IF(FlipkartTable[[#This Row],[Selling Price]]&lt;50000,"Mid Range","Premium"))</f>
        <v>Mid Range</v>
      </c>
      <c r="M1832" t="str">
        <f>IF(FlipkartTable[[#This Row],[Rating]]&gt;4.5,"Excellent",IF(FlipkartTable[[#This Row],[Rating]]&gt;4,"Good",IF(FlipkartTable[[#This Row],[Rating]]&gt;3.5,"Average","Poor")))</f>
        <v>Average</v>
      </c>
    </row>
    <row r="1833" spans="1:13" x14ac:dyDescent="0.35">
      <c r="A1833" t="s">
        <v>663</v>
      </c>
      <c r="B1833" s="9" t="s">
        <v>921</v>
      </c>
      <c r="C1833" t="s">
        <v>922</v>
      </c>
      <c r="D1833" t="s">
        <v>35</v>
      </c>
      <c r="E1833" t="s">
        <v>124</v>
      </c>
      <c r="F1833">
        <v>3.7</v>
      </c>
      <c r="G1833">
        <v>27330</v>
      </c>
      <c r="H1833">
        <v>27330</v>
      </c>
      <c r="I1833">
        <f>FlipkartTable[[#This Row],[Original Price]]-FlipkartTable[[#This Row],[Selling Price]]</f>
        <v>0</v>
      </c>
      <c r="J1833" s="4">
        <f>(FlipkartTable[[#This Row],[Original Price]]-FlipkartTable[[#This Row],[Selling Price]])/FlipkartTable[[#This Row],[Original Price]]</f>
        <v>0</v>
      </c>
      <c r="K1833">
        <f>(FlipkartTable[[#This Row],[Rating]]/FlipkartTable[[#This Row],[Selling Price]])*1000</f>
        <v>0.13538236370289061</v>
      </c>
      <c r="L1833" t="str">
        <f>IF(FlipkartTable[[#This Row],[Selling Price]]&lt;15000,"Budget",IF(FlipkartTable[[#This Row],[Selling Price]]&lt;50000,"Mid Range","Premium"))</f>
        <v>Mid Range</v>
      </c>
      <c r="M1833" t="str">
        <f>IF(FlipkartTable[[#This Row],[Rating]]&gt;4.5,"Excellent",IF(FlipkartTable[[#This Row],[Rating]]&gt;4,"Good",IF(FlipkartTable[[#This Row],[Rating]]&gt;3.5,"Average","Poor")))</f>
        <v>Average</v>
      </c>
    </row>
    <row r="1834" spans="1:13" x14ac:dyDescent="0.35">
      <c r="A1834" t="s">
        <v>663</v>
      </c>
      <c r="B1834" s="9" t="s">
        <v>740</v>
      </c>
      <c r="C1834" t="s">
        <v>116</v>
      </c>
      <c r="D1834" t="s">
        <v>11</v>
      </c>
      <c r="E1834" t="s">
        <v>21</v>
      </c>
      <c r="F1834">
        <v>4.3</v>
      </c>
      <c r="G1834">
        <v>12499</v>
      </c>
      <c r="H1834">
        <v>22000</v>
      </c>
      <c r="I1834">
        <f>FlipkartTable[[#This Row],[Original Price]]-FlipkartTable[[#This Row],[Selling Price]]</f>
        <v>9501</v>
      </c>
      <c r="J1834" s="4">
        <f>(FlipkartTable[[#This Row],[Original Price]]-FlipkartTable[[#This Row],[Selling Price]])/FlipkartTable[[#This Row],[Original Price]]</f>
        <v>0.43186363636363634</v>
      </c>
      <c r="K1834">
        <f>(FlipkartTable[[#This Row],[Rating]]/FlipkartTable[[#This Row],[Selling Price]])*1000</f>
        <v>0.34402752220177613</v>
      </c>
      <c r="L1834" t="str">
        <f>IF(FlipkartTable[[#This Row],[Selling Price]]&lt;15000,"Budget",IF(FlipkartTable[[#This Row],[Selling Price]]&lt;50000,"Mid Range","Premium"))</f>
        <v>Budget</v>
      </c>
      <c r="M1834" t="str">
        <f>IF(FlipkartTable[[#This Row],[Rating]]&gt;4.5,"Excellent",IF(FlipkartTable[[#This Row],[Rating]]&gt;4,"Good",IF(FlipkartTable[[#This Row],[Rating]]&gt;3.5,"Average","Poor")))</f>
        <v>Good</v>
      </c>
    </row>
    <row r="1835" spans="1:13" x14ac:dyDescent="0.35">
      <c r="A1835" t="s">
        <v>663</v>
      </c>
      <c r="B1835" s="9" t="s">
        <v>756</v>
      </c>
      <c r="C1835" t="s">
        <v>736</v>
      </c>
      <c r="D1835" t="s">
        <v>11</v>
      </c>
      <c r="E1835" t="s">
        <v>12</v>
      </c>
      <c r="F1835">
        <v>4.3</v>
      </c>
      <c r="G1835">
        <v>18900</v>
      </c>
      <c r="H1835">
        <v>18900</v>
      </c>
      <c r="I1835">
        <f>FlipkartTable[[#This Row],[Original Price]]-FlipkartTable[[#This Row],[Selling Price]]</f>
        <v>0</v>
      </c>
      <c r="J1835" s="4">
        <f>(FlipkartTable[[#This Row],[Original Price]]-FlipkartTable[[#This Row],[Selling Price]])/FlipkartTable[[#This Row],[Original Price]]</f>
        <v>0</v>
      </c>
      <c r="K1835">
        <f>(FlipkartTable[[#This Row],[Rating]]/FlipkartTable[[#This Row],[Selling Price]])*1000</f>
        <v>0.2275132275132275</v>
      </c>
      <c r="L1835" t="str">
        <f>IF(FlipkartTable[[#This Row],[Selling Price]]&lt;15000,"Budget",IF(FlipkartTable[[#This Row],[Selling Price]]&lt;50000,"Mid Range","Premium"))</f>
        <v>Mid Range</v>
      </c>
      <c r="M1835" t="str">
        <f>IF(FlipkartTable[[#This Row],[Rating]]&gt;4.5,"Excellent",IF(FlipkartTable[[#This Row],[Rating]]&gt;4,"Good",IF(FlipkartTable[[#This Row],[Rating]]&gt;3.5,"Average","Poor")))</f>
        <v>Good</v>
      </c>
    </row>
    <row r="1836" spans="1:13" x14ac:dyDescent="0.35">
      <c r="A1836" t="s">
        <v>663</v>
      </c>
      <c r="B1836" s="9" t="s">
        <v>858</v>
      </c>
      <c r="C1836" t="s">
        <v>819</v>
      </c>
      <c r="D1836" t="s">
        <v>63</v>
      </c>
      <c r="E1836" t="s">
        <v>338</v>
      </c>
      <c r="F1836">
        <v>4.5999999999999996</v>
      </c>
      <c r="G1836">
        <v>95000</v>
      </c>
      <c r="H1836">
        <v>95000</v>
      </c>
      <c r="I1836">
        <f>FlipkartTable[[#This Row],[Original Price]]-FlipkartTable[[#This Row],[Selling Price]]</f>
        <v>0</v>
      </c>
      <c r="J1836" s="4">
        <f>(FlipkartTable[[#This Row],[Original Price]]-FlipkartTable[[#This Row],[Selling Price]])/FlipkartTable[[#This Row],[Original Price]]</f>
        <v>0</v>
      </c>
      <c r="K1836">
        <f>(FlipkartTable[[#This Row],[Rating]]/FlipkartTable[[#This Row],[Selling Price]])*1000</f>
        <v>4.8421052631578941E-2</v>
      </c>
      <c r="L1836" t="str">
        <f>IF(FlipkartTable[[#This Row],[Selling Price]]&lt;15000,"Budget",IF(FlipkartTable[[#This Row],[Selling Price]]&lt;50000,"Mid Range","Premium"))</f>
        <v>Premium</v>
      </c>
      <c r="M1836" t="str">
        <f>IF(FlipkartTable[[#This Row],[Rating]]&gt;4.5,"Excellent",IF(FlipkartTable[[#This Row],[Rating]]&gt;4,"Good",IF(FlipkartTable[[#This Row],[Rating]]&gt;3.5,"Average","Poor")))</f>
        <v>Excellent</v>
      </c>
    </row>
    <row r="1837" spans="1:13" x14ac:dyDescent="0.35">
      <c r="A1837" t="s">
        <v>663</v>
      </c>
      <c r="B1837" s="9" t="s">
        <v>905</v>
      </c>
      <c r="C1837" t="s">
        <v>819</v>
      </c>
      <c r="D1837" t="s">
        <v>27</v>
      </c>
      <c r="E1837" t="s">
        <v>64</v>
      </c>
      <c r="F1837">
        <v>4.5</v>
      </c>
      <c r="G1837">
        <v>73600</v>
      </c>
      <c r="H1837">
        <v>75000</v>
      </c>
      <c r="I1837">
        <f>FlipkartTable[[#This Row],[Original Price]]-FlipkartTable[[#This Row],[Selling Price]]</f>
        <v>1400</v>
      </c>
      <c r="J1837" s="4">
        <f>(FlipkartTable[[#This Row],[Original Price]]-FlipkartTable[[#This Row],[Selling Price]])/FlipkartTable[[#This Row],[Original Price]]</f>
        <v>1.8666666666666668E-2</v>
      </c>
      <c r="K1837">
        <f>(FlipkartTable[[#This Row],[Rating]]/FlipkartTable[[#This Row],[Selling Price]])*1000</f>
        <v>6.1141304347826095E-2</v>
      </c>
      <c r="L1837" t="str">
        <f>IF(FlipkartTable[[#This Row],[Selling Price]]&lt;15000,"Budget",IF(FlipkartTable[[#This Row],[Selling Price]]&lt;50000,"Mid Range","Premium"))</f>
        <v>Premium</v>
      </c>
      <c r="M1837" t="str">
        <f>IF(FlipkartTable[[#This Row],[Rating]]&gt;4.5,"Excellent",IF(FlipkartTable[[#This Row],[Rating]]&gt;4,"Good",IF(FlipkartTable[[#This Row],[Rating]]&gt;3.5,"Average","Poor")))</f>
        <v>Good</v>
      </c>
    </row>
    <row r="1838" spans="1:13" x14ac:dyDescent="0.35">
      <c r="A1838" t="s">
        <v>663</v>
      </c>
      <c r="B1838" s="9" t="s">
        <v>923</v>
      </c>
      <c r="C1838" t="s">
        <v>19</v>
      </c>
      <c r="D1838" t="s">
        <v>924</v>
      </c>
      <c r="E1838" t="s">
        <v>924</v>
      </c>
      <c r="F1838">
        <v>5</v>
      </c>
      <c r="G1838">
        <v>1949</v>
      </c>
      <c r="H1838">
        <v>1949</v>
      </c>
      <c r="I1838">
        <f>FlipkartTable[[#This Row],[Original Price]]-FlipkartTable[[#This Row],[Selling Price]]</f>
        <v>0</v>
      </c>
      <c r="J1838" s="4">
        <f>(FlipkartTable[[#This Row],[Original Price]]-FlipkartTable[[#This Row],[Selling Price]])/FlipkartTable[[#This Row],[Original Price]]</f>
        <v>0</v>
      </c>
      <c r="K1838">
        <f>(FlipkartTable[[#This Row],[Rating]]/FlipkartTable[[#This Row],[Selling Price]])*1000</f>
        <v>2.565418163160595</v>
      </c>
      <c r="L1838" t="str">
        <f>IF(FlipkartTable[[#This Row],[Selling Price]]&lt;15000,"Budget",IF(FlipkartTable[[#This Row],[Selling Price]]&lt;50000,"Mid Range","Premium"))</f>
        <v>Budget</v>
      </c>
      <c r="M1838" t="str">
        <f>IF(FlipkartTable[[#This Row],[Rating]]&gt;4.5,"Excellent",IF(FlipkartTable[[#This Row],[Rating]]&gt;4,"Good",IF(FlipkartTable[[#This Row],[Rating]]&gt;3.5,"Average","Poor")))</f>
        <v>Excellent</v>
      </c>
    </row>
    <row r="1839" spans="1:13" x14ac:dyDescent="0.35">
      <c r="A1839" t="s">
        <v>663</v>
      </c>
      <c r="B1839" s="9" t="s">
        <v>866</v>
      </c>
      <c r="C1839" t="s">
        <v>778</v>
      </c>
      <c r="D1839" t="s">
        <v>27</v>
      </c>
      <c r="E1839" t="s">
        <v>15</v>
      </c>
      <c r="F1839">
        <v>4.3</v>
      </c>
      <c r="G1839">
        <v>52905</v>
      </c>
      <c r="H1839">
        <v>52905</v>
      </c>
      <c r="I1839">
        <f>FlipkartTable[[#This Row],[Original Price]]-FlipkartTable[[#This Row],[Selling Price]]</f>
        <v>0</v>
      </c>
      <c r="J1839" s="4">
        <f>(FlipkartTable[[#This Row],[Original Price]]-FlipkartTable[[#This Row],[Selling Price]])/FlipkartTable[[#This Row],[Original Price]]</f>
        <v>0</v>
      </c>
      <c r="K1839">
        <f>(FlipkartTable[[#This Row],[Rating]]/FlipkartTable[[#This Row],[Selling Price]])*1000</f>
        <v>8.1277762026273501E-2</v>
      </c>
      <c r="L1839" t="str">
        <f>IF(FlipkartTable[[#This Row],[Selling Price]]&lt;15000,"Budget",IF(FlipkartTable[[#This Row],[Selling Price]]&lt;50000,"Mid Range","Premium"))</f>
        <v>Premium</v>
      </c>
      <c r="M1839" t="str">
        <f>IF(FlipkartTable[[#This Row],[Rating]]&gt;4.5,"Excellent",IF(FlipkartTable[[#This Row],[Rating]]&gt;4,"Good",IF(FlipkartTable[[#This Row],[Rating]]&gt;3.5,"Average","Poor")))</f>
        <v>Good</v>
      </c>
    </row>
    <row r="1840" spans="1:13" x14ac:dyDescent="0.35">
      <c r="A1840" t="s">
        <v>663</v>
      </c>
      <c r="B1840" s="9" t="s">
        <v>755</v>
      </c>
      <c r="C1840" t="s">
        <v>925</v>
      </c>
      <c r="D1840" t="s">
        <v>27</v>
      </c>
      <c r="E1840" t="s">
        <v>15</v>
      </c>
      <c r="F1840">
        <v>4</v>
      </c>
      <c r="G1840">
        <v>49999</v>
      </c>
      <c r="H1840">
        <v>65999</v>
      </c>
      <c r="I1840">
        <f>FlipkartTable[[#This Row],[Original Price]]-FlipkartTable[[#This Row],[Selling Price]]</f>
        <v>16000</v>
      </c>
      <c r="J1840" s="4">
        <f>(FlipkartTable[[#This Row],[Original Price]]-FlipkartTable[[#This Row],[Selling Price]])/FlipkartTable[[#This Row],[Original Price]]</f>
        <v>0.2424279155744784</v>
      </c>
      <c r="K1840">
        <f>(FlipkartTable[[#This Row],[Rating]]/FlipkartTable[[#This Row],[Selling Price]])*1000</f>
        <v>8.0001600032000644E-2</v>
      </c>
      <c r="L1840" t="str">
        <f>IF(FlipkartTable[[#This Row],[Selling Price]]&lt;15000,"Budget",IF(FlipkartTable[[#This Row],[Selling Price]]&lt;50000,"Mid Range","Premium"))</f>
        <v>Mid Range</v>
      </c>
      <c r="M1840" t="str">
        <f>IF(FlipkartTable[[#This Row],[Rating]]&gt;4.5,"Excellent",IF(FlipkartTable[[#This Row],[Rating]]&gt;4,"Good",IF(FlipkartTable[[#This Row],[Rating]]&gt;3.5,"Average","Poor")))</f>
        <v>Average</v>
      </c>
    </row>
    <row r="1841" spans="1:13" x14ac:dyDescent="0.35">
      <c r="A1841" t="s">
        <v>663</v>
      </c>
      <c r="B1841" s="9" t="s">
        <v>693</v>
      </c>
      <c r="C1841" t="s">
        <v>704</v>
      </c>
      <c r="D1841" t="s">
        <v>27</v>
      </c>
      <c r="E1841" t="s">
        <v>15</v>
      </c>
      <c r="F1841">
        <v>4.3</v>
      </c>
      <c r="G1841">
        <v>34999</v>
      </c>
      <c r="H1841">
        <v>41999</v>
      </c>
      <c r="I1841">
        <f>FlipkartTable[[#This Row],[Original Price]]-FlipkartTable[[#This Row],[Selling Price]]</f>
        <v>7000</v>
      </c>
      <c r="J1841" s="4">
        <f>(FlipkartTable[[#This Row],[Original Price]]-FlipkartTable[[#This Row],[Selling Price]])/FlipkartTable[[#This Row],[Original Price]]</f>
        <v>0.16667063501511942</v>
      </c>
      <c r="K1841">
        <f>(FlipkartTable[[#This Row],[Rating]]/FlipkartTable[[#This Row],[Selling Price]])*1000</f>
        <v>0.1228606531615189</v>
      </c>
      <c r="L1841" t="str">
        <f>IF(FlipkartTable[[#This Row],[Selling Price]]&lt;15000,"Budget",IF(FlipkartTable[[#This Row],[Selling Price]]&lt;50000,"Mid Range","Premium"))</f>
        <v>Mid Range</v>
      </c>
      <c r="M1841" t="str">
        <f>IF(FlipkartTable[[#This Row],[Rating]]&gt;4.5,"Excellent",IF(FlipkartTable[[#This Row],[Rating]]&gt;4,"Good",IF(FlipkartTable[[#This Row],[Rating]]&gt;3.5,"Average","Poor")))</f>
        <v>Good</v>
      </c>
    </row>
    <row r="1842" spans="1:13" x14ac:dyDescent="0.35">
      <c r="A1842" t="s">
        <v>663</v>
      </c>
      <c r="B1842" s="9" t="s">
        <v>926</v>
      </c>
      <c r="C1842" t="s">
        <v>116</v>
      </c>
      <c r="D1842" t="s">
        <v>35</v>
      </c>
      <c r="E1842" t="s">
        <v>124</v>
      </c>
      <c r="F1842">
        <v>4.2</v>
      </c>
      <c r="G1842">
        <v>10990</v>
      </c>
      <c r="H1842">
        <v>10990</v>
      </c>
      <c r="I1842">
        <f>FlipkartTable[[#This Row],[Original Price]]-FlipkartTable[[#This Row],[Selling Price]]</f>
        <v>0</v>
      </c>
      <c r="J1842" s="4">
        <f>(FlipkartTable[[#This Row],[Original Price]]-FlipkartTable[[#This Row],[Selling Price]])/FlipkartTable[[#This Row],[Original Price]]</f>
        <v>0</v>
      </c>
      <c r="K1842">
        <f>(FlipkartTable[[#This Row],[Rating]]/FlipkartTable[[#This Row],[Selling Price]])*1000</f>
        <v>0.38216560509554137</v>
      </c>
      <c r="L1842" t="str">
        <f>IF(FlipkartTable[[#This Row],[Selling Price]]&lt;15000,"Budget",IF(FlipkartTable[[#This Row],[Selling Price]]&lt;50000,"Mid Range","Premium"))</f>
        <v>Budget</v>
      </c>
      <c r="M1842" t="str">
        <f>IF(FlipkartTable[[#This Row],[Rating]]&gt;4.5,"Excellent",IF(FlipkartTable[[#This Row],[Rating]]&gt;4,"Good",IF(FlipkartTable[[#This Row],[Rating]]&gt;3.5,"Average","Poor")))</f>
        <v>Good</v>
      </c>
    </row>
    <row r="1843" spans="1:13" x14ac:dyDescent="0.35">
      <c r="A1843" t="s">
        <v>663</v>
      </c>
      <c r="B1843" s="9" t="s">
        <v>926</v>
      </c>
      <c r="C1843" t="s">
        <v>19</v>
      </c>
      <c r="D1843" t="s">
        <v>35</v>
      </c>
      <c r="E1843" t="s">
        <v>124</v>
      </c>
      <c r="F1843">
        <v>4.2</v>
      </c>
      <c r="G1843">
        <v>10990</v>
      </c>
      <c r="H1843">
        <v>10990</v>
      </c>
      <c r="I1843">
        <f>FlipkartTable[[#This Row],[Original Price]]-FlipkartTable[[#This Row],[Selling Price]]</f>
        <v>0</v>
      </c>
      <c r="J1843" s="4">
        <f>(FlipkartTable[[#This Row],[Original Price]]-FlipkartTable[[#This Row],[Selling Price]])/FlipkartTable[[#This Row],[Original Price]]</f>
        <v>0</v>
      </c>
      <c r="K1843">
        <f>(FlipkartTable[[#This Row],[Rating]]/FlipkartTable[[#This Row],[Selling Price]])*1000</f>
        <v>0.38216560509554137</v>
      </c>
      <c r="L1843" t="str">
        <f>IF(FlipkartTable[[#This Row],[Selling Price]]&lt;15000,"Budget",IF(FlipkartTable[[#This Row],[Selling Price]]&lt;50000,"Mid Range","Premium"))</f>
        <v>Budget</v>
      </c>
      <c r="M1843" t="str">
        <f>IF(FlipkartTable[[#This Row],[Rating]]&gt;4.5,"Excellent",IF(FlipkartTable[[#This Row],[Rating]]&gt;4,"Good",IF(FlipkartTable[[#This Row],[Rating]]&gt;3.5,"Average","Poor")))</f>
        <v>Good</v>
      </c>
    </row>
    <row r="1844" spans="1:13" x14ac:dyDescent="0.35">
      <c r="A1844" t="s">
        <v>663</v>
      </c>
      <c r="B1844" s="9" t="s">
        <v>926</v>
      </c>
      <c r="C1844" t="s">
        <v>152</v>
      </c>
      <c r="D1844" t="s">
        <v>35</v>
      </c>
      <c r="E1844" t="s">
        <v>124</v>
      </c>
      <c r="F1844">
        <v>4.2</v>
      </c>
      <c r="G1844">
        <v>10990</v>
      </c>
      <c r="H1844">
        <v>10990</v>
      </c>
      <c r="I1844">
        <f>FlipkartTable[[#This Row],[Original Price]]-FlipkartTable[[#This Row],[Selling Price]]</f>
        <v>0</v>
      </c>
      <c r="J1844" s="4">
        <f>(FlipkartTable[[#This Row],[Original Price]]-FlipkartTable[[#This Row],[Selling Price]])/FlipkartTable[[#This Row],[Original Price]]</f>
        <v>0</v>
      </c>
      <c r="K1844">
        <f>(FlipkartTable[[#This Row],[Rating]]/FlipkartTable[[#This Row],[Selling Price]])*1000</f>
        <v>0.38216560509554137</v>
      </c>
      <c r="L1844" t="str">
        <f>IF(FlipkartTable[[#This Row],[Selling Price]]&lt;15000,"Budget",IF(FlipkartTable[[#This Row],[Selling Price]]&lt;50000,"Mid Range","Premium"))</f>
        <v>Budget</v>
      </c>
      <c r="M1844" t="str">
        <f>IF(FlipkartTable[[#This Row],[Rating]]&gt;4.5,"Excellent",IF(FlipkartTable[[#This Row],[Rating]]&gt;4,"Good",IF(FlipkartTable[[#This Row],[Rating]]&gt;3.5,"Average","Poor")))</f>
        <v>Good</v>
      </c>
    </row>
    <row r="1845" spans="1:13" x14ac:dyDescent="0.35">
      <c r="A1845" t="s">
        <v>663</v>
      </c>
      <c r="B1845" s="9" t="s">
        <v>828</v>
      </c>
      <c r="C1845" t="s">
        <v>183</v>
      </c>
      <c r="D1845" t="s">
        <v>14</v>
      </c>
      <c r="E1845" t="s">
        <v>15</v>
      </c>
      <c r="F1845">
        <v>4.3</v>
      </c>
      <c r="G1845">
        <v>17194</v>
      </c>
      <c r="H1845">
        <v>17194</v>
      </c>
      <c r="I1845">
        <f>FlipkartTable[[#This Row],[Original Price]]-FlipkartTable[[#This Row],[Selling Price]]</f>
        <v>0</v>
      </c>
      <c r="J1845" s="4">
        <f>(FlipkartTable[[#This Row],[Original Price]]-FlipkartTable[[#This Row],[Selling Price]])/FlipkartTable[[#This Row],[Original Price]]</f>
        <v>0</v>
      </c>
      <c r="K1845">
        <f>(FlipkartTable[[#This Row],[Rating]]/FlipkartTable[[#This Row],[Selling Price]])*1000</f>
        <v>0.25008723973479119</v>
      </c>
      <c r="L1845" t="str">
        <f>IF(FlipkartTable[[#This Row],[Selling Price]]&lt;15000,"Budget",IF(FlipkartTable[[#This Row],[Selling Price]]&lt;50000,"Mid Range","Premium"))</f>
        <v>Mid Range</v>
      </c>
      <c r="M1845" t="str">
        <f>IF(FlipkartTable[[#This Row],[Rating]]&gt;4.5,"Excellent",IF(FlipkartTable[[#This Row],[Rating]]&gt;4,"Good",IF(FlipkartTable[[#This Row],[Rating]]&gt;3.5,"Average","Poor")))</f>
        <v>Good</v>
      </c>
    </row>
    <row r="1846" spans="1:13" x14ac:dyDescent="0.35">
      <c r="A1846" t="s">
        <v>663</v>
      </c>
      <c r="B1846" s="9" t="s">
        <v>785</v>
      </c>
      <c r="C1846" t="s">
        <v>19</v>
      </c>
      <c r="D1846" t="s">
        <v>11</v>
      </c>
      <c r="E1846" t="s">
        <v>12</v>
      </c>
      <c r="F1846">
        <v>4.3</v>
      </c>
      <c r="G1846">
        <v>21000</v>
      </c>
      <c r="H1846">
        <v>21000</v>
      </c>
      <c r="I1846">
        <f>FlipkartTable[[#This Row],[Original Price]]-FlipkartTable[[#This Row],[Selling Price]]</f>
        <v>0</v>
      </c>
      <c r="J1846" s="4">
        <f>(FlipkartTable[[#This Row],[Original Price]]-FlipkartTable[[#This Row],[Selling Price]])/FlipkartTable[[#This Row],[Original Price]]</f>
        <v>0</v>
      </c>
      <c r="K1846">
        <f>(FlipkartTable[[#This Row],[Rating]]/FlipkartTable[[#This Row],[Selling Price]])*1000</f>
        <v>0.20476190476190476</v>
      </c>
      <c r="L1846" t="str">
        <f>IF(FlipkartTable[[#This Row],[Selling Price]]&lt;15000,"Budget",IF(FlipkartTable[[#This Row],[Selling Price]]&lt;50000,"Mid Range","Premium"))</f>
        <v>Mid Range</v>
      </c>
      <c r="M1846" t="str">
        <f>IF(FlipkartTable[[#This Row],[Rating]]&gt;4.5,"Excellent",IF(FlipkartTable[[#This Row],[Rating]]&gt;4,"Good",IF(FlipkartTable[[#This Row],[Rating]]&gt;3.5,"Average","Poor")))</f>
        <v>Good</v>
      </c>
    </row>
    <row r="1847" spans="1:13" x14ac:dyDescent="0.35">
      <c r="A1847" t="s">
        <v>663</v>
      </c>
      <c r="B1847" s="9" t="s">
        <v>755</v>
      </c>
      <c r="C1847" t="s">
        <v>927</v>
      </c>
      <c r="D1847" t="s">
        <v>27</v>
      </c>
      <c r="E1847" t="s">
        <v>15</v>
      </c>
      <c r="F1847">
        <v>4</v>
      </c>
      <c r="G1847">
        <v>49999</v>
      </c>
      <c r="H1847">
        <v>65999</v>
      </c>
      <c r="I1847">
        <f>FlipkartTable[[#This Row],[Original Price]]-FlipkartTable[[#This Row],[Selling Price]]</f>
        <v>16000</v>
      </c>
      <c r="J1847" s="4">
        <f>(FlipkartTable[[#This Row],[Original Price]]-FlipkartTable[[#This Row],[Selling Price]])/FlipkartTable[[#This Row],[Original Price]]</f>
        <v>0.2424279155744784</v>
      </c>
      <c r="K1847">
        <f>(FlipkartTable[[#This Row],[Rating]]/FlipkartTable[[#This Row],[Selling Price]])*1000</f>
        <v>8.0001600032000644E-2</v>
      </c>
      <c r="L1847" t="str">
        <f>IF(FlipkartTable[[#This Row],[Selling Price]]&lt;15000,"Budget",IF(FlipkartTable[[#This Row],[Selling Price]]&lt;50000,"Mid Range","Premium"))</f>
        <v>Mid Range</v>
      </c>
      <c r="M1847" t="str">
        <f>IF(FlipkartTable[[#This Row],[Rating]]&gt;4.5,"Excellent",IF(FlipkartTable[[#This Row],[Rating]]&gt;4,"Good",IF(FlipkartTable[[#This Row],[Rating]]&gt;3.5,"Average","Poor")))</f>
        <v>Average</v>
      </c>
    </row>
    <row r="1848" spans="1:13" x14ac:dyDescent="0.35">
      <c r="A1848" t="s">
        <v>663</v>
      </c>
      <c r="B1848" s="9" t="s">
        <v>764</v>
      </c>
      <c r="C1848" t="s">
        <v>928</v>
      </c>
      <c r="D1848" t="s">
        <v>14</v>
      </c>
      <c r="E1848" t="s">
        <v>15</v>
      </c>
      <c r="F1848">
        <v>4.2</v>
      </c>
      <c r="G1848">
        <v>15499</v>
      </c>
      <c r="H1848">
        <v>15499</v>
      </c>
      <c r="I1848">
        <f>FlipkartTable[[#This Row],[Original Price]]-FlipkartTable[[#This Row],[Selling Price]]</f>
        <v>0</v>
      </c>
      <c r="J1848" s="4">
        <f>(FlipkartTable[[#This Row],[Original Price]]-FlipkartTable[[#This Row],[Selling Price]])/FlipkartTable[[#This Row],[Original Price]]</f>
        <v>0</v>
      </c>
      <c r="K1848">
        <f>(FlipkartTable[[#This Row],[Rating]]/FlipkartTable[[#This Row],[Selling Price]])*1000</f>
        <v>0.27098522485321636</v>
      </c>
      <c r="L1848" t="str">
        <f>IF(FlipkartTable[[#This Row],[Selling Price]]&lt;15000,"Budget",IF(FlipkartTable[[#This Row],[Selling Price]]&lt;50000,"Mid Range","Premium"))</f>
        <v>Mid Range</v>
      </c>
      <c r="M1848" t="str">
        <f>IF(FlipkartTable[[#This Row],[Rating]]&gt;4.5,"Excellent",IF(FlipkartTable[[#This Row],[Rating]]&gt;4,"Good",IF(FlipkartTable[[#This Row],[Rating]]&gt;3.5,"Average","Poor")))</f>
        <v>Good</v>
      </c>
    </row>
    <row r="1849" spans="1:13" x14ac:dyDescent="0.35">
      <c r="A1849" t="s">
        <v>663</v>
      </c>
      <c r="B1849" s="9" t="s">
        <v>789</v>
      </c>
      <c r="C1849" t="s">
        <v>19</v>
      </c>
      <c r="D1849" t="s">
        <v>284</v>
      </c>
      <c r="E1849" t="s">
        <v>27</v>
      </c>
      <c r="F1849">
        <v>4.0999999999999996</v>
      </c>
      <c r="G1849">
        <v>9999</v>
      </c>
      <c r="H1849">
        <v>9999</v>
      </c>
      <c r="I1849">
        <f>FlipkartTable[[#This Row],[Original Price]]-FlipkartTable[[#This Row],[Selling Price]]</f>
        <v>0</v>
      </c>
      <c r="J1849" s="4">
        <f>(FlipkartTable[[#This Row],[Original Price]]-FlipkartTable[[#This Row],[Selling Price]])/FlipkartTable[[#This Row],[Original Price]]</f>
        <v>0</v>
      </c>
      <c r="K1849">
        <f>(FlipkartTable[[#This Row],[Rating]]/FlipkartTable[[#This Row],[Selling Price]])*1000</f>
        <v>0.41004100410041</v>
      </c>
      <c r="L1849" t="str">
        <f>IF(FlipkartTable[[#This Row],[Selling Price]]&lt;15000,"Budget",IF(FlipkartTable[[#This Row],[Selling Price]]&lt;50000,"Mid Range","Premium"))</f>
        <v>Budget</v>
      </c>
      <c r="M1849" t="str">
        <f>IF(FlipkartTable[[#This Row],[Rating]]&gt;4.5,"Excellent",IF(FlipkartTable[[#This Row],[Rating]]&gt;4,"Good",IF(FlipkartTable[[#This Row],[Rating]]&gt;3.5,"Average","Poor")))</f>
        <v>Good</v>
      </c>
    </row>
    <row r="1850" spans="1:13" x14ac:dyDescent="0.35">
      <c r="A1850" t="s">
        <v>663</v>
      </c>
      <c r="B1850" s="9" t="s">
        <v>739</v>
      </c>
      <c r="C1850" t="s">
        <v>19</v>
      </c>
      <c r="D1850" t="s">
        <v>539</v>
      </c>
      <c r="E1850" t="s">
        <v>539</v>
      </c>
      <c r="F1850">
        <v>4.0999999999999996</v>
      </c>
      <c r="G1850">
        <v>2200</v>
      </c>
      <c r="H1850">
        <v>2200</v>
      </c>
      <c r="I1850">
        <f>FlipkartTable[[#This Row],[Original Price]]-FlipkartTable[[#This Row],[Selling Price]]</f>
        <v>0</v>
      </c>
      <c r="J1850" s="4">
        <f>(FlipkartTable[[#This Row],[Original Price]]-FlipkartTable[[#This Row],[Selling Price]])/FlipkartTable[[#This Row],[Original Price]]</f>
        <v>0</v>
      </c>
      <c r="K1850">
        <f>(FlipkartTable[[#This Row],[Rating]]/FlipkartTable[[#This Row],[Selling Price]])*1000</f>
        <v>1.8636363636363635</v>
      </c>
      <c r="L1850" t="str">
        <f>IF(FlipkartTable[[#This Row],[Selling Price]]&lt;15000,"Budget",IF(FlipkartTable[[#This Row],[Selling Price]]&lt;50000,"Mid Range","Premium"))</f>
        <v>Budget</v>
      </c>
      <c r="M1850" t="str">
        <f>IF(FlipkartTable[[#This Row],[Rating]]&gt;4.5,"Excellent",IF(FlipkartTable[[#This Row],[Rating]]&gt;4,"Good",IF(FlipkartTable[[#This Row],[Rating]]&gt;3.5,"Average","Poor")))</f>
        <v>Good</v>
      </c>
    </row>
    <row r="1851" spans="1:13" x14ac:dyDescent="0.35">
      <c r="A1851" t="s">
        <v>663</v>
      </c>
      <c r="B1851" s="9" t="s">
        <v>815</v>
      </c>
      <c r="C1851" t="s">
        <v>915</v>
      </c>
      <c r="D1851" t="s">
        <v>27</v>
      </c>
      <c r="E1851" t="s">
        <v>15</v>
      </c>
      <c r="F1851">
        <v>4.4000000000000004</v>
      </c>
      <c r="G1851">
        <v>71999</v>
      </c>
      <c r="H1851">
        <v>100999</v>
      </c>
      <c r="I1851">
        <f>FlipkartTable[[#This Row],[Original Price]]-FlipkartTable[[#This Row],[Selling Price]]</f>
        <v>29000</v>
      </c>
      <c r="J1851" s="4">
        <f>(FlipkartTable[[#This Row],[Original Price]]-FlipkartTable[[#This Row],[Selling Price]])/FlipkartTable[[#This Row],[Original Price]]</f>
        <v>0.28713155575797777</v>
      </c>
      <c r="K1851">
        <f>(FlipkartTable[[#This Row],[Rating]]/FlipkartTable[[#This Row],[Selling Price]])*1000</f>
        <v>6.111195988833179E-2</v>
      </c>
      <c r="L1851" t="str">
        <f>IF(FlipkartTable[[#This Row],[Selling Price]]&lt;15000,"Budget",IF(FlipkartTable[[#This Row],[Selling Price]]&lt;50000,"Mid Range","Premium"))</f>
        <v>Premium</v>
      </c>
      <c r="M1851" t="str">
        <f>IF(FlipkartTable[[#This Row],[Rating]]&gt;4.5,"Excellent",IF(FlipkartTable[[#This Row],[Rating]]&gt;4,"Good",IF(FlipkartTable[[#This Row],[Rating]]&gt;3.5,"Average","Poor")))</f>
        <v>Good</v>
      </c>
    </row>
    <row r="1852" spans="1:13" x14ac:dyDescent="0.35">
      <c r="A1852" t="s">
        <v>663</v>
      </c>
      <c r="B1852" s="9" t="s">
        <v>780</v>
      </c>
      <c r="C1852" t="s">
        <v>19</v>
      </c>
      <c r="D1852" t="s">
        <v>35</v>
      </c>
      <c r="E1852" t="s">
        <v>21</v>
      </c>
      <c r="F1852">
        <v>4.3</v>
      </c>
      <c r="G1852">
        <v>8700</v>
      </c>
      <c r="H1852">
        <v>8700</v>
      </c>
      <c r="I1852">
        <f>FlipkartTable[[#This Row],[Original Price]]-FlipkartTable[[#This Row],[Selling Price]]</f>
        <v>0</v>
      </c>
      <c r="J1852" s="4">
        <f>(FlipkartTable[[#This Row],[Original Price]]-FlipkartTable[[#This Row],[Selling Price]])/FlipkartTable[[#This Row],[Original Price]]</f>
        <v>0</v>
      </c>
      <c r="K1852">
        <f>(FlipkartTable[[#This Row],[Rating]]/FlipkartTable[[#This Row],[Selling Price]])*1000</f>
        <v>0.49425287356321834</v>
      </c>
      <c r="L1852" t="str">
        <f>IF(FlipkartTable[[#This Row],[Selling Price]]&lt;15000,"Budget",IF(FlipkartTable[[#This Row],[Selling Price]]&lt;50000,"Mid Range","Premium"))</f>
        <v>Budget</v>
      </c>
      <c r="M1852" t="str">
        <f>IF(FlipkartTable[[#This Row],[Rating]]&gt;4.5,"Excellent",IF(FlipkartTable[[#This Row],[Rating]]&gt;4,"Good",IF(FlipkartTable[[#This Row],[Rating]]&gt;3.5,"Average","Poor")))</f>
        <v>Good</v>
      </c>
    </row>
    <row r="1853" spans="1:13" x14ac:dyDescent="0.35">
      <c r="A1853" t="s">
        <v>663</v>
      </c>
      <c r="B1853" s="9" t="s">
        <v>929</v>
      </c>
      <c r="C1853" t="s">
        <v>19</v>
      </c>
      <c r="D1853" t="s">
        <v>492</v>
      </c>
      <c r="E1853" t="s">
        <v>924</v>
      </c>
      <c r="F1853">
        <v>4.2</v>
      </c>
      <c r="G1853">
        <v>3499</v>
      </c>
      <c r="H1853">
        <v>3499</v>
      </c>
      <c r="I1853">
        <f>FlipkartTable[[#This Row],[Original Price]]-FlipkartTable[[#This Row],[Selling Price]]</f>
        <v>0</v>
      </c>
      <c r="J1853" s="4">
        <f>(FlipkartTable[[#This Row],[Original Price]]-FlipkartTable[[#This Row],[Selling Price]])/FlipkartTable[[#This Row],[Original Price]]</f>
        <v>0</v>
      </c>
      <c r="K1853">
        <f>(FlipkartTable[[#This Row],[Rating]]/FlipkartTable[[#This Row],[Selling Price]])*1000</f>
        <v>1.2003429551300373</v>
      </c>
      <c r="L1853" t="str">
        <f>IF(FlipkartTable[[#This Row],[Selling Price]]&lt;15000,"Budget",IF(FlipkartTable[[#This Row],[Selling Price]]&lt;50000,"Mid Range","Premium"))</f>
        <v>Budget</v>
      </c>
      <c r="M1853" t="str">
        <f>IF(FlipkartTable[[#This Row],[Rating]]&gt;4.5,"Excellent",IF(FlipkartTable[[#This Row],[Rating]]&gt;4,"Good",IF(FlipkartTable[[#This Row],[Rating]]&gt;3.5,"Average","Poor")))</f>
        <v>Good</v>
      </c>
    </row>
    <row r="1854" spans="1:13" x14ac:dyDescent="0.35">
      <c r="A1854" t="s">
        <v>663</v>
      </c>
      <c r="B1854" s="9" t="s">
        <v>715</v>
      </c>
      <c r="C1854" t="s">
        <v>859</v>
      </c>
      <c r="D1854" t="s">
        <v>27</v>
      </c>
      <c r="E1854" t="s">
        <v>15</v>
      </c>
      <c r="F1854">
        <v>4.5999999999999996</v>
      </c>
      <c r="G1854">
        <v>39999</v>
      </c>
      <c r="H1854">
        <v>71000</v>
      </c>
      <c r="I1854">
        <f>FlipkartTable[[#This Row],[Original Price]]-FlipkartTable[[#This Row],[Selling Price]]</f>
        <v>31001</v>
      </c>
      <c r="J1854" s="4">
        <f>(FlipkartTable[[#This Row],[Original Price]]-FlipkartTable[[#This Row],[Selling Price]])/FlipkartTable[[#This Row],[Original Price]]</f>
        <v>0.4366338028169014</v>
      </c>
      <c r="K1854">
        <f>(FlipkartTable[[#This Row],[Rating]]/FlipkartTable[[#This Row],[Selling Price]])*1000</f>
        <v>0.11500287507187679</v>
      </c>
      <c r="L1854" t="str">
        <f>IF(FlipkartTable[[#This Row],[Selling Price]]&lt;15000,"Budget",IF(FlipkartTable[[#This Row],[Selling Price]]&lt;50000,"Mid Range","Premium"))</f>
        <v>Mid Range</v>
      </c>
      <c r="M1854" t="str">
        <f>IF(FlipkartTable[[#This Row],[Rating]]&gt;4.5,"Excellent",IF(FlipkartTable[[#This Row],[Rating]]&gt;4,"Good",IF(FlipkartTable[[#This Row],[Rating]]&gt;3.5,"Average","Poor")))</f>
        <v>Excellent</v>
      </c>
    </row>
    <row r="1855" spans="1:13" x14ac:dyDescent="0.35">
      <c r="A1855" t="s">
        <v>663</v>
      </c>
      <c r="B1855" s="9" t="s">
        <v>715</v>
      </c>
      <c r="C1855" t="s">
        <v>92</v>
      </c>
      <c r="D1855" t="s">
        <v>27</v>
      </c>
      <c r="E1855" t="s">
        <v>15</v>
      </c>
      <c r="F1855">
        <v>4.5999999999999996</v>
      </c>
      <c r="G1855">
        <v>39999</v>
      </c>
      <c r="H1855">
        <v>71000</v>
      </c>
      <c r="I1855">
        <f>FlipkartTable[[#This Row],[Original Price]]-FlipkartTable[[#This Row],[Selling Price]]</f>
        <v>31001</v>
      </c>
      <c r="J1855" s="4">
        <f>(FlipkartTable[[#This Row],[Original Price]]-FlipkartTable[[#This Row],[Selling Price]])/FlipkartTable[[#This Row],[Original Price]]</f>
        <v>0.4366338028169014</v>
      </c>
      <c r="K1855">
        <f>(FlipkartTable[[#This Row],[Rating]]/FlipkartTable[[#This Row],[Selling Price]])*1000</f>
        <v>0.11500287507187679</v>
      </c>
      <c r="L1855" t="str">
        <f>IF(FlipkartTable[[#This Row],[Selling Price]]&lt;15000,"Budget",IF(FlipkartTable[[#This Row],[Selling Price]]&lt;50000,"Mid Range","Premium"))</f>
        <v>Mid Range</v>
      </c>
      <c r="M1855" t="str">
        <f>IF(FlipkartTable[[#This Row],[Rating]]&gt;4.5,"Excellent",IF(FlipkartTable[[#This Row],[Rating]]&gt;4,"Good",IF(FlipkartTable[[#This Row],[Rating]]&gt;3.5,"Average","Poor")))</f>
        <v>Excellent</v>
      </c>
    </row>
    <row r="1856" spans="1:13" x14ac:dyDescent="0.35">
      <c r="A1856" t="s">
        <v>663</v>
      </c>
      <c r="B1856" s="9" t="s">
        <v>930</v>
      </c>
      <c r="C1856" t="s">
        <v>19</v>
      </c>
      <c r="D1856" t="s">
        <v>134</v>
      </c>
      <c r="E1856" t="s">
        <v>27</v>
      </c>
      <c r="F1856">
        <v>3.4</v>
      </c>
      <c r="G1856">
        <v>5590</v>
      </c>
      <c r="H1856">
        <v>5590</v>
      </c>
      <c r="I1856">
        <f>FlipkartTable[[#This Row],[Original Price]]-FlipkartTable[[#This Row],[Selling Price]]</f>
        <v>0</v>
      </c>
      <c r="J1856" s="4">
        <f>(FlipkartTable[[#This Row],[Original Price]]-FlipkartTable[[#This Row],[Selling Price]])/FlipkartTable[[#This Row],[Original Price]]</f>
        <v>0</v>
      </c>
      <c r="K1856">
        <f>(FlipkartTable[[#This Row],[Rating]]/FlipkartTable[[#This Row],[Selling Price]])*1000</f>
        <v>0.60822898032200357</v>
      </c>
      <c r="L1856" t="str">
        <f>IF(FlipkartTable[[#This Row],[Selling Price]]&lt;15000,"Budget",IF(FlipkartTable[[#This Row],[Selling Price]]&lt;50000,"Mid Range","Premium"))</f>
        <v>Budget</v>
      </c>
      <c r="M1856" t="str">
        <f>IF(FlipkartTable[[#This Row],[Rating]]&gt;4.5,"Excellent",IF(FlipkartTable[[#This Row],[Rating]]&gt;4,"Good",IF(FlipkartTable[[#This Row],[Rating]]&gt;3.5,"Average","Poor")))</f>
        <v>Poor</v>
      </c>
    </row>
    <row r="1857" spans="1:13" x14ac:dyDescent="0.35">
      <c r="A1857" t="s">
        <v>663</v>
      </c>
      <c r="B1857" s="9" t="s">
        <v>753</v>
      </c>
      <c r="C1857" t="s">
        <v>19</v>
      </c>
      <c r="D1857" t="s">
        <v>20</v>
      </c>
      <c r="E1857" t="s">
        <v>21</v>
      </c>
      <c r="F1857">
        <v>4.2</v>
      </c>
      <c r="G1857">
        <v>15300</v>
      </c>
      <c r="H1857">
        <v>15300</v>
      </c>
      <c r="I1857">
        <f>FlipkartTable[[#This Row],[Original Price]]-FlipkartTable[[#This Row],[Selling Price]]</f>
        <v>0</v>
      </c>
      <c r="J1857" s="4">
        <f>(FlipkartTable[[#This Row],[Original Price]]-FlipkartTable[[#This Row],[Selling Price]])/FlipkartTable[[#This Row],[Original Price]]</f>
        <v>0</v>
      </c>
      <c r="K1857">
        <f>(FlipkartTable[[#This Row],[Rating]]/FlipkartTable[[#This Row],[Selling Price]])*1000</f>
        <v>0.2745098039215686</v>
      </c>
      <c r="L1857" t="str">
        <f>IF(FlipkartTable[[#This Row],[Selling Price]]&lt;15000,"Budget",IF(FlipkartTable[[#This Row],[Selling Price]]&lt;50000,"Mid Range","Premium"))</f>
        <v>Mid Range</v>
      </c>
      <c r="M1857" t="str">
        <f>IF(FlipkartTable[[#This Row],[Rating]]&gt;4.5,"Excellent",IF(FlipkartTable[[#This Row],[Rating]]&gt;4,"Good",IF(FlipkartTable[[#This Row],[Rating]]&gt;3.5,"Average","Poor")))</f>
        <v>Good</v>
      </c>
    </row>
    <row r="1858" spans="1:13" x14ac:dyDescent="0.35">
      <c r="A1858" t="s">
        <v>663</v>
      </c>
      <c r="B1858" s="9" t="s">
        <v>808</v>
      </c>
      <c r="C1858" t="s">
        <v>700</v>
      </c>
      <c r="D1858" t="s">
        <v>27</v>
      </c>
      <c r="E1858" t="s">
        <v>15</v>
      </c>
      <c r="F1858">
        <v>4.4000000000000004</v>
      </c>
      <c r="G1858">
        <v>29899</v>
      </c>
      <c r="H1858">
        <v>29899</v>
      </c>
      <c r="I1858">
        <f>FlipkartTable[[#This Row],[Original Price]]-FlipkartTable[[#This Row],[Selling Price]]</f>
        <v>0</v>
      </c>
      <c r="J1858" s="4">
        <f>(FlipkartTable[[#This Row],[Original Price]]-FlipkartTable[[#This Row],[Selling Price]])/FlipkartTable[[#This Row],[Original Price]]</f>
        <v>0</v>
      </c>
      <c r="K1858">
        <f>(FlipkartTable[[#This Row],[Rating]]/FlipkartTable[[#This Row],[Selling Price]])*1000</f>
        <v>0.14716211244523231</v>
      </c>
      <c r="L1858" t="str">
        <f>IF(FlipkartTable[[#This Row],[Selling Price]]&lt;15000,"Budget",IF(FlipkartTable[[#This Row],[Selling Price]]&lt;50000,"Mid Range","Premium"))</f>
        <v>Mid Range</v>
      </c>
      <c r="M1858" t="str">
        <f>IF(FlipkartTable[[#This Row],[Rating]]&gt;4.5,"Excellent",IF(FlipkartTable[[#This Row],[Rating]]&gt;4,"Good",IF(FlipkartTable[[#This Row],[Rating]]&gt;3.5,"Average","Poor")))</f>
        <v>Good</v>
      </c>
    </row>
    <row r="1859" spans="1:13" x14ac:dyDescent="0.35">
      <c r="A1859" t="s">
        <v>663</v>
      </c>
      <c r="B1859" s="9" t="s">
        <v>931</v>
      </c>
      <c r="C1859" t="s">
        <v>116</v>
      </c>
      <c r="D1859" t="s">
        <v>134</v>
      </c>
      <c r="E1859" t="s">
        <v>27</v>
      </c>
      <c r="F1859">
        <v>4</v>
      </c>
      <c r="G1859">
        <v>9833</v>
      </c>
      <c r="H1859">
        <v>9833</v>
      </c>
      <c r="I1859">
        <f>FlipkartTable[[#This Row],[Original Price]]-FlipkartTable[[#This Row],[Selling Price]]</f>
        <v>0</v>
      </c>
      <c r="J1859" s="4">
        <f>(FlipkartTable[[#This Row],[Original Price]]-FlipkartTable[[#This Row],[Selling Price]])/FlipkartTable[[#This Row],[Original Price]]</f>
        <v>0</v>
      </c>
      <c r="K1859">
        <f>(FlipkartTable[[#This Row],[Rating]]/FlipkartTable[[#This Row],[Selling Price]])*1000</f>
        <v>0.40679345062544492</v>
      </c>
      <c r="L1859" t="str">
        <f>IF(FlipkartTable[[#This Row],[Selling Price]]&lt;15000,"Budget",IF(FlipkartTable[[#This Row],[Selling Price]]&lt;50000,"Mid Range","Premium"))</f>
        <v>Budget</v>
      </c>
      <c r="M1859" t="str">
        <f>IF(FlipkartTable[[#This Row],[Rating]]&gt;4.5,"Excellent",IF(FlipkartTable[[#This Row],[Rating]]&gt;4,"Good",IF(FlipkartTable[[#This Row],[Rating]]&gt;3.5,"Average","Poor")))</f>
        <v>Average</v>
      </c>
    </row>
    <row r="1860" spans="1:13" x14ac:dyDescent="0.35">
      <c r="A1860" t="s">
        <v>663</v>
      </c>
      <c r="B1860" s="9" t="s">
        <v>843</v>
      </c>
      <c r="C1860" t="s">
        <v>183</v>
      </c>
      <c r="D1860" t="s">
        <v>20</v>
      </c>
      <c r="E1860" t="s">
        <v>21</v>
      </c>
      <c r="F1860">
        <v>4.3</v>
      </c>
      <c r="G1860">
        <v>10990</v>
      </c>
      <c r="H1860">
        <v>11290</v>
      </c>
      <c r="I1860">
        <f>FlipkartTable[[#This Row],[Original Price]]-FlipkartTable[[#This Row],[Selling Price]]</f>
        <v>300</v>
      </c>
      <c r="J1860" s="4">
        <f>(FlipkartTable[[#This Row],[Original Price]]-FlipkartTable[[#This Row],[Selling Price]])/FlipkartTable[[#This Row],[Original Price]]</f>
        <v>2.6572187776793623E-2</v>
      </c>
      <c r="K1860">
        <f>(FlipkartTable[[#This Row],[Rating]]/FlipkartTable[[#This Row],[Selling Price]])*1000</f>
        <v>0.39126478616924476</v>
      </c>
      <c r="L1860" t="str">
        <f>IF(FlipkartTable[[#This Row],[Selling Price]]&lt;15000,"Budget",IF(FlipkartTable[[#This Row],[Selling Price]]&lt;50000,"Mid Range","Premium"))</f>
        <v>Budget</v>
      </c>
      <c r="M1860" t="str">
        <f>IF(FlipkartTable[[#This Row],[Rating]]&gt;4.5,"Excellent",IF(FlipkartTable[[#This Row],[Rating]]&gt;4,"Good",IF(FlipkartTable[[#This Row],[Rating]]&gt;3.5,"Average","Poor")))</f>
        <v>Good</v>
      </c>
    </row>
    <row r="1861" spans="1:13" x14ac:dyDescent="0.35">
      <c r="A1861" t="s">
        <v>663</v>
      </c>
      <c r="B1861" s="9" t="s">
        <v>764</v>
      </c>
      <c r="C1861" t="s">
        <v>836</v>
      </c>
      <c r="D1861" t="s">
        <v>14</v>
      </c>
      <c r="E1861" t="s">
        <v>15</v>
      </c>
      <c r="F1861">
        <v>4.2</v>
      </c>
      <c r="G1861">
        <v>15990</v>
      </c>
      <c r="H1861">
        <v>15990</v>
      </c>
      <c r="I1861">
        <f>FlipkartTable[[#This Row],[Original Price]]-FlipkartTable[[#This Row],[Selling Price]]</f>
        <v>0</v>
      </c>
      <c r="J1861" s="4">
        <f>(FlipkartTable[[#This Row],[Original Price]]-FlipkartTable[[#This Row],[Selling Price]])/FlipkartTable[[#This Row],[Original Price]]</f>
        <v>0</v>
      </c>
      <c r="K1861">
        <f>(FlipkartTable[[#This Row],[Rating]]/FlipkartTable[[#This Row],[Selling Price]])*1000</f>
        <v>0.26266416510318952</v>
      </c>
      <c r="L1861" t="str">
        <f>IF(FlipkartTable[[#This Row],[Selling Price]]&lt;15000,"Budget",IF(FlipkartTable[[#This Row],[Selling Price]]&lt;50000,"Mid Range","Premium"))</f>
        <v>Mid Range</v>
      </c>
      <c r="M1861" t="str">
        <f>IF(FlipkartTable[[#This Row],[Rating]]&gt;4.5,"Excellent",IF(FlipkartTable[[#This Row],[Rating]]&gt;4,"Good",IF(FlipkartTable[[#This Row],[Rating]]&gt;3.5,"Average","Poor")))</f>
        <v>Good</v>
      </c>
    </row>
    <row r="1862" spans="1:13" x14ac:dyDescent="0.35">
      <c r="A1862" t="s">
        <v>663</v>
      </c>
      <c r="B1862" s="9" t="s">
        <v>767</v>
      </c>
      <c r="C1862" t="s">
        <v>932</v>
      </c>
      <c r="D1862" t="s">
        <v>11</v>
      </c>
      <c r="E1862" t="s">
        <v>12</v>
      </c>
      <c r="F1862">
        <v>4.4000000000000004</v>
      </c>
      <c r="G1862">
        <v>13589</v>
      </c>
      <c r="H1862">
        <v>16490</v>
      </c>
      <c r="I1862">
        <f>FlipkartTable[[#This Row],[Original Price]]-FlipkartTable[[#This Row],[Selling Price]]</f>
        <v>2901</v>
      </c>
      <c r="J1862" s="4">
        <f>(FlipkartTable[[#This Row],[Original Price]]-FlipkartTable[[#This Row],[Selling Price]])/FlipkartTable[[#This Row],[Original Price]]</f>
        <v>0.17592480291085508</v>
      </c>
      <c r="K1862">
        <f>(FlipkartTable[[#This Row],[Rating]]/FlipkartTable[[#This Row],[Selling Price]])*1000</f>
        <v>0.32379130178821108</v>
      </c>
      <c r="L1862" t="str">
        <f>IF(FlipkartTable[[#This Row],[Selling Price]]&lt;15000,"Budget",IF(FlipkartTable[[#This Row],[Selling Price]]&lt;50000,"Mid Range","Premium"))</f>
        <v>Budget</v>
      </c>
      <c r="M1862" t="str">
        <f>IF(FlipkartTable[[#This Row],[Rating]]&gt;4.5,"Excellent",IF(FlipkartTable[[#This Row],[Rating]]&gt;4,"Good",IF(FlipkartTable[[#This Row],[Rating]]&gt;3.5,"Average","Poor")))</f>
        <v>Good</v>
      </c>
    </row>
    <row r="1863" spans="1:13" x14ac:dyDescent="0.35">
      <c r="A1863" t="s">
        <v>663</v>
      </c>
      <c r="B1863" s="9" t="s">
        <v>817</v>
      </c>
      <c r="C1863" t="s">
        <v>818</v>
      </c>
      <c r="D1863" t="s">
        <v>27</v>
      </c>
      <c r="E1863" t="s">
        <v>15</v>
      </c>
      <c r="F1863">
        <v>4.3</v>
      </c>
      <c r="G1863">
        <v>69999</v>
      </c>
      <c r="H1863">
        <v>83999</v>
      </c>
      <c r="I1863">
        <f>FlipkartTable[[#This Row],[Original Price]]-FlipkartTable[[#This Row],[Selling Price]]</f>
        <v>14000</v>
      </c>
      <c r="J1863" s="4">
        <f>(FlipkartTable[[#This Row],[Original Price]]-FlipkartTable[[#This Row],[Selling Price]])/FlipkartTable[[#This Row],[Original Price]]</f>
        <v>0.16666865081727164</v>
      </c>
      <c r="K1863">
        <f>(FlipkartTable[[#This Row],[Rating]]/FlipkartTable[[#This Row],[Selling Price]])*1000</f>
        <v>6.1429448992128453E-2</v>
      </c>
      <c r="L1863" t="str">
        <f>IF(FlipkartTable[[#This Row],[Selling Price]]&lt;15000,"Budget",IF(FlipkartTable[[#This Row],[Selling Price]]&lt;50000,"Mid Range","Premium"))</f>
        <v>Premium</v>
      </c>
      <c r="M1863" t="str">
        <f>IF(FlipkartTable[[#This Row],[Rating]]&gt;4.5,"Excellent",IF(FlipkartTable[[#This Row],[Rating]]&gt;4,"Good",IF(FlipkartTable[[#This Row],[Rating]]&gt;3.5,"Average","Poor")))</f>
        <v>Good</v>
      </c>
    </row>
    <row r="1864" spans="1:13" x14ac:dyDescent="0.35">
      <c r="A1864" t="s">
        <v>663</v>
      </c>
      <c r="B1864" s="9" t="s">
        <v>752</v>
      </c>
      <c r="C1864" t="s">
        <v>19</v>
      </c>
      <c r="D1864" t="s">
        <v>20</v>
      </c>
      <c r="E1864" t="s">
        <v>21</v>
      </c>
      <c r="F1864">
        <v>4.3</v>
      </c>
      <c r="G1864">
        <v>11599</v>
      </c>
      <c r="H1864">
        <v>12900</v>
      </c>
      <c r="I1864">
        <f>FlipkartTable[[#This Row],[Original Price]]-FlipkartTable[[#This Row],[Selling Price]]</f>
        <v>1301</v>
      </c>
      <c r="J1864" s="4">
        <f>(FlipkartTable[[#This Row],[Original Price]]-FlipkartTable[[#This Row],[Selling Price]])/FlipkartTable[[#This Row],[Original Price]]</f>
        <v>0.10085271317829457</v>
      </c>
      <c r="K1864">
        <f>(FlipkartTable[[#This Row],[Rating]]/FlipkartTable[[#This Row],[Selling Price]])*1000</f>
        <v>0.37072161393223552</v>
      </c>
      <c r="L1864" t="str">
        <f>IF(FlipkartTable[[#This Row],[Selling Price]]&lt;15000,"Budget",IF(FlipkartTable[[#This Row],[Selling Price]]&lt;50000,"Mid Range","Premium"))</f>
        <v>Budget</v>
      </c>
      <c r="M1864" t="str">
        <f>IF(FlipkartTable[[#This Row],[Rating]]&gt;4.5,"Excellent",IF(FlipkartTable[[#This Row],[Rating]]&gt;4,"Good",IF(FlipkartTable[[#This Row],[Rating]]&gt;3.5,"Average","Poor")))</f>
        <v>Good</v>
      </c>
    </row>
    <row r="1865" spans="1:13" x14ac:dyDescent="0.35">
      <c r="A1865" t="s">
        <v>663</v>
      </c>
      <c r="B1865" s="9" t="s">
        <v>828</v>
      </c>
      <c r="C1865" t="s">
        <v>851</v>
      </c>
      <c r="D1865" t="s">
        <v>14</v>
      </c>
      <c r="E1865" t="s">
        <v>15</v>
      </c>
      <c r="F1865">
        <v>4.3</v>
      </c>
      <c r="G1865">
        <v>17259</v>
      </c>
      <c r="H1865">
        <v>17259</v>
      </c>
      <c r="I1865">
        <f>FlipkartTable[[#This Row],[Original Price]]-FlipkartTable[[#This Row],[Selling Price]]</f>
        <v>0</v>
      </c>
      <c r="J1865" s="4">
        <f>(FlipkartTable[[#This Row],[Original Price]]-FlipkartTable[[#This Row],[Selling Price]])/FlipkartTable[[#This Row],[Original Price]]</f>
        <v>0</v>
      </c>
      <c r="K1865">
        <f>(FlipkartTable[[#This Row],[Rating]]/FlipkartTable[[#This Row],[Selling Price]])*1000</f>
        <v>0.24914537342835621</v>
      </c>
      <c r="L1865" t="str">
        <f>IF(FlipkartTable[[#This Row],[Selling Price]]&lt;15000,"Budget",IF(FlipkartTable[[#This Row],[Selling Price]]&lt;50000,"Mid Range","Premium"))</f>
        <v>Mid Range</v>
      </c>
      <c r="M1865" t="str">
        <f>IF(FlipkartTable[[#This Row],[Rating]]&gt;4.5,"Excellent",IF(FlipkartTable[[#This Row],[Rating]]&gt;4,"Good",IF(FlipkartTable[[#This Row],[Rating]]&gt;3.5,"Average","Poor")))</f>
        <v>Good</v>
      </c>
    </row>
    <row r="1866" spans="1:13" x14ac:dyDescent="0.35">
      <c r="A1866" t="s">
        <v>663</v>
      </c>
      <c r="B1866" s="9" t="s">
        <v>882</v>
      </c>
      <c r="C1866" t="s">
        <v>19</v>
      </c>
      <c r="D1866" t="s">
        <v>11</v>
      </c>
      <c r="E1866" t="s">
        <v>15</v>
      </c>
      <c r="F1866">
        <v>4.3</v>
      </c>
      <c r="G1866">
        <v>15499</v>
      </c>
      <c r="H1866">
        <v>17999</v>
      </c>
      <c r="I1866">
        <f>FlipkartTable[[#This Row],[Original Price]]-FlipkartTable[[#This Row],[Selling Price]]</f>
        <v>2500</v>
      </c>
      <c r="J1866" s="4">
        <f>(FlipkartTable[[#This Row],[Original Price]]-FlipkartTable[[#This Row],[Selling Price]])/FlipkartTable[[#This Row],[Original Price]]</f>
        <v>0.13889660536696483</v>
      </c>
      <c r="K1866">
        <f>(FlipkartTable[[#This Row],[Rating]]/FlipkartTable[[#This Row],[Selling Price]])*1000</f>
        <v>0.27743725401638814</v>
      </c>
      <c r="L1866" t="str">
        <f>IF(FlipkartTable[[#This Row],[Selling Price]]&lt;15000,"Budget",IF(FlipkartTable[[#This Row],[Selling Price]]&lt;50000,"Mid Range","Premium"))</f>
        <v>Mid Range</v>
      </c>
      <c r="M1866" t="str">
        <f>IF(FlipkartTable[[#This Row],[Rating]]&gt;4.5,"Excellent",IF(FlipkartTable[[#This Row],[Rating]]&gt;4,"Good",IF(FlipkartTable[[#This Row],[Rating]]&gt;3.5,"Average","Poor")))</f>
        <v>Good</v>
      </c>
    </row>
    <row r="1867" spans="1:13" x14ac:dyDescent="0.35">
      <c r="A1867" t="s">
        <v>663</v>
      </c>
      <c r="B1867" s="9" t="s">
        <v>933</v>
      </c>
      <c r="C1867" t="s">
        <v>19</v>
      </c>
      <c r="D1867" t="s">
        <v>263</v>
      </c>
      <c r="E1867" t="s">
        <v>11</v>
      </c>
      <c r="F1867">
        <v>3.8</v>
      </c>
      <c r="G1867">
        <v>5795</v>
      </c>
      <c r="H1867">
        <v>5795</v>
      </c>
      <c r="I1867">
        <f>FlipkartTable[[#This Row],[Original Price]]-FlipkartTable[[#This Row],[Selling Price]]</f>
        <v>0</v>
      </c>
      <c r="J1867" s="4">
        <f>(FlipkartTable[[#This Row],[Original Price]]-FlipkartTable[[#This Row],[Selling Price]])/FlipkartTable[[#This Row],[Original Price]]</f>
        <v>0</v>
      </c>
      <c r="K1867">
        <f>(FlipkartTable[[#This Row],[Rating]]/FlipkartTable[[#This Row],[Selling Price]])*1000</f>
        <v>0.65573770491803274</v>
      </c>
      <c r="L1867" t="str">
        <f>IF(FlipkartTable[[#This Row],[Selling Price]]&lt;15000,"Budget",IF(FlipkartTable[[#This Row],[Selling Price]]&lt;50000,"Mid Range","Premium"))</f>
        <v>Budget</v>
      </c>
      <c r="M1867" t="str">
        <f>IF(FlipkartTable[[#This Row],[Rating]]&gt;4.5,"Excellent",IF(FlipkartTable[[#This Row],[Rating]]&gt;4,"Good",IF(FlipkartTable[[#This Row],[Rating]]&gt;3.5,"Average","Poor")))</f>
        <v>Average</v>
      </c>
    </row>
    <row r="1868" spans="1:13" x14ac:dyDescent="0.35">
      <c r="A1868" t="s">
        <v>663</v>
      </c>
      <c r="B1868" s="9" t="s">
        <v>767</v>
      </c>
      <c r="C1868" t="s">
        <v>19</v>
      </c>
      <c r="D1868" t="s">
        <v>20</v>
      </c>
      <c r="E1868" t="s">
        <v>21</v>
      </c>
      <c r="F1868">
        <v>4.3</v>
      </c>
      <c r="G1868">
        <v>10399</v>
      </c>
      <c r="H1868">
        <v>11000</v>
      </c>
      <c r="I1868">
        <f>FlipkartTable[[#This Row],[Original Price]]-FlipkartTable[[#This Row],[Selling Price]]</f>
        <v>601</v>
      </c>
      <c r="J1868" s="4">
        <f>(FlipkartTable[[#This Row],[Original Price]]-FlipkartTable[[#This Row],[Selling Price]])/FlipkartTable[[#This Row],[Original Price]]</f>
        <v>5.4636363636363636E-2</v>
      </c>
      <c r="K1868">
        <f>(FlipkartTable[[#This Row],[Rating]]/FlipkartTable[[#This Row],[Selling Price]])*1000</f>
        <v>0.41350129820175019</v>
      </c>
      <c r="L1868" t="str">
        <f>IF(FlipkartTable[[#This Row],[Selling Price]]&lt;15000,"Budget",IF(FlipkartTable[[#This Row],[Selling Price]]&lt;50000,"Mid Range","Premium"))</f>
        <v>Budget</v>
      </c>
      <c r="M1868" t="str">
        <f>IF(FlipkartTable[[#This Row],[Rating]]&gt;4.5,"Excellent",IF(FlipkartTable[[#This Row],[Rating]]&gt;4,"Good",IF(FlipkartTable[[#This Row],[Rating]]&gt;3.5,"Average","Poor")))</f>
        <v>Good</v>
      </c>
    </row>
    <row r="1869" spans="1:13" x14ac:dyDescent="0.35">
      <c r="A1869" t="s">
        <v>663</v>
      </c>
      <c r="B1869" s="9" t="s">
        <v>869</v>
      </c>
      <c r="C1869" t="s">
        <v>112</v>
      </c>
      <c r="D1869" t="s">
        <v>35</v>
      </c>
      <c r="E1869" t="s">
        <v>21</v>
      </c>
      <c r="F1869">
        <v>3.6</v>
      </c>
      <c r="G1869">
        <v>19999</v>
      </c>
      <c r="H1869">
        <v>19999</v>
      </c>
      <c r="I1869">
        <f>FlipkartTable[[#This Row],[Original Price]]-FlipkartTable[[#This Row],[Selling Price]]</f>
        <v>0</v>
      </c>
      <c r="J1869" s="4">
        <f>(FlipkartTable[[#This Row],[Original Price]]-FlipkartTable[[#This Row],[Selling Price]])/FlipkartTable[[#This Row],[Original Price]]</f>
        <v>0</v>
      </c>
      <c r="K1869">
        <f>(FlipkartTable[[#This Row],[Rating]]/FlipkartTable[[#This Row],[Selling Price]])*1000</f>
        <v>0.18000900045002249</v>
      </c>
      <c r="L1869" t="str">
        <f>IF(FlipkartTable[[#This Row],[Selling Price]]&lt;15000,"Budget",IF(FlipkartTable[[#This Row],[Selling Price]]&lt;50000,"Mid Range","Premium"))</f>
        <v>Mid Range</v>
      </c>
      <c r="M1869" t="str">
        <f>IF(FlipkartTable[[#This Row],[Rating]]&gt;4.5,"Excellent",IF(FlipkartTable[[#This Row],[Rating]]&gt;4,"Good",IF(FlipkartTable[[#This Row],[Rating]]&gt;3.5,"Average","Poor")))</f>
        <v>Average</v>
      </c>
    </row>
    <row r="1870" spans="1:13" x14ac:dyDescent="0.35">
      <c r="A1870" t="s">
        <v>663</v>
      </c>
      <c r="B1870" s="9" t="s">
        <v>865</v>
      </c>
      <c r="C1870" t="s">
        <v>152</v>
      </c>
      <c r="D1870" t="s">
        <v>134</v>
      </c>
      <c r="E1870" t="s">
        <v>27</v>
      </c>
      <c r="F1870">
        <v>4</v>
      </c>
      <c r="G1870">
        <v>7550</v>
      </c>
      <c r="H1870">
        <v>7550</v>
      </c>
      <c r="I1870">
        <f>FlipkartTable[[#This Row],[Original Price]]-FlipkartTable[[#This Row],[Selling Price]]</f>
        <v>0</v>
      </c>
      <c r="J1870" s="4">
        <f>(FlipkartTable[[#This Row],[Original Price]]-FlipkartTable[[#This Row],[Selling Price]])/FlipkartTable[[#This Row],[Original Price]]</f>
        <v>0</v>
      </c>
      <c r="K1870">
        <f>(FlipkartTable[[#This Row],[Rating]]/FlipkartTable[[#This Row],[Selling Price]])*1000</f>
        <v>0.5298013245033113</v>
      </c>
      <c r="L1870" t="str">
        <f>IF(FlipkartTable[[#This Row],[Selling Price]]&lt;15000,"Budget",IF(FlipkartTable[[#This Row],[Selling Price]]&lt;50000,"Mid Range","Premium"))</f>
        <v>Budget</v>
      </c>
      <c r="M1870" t="str">
        <f>IF(FlipkartTable[[#This Row],[Rating]]&gt;4.5,"Excellent",IF(FlipkartTable[[#This Row],[Rating]]&gt;4,"Good",IF(FlipkartTable[[#This Row],[Rating]]&gt;3.5,"Average","Poor")))</f>
        <v>Average</v>
      </c>
    </row>
    <row r="1871" spans="1:13" x14ac:dyDescent="0.35">
      <c r="A1871" t="s">
        <v>663</v>
      </c>
      <c r="B1871" s="9" t="s">
        <v>723</v>
      </c>
      <c r="C1871" t="s">
        <v>819</v>
      </c>
      <c r="D1871" t="s">
        <v>14</v>
      </c>
      <c r="E1871" t="s">
        <v>15</v>
      </c>
      <c r="F1871">
        <v>4.3</v>
      </c>
      <c r="G1871">
        <v>37999</v>
      </c>
      <c r="H1871">
        <v>43000</v>
      </c>
      <c r="I1871">
        <f>FlipkartTable[[#This Row],[Original Price]]-FlipkartTable[[#This Row],[Selling Price]]</f>
        <v>5001</v>
      </c>
      <c r="J1871" s="4">
        <f>(FlipkartTable[[#This Row],[Original Price]]-FlipkartTable[[#This Row],[Selling Price]])/FlipkartTable[[#This Row],[Original Price]]</f>
        <v>0.11630232558139535</v>
      </c>
      <c r="K1871">
        <f>(FlipkartTable[[#This Row],[Rating]]/FlipkartTable[[#This Row],[Selling Price]])*1000</f>
        <v>0.11316087265454354</v>
      </c>
      <c r="L1871" t="str">
        <f>IF(FlipkartTable[[#This Row],[Selling Price]]&lt;15000,"Budget",IF(FlipkartTable[[#This Row],[Selling Price]]&lt;50000,"Mid Range","Premium"))</f>
        <v>Mid Range</v>
      </c>
      <c r="M1871" t="str">
        <f>IF(FlipkartTable[[#This Row],[Rating]]&gt;4.5,"Excellent",IF(FlipkartTable[[#This Row],[Rating]]&gt;4,"Good",IF(FlipkartTable[[#This Row],[Rating]]&gt;3.5,"Average","Poor")))</f>
        <v>Good</v>
      </c>
    </row>
    <row r="1872" spans="1:13" x14ac:dyDescent="0.35">
      <c r="A1872" t="s">
        <v>663</v>
      </c>
      <c r="B1872" s="9" t="s">
        <v>758</v>
      </c>
      <c r="C1872" t="s">
        <v>116</v>
      </c>
      <c r="D1872" t="s">
        <v>11</v>
      </c>
      <c r="E1872" t="s">
        <v>12</v>
      </c>
      <c r="F1872">
        <v>4.4000000000000004</v>
      </c>
      <c r="G1872">
        <v>22300</v>
      </c>
      <c r="H1872">
        <v>22300</v>
      </c>
      <c r="I1872">
        <f>FlipkartTable[[#This Row],[Original Price]]-FlipkartTable[[#This Row],[Selling Price]]</f>
        <v>0</v>
      </c>
      <c r="J1872" s="4">
        <f>(FlipkartTable[[#This Row],[Original Price]]-FlipkartTable[[#This Row],[Selling Price]])/FlipkartTable[[#This Row],[Original Price]]</f>
        <v>0</v>
      </c>
      <c r="K1872">
        <f>(FlipkartTable[[#This Row],[Rating]]/FlipkartTable[[#This Row],[Selling Price]])*1000</f>
        <v>0.19730941704035876</v>
      </c>
      <c r="L1872" t="str">
        <f>IF(FlipkartTable[[#This Row],[Selling Price]]&lt;15000,"Budget",IF(FlipkartTable[[#This Row],[Selling Price]]&lt;50000,"Mid Range","Premium"))</f>
        <v>Mid Range</v>
      </c>
      <c r="M1872" t="str">
        <f>IF(FlipkartTable[[#This Row],[Rating]]&gt;4.5,"Excellent",IF(FlipkartTable[[#This Row],[Rating]]&gt;4,"Good",IF(FlipkartTable[[#This Row],[Rating]]&gt;3.5,"Average","Poor")))</f>
        <v>Good</v>
      </c>
    </row>
    <row r="1873" spans="1:13" x14ac:dyDescent="0.35">
      <c r="A1873" t="s">
        <v>663</v>
      </c>
      <c r="B1873" s="9" t="s">
        <v>693</v>
      </c>
      <c r="C1873" t="s">
        <v>694</v>
      </c>
      <c r="D1873" t="s">
        <v>27</v>
      </c>
      <c r="E1873" t="s">
        <v>64</v>
      </c>
      <c r="F1873">
        <v>4.3</v>
      </c>
      <c r="G1873">
        <v>37999</v>
      </c>
      <c r="H1873">
        <v>43999</v>
      </c>
      <c r="I1873">
        <f>FlipkartTable[[#This Row],[Original Price]]-FlipkartTable[[#This Row],[Selling Price]]</f>
        <v>6000</v>
      </c>
      <c r="J1873" s="4">
        <f>(FlipkartTable[[#This Row],[Original Price]]-FlipkartTable[[#This Row],[Selling Price]])/FlipkartTable[[#This Row],[Original Price]]</f>
        <v>0.13636673560762744</v>
      </c>
      <c r="K1873">
        <f>(FlipkartTable[[#This Row],[Rating]]/FlipkartTable[[#This Row],[Selling Price]])*1000</f>
        <v>0.11316087265454354</v>
      </c>
      <c r="L1873" t="str">
        <f>IF(FlipkartTable[[#This Row],[Selling Price]]&lt;15000,"Budget",IF(FlipkartTable[[#This Row],[Selling Price]]&lt;50000,"Mid Range","Premium"))</f>
        <v>Mid Range</v>
      </c>
      <c r="M1873" t="str">
        <f>IF(FlipkartTable[[#This Row],[Rating]]&gt;4.5,"Excellent",IF(FlipkartTable[[#This Row],[Rating]]&gt;4,"Good",IF(FlipkartTable[[#This Row],[Rating]]&gt;3.5,"Average","Poor")))</f>
        <v>Good</v>
      </c>
    </row>
    <row r="1874" spans="1:13" x14ac:dyDescent="0.35">
      <c r="A1874" t="s">
        <v>663</v>
      </c>
      <c r="B1874" s="9" t="s">
        <v>752</v>
      </c>
      <c r="C1874" t="s">
        <v>22</v>
      </c>
      <c r="D1874" t="s">
        <v>11</v>
      </c>
      <c r="E1874" t="s">
        <v>12</v>
      </c>
      <c r="F1874">
        <v>4.3</v>
      </c>
      <c r="G1874">
        <v>13695</v>
      </c>
      <c r="H1874">
        <v>14900</v>
      </c>
      <c r="I1874">
        <f>FlipkartTable[[#This Row],[Original Price]]-FlipkartTable[[#This Row],[Selling Price]]</f>
        <v>1205</v>
      </c>
      <c r="J1874" s="4">
        <f>(FlipkartTable[[#This Row],[Original Price]]-FlipkartTable[[#This Row],[Selling Price]])/FlipkartTable[[#This Row],[Original Price]]</f>
        <v>8.0872483221476513E-2</v>
      </c>
      <c r="K1874">
        <f>(FlipkartTable[[#This Row],[Rating]]/FlipkartTable[[#This Row],[Selling Price]])*1000</f>
        <v>0.31398320554947062</v>
      </c>
      <c r="L1874" t="str">
        <f>IF(FlipkartTable[[#This Row],[Selling Price]]&lt;15000,"Budget",IF(FlipkartTable[[#This Row],[Selling Price]]&lt;50000,"Mid Range","Premium"))</f>
        <v>Budget</v>
      </c>
      <c r="M1874" t="str">
        <f>IF(FlipkartTable[[#This Row],[Rating]]&gt;4.5,"Excellent",IF(FlipkartTable[[#This Row],[Rating]]&gt;4,"Good",IF(FlipkartTable[[#This Row],[Rating]]&gt;3.5,"Average","Poor")))</f>
        <v>Good</v>
      </c>
    </row>
    <row r="1875" spans="1:13" x14ac:dyDescent="0.35">
      <c r="A1875" t="s">
        <v>663</v>
      </c>
      <c r="B1875" s="9" t="s">
        <v>846</v>
      </c>
      <c r="C1875" t="s">
        <v>800</v>
      </c>
      <c r="D1875" t="s">
        <v>11</v>
      </c>
      <c r="E1875" t="s">
        <v>21</v>
      </c>
      <c r="F1875">
        <v>3.9</v>
      </c>
      <c r="G1875">
        <v>30495</v>
      </c>
      <c r="H1875">
        <v>30495</v>
      </c>
      <c r="I1875">
        <f>FlipkartTable[[#This Row],[Original Price]]-FlipkartTable[[#This Row],[Selling Price]]</f>
        <v>0</v>
      </c>
      <c r="J1875" s="4">
        <f>(FlipkartTable[[#This Row],[Original Price]]-FlipkartTable[[#This Row],[Selling Price]])/FlipkartTable[[#This Row],[Original Price]]</f>
        <v>0</v>
      </c>
      <c r="K1875">
        <f>(FlipkartTable[[#This Row],[Rating]]/FlipkartTable[[#This Row],[Selling Price]])*1000</f>
        <v>0.12788981800295129</v>
      </c>
      <c r="L1875" t="str">
        <f>IF(FlipkartTable[[#This Row],[Selling Price]]&lt;15000,"Budget",IF(FlipkartTable[[#This Row],[Selling Price]]&lt;50000,"Mid Range","Premium"))</f>
        <v>Mid Range</v>
      </c>
      <c r="M1875" t="str">
        <f>IF(FlipkartTable[[#This Row],[Rating]]&gt;4.5,"Excellent",IF(FlipkartTable[[#This Row],[Rating]]&gt;4,"Good",IF(FlipkartTable[[#This Row],[Rating]]&gt;3.5,"Average","Poor")))</f>
        <v>Average</v>
      </c>
    </row>
    <row r="1876" spans="1:13" x14ac:dyDescent="0.35">
      <c r="A1876" t="s">
        <v>663</v>
      </c>
      <c r="B1876" s="9" t="s">
        <v>799</v>
      </c>
      <c r="C1876" t="s">
        <v>915</v>
      </c>
      <c r="D1876" t="s">
        <v>63</v>
      </c>
      <c r="E1876" t="s">
        <v>64</v>
      </c>
      <c r="F1876">
        <v>4.5</v>
      </c>
      <c r="G1876">
        <v>105999</v>
      </c>
      <c r="H1876">
        <v>128999</v>
      </c>
      <c r="I1876">
        <f>FlipkartTable[[#This Row],[Original Price]]-FlipkartTable[[#This Row],[Selling Price]]</f>
        <v>23000</v>
      </c>
      <c r="J1876" s="4">
        <f>(FlipkartTable[[#This Row],[Original Price]]-FlipkartTable[[#This Row],[Selling Price]])/FlipkartTable[[#This Row],[Original Price]]</f>
        <v>0.17829595578260296</v>
      </c>
      <c r="K1876">
        <f>(FlipkartTable[[#This Row],[Rating]]/FlipkartTable[[#This Row],[Selling Price]])*1000</f>
        <v>4.2453230690855576E-2</v>
      </c>
      <c r="L1876" t="str">
        <f>IF(FlipkartTable[[#This Row],[Selling Price]]&lt;15000,"Budget",IF(FlipkartTable[[#This Row],[Selling Price]]&lt;50000,"Mid Range","Premium"))</f>
        <v>Premium</v>
      </c>
      <c r="M1876" t="str">
        <f>IF(FlipkartTable[[#This Row],[Rating]]&gt;4.5,"Excellent",IF(FlipkartTable[[#This Row],[Rating]]&gt;4,"Good",IF(FlipkartTable[[#This Row],[Rating]]&gt;3.5,"Average","Poor")))</f>
        <v>Good</v>
      </c>
    </row>
    <row r="1877" spans="1:13" x14ac:dyDescent="0.35">
      <c r="A1877" t="s">
        <v>663</v>
      </c>
      <c r="B1877" s="9" t="s">
        <v>843</v>
      </c>
      <c r="C1877" t="s">
        <v>853</v>
      </c>
      <c r="D1877" t="s">
        <v>20</v>
      </c>
      <c r="E1877" t="s">
        <v>21</v>
      </c>
      <c r="F1877">
        <v>4.3</v>
      </c>
      <c r="G1877">
        <v>10848</v>
      </c>
      <c r="H1877">
        <v>11290</v>
      </c>
      <c r="I1877">
        <f>FlipkartTable[[#This Row],[Original Price]]-FlipkartTable[[#This Row],[Selling Price]]</f>
        <v>442</v>
      </c>
      <c r="J1877" s="4">
        <f>(FlipkartTable[[#This Row],[Original Price]]-FlipkartTable[[#This Row],[Selling Price]])/FlipkartTable[[#This Row],[Original Price]]</f>
        <v>3.9149689991142607E-2</v>
      </c>
      <c r="K1877">
        <f>(FlipkartTable[[#This Row],[Rating]]/FlipkartTable[[#This Row],[Selling Price]])*1000</f>
        <v>0.39638643067846607</v>
      </c>
      <c r="L1877" t="str">
        <f>IF(FlipkartTable[[#This Row],[Selling Price]]&lt;15000,"Budget",IF(FlipkartTable[[#This Row],[Selling Price]]&lt;50000,"Mid Range","Premium"))</f>
        <v>Budget</v>
      </c>
      <c r="M1877" t="str">
        <f>IF(FlipkartTable[[#This Row],[Rating]]&gt;4.5,"Excellent",IF(FlipkartTable[[#This Row],[Rating]]&gt;4,"Good",IF(FlipkartTable[[#This Row],[Rating]]&gt;3.5,"Average","Poor")))</f>
        <v>Good</v>
      </c>
    </row>
    <row r="1878" spans="1:13" x14ac:dyDescent="0.35">
      <c r="A1878" t="s">
        <v>663</v>
      </c>
      <c r="B1878" s="9" t="s">
        <v>934</v>
      </c>
      <c r="C1878" t="s">
        <v>170</v>
      </c>
      <c r="D1878" t="s">
        <v>134</v>
      </c>
      <c r="E1878" t="s">
        <v>27</v>
      </c>
      <c r="F1878">
        <v>4.0999999999999996</v>
      </c>
      <c r="G1878">
        <v>5490</v>
      </c>
      <c r="H1878">
        <v>5490</v>
      </c>
      <c r="I1878">
        <f>FlipkartTable[[#This Row],[Original Price]]-FlipkartTable[[#This Row],[Selling Price]]</f>
        <v>0</v>
      </c>
      <c r="J1878" s="4">
        <f>(FlipkartTable[[#This Row],[Original Price]]-FlipkartTable[[#This Row],[Selling Price]])/FlipkartTable[[#This Row],[Original Price]]</f>
        <v>0</v>
      </c>
      <c r="K1878">
        <f>(FlipkartTable[[#This Row],[Rating]]/FlipkartTable[[#This Row],[Selling Price]])*1000</f>
        <v>0.74681238615664836</v>
      </c>
      <c r="L1878" t="str">
        <f>IF(FlipkartTable[[#This Row],[Selling Price]]&lt;15000,"Budget",IF(FlipkartTable[[#This Row],[Selling Price]]&lt;50000,"Mid Range","Premium"))</f>
        <v>Budget</v>
      </c>
      <c r="M1878" t="str">
        <f>IF(FlipkartTable[[#This Row],[Rating]]&gt;4.5,"Excellent",IF(FlipkartTable[[#This Row],[Rating]]&gt;4,"Good",IF(FlipkartTable[[#This Row],[Rating]]&gt;3.5,"Average","Poor")))</f>
        <v>Good</v>
      </c>
    </row>
    <row r="1879" spans="1:13" x14ac:dyDescent="0.35">
      <c r="A1879" t="s">
        <v>663</v>
      </c>
      <c r="B1879" s="9" t="s">
        <v>935</v>
      </c>
      <c r="C1879" t="s">
        <v>116</v>
      </c>
      <c r="D1879" t="s">
        <v>35</v>
      </c>
      <c r="E1879" t="s">
        <v>124</v>
      </c>
      <c r="F1879">
        <v>4.2</v>
      </c>
      <c r="G1879">
        <v>6480</v>
      </c>
      <c r="H1879">
        <v>7990</v>
      </c>
      <c r="I1879">
        <f>FlipkartTable[[#This Row],[Original Price]]-FlipkartTable[[#This Row],[Selling Price]]</f>
        <v>1510</v>
      </c>
      <c r="J1879" s="4">
        <f>(FlipkartTable[[#This Row],[Original Price]]-FlipkartTable[[#This Row],[Selling Price]])/FlipkartTable[[#This Row],[Original Price]]</f>
        <v>0.18898623279098872</v>
      </c>
      <c r="K1879">
        <f>(FlipkartTable[[#This Row],[Rating]]/FlipkartTable[[#This Row],[Selling Price]])*1000</f>
        <v>0.64814814814814814</v>
      </c>
      <c r="L1879" t="str">
        <f>IF(FlipkartTable[[#This Row],[Selling Price]]&lt;15000,"Budget",IF(FlipkartTable[[#This Row],[Selling Price]]&lt;50000,"Mid Range","Premium"))</f>
        <v>Budget</v>
      </c>
      <c r="M1879" t="str">
        <f>IF(FlipkartTable[[#This Row],[Rating]]&gt;4.5,"Excellent",IF(FlipkartTable[[#This Row],[Rating]]&gt;4,"Good",IF(FlipkartTable[[#This Row],[Rating]]&gt;3.5,"Average","Poor")))</f>
        <v>Good</v>
      </c>
    </row>
    <row r="1880" spans="1:13" x14ac:dyDescent="0.35">
      <c r="A1880" t="s">
        <v>663</v>
      </c>
      <c r="B1880" s="9" t="s">
        <v>827</v>
      </c>
      <c r="C1880" t="s">
        <v>853</v>
      </c>
      <c r="D1880" t="s">
        <v>35</v>
      </c>
      <c r="E1880" t="s">
        <v>124</v>
      </c>
      <c r="F1880">
        <v>4.3</v>
      </c>
      <c r="G1880">
        <v>8170</v>
      </c>
      <c r="H1880">
        <v>8170</v>
      </c>
      <c r="I1880">
        <f>FlipkartTable[[#This Row],[Original Price]]-FlipkartTable[[#This Row],[Selling Price]]</f>
        <v>0</v>
      </c>
      <c r="J1880" s="4">
        <f>(FlipkartTable[[#This Row],[Original Price]]-FlipkartTable[[#This Row],[Selling Price]])/FlipkartTable[[#This Row],[Original Price]]</f>
        <v>0</v>
      </c>
      <c r="K1880">
        <f>(FlipkartTable[[#This Row],[Rating]]/FlipkartTable[[#This Row],[Selling Price]])*1000</f>
        <v>0.52631578947368418</v>
      </c>
      <c r="L1880" t="str">
        <f>IF(FlipkartTable[[#This Row],[Selling Price]]&lt;15000,"Budget",IF(FlipkartTable[[#This Row],[Selling Price]]&lt;50000,"Mid Range","Premium"))</f>
        <v>Budget</v>
      </c>
      <c r="M1880" t="str">
        <f>IF(FlipkartTable[[#This Row],[Rating]]&gt;4.5,"Excellent",IF(FlipkartTable[[#This Row],[Rating]]&gt;4,"Good",IF(FlipkartTable[[#This Row],[Rating]]&gt;3.5,"Average","Poor")))</f>
        <v>Good</v>
      </c>
    </row>
    <row r="1881" spans="1:13" x14ac:dyDescent="0.35">
      <c r="A1881" t="s">
        <v>663</v>
      </c>
      <c r="B1881" s="9" t="s">
        <v>936</v>
      </c>
      <c r="C1881" t="s">
        <v>68</v>
      </c>
      <c r="D1881" t="s">
        <v>35</v>
      </c>
      <c r="E1881" t="s">
        <v>124</v>
      </c>
      <c r="F1881">
        <v>4.0999999999999996</v>
      </c>
      <c r="G1881">
        <v>17990</v>
      </c>
      <c r="H1881">
        <v>17990</v>
      </c>
      <c r="I1881">
        <f>FlipkartTable[[#This Row],[Original Price]]-FlipkartTable[[#This Row],[Selling Price]]</f>
        <v>0</v>
      </c>
      <c r="J1881" s="4">
        <f>(FlipkartTable[[#This Row],[Original Price]]-FlipkartTable[[#This Row],[Selling Price]])/FlipkartTable[[#This Row],[Original Price]]</f>
        <v>0</v>
      </c>
      <c r="K1881">
        <f>(FlipkartTable[[#This Row],[Rating]]/FlipkartTable[[#This Row],[Selling Price]])*1000</f>
        <v>0.22790439132851584</v>
      </c>
      <c r="L1881" t="str">
        <f>IF(FlipkartTable[[#This Row],[Selling Price]]&lt;15000,"Budget",IF(FlipkartTable[[#This Row],[Selling Price]]&lt;50000,"Mid Range","Premium"))</f>
        <v>Mid Range</v>
      </c>
      <c r="M1881" t="str">
        <f>IF(FlipkartTable[[#This Row],[Rating]]&gt;4.5,"Excellent",IF(FlipkartTable[[#This Row],[Rating]]&gt;4,"Good",IF(FlipkartTable[[#This Row],[Rating]]&gt;3.5,"Average","Poor")))</f>
        <v>Good</v>
      </c>
    </row>
    <row r="1882" spans="1:13" x14ac:dyDescent="0.35">
      <c r="A1882" t="s">
        <v>663</v>
      </c>
      <c r="B1882" s="9" t="s">
        <v>735</v>
      </c>
      <c r="C1882" t="s">
        <v>736</v>
      </c>
      <c r="D1882" t="s">
        <v>14</v>
      </c>
      <c r="E1882" t="s">
        <v>15</v>
      </c>
      <c r="F1882">
        <v>4.3</v>
      </c>
      <c r="G1882">
        <v>21099</v>
      </c>
      <c r="H1882">
        <v>26900</v>
      </c>
      <c r="I1882">
        <f>FlipkartTable[[#This Row],[Original Price]]-FlipkartTable[[#This Row],[Selling Price]]</f>
        <v>5801</v>
      </c>
      <c r="J1882" s="4">
        <f>(FlipkartTable[[#This Row],[Original Price]]-FlipkartTable[[#This Row],[Selling Price]])/FlipkartTable[[#This Row],[Original Price]]</f>
        <v>0.21565055762081783</v>
      </c>
      <c r="K1882">
        <f>(FlipkartTable[[#This Row],[Rating]]/FlipkartTable[[#This Row],[Selling Price]])*1000</f>
        <v>0.20380112801554576</v>
      </c>
      <c r="L1882" t="str">
        <f>IF(FlipkartTable[[#This Row],[Selling Price]]&lt;15000,"Budget",IF(FlipkartTable[[#This Row],[Selling Price]]&lt;50000,"Mid Range","Premium"))</f>
        <v>Mid Range</v>
      </c>
      <c r="M1882" t="str">
        <f>IF(FlipkartTable[[#This Row],[Rating]]&gt;4.5,"Excellent",IF(FlipkartTable[[#This Row],[Rating]]&gt;4,"Good",IF(FlipkartTable[[#This Row],[Rating]]&gt;3.5,"Average","Poor")))</f>
        <v>Good</v>
      </c>
    </row>
    <row r="1883" spans="1:13" x14ac:dyDescent="0.35">
      <c r="A1883" t="s">
        <v>663</v>
      </c>
      <c r="B1883" s="9" t="s">
        <v>785</v>
      </c>
      <c r="C1883" t="s">
        <v>19</v>
      </c>
      <c r="D1883" t="s">
        <v>14</v>
      </c>
      <c r="E1883" t="s">
        <v>12</v>
      </c>
      <c r="F1883">
        <v>4.4000000000000004</v>
      </c>
      <c r="G1883">
        <v>24000</v>
      </c>
      <c r="H1883">
        <v>24000</v>
      </c>
      <c r="I1883">
        <f>FlipkartTable[[#This Row],[Original Price]]-FlipkartTable[[#This Row],[Selling Price]]</f>
        <v>0</v>
      </c>
      <c r="J1883" s="4">
        <f>(FlipkartTable[[#This Row],[Original Price]]-FlipkartTable[[#This Row],[Selling Price]])/FlipkartTable[[#This Row],[Original Price]]</f>
        <v>0</v>
      </c>
      <c r="K1883">
        <f>(FlipkartTable[[#This Row],[Rating]]/FlipkartTable[[#This Row],[Selling Price]])*1000</f>
        <v>0.18333333333333335</v>
      </c>
      <c r="L1883" t="str">
        <f>IF(FlipkartTable[[#This Row],[Selling Price]]&lt;15000,"Budget",IF(FlipkartTable[[#This Row],[Selling Price]]&lt;50000,"Mid Range","Premium"))</f>
        <v>Mid Range</v>
      </c>
      <c r="M1883" t="str">
        <f>IF(FlipkartTable[[#This Row],[Rating]]&gt;4.5,"Excellent",IF(FlipkartTable[[#This Row],[Rating]]&gt;4,"Good",IF(FlipkartTable[[#This Row],[Rating]]&gt;3.5,"Average","Poor")))</f>
        <v>Good</v>
      </c>
    </row>
    <row r="1884" spans="1:13" x14ac:dyDescent="0.35">
      <c r="A1884" t="s">
        <v>663</v>
      </c>
      <c r="B1884" s="9" t="s">
        <v>811</v>
      </c>
      <c r="C1884" t="s">
        <v>152</v>
      </c>
      <c r="D1884" t="s">
        <v>14</v>
      </c>
      <c r="E1884" t="s">
        <v>15</v>
      </c>
      <c r="F1884">
        <v>4.0999999999999996</v>
      </c>
      <c r="G1884">
        <v>16999</v>
      </c>
      <c r="H1884">
        <v>16999</v>
      </c>
      <c r="I1884">
        <f>FlipkartTable[[#This Row],[Original Price]]-FlipkartTable[[#This Row],[Selling Price]]</f>
        <v>0</v>
      </c>
      <c r="J1884" s="4">
        <f>(FlipkartTable[[#This Row],[Original Price]]-FlipkartTable[[#This Row],[Selling Price]])/FlipkartTable[[#This Row],[Original Price]]</f>
        <v>0</v>
      </c>
      <c r="K1884">
        <f>(FlipkartTable[[#This Row],[Rating]]/FlipkartTable[[#This Row],[Selling Price]])*1000</f>
        <v>0.24119065827401609</v>
      </c>
      <c r="L1884" t="str">
        <f>IF(FlipkartTable[[#This Row],[Selling Price]]&lt;15000,"Budget",IF(FlipkartTable[[#This Row],[Selling Price]]&lt;50000,"Mid Range","Premium"))</f>
        <v>Mid Range</v>
      </c>
      <c r="M1884" t="str">
        <f>IF(FlipkartTable[[#This Row],[Rating]]&gt;4.5,"Excellent",IF(FlipkartTable[[#This Row],[Rating]]&gt;4,"Good",IF(FlipkartTable[[#This Row],[Rating]]&gt;3.5,"Average","Poor")))</f>
        <v>Good</v>
      </c>
    </row>
    <row r="1885" spans="1:13" x14ac:dyDescent="0.35">
      <c r="A1885" t="s">
        <v>663</v>
      </c>
      <c r="B1885" s="9" t="s">
        <v>823</v>
      </c>
      <c r="C1885" t="s">
        <v>937</v>
      </c>
      <c r="D1885" t="s">
        <v>27</v>
      </c>
      <c r="E1885" t="s">
        <v>15</v>
      </c>
      <c r="F1885">
        <v>4.4000000000000004</v>
      </c>
      <c r="G1885">
        <v>54999</v>
      </c>
      <c r="H1885">
        <v>83000</v>
      </c>
      <c r="I1885">
        <f>FlipkartTable[[#This Row],[Original Price]]-FlipkartTable[[#This Row],[Selling Price]]</f>
        <v>28001</v>
      </c>
      <c r="J1885" s="4">
        <f>(FlipkartTable[[#This Row],[Original Price]]-FlipkartTable[[#This Row],[Selling Price]])/FlipkartTable[[#This Row],[Original Price]]</f>
        <v>0.33736144578313254</v>
      </c>
      <c r="K1885">
        <f>(FlipkartTable[[#This Row],[Rating]]/FlipkartTable[[#This Row],[Selling Price]])*1000</f>
        <v>8.0001454571901318E-2</v>
      </c>
      <c r="L1885" t="str">
        <f>IF(FlipkartTable[[#This Row],[Selling Price]]&lt;15000,"Budget",IF(FlipkartTable[[#This Row],[Selling Price]]&lt;50000,"Mid Range","Premium"))</f>
        <v>Premium</v>
      </c>
      <c r="M1885" t="str">
        <f>IF(FlipkartTable[[#This Row],[Rating]]&gt;4.5,"Excellent",IF(FlipkartTable[[#This Row],[Rating]]&gt;4,"Good",IF(FlipkartTable[[#This Row],[Rating]]&gt;3.5,"Average","Poor")))</f>
        <v>Good</v>
      </c>
    </row>
    <row r="1886" spans="1:13" x14ac:dyDescent="0.35">
      <c r="A1886" t="s">
        <v>663</v>
      </c>
      <c r="B1886" s="9" t="s">
        <v>846</v>
      </c>
      <c r="C1886" t="s">
        <v>885</v>
      </c>
      <c r="D1886" t="s">
        <v>11</v>
      </c>
      <c r="E1886" t="s">
        <v>21</v>
      </c>
      <c r="F1886">
        <v>3.9</v>
      </c>
      <c r="G1886">
        <v>29990</v>
      </c>
      <c r="H1886">
        <v>29990</v>
      </c>
      <c r="I1886">
        <f>FlipkartTable[[#This Row],[Original Price]]-FlipkartTable[[#This Row],[Selling Price]]</f>
        <v>0</v>
      </c>
      <c r="J1886" s="4">
        <f>(FlipkartTable[[#This Row],[Original Price]]-FlipkartTable[[#This Row],[Selling Price]])/FlipkartTable[[#This Row],[Original Price]]</f>
        <v>0</v>
      </c>
      <c r="K1886">
        <f>(FlipkartTable[[#This Row],[Rating]]/FlipkartTable[[#This Row],[Selling Price]])*1000</f>
        <v>0.13004334778259419</v>
      </c>
      <c r="L1886" t="str">
        <f>IF(FlipkartTable[[#This Row],[Selling Price]]&lt;15000,"Budget",IF(FlipkartTable[[#This Row],[Selling Price]]&lt;50000,"Mid Range","Premium"))</f>
        <v>Mid Range</v>
      </c>
      <c r="M1886" t="str">
        <f>IF(FlipkartTable[[#This Row],[Rating]]&gt;4.5,"Excellent",IF(FlipkartTable[[#This Row],[Rating]]&gt;4,"Good",IF(FlipkartTable[[#This Row],[Rating]]&gt;3.5,"Average","Poor")))</f>
        <v>Average</v>
      </c>
    </row>
    <row r="1887" spans="1:13" x14ac:dyDescent="0.35">
      <c r="A1887" t="s">
        <v>663</v>
      </c>
      <c r="B1887" s="9" t="s">
        <v>846</v>
      </c>
      <c r="C1887" t="s">
        <v>885</v>
      </c>
      <c r="D1887" t="s">
        <v>11</v>
      </c>
      <c r="E1887" t="s">
        <v>12</v>
      </c>
      <c r="F1887">
        <v>3.9</v>
      </c>
      <c r="G1887">
        <v>49990</v>
      </c>
      <c r="H1887">
        <v>49990</v>
      </c>
      <c r="I1887">
        <f>FlipkartTable[[#This Row],[Original Price]]-FlipkartTable[[#This Row],[Selling Price]]</f>
        <v>0</v>
      </c>
      <c r="J1887" s="4">
        <f>(FlipkartTable[[#This Row],[Original Price]]-FlipkartTable[[#This Row],[Selling Price]])/FlipkartTable[[#This Row],[Original Price]]</f>
        <v>0</v>
      </c>
      <c r="K1887">
        <f>(FlipkartTable[[#This Row],[Rating]]/FlipkartTable[[#This Row],[Selling Price]])*1000</f>
        <v>7.8015603120624125E-2</v>
      </c>
      <c r="L1887" t="str">
        <f>IF(FlipkartTable[[#This Row],[Selling Price]]&lt;15000,"Budget",IF(FlipkartTable[[#This Row],[Selling Price]]&lt;50000,"Mid Range","Premium"))</f>
        <v>Mid Range</v>
      </c>
      <c r="M1887" t="str">
        <f>IF(FlipkartTable[[#This Row],[Rating]]&gt;4.5,"Excellent",IF(FlipkartTable[[#This Row],[Rating]]&gt;4,"Good",IF(FlipkartTable[[#This Row],[Rating]]&gt;3.5,"Average","Poor")))</f>
        <v>Average</v>
      </c>
    </row>
    <row r="1888" spans="1:13" x14ac:dyDescent="0.35">
      <c r="A1888" t="s">
        <v>663</v>
      </c>
      <c r="B1888" s="9" t="s">
        <v>740</v>
      </c>
      <c r="C1888" t="s">
        <v>19</v>
      </c>
      <c r="D1888" t="s">
        <v>11</v>
      </c>
      <c r="E1888" t="s">
        <v>21</v>
      </c>
      <c r="F1888">
        <v>4.3</v>
      </c>
      <c r="G1888">
        <v>12499</v>
      </c>
      <c r="H1888">
        <v>22990</v>
      </c>
      <c r="I1888">
        <f>FlipkartTable[[#This Row],[Original Price]]-FlipkartTable[[#This Row],[Selling Price]]</f>
        <v>10491</v>
      </c>
      <c r="J1888" s="4">
        <f>(FlipkartTable[[#This Row],[Original Price]]-FlipkartTable[[#This Row],[Selling Price]])/FlipkartTable[[#This Row],[Original Price]]</f>
        <v>0.45632883862548934</v>
      </c>
      <c r="K1888">
        <f>(FlipkartTable[[#This Row],[Rating]]/FlipkartTable[[#This Row],[Selling Price]])*1000</f>
        <v>0.34402752220177613</v>
      </c>
      <c r="L1888" t="str">
        <f>IF(FlipkartTable[[#This Row],[Selling Price]]&lt;15000,"Budget",IF(FlipkartTable[[#This Row],[Selling Price]]&lt;50000,"Mid Range","Premium"))</f>
        <v>Budget</v>
      </c>
      <c r="M1888" t="str">
        <f>IF(FlipkartTable[[#This Row],[Rating]]&gt;4.5,"Excellent",IF(FlipkartTable[[#This Row],[Rating]]&gt;4,"Good",IF(FlipkartTable[[#This Row],[Rating]]&gt;3.5,"Average","Poor")))</f>
        <v>Good</v>
      </c>
    </row>
    <row r="1889" spans="1:13" x14ac:dyDescent="0.35">
      <c r="A1889" t="s">
        <v>663</v>
      </c>
      <c r="B1889" s="9" t="s">
        <v>846</v>
      </c>
      <c r="C1889" t="s">
        <v>892</v>
      </c>
      <c r="D1889" t="s">
        <v>11</v>
      </c>
      <c r="E1889" t="s">
        <v>21</v>
      </c>
      <c r="F1889">
        <v>3.9</v>
      </c>
      <c r="G1889">
        <v>29990</v>
      </c>
      <c r="H1889">
        <v>29990</v>
      </c>
      <c r="I1889">
        <f>FlipkartTable[[#This Row],[Original Price]]-FlipkartTable[[#This Row],[Selling Price]]</f>
        <v>0</v>
      </c>
      <c r="J1889" s="4">
        <f>(FlipkartTable[[#This Row],[Original Price]]-FlipkartTable[[#This Row],[Selling Price]])/FlipkartTable[[#This Row],[Original Price]]</f>
        <v>0</v>
      </c>
      <c r="K1889">
        <f>(FlipkartTable[[#This Row],[Rating]]/FlipkartTable[[#This Row],[Selling Price]])*1000</f>
        <v>0.13004334778259419</v>
      </c>
      <c r="L1889" t="str">
        <f>IF(FlipkartTable[[#This Row],[Selling Price]]&lt;15000,"Budget",IF(FlipkartTable[[#This Row],[Selling Price]]&lt;50000,"Mid Range","Premium"))</f>
        <v>Mid Range</v>
      </c>
      <c r="M1889" t="str">
        <f>IF(FlipkartTable[[#This Row],[Rating]]&gt;4.5,"Excellent",IF(FlipkartTable[[#This Row],[Rating]]&gt;4,"Good",IF(FlipkartTable[[#This Row],[Rating]]&gt;3.5,"Average","Poor")))</f>
        <v>Average</v>
      </c>
    </row>
    <row r="1890" spans="1:13" x14ac:dyDescent="0.35">
      <c r="A1890" t="s">
        <v>663</v>
      </c>
      <c r="B1890" s="9" t="s">
        <v>934</v>
      </c>
      <c r="C1890" t="s">
        <v>569</v>
      </c>
      <c r="D1890" t="s">
        <v>134</v>
      </c>
      <c r="E1890" t="s">
        <v>27</v>
      </c>
      <c r="F1890">
        <v>4.0999999999999996</v>
      </c>
      <c r="G1890">
        <v>5490</v>
      </c>
      <c r="H1890">
        <v>9700</v>
      </c>
      <c r="I1890">
        <f>FlipkartTable[[#This Row],[Original Price]]-FlipkartTable[[#This Row],[Selling Price]]</f>
        <v>4210</v>
      </c>
      <c r="J1890" s="4">
        <f>(FlipkartTable[[#This Row],[Original Price]]-FlipkartTable[[#This Row],[Selling Price]])/FlipkartTable[[#This Row],[Original Price]]</f>
        <v>0.43402061855670104</v>
      </c>
      <c r="K1890">
        <f>(FlipkartTable[[#This Row],[Rating]]/FlipkartTable[[#This Row],[Selling Price]])*1000</f>
        <v>0.74681238615664836</v>
      </c>
      <c r="L1890" t="str">
        <f>IF(FlipkartTable[[#This Row],[Selling Price]]&lt;15000,"Budget",IF(FlipkartTable[[#This Row],[Selling Price]]&lt;50000,"Mid Range","Premium"))</f>
        <v>Budget</v>
      </c>
      <c r="M1890" t="str">
        <f>IF(FlipkartTable[[#This Row],[Rating]]&gt;4.5,"Excellent",IF(FlipkartTable[[#This Row],[Rating]]&gt;4,"Good",IF(FlipkartTable[[#This Row],[Rating]]&gt;3.5,"Average","Poor")))</f>
        <v>Good</v>
      </c>
    </row>
    <row r="1891" spans="1:13" x14ac:dyDescent="0.35">
      <c r="A1891" t="s">
        <v>663</v>
      </c>
      <c r="B1891" s="9" t="s">
        <v>938</v>
      </c>
      <c r="C1891" t="s">
        <v>939</v>
      </c>
      <c r="D1891" t="s">
        <v>263</v>
      </c>
      <c r="E1891" t="s">
        <v>11</v>
      </c>
      <c r="F1891">
        <v>3.8</v>
      </c>
      <c r="G1891">
        <v>4199</v>
      </c>
      <c r="H1891">
        <v>4199</v>
      </c>
      <c r="I1891">
        <f>FlipkartTable[[#This Row],[Original Price]]-FlipkartTable[[#This Row],[Selling Price]]</f>
        <v>0</v>
      </c>
      <c r="J1891" s="4">
        <f>(FlipkartTable[[#This Row],[Original Price]]-FlipkartTable[[#This Row],[Selling Price]])/FlipkartTable[[#This Row],[Original Price]]</f>
        <v>0</v>
      </c>
      <c r="K1891">
        <f>(FlipkartTable[[#This Row],[Rating]]/FlipkartTable[[#This Row],[Selling Price]])*1000</f>
        <v>0.90497737556561075</v>
      </c>
      <c r="L1891" t="str">
        <f>IF(FlipkartTable[[#This Row],[Selling Price]]&lt;15000,"Budget",IF(FlipkartTable[[#This Row],[Selling Price]]&lt;50000,"Mid Range","Premium"))</f>
        <v>Budget</v>
      </c>
      <c r="M1891" t="str">
        <f>IF(FlipkartTable[[#This Row],[Rating]]&gt;4.5,"Excellent",IF(FlipkartTable[[#This Row],[Rating]]&gt;4,"Good",IF(FlipkartTable[[#This Row],[Rating]]&gt;3.5,"Average","Poor")))</f>
        <v>Average</v>
      </c>
    </row>
    <row r="1892" spans="1:13" x14ac:dyDescent="0.35">
      <c r="A1892" t="s">
        <v>663</v>
      </c>
      <c r="B1892" s="9" t="s">
        <v>940</v>
      </c>
      <c r="C1892" t="s">
        <v>152</v>
      </c>
      <c r="D1892" t="s">
        <v>134</v>
      </c>
      <c r="E1892" t="s">
        <v>27</v>
      </c>
      <c r="F1892">
        <v>4</v>
      </c>
      <c r="G1892">
        <v>5999</v>
      </c>
      <c r="H1892">
        <v>5999</v>
      </c>
      <c r="I1892">
        <f>FlipkartTable[[#This Row],[Original Price]]-FlipkartTable[[#This Row],[Selling Price]]</f>
        <v>0</v>
      </c>
      <c r="J1892" s="4">
        <f>(FlipkartTable[[#This Row],[Original Price]]-FlipkartTable[[#This Row],[Selling Price]])/FlipkartTable[[#This Row],[Original Price]]</f>
        <v>0</v>
      </c>
      <c r="K1892">
        <f>(FlipkartTable[[#This Row],[Rating]]/FlipkartTable[[#This Row],[Selling Price]])*1000</f>
        <v>0.66677779629938327</v>
      </c>
      <c r="L1892" t="str">
        <f>IF(FlipkartTable[[#This Row],[Selling Price]]&lt;15000,"Budget",IF(FlipkartTable[[#This Row],[Selling Price]]&lt;50000,"Mid Range","Premium"))</f>
        <v>Budget</v>
      </c>
      <c r="M1892" t="str">
        <f>IF(FlipkartTable[[#This Row],[Rating]]&gt;4.5,"Excellent",IF(FlipkartTable[[#This Row],[Rating]]&gt;4,"Good",IF(FlipkartTable[[#This Row],[Rating]]&gt;3.5,"Average","Poor")))</f>
        <v>Average</v>
      </c>
    </row>
    <row r="1893" spans="1:13" x14ac:dyDescent="0.35">
      <c r="A1893" t="s">
        <v>663</v>
      </c>
      <c r="B1893" s="9" t="s">
        <v>712</v>
      </c>
      <c r="C1893" t="s">
        <v>704</v>
      </c>
      <c r="D1893" t="s">
        <v>14</v>
      </c>
      <c r="E1893" t="s">
        <v>15</v>
      </c>
      <c r="F1893">
        <v>4.0999999999999996</v>
      </c>
      <c r="G1893">
        <v>21999</v>
      </c>
      <c r="H1893">
        <v>24999</v>
      </c>
      <c r="I1893">
        <f>FlipkartTable[[#This Row],[Original Price]]-FlipkartTable[[#This Row],[Selling Price]]</f>
        <v>3000</v>
      </c>
      <c r="J1893" s="4">
        <f>(FlipkartTable[[#This Row],[Original Price]]-FlipkartTable[[#This Row],[Selling Price]])/FlipkartTable[[#This Row],[Original Price]]</f>
        <v>0.12000480019200768</v>
      </c>
      <c r="K1893">
        <f>(FlipkartTable[[#This Row],[Rating]]/FlipkartTable[[#This Row],[Selling Price]])*1000</f>
        <v>0.18637210782308283</v>
      </c>
      <c r="L1893" t="str">
        <f>IF(FlipkartTable[[#This Row],[Selling Price]]&lt;15000,"Budget",IF(FlipkartTable[[#This Row],[Selling Price]]&lt;50000,"Mid Range","Premium"))</f>
        <v>Mid Range</v>
      </c>
      <c r="M1893" t="str">
        <f>IF(FlipkartTable[[#This Row],[Rating]]&gt;4.5,"Excellent",IF(FlipkartTable[[#This Row],[Rating]]&gt;4,"Good",IF(FlipkartTable[[#This Row],[Rating]]&gt;3.5,"Average","Poor")))</f>
        <v>Good</v>
      </c>
    </row>
    <row r="1894" spans="1:13" x14ac:dyDescent="0.35">
      <c r="A1894" t="s">
        <v>663</v>
      </c>
      <c r="B1894" s="9" t="s">
        <v>756</v>
      </c>
      <c r="C1894" t="s">
        <v>746</v>
      </c>
      <c r="D1894" t="s">
        <v>11</v>
      </c>
      <c r="E1894" t="s">
        <v>12</v>
      </c>
      <c r="F1894">
        <v>4.3</v>
      </c>
      <c r="G1894">
        <v>18900</v>
      </c>
      <c r="H1894">
        <v>18900</v>
      </c>
      <c r="I1894">
        <f>FlipkartTable[[#This Row],[Original Price]]-FlipkartTable[[#This Row],[Selling Price]]</f>
        <v>0</v>
      </c>
      <c r="J1894" s="4">
        <f>(FlipkartTable[[#This Row],[Original Price]]-FlipkartTable[[#This Row],[Selling Price]])/FlipkartTable[[#This Row],[Original Price]]</f>
        <v>0</v>
      </c>
      <c r="K1894">
        <f>(FlipkartTable[[#This Row],[Rating]]/FlipkartTable[[#This Row],[Selling Price]])*1000</f>
        <v>0.2275132275132275</v>
      </c>
      <c r="L1894" t="str">
        <f>IF(FlipkartTable[[#This Row],[Selling Price]]&lt;15000,"Budget",IF(FlipkartTable[[#This Row],[Selling Price]]&lt;50000,"Mid Range","Premium"))</f>
        <v>Mid Range</v>
      </c>
      <c r="M1894" t="str">
        <f>IF(FlipkartTable[[#This Row],[Rating]]&gt;4.5,"Excellent",IF(FlipkartTable[[#This Row],[Rating]]&gt;4,"Good",IF(FlipkartTable[[#This Row],[Rating]]&gt;3.5,"Average","Poor")))</f>
        <v>Good</v>
      </c>
    </row>
    <row r="1895" spans="1:13" x14ac:dyDescent="0.35">
      <c r="A1895" t="s">
        <v>663</v>
      </c>
      <c r="B1895" s="9" t="s">
        <v>935</v>
      </c>
      <c r="C1895" t="s">
        <v>19</v>
      </c>
      <c r="D1895" t="s">
        <v>35</v>
      </c>
      <c r="E1895" t="s">
        <v>124</v>
      </c>
      <c r="F1895">
        <v>4.2</v>
      </c>
      <c r="G1895">
        <v>6990</v>
      </c>
      <c r="H1895">
        <v>6990</v>
      </c>
      <c r="I1895">
        <f>FlipkartTable[[#This Row],[Original Price]]-FlipkartTable[[#This Row],[Selling Price]]</f>
        <v>0</v>
      </c>
      <c r="J1895" s="4">
        <f>(FlipkartTable[[#This Row],[Original Price]]-FlipkartTable[[#This Row],[Selling Price]])/FlipkartTable[[#This Row],[Original Price]]</f>
        <v>0</v>
      </c>
      <c r="K1895">
        <f>(FlipkartTable[[#This Row],[Rating]]/FlipkartTable[[#This Row],[Selling Price]])*1000</f>
        <v>0.60085836909871249</v>
      </c>
      <c r="L1895" t="str">
        <f>IF(FlipkartTable[[#This Row],[Selling Price]]&lt;15000,"Budget",IF(FlipkartTable[[#This Row],[Selling Price]]&lt;50000,"Mid Range","Premium"))</f>
        <v>Budget</v>
      </c>
      <c r="M1895" t="str">
        <f>IF(FlipkartTable[[#This Row],[Rating]]&gt;4.5,"Excellent",IF(FlipkartTable[[#This Row],[Rating]]&gt;4,"Good",IF(FlipkartTable[[#This Row],[Rating]]&gt;3.5,"Average","Poor")))</f>
        <v>Good</v>
      </c>
    </row>
    <row r="1896" spans="1:13" x14ac:dyDescent="0.35">
      <c r="A1896" t="s">
        <v>663</v>
      </c>
      <c r="B1896" s="9" t="s">
        <v>838</v>
      </c>
      <c r="C1896" t="s">
        <v>734</v>
      </c>
      <c r="D1896" t="s">
        <v>20</v>
      </c>
      <c r="E1896" t="s">
        <v>21</v>
      </c>
      <c r="F1896">
        <v>4.4000000000000004</v>
      </c>
      <c r="G1896">
        <v>8990</v>
      </c>
      <c r="H1896">
        <v>10000</v>
      </c>
      <c r="I1896">
        <f>FlipkartTable[[#This Row],[Original Price]]-FlipkartTable[[#This Row],[Selling Price]]</f>
        <v>1010</v>
      </c>
      <c r="J1896" s="4">
        <f>(FlipkartTable[[#This Row],[Original Price]]-FlipkartTable[[#This Row],[Selling Price]])/FlipkartTable[[#This Row],[Original Price]]</f>
        <v>0.10100000000000001</v>
      </c>
      <c r="K1896">
        <f>(FlipkartTable[[#This Row],[Rating]]/FlipkartTable[[#This Row],[Selling Price]])*1000</f>
        <v>0.48943270300333713</v>
      </c>
      <c r="L1896" t="str">
        <f>IF(FlipkartTable[[#This Row],[Selling Price]]&lt;15000,"Budget",IF(FlipkartTable[[#This Row],[Selling Price]]&lt;50000,"Mid Range","Premium"))</f>
        <v>Budget</v>
      </c>
      <c r="M1896" t="str">
        <f>IF(FlipkartTable[[#This Row],[Rating]]&gt;4.5,"Excellent",IF(FlipkartTable[[#This Row],[Rating]]&gt;4,"Good",IF(FlipkartTable[[#This Row],[Rating]]&gt;3.5,"Average","Poor")))</f>
        <v>Good</v>
      </c>
    </row>
    <row r="1897" spans="1:13" x14ac:dyDescent="0.35">
      <c r="A1897" t="s">
        <v>663</v>
      </c>
      <c r="B1897" s="9" t="s">
        <v>941</v>
      </c>
      <c r="C1897" t="s">
        <v>942</v>
      </c>
      <c r="D1897" t="s">
        <v>20</v>
      </c>
      <c r="E1897" t="s">
        <v>21</v>
      </c>
      <c r="F1897">
        <v>3.3</v>
      </c>
      <c r="G1897">
        <v>30000</v>
      </c>
      <c r="H1897">
        <v>30000</v>
      </c>
      <c r="I1897">
        <f>FlipkartTable[[#This Row],[Original Price]]-FlipkartTable[[#This Row],[Selling Price]]</f>
        <v>0</v>
      </c>
      <c r="J1897" s="4">
        <f>(FlipkartTable[[#This Row],[Original Price]]-FlipkartTable[[#This Row],[Selling Price]])/FlipkartTable[[#This Row],[Original Price]]</f>
        <v>0</v>
      </c>
      <c r="K1897">
        <f>(FlipkartTable[[#This Row],[Rating]]/FlipkartTable[[#This Row],[Selling Price]])*1000</f>
        <v>0.10999999999999999</v>
      </c>
      <c r="L1897" t="str">
        <f>IF(FlipkartTable[[#This Row],[Selling Price]]&lt;15000,"Budget",IF(FlipkartTable[[#This Row],[Selling Price]]&lt;50000,"Mid Range","Premium"))</f>
        <v>Mid Range</v>
      </c>
      <c r="M1897" t="str">
        <f>IF(FlipkartTable[[#This Row],[Rating]]&gt;4.5,"Excellent",IF(FlipkartTable[[#This Row],[Rating]]&gt;4,"Good",IF(FlipkartTable[[#This Row],[Rating]]&gt;3.5,"Average","Poor")))</f>
        <v>Poor</v>
      </c>
    </row>
    <row r="1898" spans="1:13" x14ac:dyDescent="0.35">
      <c r="A1898" t="s">
        <v>663</v>
      </c>
      <c r="B1898" s="9" t="s">
        <v>943</v>
      </c>
      <c r="C1898" t="s">
        <v>798</v>
      </c>
      <c r="D1898" t="s">
        <v>20</v>
      </c>
      <c r="E1898" t="s">
        <v>12</v>
      </c>
      <c r="F1898">
        <v>4</v>
      </c>
      <c r="G1898">
        <v>55900</v>
      </c>
      <c r="H1898">
        <v>55900</v>
      </c>
      <c r="I1898">
        <f>FlipkartTable[[#This Row],[Original Price]]-FlipkartTable[[#This Row],[Selling Price]]</f>
        <v>0</v>
      </c>
      <c r="J1898" s="4">
        <f>(FlipkartTable[[#This Row],[Original Price]]-FlipkartTable[[#This Row],[Selling Price]])/FlipkartTable[[#This Row],[Original Price]]</f>
        <v>0</v>
      </c>
      <c r="K1898">
        <f>(FlipkartTable[[#This Row],[Rating]]/FlipkartTable[[#This Row],[Selling Price]])*1000</f>
        <v>7.1556350626118065E-2</v>
      </c>
      <c r="L1898" t="str">
        <f>IF(FlipkartTable[[#This Row],[Selling Price]]&lt;15000,"Budget",IF(FlipkartTable[[#This Row],[Selling Price]]&lt;50000,"Mid Range","Premium"))</f>
        <v>Premium</v>
      </c>
      <c r="M1898" t="str">
        <f>IF(FlipkartTable[[#This Row],[Rating]]&gt;4.5,"Excellent",IF(FlipkartTable[[#This Row],[Rating]]&gt;4,"Good",IF(FlipkartTable[[#This Row],[Rating]]&gt;3.5,"Average","Poor")))</f>
        <v>Average</v>
      </c>
    </row>
    <row r="1899" spans="1:13" x14ac:dyDescent="0.35">
      <c r="A1899" t="s">
        <v>663</v>
      </c>
      <c r="B1899" s="9" t="s">
        <v>944</v>
      </c>
      <c r="C1899" t="s">
        <v>152</v>
      </c>
      <c r="D1899" t="s">
        <v>134</v>
      </c>
      <c r="E1899" t="s">
        <v>27</v>
      </c>
      <c r="F1899">
        <v>4</v>
      </c>
      <c r="G1899">
        <v>7992</v>
      </c>
      <c r="H1899">
        <v>7992</v>
      </c>
      <c r="I1899">
        <f>FlipkartTable[[#This Row],[Original Price]]-FlipkartTable[[#This Row],[Selling Price]]</f>
        <v>0</v>
      </c>
      <c r="J1899" s="4">
        <f>(FlipkartTable[[#This Row],[Original Price]]-FlipkartTable[[#This Row],[Selling Price]])/FlipkartTable[[#This Row],[Original Price]]</f>
        <v>0</v>
      </c>
      <c r="K1899">
        <f>(FlipkartTable[[#This Row],[Rating]]/FlipkartTable[[#This Row],[Selling Price]])*1000</f>
        <v>0.50050050050050054</v>
      </c>
      <c r="L1899" t="str">
        <f>IF(FlipkartTable[[#This Row],[Selling Price]]&lt;15000,"Budget",IF(FlipkartTable[[#This Row],[Selling Price]]&lt;50000,"Mid Range","Premium"))</f>
        <v>Budget</v>
      </c>
      <c r="M1899" t="str">
        <f>IF(FlipkartTable[[#This Row],[Rating]]&gt;4.5,"Excellent",IF(FlipkartTable[[#This Row],[Rating]]&gt;4,"Good",IF(FlipkartTable[[#This Row],[Rating]]&gt;3.5,"Average","Poor")))</f>
        <v>Average</v>
      </c>
    </row>
    <row r="1900" spans="1:13" x14ac:dyDescent="0.35">
      <c r="A1900" t="s">
        <v>663</v>
      </c>
      <c r="B1900" s="9" t="s">
        <v>790</v>
      </c>
      <c r="C1900" t="s">
        <v>92</v>
      </c>
      <c r="D1900" t="s">
        <v>27</v>
      </c>
      <c r="E1900" t="s">
        <v>15</v>
      </c>
      <c r="F1900">
        <v>4.5999999999999996</v>
      </c>
      <c r="G1900">
        <v>79000</v>
      </c>
      <c r="H1900">
        <v>79000</v>
      </c>
      <c r="I1900">
        <f>FlipkartTable[[#This Row],[Original Price]]-FlipkartTable[[#This Row],[Selling Price]]</f>
        <v>0</v>
      </c>
      <c r="J1900" s="4">
        <f>(FlipkartTable[[#This Row],[Original Price]]-FlipkartTable[[#This Row],[Selling Price]])/FlipkartTable[[#This Row],[Original Price]]</f>
        <v>0</v>
      </c>
      <c r="K1900">
        <f>(FlipkartTable[[#This Row],[Rating]]/FlipkartTable[[#This Row],[Selling Price]])*1000</f>
        <v>5.8227848101265821E-2</v>
      </c>
      <c r="L1900" t="str">
        <f>IF(FlipkartTable[[#This Row],[Selling Price]]&lt;15000,"Budget",IF(FlipkartTable[[#This Row],[Selling Price]]&lt;50000,"Mid Range","Premium"))</f>
        <v>Premium</v>
      </c>
      <c r="M1900" t="str">
        <f>IF(FlipkartTable[[#This Row],[Rating]]&gt;4.5,"Excellent",IF(FlipkartTable[[#This Row],[Rating]]&gt;4,"Good",IF(FlipkartTable[[#This Row],[Rating]]&gt;3.5,"Average","Poor")))</f>
        <v>Excellent</v>
      </c>
    </row>
    <row r="1901" spans="1:13" x14ac:dyDescent="0.35">
      <c r="A1901" t="s">
        <v>663</v>
      </c>
      <c r="B1901" s="9" t="s">
        <v>833</v>
      </c>
      <c r="C1901" t="s">
        <v>68</v>
      </c>
      <c r="D1901" t="s">
        <v>11</v>
      </c>
      <c r="E1901" t="s">
        <v>64</v>
      </c>
      <c r="F1901">
        <v>4.4000000000000004</v>
      </c>
      <c r="G1901">
        <v>65900</v>
      </c>
      <c r="H1901">
        <v>65900</v>
      </c>
      <c r="I1901">
        <f>FlipkartTable[[#This Row],[Original Price]]-FlipkartTable[[#This Row],[Selling Price]]</f>
        <v>0</v>
      </c>
      <c r="J1901" s="4">
        <f>(FlipkartTable[[#This Row],[Original Price]]-FlipkartTable[[#This Row],[Selling Price]])/FlipkartTable[[#This Row],[Original Price]]</f>
        <v>0</v>
      </c>
      <c r="K1901">
        <f>(FlipkartTable[[#This Row],[Rating]]/FlipkartTable[[#This Row],[Selling Price]])*1000</f>
        <v>6.676783004552353E-2</v>
      </c>
      <c r="L1901" t="str">
        <f>IF(FlipkartTable[[#This Row],[Selling Price]]&lt;15000,"Budget",IF(FlipkartTable[[#This Row],[Selling Price]]&lt;50000,"Mid Range","Premium"))</f>
        <v>Premium</v>
      </c>
      <c r="M1901" t="str">
        <f>IF(FlipkartTable[[#This Row],[Rating]]&gt;4.5,"Excellent",IF(FlipkartTable[[#This Row],[Rating]]&gt;4,"Good",IF(FlipkartTable[[#This Row],[Rating]]&gt;3.5,"Average","Poor")))</f>
        <v>Good</v>
      </c>
    </row>
    <row r="1902" spans="1:13" x14ac:dyDescent="0.35">
      <c r="A1902" t="s">
        <v>663</v>
      </c>
      <c r="B1902" s="9" t="s">
        <v>945</v>
      </c>
      <c r="C1902" t="s">
        <v>68</v>
      </c>
      <c r="D1902" t="s">
        <v>14</v>
      </c>
      <c r="E1902" t="s">
        <v>15</v>
      </c>
      <c r="F1902">
        <v>4.5999999999999996</v>
      </c>
      <c r="G1902">
        <v>48669</v>
      </c>
      <c r="H1902">
        <v>48669</v>
      </c>
      <c r="I1902">
        <f>FlipkartTable[[#This Row],[Original Price]]-FlipkartTable[[#This Row],[Selling Price]]</f>
        <v>0</v>
      </c>
      <c r="J1902" s="4">
        <f>(FlipkartTable[[#This Row],[Original Price]]-FlipkartTable[[#This Row],[Selling Price]])/FlipkartTable[[#This Row],[Original Price]]</f>
        <v>0</v>
      </c>
      <c r="K1902">
        <f>(FlipkartTable[[#This Row],[Rating]]/FlipkartTable[[#This Row],[Selling Price]])*1000</f>
        <v>9.451601635538022E-2</v>
      </c>
      <c r="L1902" t="str">
        <f>IF(FlipkartTable[[#This Row],[Selling Price]]&lt;15000,"Budget",IF(FlipkartTable[[#This Row],[Selling Price]]&lt;50000,"Mid Range","Premium"))</f>
        <v>Mid Range</v>
      </c>
      <c r="M1902" t="str">
        <f>IF(FlipkartTable[[#This Row],[Rating]]&gt;4.5,"Excellent",IF(FlipkartTable[[#This Row],[Rating]]&gt;4,"Good",IF(FlipkartTable[[#This Row],[Rating]]&gt;3.5,"Average","Poor")))</f>
        <v>Excellent</v>
      </c>
    </row>
    <row r="1903" spans="1:13" x14ac:dyDescent="0.35">
      <c r="A1903" t="s">
        <v>663</v>
      </c>
      <c r="B1903" s="9" t="s">
        <v>811</v>
      </c>
      <c r="C1903" t="s">
        <v>19</v>
      </c>
      <c r="D1903" t="s">
        <v>11</v>
      </c>
      <c r="E1903" t="s">
        <v>12</v>
      </c>
      <c r="F1903">
        <v>4.3</v>
      </c>
      <c r="G1903">
        <v>14069</v>
      </c>
      <c r="H1903">
        <v>15500</v>
      </c>
      <c r="I1903">
        <f>FlipkartTable[[#This Row],[Original Price]]-FlipkartTable[[#This Row],[Selling Price]]</f>
        <v>1431</v>
      </c>
      <c r="J1903" s="4">
        <f>(FlipkartTable[[#This Row],[Original Price]]-FlipkartTable[[#This Row],[Selling Price]])/FlipkartTable[[#This Row],[Original Price]]</f>
        <v>9.2322580645161287E-2</v>
      </c>
      <c r="K1903">
        <f>(FlipkartTable[[#This Row],[Rating]]/FlipkartTable[[#This Row],[Selling Price]])*1000</f>
        <v>0.30563650579287793</v>
      </c>
      <c r="L1903" t="str">
        <f>IF(FlipkartTable[[#This Row],[Selling Price]]&lt;15000,"Budget",IF(FlipkartTable[[#This Row],[Selling Price]]&lt;50000,"Mid Range","Premium"))</f>
        <v>Budget</v>
      </c>
      <c r="M1903" t="str">
        <f>IF(FlipkartTable[[#This Row],[Rating]]&gt;4.5,"Excellent",IF(FlipkartTable[[#This Row],[Rating]]&gt;4,"Good",IF(FlipkartTable[[#This Row],[Rating]]&gt;3.5,"Average","Poor")))</f>
        <v>Good</v>
      </c>
    </row>
    <row r="1904" spans="1:13" x14ac:dyDescent="0.35">
      <c r="A1904" t="s">
        <v>663</v>
      </c>
      <c r="B1904" s="9" t="s">
        <v>936</v>
      </c>
      <c r="C1904" t="s">
        <v>19</v>
      </c>
      <c r="D1904" t="s">
        <v>35</v>
      </c>
      <c r="E1904" t="s">
        <v>124</v>
      </c>
      <c r="F1904">
        <v>4.0999999999999996</v>
      </c>
      <c r="G1904">
        <v>14490</v>
      </c>
      <c r="H1904">
        <v>14490</v>
      </c>
      <c r="I1904">
        <f>FlipkartTable[[#This Row],[Original Price]]-FlipkartTable[[#This Row],[Selling Price]]</f>
        <v>0</v>
      </c>
      <c r="J1904" s="4">
        <f>(FlipkartTable[[#This Row],[Original Price]]-FlipkartTable[[#This Row],[Selling Price]])/FlipkartTable[[#This Row],[Original Price]]</f>
        <v>0</v>
      </c>
      <c r="K1904">
        <f>(FlipkartTable[[#This Row],[Rating]]/FlipkartTable[[#This Row],[Selling Price]])*1000</f>
        <v>0.28295376121463073</v>
      </c>
      <c r="L1904" t="str">
        <f>IF(FlipkartTable[[#This Row],[Selling Price]]&lt;15000,"Budget",IF(FlipkartTable[[#This Row],[Selling Price]]&lt;50000,"Mid Range","Premium"))</f>
        <v>Budget</v>
      </c>
      <c r="M1904" t="str">
        <f>IF(FlipkartTable[[#This Row],[Rating]]&gt;4.5,"Excellent",IF(FlipkartTable[[#This Row],[Rating]]&gt;4,"Good",IF(FlipkartTable[[#This Row],[Rating]]&gt;3.5,"Average","Poor")))</f>
        <v>Good</v>
      </c>
    </row>
    <row r="1905" spans="1:13" x14ac:dyDescent="0.35">
      <c r="A1905" t="s">
        <v>663</v>
      </c>
      <c r="B1905" s="9" t="s">
        <v>946</v>
      </c>
      <c r="C1905" t="s">
        <v>19</v>
      </c>
      <c r="D1905" t="s">
        <v>947</v>
      </c>
      <c r="E1905" t="s">
        <v>586</v>
      </c>
      <c r="F1905">
        <v>3.3</v>
      </c>
      <c r="G1905">
        <v>3400</v>
      </c>
      <c r="H1905">
        <v>3400</v>
      </c>
      <c r="I1905">
        <f>FlipkartTable[[#This Row],[Original Price]]-FlipkartTable[[#This Row],[Selling Price]]</f>
        <v>0</v>
      </c>
      <c r="J1905" s="4">
        <f>(FlipkartTable[[#This Row],[Original Price]]-FlipkartTable[[#This Row],[Selling Price]])/FlipkartTable[[#This Row],[Original Price]]</f>
        <v>0</v>
      </c>
      <c r="K1905">
        <f>(FlipkartTable[[#This Row],[Rating]]/FlipkartTable[[#This Row],[Selling Price]])*1000</f>
        <v>0.97058823529411764</v>
      </c>
      <c r="L1905" t="str">
        <f>IF(FlipkartTable[[#This Row],[Selling Price]]&lt;15000,"Budget",IF(FlipkartTable[[#This Row],[Selling Price]]&lt;50000,"Mid Range","Premium"))</f>
        <v>Budget</v>
      </c>
      <c r="M1905" t="str">
        <f>IF(FlipkartTable[[#This Row],[Rating]]&gt;4.5,"Excellent",IF(FlipkartTable[[#This Row],[Rating]]&gt;4,"Good",IF(FlipkartTable[[#This Row],[Rating]]&gt;3.5,"Average","Poor")))</f>
        <v>Poor</v>
      </c>
    </row>
    <row r="1906" spans="1:13" x14ac:dyDescent="0.35">
      <c r="A1906" t="s">
        <v>663</v>
      </c>
      <c r="B1906" s="9" t="s">
        <v>756</v>
      </c>
      <c r="C1906" t="s">
        <v>761</v>
      </c>
      <c r="D1906" t="s">
        <v>11</v>
      </c>
      <c r="E1906" t="s">
        <v>15</v>
      </c>
      <c r="F1906">
        <v>4.3</v>
      </c>
      <c r="G1906">
        <v>19900</v>
      </c>
      <c r="H1906">
        <v>19900</v>
      </c>
      <c r="I1906">
        <f>FlipkartTable[[#This Row],[Original Price]]-FlipkartTable[[#This Row],[Selling Price]]</f>
        <v>0</v>
      </c>
      <c r="J1906" s="4">
        <f>(FlipkartTable[[#This Row],[Original Price]]-FlipkartTable[[#This Row],[Selling Price]])/FlipkartTable[[#This Row],[Original Price]]</f>
        <v>0</v>
      </c>
      <c r="K1906">
        <f>(FlipkartTable[[#This Row],[Rating]]/FlipkartTable[[#This Row],[Selling Price]])*1000</f>
        <v>0.21608040201005024</v>
      </c>
      <c r="L1906" t="str">
        <f>IF(FlipkartTable[[#This Row],[Selling Price]]&lt;15000,"Budget",IF(FlipkartTable[[#This Row],[Selling Price]]&lt;50000,"Mid Range","Premium"))</f>
        <v>Mid Range</v>
      </c>
      <c r="M1906" t="str">
        <f>IF(FlipkartTable[[#This Row],[Rating]]&gt;4.5,"Excellent",IF(FlipkartTable[[#This Row],[Rating]]&gt;4,"Good",IF(FlipkartTable[[#This Row],[Rating]]&gt;3.5,"Average","Poor")))</f>
        <v>Good</v>
      </c>
    </row>
    <row r="1907" spans="1:13" x14ac:dyDescent="0.35">
      <c r="A1907" t="s">
        <v>663</v>
      </c>
      <c r="B1907" s="9" t="s">
        <v>940</v>
      </c>
      <c r="C1907" t="s">
        <v>68</v>
      </c>
      <c r="D1907" t="s">
        <v>134</v>
      </c>
      <c r="E1907" t="s">
        <v>27</v>
      </c>
      <c r="F1907">
        <v>4</v>
      </c>
      <c r="G1907">
        <v>5999</v>
      </c>
      <c r="H1907">
        <v>5999</v>
      </c>
      <c r="I1907">
        <f>FlipkartTable[[#This Row],[Original Price]]-FlipkartTable[[#This Row],[Selling Price]]</f>
        <v>0</v>
      </c>
      <c r="J1907" s="4">
        <f>(FlipkartTable[[#This Row],[Original Price]]-FlipkartTable[[#This Row],[Selling Price]])/FlipkartTable[[#This Row],[Original Price]]</f>
        <v>0</v>
      </c>
      <c r="K1907">
        <f>(FlipkartTable[[#This Row],[Rating]]/FlipkartTable[[#This Row],[Selling Price]])*1000</f>
        <v>0.66677779629938327</v>
      </c>
      <c r="L1907" t="str">
        <f>IF(FlipkartTable[[#This Row],[Selling Price]]&lt;15000,"Budget",IF(FlipkartTable[[#This Row],[Selling Price]]&lt;50000,"Mid Range","Premium"))</f>
        <v>Budget</v>
      </c>
      <c r="M1907" t="str">
        <f>IF(FlipkartTable[[#This Row],[Rating]]&gt;4.5,"Excellent",IF(FlipkartTable[[#This Row],[Rating]]&gt;4,"Good",IF(FlipkartTable[[#This Row],[Rating]]&gt;3.5,"Average","Poor")))</f>
        <v>Average</v>
      </c>
    </row>
    <row r="1908" spans="1:13" x14ac:dyDescent="0.35">
      <c r="A1908" t="s">
        <v>663</v>
      </c>
      <c r="B1908" s="9" t="s">
        <v>931</v>
      </c>
      <c r="C1908" t="s">
        <v>152</v>
      </c>
      <c r="D1908" t="s">
        <v>134</v>
      </c>
      <c r="E1908" t="s">
        <v>27</v>
      </c>
      <c r="F1908">
        <v>4</v>
      </c>
      <c r="G1908">
        <v>7999</v>
      </c>
      <c r="H1908">
        <v>7999</v>
      </c>
      <c r="I1908">
        <f>FlipkartTable[[#This Row],[Original Price]]-FlipkartTable[[#This Row],[Selling Price]]</f>
        <v>0</v>
      </c>
      <c r="J1908" s="4">
        <f>(FlipkartTable[[#This Row],[Original Price]]-FlipkartTable[[#This Row],[Selling Price]])/FlipkartTable[[#This Row],[Original Price]]</f>
        <v>0</v>
      </c>
      <c r="K1908">
        <f>(FlipkartTable[[#This Row],[Rating]]/FlipkartTable[[#This Row],[Selling Price]])*1000</f>
        <v>0.50006250781347672</v>
      </c>
      <c r="L1908" t="str">
        <f>IF(FlipkartTable[[#This Row],[Selling Price]]&lt;15000,"Budget",IF(FlipkartTable[[#This Row],[Selling Price]]&lt;50000,"Mid Range","Premium"))</f>
        <v>Budget</v>
      </c>
      <c r="M1908" t="str">
        <f>IF(FlipkartTable[[#This Row],[Rating]]&gt;4.5,"Excellent",IF(FlipkartTable[[#This Row],[Rating]]&gt;4,"Good",IF(FlipkartTable[[#This Row],[Rating]]&gt;3.5,"Average","Poor")))</f>
        <v>Average</v>
      </c>
    </row>
    <row r="1909" spans="1:13" x14ac:dyDescent="0.35">
      <c r="A1909" t="s">
        <v>663</v>
      </c>
      <c r="B1909" s="9" t="s">
        <v>725</v>
      </c>
      <c r="C1909" t="s">
        <v>746</v>
      </c>
      <c r="D1909" t="s">
        <v>27</v>
      </c>
      <c r="E1909" t="s">
        <v>15</v>
      </c>
      <c r="F1909">
        <v>4.4000000000000004</v>
      </c>
      <c r="G1909">
        <v>27499</v>
      </c>
      <c r="H1909">
        <v>34999</v>
      </c>
      <c r="I1909">
        <f>FlipkartTable[[#This Row],[Original Price]]-FlipkartTable[[#This Row],[Selling Price]]</f>
        <v>7500</v>
      </c>
      <c r="J1909" s="4">
        <f>(FlipkartTable[[#This Row],[Original Price]]-FlipkartTable[[#This Row],[Selling Price]])/FlipkartTable[[#This Row],[Original Price]]</f>
        <v>0.214291836909626</v>
      </c>
      <c r="K1909">
        <f>(FlipkartTable[[#This Row],[Rating]]/FlipkartTable[[#This Row],[Selling Price]])*1000</f>
        <v>0.16000581839339614</v>
      </c>
      <c r="L1909" t="str">
        <f>IF(FlipkartTable[[#This Row],[Selling Price]]&lt;15000,"Budget",IF(FlipkartTable[[#This Row],[Selling Price]]&lt;50000,"Mid Range","Premium"))</f>
        <v>Mid Range</v>
      </c>
      <c r="M1909" t="str">
        <f>IF(FlipkartTable[[#This Row],[Rating]]&gt;4.5,"Excellent",IF(FlipkartTable[[#This Row],[Rating]]&gt;4,"Good",IF(FlipkartTable[[#This Row],[Rating]]&gt;3.5,"Average","Poor")))</f>
        <v>Good</v>
      </c>
    </row>
    <row r="1910" spans="1:13" x14ac:dyDescent="0.35">
      <c r="A1910" t="s">
        <v>663</v>
      </c>
      <c r="B1910" s="9" t="s">
        <v>708</v>
      </c>
      <c r="C1910" t="s">
        <v>859</v>
      </c>
      <c r="D1910" t="s">
        <v>27</v>
      </c>
      <c r="E1910" t="s">
        <v>15</v>
      </c>
      <c r="F1910">
        <v>4.5</v>
      </c>
      <c r="G1910">
        <v>40999</v>
      </c>
      <c r="H1910">
        <v>43999</v>
      </c>
      <c r="I1910">
        <f>FlipkartTable[[#This Row],[Original Price]]-FlipkartTable[[#This Row],[Selling Price]]</f>
        <v>3000</v>
      </c>
      <c r="J1910" s="4">
        <f>(FlipkartTable[[#This Row],[Original Price]]-FlipkartTable[[#This Row],[Selling Price]])/FlipkartTable[[#This Row],[Original Price]]</f>
        <v>6.8183367803813719E-2</v>
      </c>
      <c r="K1910">
        <f>(FlipkartTable[[#This Row],[Rating]]/FlipkartTable[[#This Row],[Selling Price]])*1000</f>
        <v>0.10975877460425865</v>
      </c>
      <c r="L1910" t="str">
        <f>IF(FlipkartTable[[#This Row],[Selling Price]]&lt;15000,"Budget",IF(FlipkartTable[[#This Row],[Selling Price]]&lt;50000,"Mid Range","Premium"))</f>
        <v>Mid Range</v>
      </c>
      <c r="M1910" t="str">
        <f>IF(FlipkartTable[[#This Row],[Rating]]&gt;4.5,"Excellent",IF(FlipkartTable[[#This Row],[Rating]]&gt;4,"Good",IF(FlipkartTable[[#This Row],[Rating]]&gt;3.5,"Average","Poor")))</f>
        <v>Good</v>
      </c>
    </row>
    <row r="1911" spans="1:13" x14ac:dyDescent="0.35">
      <c r="A1911" t="s">
        <v>663</v>
      </c>
      <c r="B1911" s="9" t="s">
        <v>907</v>
      </c>
      <c r="C1911" t="s">
        <v>942</v>
      </c>
      <c r="D1911" t="s">
        <v>20</v>
      </c>
      <c r="E1911" t="s">
        <v>21</v>
      </c>
      <c r="F1911">
        <v>4.0999999999999996</v>
      </c>
      <c r="G1911">
        <v>27990</v>
      </c>
      <c r="H1911">
        <v>27990</v>
      </c>
      <c r="I1911">
        <f>FlipkartTable[[#This Row],[Original Price]]-FlipkartTable[[#This Row],[Selling Price]]</f>
        <v>0</v>
      </c>
      <c r="J1911" s="4">
        <f>(FlipkartTable[[#This Row],[Original Price]]-FlipkartTable[[#This Row],[Selling Price]])/FlipkartTable[[#This Row],[Original Price]]</f>
        <v>0</v>
      </c>
      <c r="K1911">
        <f>(FlipkartTable[[#This Row],[Rating]]/FlipkartTable[[#This Row],[Selling Price]])*1000</f>
        <v>0.14648088603072523</v>
      </c>
      <c r="L1911" t="str">
        <f>IF(FlipkartTable[[#This Row],[Selling Price]]&lt;15000,"Budget",IF(FlipkartTable[[#This Row],[Selling Price]]&lt;50000,"Mid Range","Premium"))</f>
        <v>Mid Range</v>
      </c>
      <c r="M1911" t="str">
        <f>IF(FlipkartTable[[#This Row],[Rating]]&gt;4.5,"Excellent",IF(FlipkartTable[[#This Row],[Rating]]&gt;4,"Good",IF(FlipkartTable[[#This Row],[Rating]]&gt;3.5,"Average","Poor")))</f>
        <v>Good</v>
      </c>
    </row>
    <row r="1912" spans="1:13" x14ac:dyDescent="0.35">
      <c r="A1912" t="s">
        <v>663</v>
      </c>
      <c r="B1912" s="9" t="s">
        <v>876</v>
      </c>
      <c r="C1912" t="s">
        <v>948</v>
      </c>
      <c r="D1912" t="s">
        <v>14</v>
      </c>
      <c r="E1912" t="s">
        <v>12</v>
      </c>
      <c r="F1912">
        <v>4.5999999999999996</v>
      </c>
      <c r="G1912">
        <v>35990</v>
      </c>
      <c r="H1912">
        <v>74000</v>
      </c>
      <c r="I1912">
        <f>FlipkartTable[[#This Row],[Original Price]]-FlipkartTable[[#This Row],[Selling Price]]</f>
        <v>38010</v>
      </c>
      <c r="J1912" s="4">
        <f>(FlipkartTable[[#This Row],[Original Price]]-FlipkartTable[[#This Row],[Selling Price]])/FlipkartTable[[#This Row],[Original Price]]</f>
        <v>0.51364864864864868</v>
      </c>
      <c r="K1912">
        <f>(FlipkartTable[[#This Row],[Rating]]/FlipkartTable[[#This Row],[Selling Price]])*1000</f>
        <v>0.12781328146707419</v>
      </c>
      <c r="L1912" t="str">
        <f>IF(FlipkartTable[[#This Row],[Selling Price]]&lt;15000,"Budget",IF(FlipkartTable[[#This Row],[Selling Price]]&lt;50000,"Mid Range","Premium"))</f>
        <v>Mid Range</v>
      </c>
      <c r="M1912" t="str">
        <f>IF(FlipkartTable[[#This Row],[Rating]]&gt;4.5,"Excellent",IF(FlipkartTable[[#This Row],[Rating]]&gt;4,"Good",IF(FlipkartTable[[#This Row],[Rating]]&gt;3.5,"Average","Poor")))</f>
        <v>Excellent</v>
      </c>
    </row>
    <row r="1913" spans="1:13" x14ac:dyDescent="0.35">
      <c r="A1913" t="s">
        <v>663</v>
      </c>
      <c r="B1913" s="9" t="s">
        <v>914</v>
      </c>
      <c r="C1913" t="s">
        <v>152</v>
      </c>
      <c r="D1913" t="s">
        <v>14</v>
      </c>
      <c r="E1913" t="s">
        <v>12</v>
      </c>
      <c r="F1913">
        <v>4.3</v>
      </c>
      <c r="G1913">
        <v>18990</v>
      </c>
      <c r="H1913">
        <v>18990</v>
      </c>
      <c r="I1913">
        <f>FlipkartTable[[#This Row],[Original Price]]-FlipkartTable[[#This Row],[Selling Price]]</f>
        <v>0</v>
      </c>
      <c r="J1913" s="4">
        <f>(FlipkartTable[[#This Row],[Original Price]]-FlipkartTable[[#This Row],[Selling Price]])/FlipkartTable[[#This Row],[Original Price]]</f>
        <v>0</v>
      </c>
      <c r="K1913">
        <f>(FlipkartTable[[#This Row],[Rating]]/FlipkartTable[[#This Row],[Selling Price]])*1000</f>
        <v>0.22643496577145866</v>
      </c>
      <c r="L1913" t="str">
        <f>IF(FlipkartTable[[#This Row],[Selling Price]]&lt;15000,"Budget",IF(FlipkartTable[[#This Row],[Selling Price]]&lt;50000,"Mid Range","Premium"))</f>
        <v>Mid Range</v>
      </c>
      <c r="M1913" t="str">
        <f>IF(FlipkartTable[[#This Row],[Rating]]&gt;4.5,"Excellent",IF(FlipkartTable[[#This Row],[Rating]]&gt;4,"Good",IF(FlipkartTable[[#This Row],[Rating]]&gt;3.5,"Average","Poor")))</f>
        <v>Good</v>
      </c>
    </row>
    <row r="1914" spans="1:13" x14ac:dyDescent="0.35">
      <c r="A1914" t="s">
        <v>663</v>
      </c>
      <c r="B1914" s="9" t="s">
        <v>940</v>
      </c>
      <c r="C1914" t="s">
        <v>116</v>
      </c>
      <c r="D1914" t="s">
        <v>134</v>
      </c>
      <c r="E1914" t="s">
        <v>27</v>
      </c>
      <c r="F1914">
        <v>4</v>
      </c>
      <c r="G1914">
        <v>6999</v>
      </c>
      <c r="H1914">
        <v>6999</v>
      </c>
      <c r="I1914">
        <f>FlipkartTable[[#This Row],[Original Price]]-FlipkartTable[[#This Row],[Selling Price]]</f>
        <v>0</v>
      </c>
      <c r="J1914" s="4">
        <f>(FlipkartTable[[#This Row],[Original Price]]-FlipkartTable[[#This Row],[Selling Price]])/FlipkartTable[[#This Row],[Original Price]]</f>
        <v>0</v>
      </c>
      <c r="K1914">
        <f>(FlipkartTable[[#This Row],[Rating]]/FlipkartTable[[#This Row],[Selling Price]])*1000</f>
        <v>0.57151021574510652</v>
      </c>
      <c r="L1914" t="str">
        <f>IF(FlipkartTable[[#This Row],[Selling Price]]&lt;15000,"Budget",IF(FlipkartTable[[#This Row],[Selling Price]]&lt;50000,"Mid Range","Premium"))</f>
        <v>Budget</v>
      </c>
      <c r="M1914" t="str">
        <f>IF(FlipkartTable[[#This Row],[Rating]]&gt;4.5,"Excellent",IF(FlipkartTable[[#This Row],[Rating]]&gt;4,"Good",IF(FlipkartTable[[#This Row],[Rating]]&gt;3.5,"Average","Poor")))</f>
        <v>Average</v>
      </c>
    </row>
    <row r="1915" spans="1:13" x14ac:dyDescent="0.35">
      <c r="A1915" t="s">
        <v>663</v>
      </c>
      <c r="B1915" s="9" t="s">
        <v>797</v>
      </c>
      <c r="C1915" t="s">
        <v>892</v>
      </c>
      <c r="D1915" t="s">
        <v>20</v>
      </c>
      <c r="E1915" t="s">
        <v>21</v>
      </c>
      <c r="F1915">
        <v>4</v>
      </c>
      <c r="G1915">
        <v>29999</v>
      </c>
      <c r="H1915">
        <v>29999</v>
      </c>
      <c r="I1915">
        <f>FlipkartTable[[#This Row],[Original Price]]-FlipkartTable[[#This Row],[Selling Price]]</f>
        <v>0</v>
      </c>
      <c r="J1915" s="4">
        <f>(FlipkartTable[[#This Row],[Original Price]]-FlipkartTable[[#This Row],[Selling Price]])/FlipkartTable[[#This Row],[Original Price]]</f>
        <v>0</v>
      </c>
      <c r="K1915">
        <f>(FlipkartTable[[#This Row],[Rating]]/FlipkartTable[[#This Row],[Selling Price]])*1000</f>
        <v>0.13333777792593088</v>
      </c>
      <c r="L1915" t="str">
        <f>IF(FlipkartTable[[#This Row],[Selling Price]]&lt;15000,"Budget",IF(FlipkartTable[[#This Row],[Selling Price]]&lt;50000,"Mid Range","Premium"))</f>
        <v>Mid Range</v>
      </c>
      <c r="M1915" t="str">
        <f>IF(FlipkartTable[[#This Row],[Rating]]&gt;4.5,"Excellent",IF(FlipkartTable[[#This Row],[Rating]]&gt;4,"Good",IF(FlipkartTable[[#This Row],[Rating]]&gt;3.5,"Average","Poor")))</f>
        <v>Average</v>
      </c>
    </row>
    <row r="1916" spans="1:13" x14ac:dyDescent="0.35">
      <c r="A1916" t="s">
        <v>663</v>
      </c>
      <c r="B1916" s="9" t="s">
        <v>949</v>
      </c>
      <c r="C1916" t="s">
        <v>885</v>
      </c>
      <c r="D1916" t="s">
        <v>11</v>
      </c>
      <c r="E1916" t="s">
        <v>21</v>
      </c>
      <c r="F1916">
        <v>4.4000000000000004</v>
      </c>
      <c r="G1916">
        <v>23500</v>
      </c>
      <c r="H1916">
        <v>45500</v>
      </c>
      <c r="I1916">
        <f>FlipkartTable[[#This Row],[Original Price]]-FlipkartTable[[#This Row],[Selling Price]]</f>
        <v>22000</v>
      </c>
      <c r="J1916" s="4">
        <f>(FlipkartTable[[#This Row],[Original Price]]-FlipkartTable[[#This Row],[Selling Price]])/FlipkartTable[[#This Row],[Original Price]]</f>
        <v>0.48351648351648352</v>
      </c>
      <c r="K1916">
        <f>(FlipkartTable[[#This Row],[Rating]]/FlipkartTable[[#This Row],[Selling Price]])*1000</f>
        <v>0.18723404255319151</v>
      </c>
      <c r="L1916" t="str">
        <f>IF(FlipkartTable[[#This Row],[Selling Price]]&lt;15000,"Budget",IF(FlipkartTable[[#This Row],[Selling Price]]&lt;50000,"Mid Range","Premium"))</f>
        <v>Mid Range</v>
      </c>
      <c r="M1916" t="str">
        <f>IF(FlipkartTable[[#This Row],[Rating]]&gt;4.5,"Excellent",IF(FlipkartTable[[#This Row],[Rating]]&gt;4,"Good",IF(FlipkartTable[[#This Row],[Rating]]&gt;3.5,"Average","Poor")))</f>
        <v>Good</v>
      </c>
    </row>
    <row r="1917" spans="1:13" x14ac:dyDescent="0.35">
      <c r="A1917" t="s">
        <v>663</v>
      </c>
      <c r="B1917" s="9" t="s">
        <v>949</v>
      </c>
      <c r="C1917" t="s">
        <v>892</v>
      </c>
      <c r="D1917" t="s">
        <v>11</v>
      </c>
      <c r="E1917" t="s">
        <v>21</v>
      </c>
      <c r="F1917">
        <v>4.4000000000000004</v>
      </c>
      <c r="G1917">
        <v>22222</v>
      </c>
      <c r="H1917">
        <v>52000</v>
      </c>
      <c r="I1917">
        <f>FlipkartTable[[#This Row],[Original Price]]-FlipkartTable[[#This Row],[Selling Price]]</f>
        <v>29778</v>
      </c>
      <c r="J1917" s="4">
        <f>(FlipkartTable[[#This Row],[Original Price]]-FlipkartTable[[#This Row],[Selling Price]])/FlipkartTable[[#This Row],[Original Price]]</f>
        <v>0.57265384615384618</v>
      </c>
      <c r="K1917">
        <f>(FlipkartTable[[#This Row],[Rating]]/FlipkartTable[[#This Row],[Selling Price]])*1000</f>
        <v>0.19800198001980021</v>
      </c>
      <c r="L1917" t="str">
        <f>IF(FlipkartTable[[#This Row],[Selling Price]]&lt;15000,"Budget",IF(FlipkartTable[[#This Row],[Selling Price]]&lt;50000,"Mid Range","Premium"))</f>
        <v>Mid Range</v>
      </c>
      <c r="M1917" t="str">
        <f>IF(FlipkartTable[[#This Row],[Rating]]&gt;4.5,"Excellent",IF(FlipkartTable[[#This Row],[Rating]]&gt;4,"Good",IF(FlipkartTable[[#This Row],[Rating]]&gt;3.5,"Average","Poor")))</f>
        <v>Good</v>
      </c>
    </row>
    <row r="1918" spans="1:13" x14ac:dyDescent="0.35">
      <c r="A1918" t="s">
        <v>663</v>
      </c>
      <c r="B1918" s="9" t="s">
        <v>835</v>
      </c>
      <c r="C1918" t="s">
        <v>19</v>
      </c>
      <c r="D1918" t="s">
        <v>492</v>
      </c>
      <c r="E1918" t="s">
        <v>493</v>
      </c>
      <c r="F1918">
        <v>4.2</v>
      </c>
      <c r="G1918">
        <v>3285</v>
      </c>
      <c r="H1918">
        <v>3285</v>
      </c>
      <c r="I1918">
        <f>FlipkartTable[[#This Row],[Original Price]]-FlipkartTable[[#This Row],[Selling Price]]</f>
        <v>0</v>
      </c>
      <c r="J1918" s="4">
        <f>(FlipkartTable[[#This Row],[Original Price]]-FlipkartTable[[#This Row],[Selling Price]])/FlipkartTable[[#This Row],[Original Price]]</f>
        <v>0</v>
      </c>
      <c r="K1918">
        <f>(FlipkartTable[[#This Row],[Rating]]/FlipkartTable[[#This Row],[Selling Price]])*1000</f>
        <v>1.2785388127853881</v>
      </c>
      <c r="L1918" t="str">
        <f>IF(FlipkartTable[[#This Row],[Selling Price]]&lt;15000,"Budget",IF(FlipkartTable[[#This Row],[Selling Price]]&lt;50000,"Mid Range","Premium"))</f>
        <v>Budget</v>
      </c>
      <c r="M1918" t="str">
        <f>IF(FlipkartTable[[#This Row],[Rating]]&gt;4.5,"Excellent",IF(FlipkartTable[[#This Row],[Rating]]&gt;4,"Good",IF(FlipkartTable[[#This Row],[Rating]]&gt;3.5,"Average","Poor")))</f>
        <v>Good</v>
      </c>
    </row>
    <row r="1919" spans="1:13" x14ac:dyDescent="0.35">
      <c r="A1919" t="s">
        <v>663</v>
      </c>
      <c r="B1919" s="9" t="s">
        <v>916</v>
      </c>
      <c r="C1919" t="s">
        <v>950</v>
      </c>
      <c r="D1919" t="s">
        <v>284</v>
      </c>
      <c r="E1919" t="s">
        <v>124</v>
      </c>
      <c r="F1919">
        <v>4.3</v>
      </c>
      <c r="G1919">
        <v>13499</v>
      </c>
      <c r="H1919">
        <v>13500</v>
      </c>
      <c r="I1919">
        <f>FlipkartTable[[#This Row],[Original Price]]-FlipkartTable[[#This Row],[Selling Price]]</f>
        <v>1</v>
      </c>
      <c r="J1919" s="4">
        <f>(FlipkartTable[[#This Row],[Original Price]]-FlipkartTable[[#This Row],[Selling Price]])/FlipkartTable[[#This Row],[Original Price]]</f>
        <v>7.4074074074074073E-5</v>
      </c>
      <c r="K1919">
        <f>(FlipkartTable[[#This Row],[Rating]]/FlipkartTable[[#This Row],[Selling Price]])*1000</f>
        <v>0.31854211423068374</v>
      </c>
      <c r="L1919" t="str">
        <f>IF(FlipkartTable[[#This Row],[Selling Price]]&lt;15000,"Budget",IF(FlipkartTable[[#This Row],[Selling Price]]&lt;50000,"Mid Range","Premium"))</f>
        <v>Budget</v>
      </c>
      <c r="M1919" t="str">
        <f>IF(FlipkartTable[[#This Row],[Rating]]&gt;4.5,"Excellent",IF(FlipkartTable[[#This Row],[Rating]]&gt;4,"Good",IF(FlipkartTable[[#This Row],[Rating]]&gt;3.5,"Average","Poor")))</f>
        <v>Good</v>
      </c>
    </row>
    <row r="1920" spans="1:13" x14ac:dyDescent="0.35">
      <c r="A1920" t="s">
        <v>663</v>
      </c>
      <c r="B1920" s="9" t="s">
        <v>936</v>
      </c>
      <c r="C1920" t="s">
        <v>536</v>
      </c>
      <c r="D1920" t="s">
        <v>35</v>
      </c>
      <c r="E1920" t="s">
        <v>124</v>
      </c>
      <c r="F1920">
        <v>4.0999999999999996</v>
      </c>
      <c r="G1920">
        <v>17990</v>
      </c>
      <c r="H1920">
        <v>17990</v>
      </c>
      <c r="I1920">
        <f>FlipkartTable[[#This Row],[Original Price]]-FlipkartTable[[#This Row],[Selling Price]]</f>
        <v>0</v>
      </c>
      <c r="J1920" s="4">
        <f>(FlipkartTable[[#This Row],[Original Price]]-FlipkartTable[[#This Row],[Selling Price]])/FlipkartTable[[#This Row],[Original Price]]</f>
        <v>0</v>
      </c>
      <c r="K1920">
        <f>(FlipkartTable[[#This Row],[Rating]]/FlipkartTable[[#This Row],[Selling Price]])*1000</f>
        <v>0.22790439132851584</v>
      </c>
      <c r="L1920" t="str">
        <f>IF(FlipkartTable[[#This Row],[Selling Price]]&lt;15000,"Budget",IF(FlipkartTable[[#This Row],[Selling Price]]&lt;50000,"Mid Range","Premium"))</f>
        <v>Mid Range</v>
      </c>
      <c r="M1920" t="str">
        <f>IF(FlipkartTable[[#This Row],[Rating]]&gt;4.5,"Excellent",IF(FlipkartTable[[#This Row],[Rating]]&gt;4,"Good",IF(FlipkartTable[[#This Row],[Rating]]&gt;3.5,"Average","Poor")))</f>
        <v>Good</v>
      </c>
    </row>
    <row r="1921" spans="1:13" x14ac:dyDescent="0.35">
      <c r="A1921" t="s">
        <v>663</v>
      </c>
      <c r="B1921" s="9" t="s">
        <v>951</v>
      </c>
      <c r="C1921" t="s">
        <v>245</v>
      </c>
      <c r="D1921" t="s">
        <v>284</v>
      </c>
      <c r="E1921" t="s">
        <v>124</v>
      </c>
      <c r="F1921">
        <v>4.2</v>
      </c>
      <c r="G1921">
        <v>20400</v>
      </c>
      <c r="H1921">
        <v>20400</v>
      </c>
      <c r="I1921">
        <f>FlipkartTable[[#This Row],[Original Price]]-FlipkartTable[[#This Row],[Selling Price]]</f>
        <v>0</v>
      </c>
      <c r="J1921" s="4">
        <f>(FlipkartTable[[#This Row],[Original Price]]-FlipkartTable[[#This Row],[Selling Price]])/FlipkartTable[[#This Row],[Original Price]]</f>
        <v>0</v>
      </c>
      <c r="K1921">
        <f>(FlipkartTable[[#This Row],[Rating]]/FlipkartTable[[#This Row],[Selling Price]])*1000</f>
        <v>0.20588235294117649</v>
      </c>
      <c r="L1921" t="str">
        <f>IF(FlipkartTable[[#This Row],[Selling Price]]&lt;15000,"Budget",IF(FlipkartTable[[#This Row],[Selling Price]]&lt;50000,"Mid Range","Premium"))</f>
        <v>Mid Range</v>
      </c>
      <c r="M1921" t="str">
        <f>IF(FlipkartTable[[#This Row],[Rating]]&gt;4.5,"Excellent",IF(FlipkartTable[[#This Row],[Rating]]&gt;4,"Good",IF(FlipkartTable[[#This Row],[Rating]]&gt;3.5,"Average","Poor")))</f>
        <v>Good</v>
      </c>
    </row>
    <row r="1922" spans="1:13" x14ac:dyDescent="0.35">
      <c r="A1922" t="s">
        <v>663</v>
      </c>
      <c r="B1922" s="9" t="s">
        <v>857</v>
      </c>
      <c r="C1922" t="s">
        <v>170</v>
      </c>
      <c r="D1922" t="s">
        <v>35</v>
      </c>
      <c r="E1922" t="s">
        <v>124</v>
      </c>
      <c r="F1922">
        <v>4.2</v>
      </c>
      <c r="G1922">
        <v>8200</v>
      </c>
      <c r="H1922">
        <v>8200</v>
      </c>
      <c r="I1922">
        <f>FlipkartTable[[#This Row],[Original Price]]-FlipkartTable[[#This Row],[Selling Price]]</f>
        <v>0</v>
      </c>
      <c r="J1922" s="4">
        <f>(FlipkartTable[[#This Row],[Original Price]]-FlipkartTable[[#This Row],[Selling Price]])/FlipkartTable[[#This Row],[Original Price]]</f>
        <v>0</v>
      </c>
      <c r="K1922">
        <f>(FlipkartTable[[#This Row],[Rating]]/FlipkartTable[[#This Row],[Selling Price]])*1000</f>
        <v>0.51219512195121952</v>
      </c>
      <c r="L1922" t="str">
        <f>IF(FlipkartTable[[#This Row],[Selling Price]]&lt;15000,"Budget",IF(FlipkartTable[[#This Row],[Selling Price]]&lt;50000,"Mid Range","Premium"))</f>
        <v>Budget</v>
      </c>
      <c r="M1922" t="str">
        <f>IF(FlipkartTable[[#This Row],[Rating]]&gt;4.5,"Excellent",IF(FlipkartTable[[#This Row],[Rating]]&gt;4,"Good",IF(FlipkartTable[[#This Row],[Rating]]&gt;3.5,"Average","Poor")))</f>
        <v>Good</v>
      </c>
    </row>
    <row r="1923" spans="1:13" x14ac:dyDescent="0.35">
      <c r="A1923" t="s">
        <v>663</v>
      </c>
      <c r="B1923" s="9" t="s">
        <v>903</v>
      </c>
      <c r="C1923" t="s">
        <v>734</v>
      </c>
      <c r="D1923" t="s">
        <v>134</v>
      </c>
      <c r="E1923" t="s">
        <v>27</v>
      </c>
      <c r="F1923">
        <v>4</v>
      </c>
      <c r="G1923">
        <v>7999</v>
      </c>
      <c r="H1923">
        <v>7999</v>
      </c>
      <c r="I1923">
        <f>FlipkartTable[[#This Row],[Original Price]]-FlipkartTable[[#This Row],[Selling Price]]</f>
        <v>0</v>
      </c>
      <c r="J1923" s="4">
        <f>(FlipkartTable[[#This Row],[Original Price]]-FlipkartTable[[#This Row],[Selling Price]])/FlipkartTable[[#This Row],[Original Price]]</f>
        <v>0</v>
      </c>
      <c r="K1923">
        <f>(FlipkartTable[[#This Row],[Rating]]/FlipkartTable[[#This Row],[Selling Price]])*1000</f>
        <v>0.50006250781347672</v>
      </c>
      <c r="L1923" t="str">
        <f>IF(FlipkartTable[[#This Row],[Selling Price]]&lt;15000,"Budget",IF(FlipkartTable[[#This Row],[Selling Price]]&lt;50000,"Mid Range","Premium"))</f>
        <v>Budget</v>
      </c>
      <c r="M1923" t="str">
        <f>IF(FlipkartTable[[#This Row],[Rating]]&gt;4.5,"Excellent",IF(FlipkartTable[[#This Row],[Rating]]&gt;4,"Good",IF(FlipkartTable[[#This Row],[Rating]]&gt;3.5,"Average","Poor")))</f>
        <v>Average</v>
      </c>
    </row>
    <row r="1924" spans="1:13" x14ac:dyDescent="0.35">
      <c r="A1924" t="s">
        <v>663</v>
      </c>
      <c r="B1924" s="9" t="s">
        <v>802</v>
      </c>
      <c r="C1924" t="s">
        <v>879</v>
      </c>
      <c r="D1924" t="s">
        <v>20</v>
      </c>
      <c r="E1924" t="s">
        <v>21</v>
      </c>
      <c r="F1924">
        <v>3.8</v>
      </c>
      <c r="G1924">
        <v>25900</v>
      </c>
      <c r="H1924">
        <v>25900</v>
      </c>
      <c r="I1924">
        <f>FlipkartTable[[#This Row],[Original Price]]-FlipkartTable[[#This Row],[Selling Price]]</f>
        <v>0</v>
      </c>
      <c r="J1924" s="4">
        <f>(FlipkartTable[[#This Row],[Original Price]]-FlipkartTable[[#This Row],[Selling Price]])/FlipkartTable[[#This Row],[Original Price]]</f>
        <v>0</v>
      </c>
      <c r="K1924">
        <f>(FlipkartTable[[#This Row],[Rating]]/FlipkartTable[[#This Row],[Selling Price]])*1000</f>
        <v>0.14671814671814673</v>
      </c>
      <c r="L1924" t="str">
        <f>IF(FlipkartTable[[#This Row],[Selling Price]]&lt;15000,"Budget",IF(FlipkartTable[[#This Row],[Selling Price]]&lt;50000,"Mid Range","Premium"))</f>
        <v>Mid Range</v>
      </c>
      <c r="M1924" t="str">
        <f>IF(FlipkartTable[[#This Row],[Rating]]&gt;4.5,"Excellent",IF(FlipkartTable[[#This Row],[Rating]]&gt;4,"Good",IF(FlipkartTable[[#This Row],[Rating]]&gt;3.5,"Average","Poor")))</f>
        <v>Average</v>
      </c>
    </row>
    <row r="1925" spans="1:13" x14ac:dyDescent="0.35">
      <c r="A1925" t="s">
        <v>663</v>
      </c>
      <c r="B1925" s="9" t="s">
        <v>837</v>
      </c>
      <c r="C1925" t="s">
        <v>116</v>
      </c>
      <c r="D1925" t="s">
        <v>134</v>
      </c>
      <c r="E1925" t="s">
        <v>27</v>
      </c>
      <c r="F1925">
        <v>3.6</v>
      </c>
      <c r="G1925">
        <v>4790</v>
      </c>
      <c r="H1925">
        <v>4790</v>
      </c>
      <c r="I1925">
        <f>FlipkartTable[[#This Row],[Original Price]]-FlipkartTable[[#This Row],[Selling Price]]</f>
        <v>0</v>
      </c>
      <c r="J1925" s="4">
        <f>(FlipkartTable[[#This Row],[Original Price]]-FlipkartTable[[#This Row],[Selling Price]])/FlipkartTable[[#This Row],[Original Price]]</f>
        <v>0</v>
      </c>
      <c r="K1925">
        <f>(FlipkartTable[[#This Row],[Rating]]/FlipkartTable[[#This Row],[Selling Price]])*1000</f>
        <v>0.75156576200417535</v>
      </c>
      <c r="L1925" t="str">
        <f>IF(FlipkartTable[[#This Row],[Selling Price]]&lt;15000,"Budget",IF(FlipkartTable[[#This Row],[Selling Price]]&lt;50000,"Mid Range","Premium"))</f>
        <v>Budget</v>
      </c>
      <c r="M1925" t="str">
        <f>IF(FlipkartTable[[#This Row],[Rating]]&gt;4.5,"Excellent",IF(FlipkartTable[[#This Row],[Rating]]&gt;4,"Good",IF(FlipkartTable[[#This Row],[Rating]]&gt;3.5,"Average","Poor")))</f>
        <v>Average</v>
      </c>
    </row>
    <row r="1926" spans="1:13" x14ac:dyDescent="0.35">
      <c r="A1926" t="s">
        <v>663</v>
      </c>
      <c r="B1926" s="9" t="s">
        <v>907</v>
      </c>
      <c r="C1926" t="s">
        <v>952</v>
      </c>
      <c r="D1926" t="s">
        <v>20</v>
      </c>
      <c r="E1926" t="s">
        <v>21</v>
      </c>
      <c r="F1926">
        <v>4.0999999999999996</v>
      </c>
      <c r="G1926">
        <v>51000</v>
      </c>
      <c r="H1926">
        <v>51000</v>
      </c>
      <c r="I1926">
        <f>FlipkartTable[[#This Row],[Original Price]]-FlipkartTable[[#This Row],[Selling Price]]</f>
        <v>0</v>
      </c>
      <c r="J1926" s="4">
        <f>(FlipkartTable[[#This Row],[Original Price]]-FlipkartTable[[#This Row],[Selling Price]])/FlipkartTable[[#This Row],[Original Price]]</f>
        <v>0</v>
      </c>
      <c r="K1926">
        <f>(FlipkartTable[[#This Row],[Rating]]/FlipkartTable[[#This Row],[Selling Price]])*1000</f>
        <v>8.039215686274509E-2</v>
      </c>
      <c r="L1926" t="str">
        <f>IF(FlipkartTable[[#This Row],[Selling Price]]&lt;15000,"Budget",IF(FlipkartTable[[#This Row],[Selling Price]]&lt;50000,"Mid Range","Premium"))</f>
        <v>Premium</v>
      </c>
      <c r="M1926" t="str">
        <f>IF(FlipkartTable[[#This Row],[Rating]]&gt;4.5,"Excellent",IF(FlipkartTable[[#This Row],[Rating]]&gt;4,"Good",IF(FlipkartTable[[#This Row],[Rating]]&gt;3.5,"Average","Poor")))</f>
        <v>Good</v>
      </c>
    </row>
    <row r="1927" spans="1:13" x14ac:dyDescent="0.35">
      <c r="A1927" t="s">
        <v>663</v>
      </c>
      <c r="B1927" s="9" t="s">
        <v>767</v>
      </c>
      <c r="C1927" t="s">
        <v>768</v>
      </c>
      <c r="D1927" t="s">
        <v>14</v>
      </c>
      <c r="E1927" t="s">
        <v>15</v>
      </c>
      <c r="F1927">
        <v>4.3</v>
      </c>
      <c r="G1927">
        <v>15890</v>
      </c>
      <c r="H1927">
        <v>15990</v>
      </c>
      <c r="I1927">
        <f>FlipkartTable[[#This Row],[Original Price]]-FlipkartTable[[#This Row],[Selling Price]]</f>
        <v>100</v>
      </c>
      <c r="J1927" s="4">
        <f>(FlipkartTable[[#This Row],[Original Price]]-FlipkartTable[[#This Row],[Selling Price]])/FlipkartTable[[#This Row],[Original Price]]</f>
        <v>6.2539086929330832E-3</v>
      </c>
      <c r="K1927">
        <f>(FlipkartTable[[#This Row],[Rating]]/FlipkartTable[[#This Row],[Selling Price]])*1000</f>
        <v>0.27061044682190055</v>
      </c>
      <c r="L1927" t="str">
        <f>IF(FlipkartTable[[#This Row],[Selling Price]]&lt;15000,"Budget",IF(FlipkartTable[[#This Row],[Selling Price]]&lt;50000,"Mid Range","Premium"))</f>
        <v>Mid Range</v>
      </c>
      <c r="M1927" t="str">
        <f>IF(FlipkartTable[[#This Row],[Rating]]&gt;4.5,"Excellent",IF(FlipkartTable[[#This Row],[Rating]]&gt;4,"Good",IF(FlipkartTable[[#This Row],[Rating]]&gt;3.5,"Average","Poor")))</f>
        <v>Good</v>
      </c>
    </row>
    <row r="1928" spans="1:13" x14ac:dyDescent="0.35">
      <c r="A1928" t="s">
        <v>663</v>
      </c>
      <c r="B1928" s="9" t="s">
        <v>866</v>
      </c>
      <c r="C1928" t="s">
        <v>824</v>
      </c>
      <c r="D1928" t="s">
        <v>27</v>
      </c>
      <c r="E1928" t="s">
        <v>15</v>
      </c>
      <c r="F1928">
        <v>4.3</v>
      </c>
      <c r="G1928">
        <v>49980</v>
      </c>
      <c r="H1928">
        <v>49980</v>
      </c>
      <c r="I1928">
        <f>FlipkartTable[[#This Row],[Original Price]]-FlipkartTable[[#This Row],[Selling Price]]</f>
        <v>0</v>
      </c>
      <c r="J1928" s="4">
        <f>(FlipkartTable[[#This Row],[Original Price]]-FlipkartTable[[#This Row],[Selling Price]])/FlipkartTable[[#This Row],[Original Price]]</f>
        <v>0</v>
      </c>
      <c r="K1928">
        <f>(FlipkartTable[[#This Row],[Rating]]/FlipkartTable[[#This Row],[Selling Price]])*1000</f>
        <v>8.6034413765506204E-2</v>
      </c>
      <c r="L1928" t="str">
        <f>IF(FlipkartTable[[#This Row],[Selling Price]]&lt;15000,"Budget",IF(FlipkartTable[[#This Row],[Selling Price]]&lt;50000,"Mid Range","Premium"))</f>
        <v>Mid Range</v>
      </c>
      <c r="M1928" t="str">
        <f>IF(FlipkartTable[[#This Row],[Rating]]&gt;4.5,"Excellent",IF(FlipkartTable[[#This Row],[Rating]]&gt;4,"Good",IF(FlipkartTable[[#This Row],[Rating]]&gt;3.5,"Average","Poor")))</f>
        <v>Good</v>
      </c>
    </row>
    <row r="1929" spans="1:13" x14ac:dyDescent="0.35">
      <c r="A1929" t="s">
        <v>663</v>
      </c>
      <c r="B1929" s="9" t="s">
        <v>886</v>
      </c>
      <c r="C1929" t="s">
        <v>19</v>
      </c>
      <c r="D1929" t="s">
        <v>284</v>
      </c>
      <c r="E1929" t="s">
        <v>27</v>
      </c>
      <c r="F1929">
        <v>4.0999999999999996</v>
      </c>
      <c r="G1929">
        <v>8090</v>
      </c>
      <c r="H1929">
        <v>8090</v>
      </c>
      <c r="I1929">
        <f>FlipkartTable[[#This Row],[Original Price]]-FlipkartTable[[#This Row],[Selling Price]]</f>
        <v>0</v>
      </c>
      <c r="J1929" s="4">
        <f>(FlipkartTable[[#This Row],[Original Price]]-FlipkartTable[[#This Row],[Selling Price]])/FlipkartTable[[#This Row],[Original Price]]</f>
        <v>0</v>
      </c>
      <c r="K1929">
        <f>(FlipkartTable[[#This Row],[Rating]]/FlipkartTable[[#This Row],[Selling Price]])*1000</f>
        <v>0.50679851668726816</v>
      </c>
      <c r="L1929" t="str">
        <f>IF(FlipkartTable[[#This Row],[Selling Price]]&lt;15000,"Budget",IF(FlipkartTable[[#This Row],[Selling Price]]&lt;50000,"Mid Range","Premium"))</f>
        <v>Budget</v>
      </c>
      <c r="M1929" t="str">
        <f>IF(FlipkartTable[[#This Row],[Rating]]&gt;4.5,"Excellent",IF(FlipkartTable[[#This Row],[Rating]]&gt;4,"Good",IF(FlipkartTable[[#This Row],[Rating]]&gt;3.5,"Average","Poor")))</f>
        <v>Good</v>
      </c>
    </row>
    <row r="1930" spans="1:13" x14ac:dyDescent="0.35">
      <c r="A1930" t="s">
        <v>663</v>
      </c>
      <c r="B1930" s="9" t="s">
        <v>805</v>
      </c>
      <c r="C1930" t="s">
        <v>19</v>
      </c>
      <c r="D1930" t="s">
        <v>14</v>
      </c>
      <c r="E1930" t="s">
        <v>12</v>
      </c>
      <c r="F1930">
        <v>4.2</v>
      </c>
      <c r="G1930">
        <v>16860</v>
      </c>
      <c r="H1930">
        <v>34000</v>
      </c>
      <c r="I1930">
        <f>FlipkartTable[[#This Row],[Original Price]]-FlipkartTable[[#This Row],[Selling Price]]</f>
        <v>17140</v>
      </c>
      <c r="J1930" s="4">
        <f>(FlipkartTable[[#This Row],[Original Price]]-FlipkartTable[[#This Row],[Selling Price]])/FlipkartTable[[#This Row],[Original Price]]</f>
        <v>0.50411764705882356</v>
      </c>
      <c r="K1930">
        <f>(FlipkartTable[[#This Row],[Rating]]/FlipkartTable[[#This Row],[Selling Price]])*1000</f>
        <v>0.24911032028469751</v>
      </c>
      <c r="L1930" t="str">
        <f>IF(FlipkartTable[[#This Row],[Selling Price]]&lt;15000,"Budget",IF(FlipkartTable[[#This Row],[Selling Price]]&lt;50000,"Mid Range","Premium"))</f>
        <v>Mid Range</v>
      </c>
      <c r="M1930" t="str">
        <f>IF(FlipkartTable[[#This Row],[Rating]]&gt;4.5,"Excellent",IF(FlipkartTable[[#This Row],[Rating]]&gt;4,"Good",IF(FlipkartTable[[#This Row],[Rating]]&gt;3.5,"Average","Poor")))</f>
        <v>Good</v>
      </c>
    </row>
    <row r="1931" spans="1:13" x14ac:dyDescent="0.35">
      <c r="A1931" t="s">
        <v>663</v>
      </c>
      <c r="B1931" s="9" t="s">
        <v>852</v>
      </c>
      <c r="C1931" t="s">
        <v>116</v>
      </c>
      <c r="D1931" t="s">
        <v>11</v>
      </c>
      <c r="E1931" t="s">
        <v>21</v>
      </c>
      <c r="F1931">
        <v>4.3</v>
      </c>
      <c r="G1931">
        <v>19980</v>
      </c>
      <c r="H1931">
        <v>19980</v>
      </c>
      <c r="I1931">
        <f>FlipkartTable[[#This Row],[Original Price]]-FlipkartTable[[#This Row],[Selling Price]]</f>
        <v>0</v>
      </c>
      <c r="J1931" s="4">
        <f>(FlipkartTable[[#This Row],[Original Price]]-FlipkartTable[[#This Row],[Selling Price]])/FlipkartTable[[#This Row],[Original Price]]</f>
        <v>0</v>
      </c>
      <c r="K1931">
        <f>(FlipkartTable[[#This Row],[Rating]]/FlipkartTable[[#This Row],[Selling Price]])*1000</f>
        <v>0.21521521521521522</v>
      </c>
      <c r="L1931" t="str">
        <f>IF(FlipkartTable[[#This Row],[Selling Price]]&lt;15000,"Budget",IF(FlipkartTable[[#This Row],[Selling Price]]&lt;50000,"Mid Range","Premium"))</f>
        <v>Mid Range</v>
      </c>
      <c r="M1931" t="str">
        <f>IF(FlipkartTable[[#This Row],[Rating]]&gt;4.5,"Excellent",IF(FlipkartTable[[#This Row],[Rating]]&gt;4,"Good",IF(FlipkartTable[[#This Row],[Rating]]&gt;3.5,"Average","Poor")))</f>
        <v>Good</v>
      </c>
    </row>
    <row r="1932" spans="1:13" x14ac:dyDescent="0.35">
      <c r="A1932" t="s">
        <v>663</v>
      </c>
      <c r="B1932" s="9" t="s">
        <v>711</v>
      </c>
      <c r="C1932" t="s">
        <v>704</v>
      </c>
      <c r="D1932" t="s">
        <v>14</v>
      </c>
      <c r="E1932" t="s">
        <v>15</v>
      </c>
      <c r="F1932">
        <v>4.3</v>
      </c>
      <c r="G1932">
        <v>27499</v>
      </c>
      <c r="H1932">
        <v>30499</v>
      </c>
      <c r="I1932">
        <f>FlipkartTable[[#This Row],[Original Price]]-FlipkartTable[[#This Row],[Selling Price]]</f>
        <v>3000</v>
      </c>
      <c r="J1932" s="4">
        <f>(FlipkartTable[[#This Row],[Original Price]]-FlipkartTable[[#This Row],[Selling Price]])/FlipkartTable[[#This Row],[Original Price]]</f>
        <v>9.836388078297649E-2</v>
      </c>
      <c r="K1932">
        <f>(FlipkartTable[[#This Row],[Rating]]/FlipkartTable[[#This Row],[Selling Price]])*1000</f>
        <v>0.15636932252081892</v>
      </c>
      <c r="L1932" t="str">
        <f>IF(FlipkartTable[[#This Row],[Selling Price]]&lt;15000,"Budget",IF(FlipkartTable[[#This Row],[Selling Price]]&lt;50000,"Mid Range","Premium"))</f>
        <v>Mid Range</v>
      </c>
      <c r="M1932" t="str">
        <f>IF(FlipkartTable[[#This Row],[Rating]]&gt;4.5,"Excellent",IF(FlipkartTable[[#This Row],[Rating]]&gt;4,"Good",IF(FlipkartTable[[#This Row],[Rating]]&gt;3.5,"Average","Poor")))</f>
        <v>Good</v>
      </c>
    </row>
    <row r="1933" spans="1:13" x14ac:dyDescent="0.35">
      <c r="A1933" t="s">
        <v>663</v>
      </c>
      <c r="B1933" s="9" t="s">
        <v>943</v>
      </c>
      <c r="C1933" t="s">
        <v>800</v>
      </c>
      <c r="D1933" t="s">
        <v>20</v>
      </c>
      <c r="E1933" t="s">
        <v>21</v>
      </c>
      <c r="F1933">
        <v>4</v>
      </c>
      <c r="G1933">
        <v>33900</v>
      </c>
      <c r="H1933">
        <v>33900</v>
      </c>
      <c r="I1933">
        <f>FlipkartTable[[#This Row],[Original Price]]-FlipkartTable[[#This Row],[Selling Price]]</f>
        <v>0</v>
      </c>
      <c r="J1933" s="4">
        <f>(FlipkartTable[[#This Row],[Original Price]]-FlipkartTable[[#This Row],[Selling Price]])/FlipkartTable[[#This Row],[Original Price]]</f>
        <v>0</v>
      </c>
      <c r="K1933">
        <f>(FlipkartTable[[#This Row],[Rating]]/FlipkartTable[[#This Row],[Selling Price]])*1000</f>
        <v>0.11799410029498526</v>
      </c>
      <c r="L1933" t="str">
        <f>IF(FlipkartTable[[#This Row],[Selling Price]]&lt;15000,"Budget",IF(FlipkartTable[[#This Row],[Selling Price]]&lt;50000,"Mid Range","Premium"))</f>
        <v>Mid Range</v>
      </c>
      <c r="M1933" t="str">
        <f>IF(FlipkartTable[[#This Row],[Rating]]&gt;4.5,"Excellent",IF(FlipkartTable[[#This Row],[Rating]]&gt;4,"Good",IF(FlipkartTable[[#This Row],[Rating]]&gt;3.5,"Average","Poor")))</f>
        <v>Average</v>
      </c>
    </row>
    <row r="1934" spans="1:13" x14ac:dyDescent="0.35">
      <c r="A1934" t="s">
        <v>663</v>
      </c>
      <c r="B1934" s="9" t="s">
        <v>944</v>
      </c>
      <c r="C1934" t="s">
        <v>141</v>
      </c>
      <c r="D1934" t="s">
        <v>134</v>
      </c>
      <c r="E1934" t="s">
        <v>27</v>
      </c>
      <c r="F1934">
        <v>4</v>
      </c>
      <c r="G1934">
        <v>10899</v>
      </c>
      <c r="H1934">
        <v>10899</v>
      </c>
      <c r="I1934">
        <f>FlipkartTable[[#This Row],[Original Price]]-FlipkartTable[[#This Row],[Selling Price]]</f>
        <v>0</v>
      </c>
      <c r="J1934" s="4">
        <f>(FlipkartTable[[#This Row],[Original Price]]-FlipkartTable[[#This Row],[Selling Price]])/FlipkartTable[[#This Row],[Original Price]]</f>
        <v>0</v>
      </c>
      <c r="K1934">
        <f>(FlipkartTable[[#This Row],[Rating]]/FlipkartTable[[#This Row],[Selling Price]])*1000</f>
        <v>0.36700614735296816</v>
      </c>
      <c r="L1934" t="str">
        <f>IF(FlipkartTable[[#This Row],[Selling Price]]&lt;15000,"Budget",IF(FlipkartTable[[#This Row],[Selling Price]]&lt;50000,"Mid Range","Premium"))</f>
        <v>Budget</v>
      </c>
      <c r="M1934" t="str">
        <f>IF(FlipkartTable[[#This Row],[Rating]]&gt;4.5,"Excellent",IF(FlipkartTable[[#This Row],[Rating]]&gt;4,"Good",IF(FlipkartTable[[#This Row],[Rating]]&gt;3.5,"Average","Poor")))</f>
        <v>Average</v>
      </c>
    </row>
    <row r="1935" spans="1:13" x14ac:dyDescent="0.35">
      <c r="A1935" t="s">
        <v>663</v>
      </c>
      <c r="B1935" s="9" t="s">
        <v>711</v>
      </c>
      <c r="C1935" t="s">
        <v>704</v>
      </c>
      <c r="D1935" t="s">
        <v>27</v>
      </c>
      <c r="E1935" t="s">
        <v>15</v>
      </c>
      <c r="F1935">
        <v>4.4000000000000004</v>
      </c>
      <c r="G1935">
        <v>28999</v>
      </c>
      <c r="H1935">
        <v>31999</v>
      </c>
      <c r="I1935">
        <f>FlipkartTable[[#This Row],[Original Price]]-FlipkartTable[[#This Row],[Selling Price]]</f>
        <v>3000</v>
      </c>
      <c r="J1935" s="4">
        <f>(FlipkartTable[[#This Row],[Original Price]]-FlipkartTable[[#This Row],[Selling Price]])/FlipkartTable[[#This Row],[Original Price]]</f>
        <v>9.3752929779055597E-2</v>
      </c>
      <c r="K1935">
        <f>(FlipkartTable[[#This Row],[Rating]]/FlipkartTable[[#This Row],[Selling Price]])*1000</f>
        <v>0.15172936997827513</v>
      </c>
      <c r="L1935" t="str">
        <f>IF(FlipkartTable[[#This Row],[Selling Price]]&lt;15000,"Budget",IF(FlipkartTable[[#This Row],[Selling Price]]&lt;50000,"Mid Range","Premium"))</f>
        <v>Mid Range</v>
      </c>
      <c r="M1935" t="str">
        <f>IF(FlipkartTable[[#This Row],[Rating]]&gt;4.5,"Excellent",IF(FlipkartTable[[#This Row],[Rating]]&gt;4,"Good",IF(FlipkartTable[[#This Row],[Rating]]&gt;3.5,"Average","Poor")))</f>
        <v>Good</v>
      </c>
    </row>
    <row r="1936" spans="1:13" x14ac:dyDescent="0.35">
      <c r="A1936" t="s">
        <v>663</v>
      </c>
      <c r="B1936" s="9" t="s">
        <v>841</v>
      </c>
      <c r="C1936" t="s">
        <v>152</v>
      </c>
      <c r="D1936" t="s">
        <v>263</v>
      </c>
      <c r="E1936" t="s">
        <v>11</v>
      </c>
      <c r="F1936">
        <v>3.9</v>
      </c>
      <c r="G1936">
        <v>5110</v>
      </c>
      <c r="H1936">
        <v>5110</v>
      </c>
      <c r="I1936">
        <f>FlipkartTable[[#This Row],[Original Price]]-FlipkartTable[[#This Row],[Selling Price]]</f>
        <v>0</v>
      </c>
      <c r="J1936" s="4">
        <f>(FlipkartTable[[#This Row],[Original Price]]-FlipkartTable[[#This Row],[Selling Price]])/FlipkartTable[[#This Row],[Original Price]]</f>
        <v>0</v>
      </c>
      <c r="K1936">
        <f>(FlipkartTable[[#This Row],[Rating]]/FlipkartTable[[#This Row],[Selling Price]])*1000</f>
        <v>0.76320939334637961</v>
      </c>
      <c r="L1936" t="str">
        <f>IF(FlipkartTable[[#This Row],[Selling Price]]&lt;15000,"Budget",IF(FlipkartTable[[#This Row],[Selling Price]]&lt;50000,"Mid Range","Premium"))</f>
        <v>Budget</v>
      </c>
      <c r="M1936" t="str">
        <f>IF(FlipkartTable[[#This Row],[Rating]]&gt;4.5,"Excellent",IF(FlipkartTable[[#This Row],[Rating]]&gt;4,"Good",IF(FlipkartTable[[#This Row],[Rating]]&gt;3.5,"Average","Poor")))</f>
        <v>Average</v>
      </c>
    </row>
    <row r="1937" spans="1:13" x14ac:dyDescent="0.35">
      <c r="A1937" t="s">
        <v>663</v>
      </c>
      <c r="B1937" s="9" t="s">
        <v>767</v>
      </c>
      <c r="C1937" t="s">
        <v>932</v>
      </c>
      <c r="D1937" t="s">
        <v>14</v>
      </c>
      <c r="E1937" t="s">
        <v>15</v>
      </c>
      <c r="F1937">
        <v>4.3</v>
      </c>
      <c r="G1937">
        <v>15900</v>
      </c>
      <c r="H1937">
        <v>19590</v>
      </c>
      <c r="I1937">
        <f>FlipkartTable[[#This Row],[Original Price]]-FlipkartTable[[#This Row],[Selling Price]]</f>
        <v>3690</v>
      </c>
      <c r="J1937" s="4">
        <f>(FlipkartTable[[#This Row],[Original Price]]-FlipkartTable[[#This Row],[Selling Price]])/FlipkartTable[[#This Row],[Original Price]]</f>
        <v>0.18836140888208269</v>
      </c>
      <c r="K1937">
        <f>(FlipkartTable[[#This Row],[Rating]]/FlipkartTable[[#This Row],[Selling Price]])*1000</f>
        <v>0.27044025157232704</v>
      </c>
      <c r="L1937" t="str">
        <f>IF(FlipkartTable[[#This Row],[Selling Price]]&lt;15000,"Budget",IF(FlipkartTable[[#This Row],[Selling Price]]&lt;50000,"Mid Range","Premium"))</f>
        <v>Mid Range</v>
      </c>
      <c r="M1937" t="str">
        <f>IF(FlipkartTable[[#This Row],[Rating]]&gt;4.5,"Excellent",IF(FlipkartTable[[#This Row],[Rating]]&gt;4,"Good",IF(FlipkartTable[[#This Row],[Rating]]&gt;3.5,"Average","Poor")))</f>
        <v>Good</v>
      </c>
    </row>
    <row r="1938" spans="1:13" x14ac:dyDescent="0.35">
      <c r="A1938" t="s">
        <v>663</v>
      </c>
      <c r="B1938" s="9" t="s">
        <v>953</v>
      </c>
      <c r="C1938" t="s">
        <v>152</v>
      </c>
      <c r="D1938" t="s">
        <v>263</v>
      </c>
      <c r="E1938" t="s">
        <v>11</v>
      </c>
      <c r="F1938">
        <v>3.8</v>
      </c>
      <c r="G1938">
        <v>4199</v>
      </c>
      <c r="H1938">
        <v>4199</v>
      </c>
      <c r="I1938">
        <f>FlipkartTable[[#This Row],[Original Price]]-FlipkartTable[[#This Row],[Selling Price]]</f>
        <v>0</v>
      </c>
      <c r="J1938" s="4">
        <f>(FlipkartTable[[#This Row],[Original Price]]-FlipkartTable[[#This Row],[Selling Price]])/FlipkartTable[[#This Row],[Original Price]]</f>
        <v>0</v>
      </c>
      <c r="K1938">
        <f>(FlipkartTable[[#This Row],[Rating]]/FlipkartTable[[#This Row],[Selling Price]])*1000</f>
        <v>0.90497737556561075</v>
      </c>
      <c r="L1938" t="str">
        <f>IF(FlipkartTable[[#This Row],[Selling Price]]&lt;15000,"Budget",IF(FlipkartTable[[#This Row],[Selling Price]]&lt;50000,"Mid Range","Premium"))</f>
        <v>Budget</v>
      </c>
      <c r="M1938" t="str">
        <f>IF(FlipkartTable[[#This Row],[Rating]]&gt;4.5,"Excellent",IF(FlipkartTable[[#This Row],[Rating]]&gt;4,"Good",IF(FlipkartTable[[#This Row],[Rating]]&gt;3.5,"Average","Poor")))</f>
        <v>Average</v>
      </c>
    </row>
    <row r="1939" spans="1:13" x14ac:dyDescent="0.35">
      <c r="A1939" t="s">
        <v>663</v>
      </c>
      <c r="B1939" s="9" t="s">
        <v>857</v>
      </c>
      <c r="C1939" t="s">
        <v>116</v>
      </c>
      <c r="D1939" t="s">
        <v>35</v>
      </c>
      <c r="E1939" t="s">
        <v>124</v>
      </c>
      <c r="F1939">
        <v>4.2</v>
      </c>
      <c r="G1939">
        <v>8200</v>
      </c>
      <c r="H1939">
        <v>8200</v>
      </c>
      <c r="I1939">
        <f>FlipkartTable[[#This Row],[Original Price]]-FlipkartTable[[#This Row],[Selling Price]]</f>
        <v>0</v>
      </c>
      <c r="J1939" s="4">
        <f>(FlipkartTable[[#This Row],[Original Price]]-FlipkartTable[[#This Row],[Selling Price]])/FlipkartTable[[#This Row],[Original Price]]</f>
        <v>0</v>
      </c>
      <c r="K1939">
        <f>(FlipkartTable[[#This Row],[Rating]]/FlipkartTable[[#This Row],[Selling Price]])*1000</f>
        <v>0.51219512195121952</v>
      </c>
      <c r="L1939" t="str">
        <f>IF(FlipkartTable[[#This Row],[Selling Price]]&lt;15000,"Budget",IF(FlipkartTable[[#This Row],[Selling Price]]&lt;50000,"Mid Range","Premium"))</f>
        <v>Budget</v>
      </c>
      <c r="M1939" t="str">
        <f>IF(FlipkartTable[[#This Row],[Rating]]&gt;4.5,"Excellent",IF(FlipkartTable[[#This Row],[Rating]]&gt;4,"Good",IF(FlipkartTable[[#This Row],[Rating]]&gt;3.5,"Average","Poor")))</f>
        <v>Good</v>
      </c>
    </row>
    <row r="1940" spans="1:13" x14ac:dyDescent="0.35">
      <c r="A1940" t="s">
        <v>663</v>
      </c>
      <c r="B1940" s="9" t="s">
        <v>954</v>
      </c>
      <c r="C1940" t="s">
        <v>68</v>
      </c>
      <c r="D1940" t="s">
        <v>263</v>
      </c>
      <c r="E1940" t="s">
        <v>11</v>
      </c>
      <c r="F1940">
        <v>3.6</v>
      </c>
      <c r="G1940">
        <v>4999</v>
      </c>
      <c r="H1940">
        <v>4999</v>
      </c>
      <c r="I1940">
        <f>FlipkartTable[[#This Row],[Original Price]]-FlipkartTable[[#This Row],[Selling Price]]</f>
        <v>0</v>
      </c>
      <c r="J1940" s="4">
        <f>(FlipkartTable[[#This Row],[Original Price]]-FlipkartTable[[#This Row],[Selling Price]])/FlipkartTable[[#This Row],[Original Price]]</f>
        <v>0</v>
      </c>
      <c r="K1940">
        <f>(FlipkartTable[[#This Row],[Rating]]/FlipkartTable[[#This Row],[Selling Price]])*1000</f>
        <v>0.72014402880576123</v>
      </c>
      <c r="L1940" t="str">
        <f>IF(FlipkartTable[[#This Row],[Selling Price]]&lt;15000,"Budget",IF(FlipkartTable[[#This Row],[Selling Price]]&lt;50000,"Mid Range","Premium"))</f>
        <v>Budget</v>
      </c>
      <c r="M1940" t="str">
        <f>IF(FlipkartTable[[#This Row],[Rating]]&gt;4.5,"Excellent",IF(FlipkartTable[[#This Row],[Rating]]&gt;4,"Good",IF(FlipkartTable[[#This Row],[Rating]]&gt;3.5,"Average","Poor")))</f>
        <v>Average</v>
      </c>
    </row>
    <row r="1941" spans="1:13" x14ac:dyDescent="0.35">
      <c r="A1941" t="s">
        <v>663</v>
      </c>
      <c r="B1941" s="9" t="s">
        <v>955</v>
      </c>
      <c r="C1941" t="s">
        <v>956</v>
      </c>
      <c r="D1941" t="s">
        <v>134</v>
      </c>
      <c r="E1941" t="s">
        <v>27</v>
      </c>
      <c r="F1941">
        <v>3</v>
      </c>
      <c r="G1941">
        <v>8999</v>
      </c>
      <c r="H1941">
        <v>8999</v>
      </c>
      <c r="I1941">
        <f>FlipkartTable[[#This Row],[Original Price]]-FlipkartTable[[#This Row],[Selling Price]]</f>
        <v>0</v>
      </c>
      <c r="J1941" s="4">
        <f>(FlipkartTable[[#This Row],[Original Price]]-FlipkartTable[[#This Row],[Selling Price]])/FlipkartTable[[#This Row],[Original Price]]</f>
        <v>0</v>
      </c>
      <c r="K1941">
        <f>(FlipkartTable[[#This Row],[Rating]]/FlipkartTable[[#This Row],[Selling Price]])*1000</f>
        <v>0.333370374486054</v>
      </c>
      <c r="L1941" t="str">
        <f>IF(FlipkartTable[[#This Row],[Selling Price]]&lt;15000,"Budget",IF(FlipkartTable[[#This Row],[Selling Price]]&lt;50000,"Mid Range","Premium"))</f>
        <v>Budget</v>
      </c>
      <c r="M1941" t="str">
        <f>IF(FlipkartTable[[#This Row],[Rating]]&gt;4.5,"Excellent",IF(FlipkartTable[[#This Row],[Rating]]&gt;4,"Good",IF(FlipkartTable[[#This Row],[Rating]]&gt;3.5,"Average","Poor")))</f>
        <v>Poor</v>
      </c>
    </row>
    <row r="1942" spans="1:13" x14ac:dyDescent="0.35">
      <c r="A1942" t="s">
        <v>663</v>
      </c>
      <c r="B1942" s="9" t="s">
        <v>811</v>
      </c>
      <c r="C1942" t="s">
        <v>22</v>
      </c>
      <c r="D1942" t="s">
        <v>14</v>
      </c>
      <c r="E1942" t="s">
        <v>15</v>
      </c>
      <c r="F1942">
        <v>4.0999999999999996</v>
      </c>
      <c r="G1942">
        <v>15990</v>
      </c>
      <c r="H1942">
        <v>15990</v>
      </c>
      <c r="I1942">
        <f>FlipkartTable[[#This Row],[Original Price]]-FlipkartTable[[#This Row],[Selling Price]]</f>
        <v>0</v>
      </c>
      <c r="J1942" s="4">
        <f>(FlipkartTable[[#This Row],[Original Price]]-FlipkartTable[[#This Row],[Selling Price]])/FlipkartTable[[#This Row],[Original Price]]</f>
        <v>0</v>
      </c>
      <c r="K1942">
        <f>(FlipkartTable[[#This Row],[Rating]]/FlipkartTable[[#This Row],[Selling Price]])*1000</f>
        <v>0.25641025641025639</v>
      </c>
      <c r="L1942" t="str">
        <f>IF(FlipkartTable[[#This Row],[Selling Price]]&lt;15000,"Budget",IF(FlipkartTable[[#This Row],[Selling Price]]&lt;50000,"Mid Range","Premium"))</f>
        <v>Mid Range</v>
      </c>
      <c r="M1942" t="str">
        <f>IF(FlipkartTable[[#This Row],[Rating]]&gt;4.5,"Excellent",IF(FlipkartTable[[#This Row],[Rating]]&gt;4,"Good",IF(FlipkartTable[[#This Row],[Rating]]&gt;3.5,"Average","Poor")))</f>
        <v>Good</v>
      </c>
    </row>
    <row r="1943" spans="1:13" x14ac:dyDescent="0.35">
      <c r="A1943" t="s">
        <v>663</v>
      </c>
      <c r="B1943" s="9" t="s">
        <v>951</v>
      </c>
      <c r="C1943" t="s">
        <v>152</v>
      </c>
      <c r="D1943" t="s">
        <v>284</v>
      </c>
      <c r="E1943" t="s">
        <v>124</v>
      </c>
      <c r="F1943">
        <v>4.2</v>
      </c>
      <c r="G1943">
        <v>8490</v>
      </c>
      <c r="H1943">
        <v>8490</v>
      </c>
      <c r="I1943">
        <f>FlipkartTable[[#This Row],[Original Price]]-FlipkartTable[[#This Row],[Selling Price]]</f>
        <v>0</v>
      </c>
      <c r="J1943" s="4">
        <f>(FlipkartTable[[#This Row],[Original Price]]-FlipkartTable[[#This Row],[Selling Price]])/FlipkartTable[[#This Row],[Original Price]]</f>
        <v>0</v>
      </c>
      <c r="K1943">
        <f>(FlipkartTable[[#This Row],[Rating]]/FlipkartTable[[#This Row],[Selling Price]])*1000</f>
        <v>0.4946996466431095</v>
      </c>
      <c r="L1943" t="str">
        <f>IF(FlipkartTable[[#This Row],[Selling Price]]&lt;15000,"Budget",IF(FlipkartTable[[#This Row],[Selling Price]]&lt;50000,"Mid Range","Premium"))</f>
        <v>Budget</v>
      </c>
      <c r="M1943" t="str">
        <f>IF(FlipkartTable[[#This Row],[Rating]]&gt;4.5,"Excellent",IF(FlipkartTable[[#This Row],[Rating]]&gt;4,"Good",IF(FlipkartTable[[#This Row],[Rating]]&gt;3.5,"Average","Poor")))</f>
        <v>Good</v>
      </c>
    </row>
    <row r="1944" spans="1:13" x14ac:dyDescent="0.35">
      <c r="A1944" t="s">
        <v>663</v>
      </c>
      <c r="B1944" s="9" t="s">
        <v>957</v>
      </c>
      <c r="C1944" t="s">
        <v>795</v>
      </c>
      <c r="D1944" t="s">
        <v>134</v>
      </c>
      <c r="E1944" t="s">
        <v>27</v>
      </c>
      <c r="F1944">
        <v>4</v>
      </c>
      <c r="G1944">
        <v>6999</v>
      </c>
      <c r="H1944">
        <v>6999</v>
      </c>
      <c r="I1944">
        <f>FlipkartTable[[#This Row],[Original Price]]-FlipkartTable[[#This Row],[Selling Price]]</f>
        <v>0</v>
      </c>
      <c r="J1944" s="4">
        <f>(FlipkartTable[[#This Row],[Original Price]]-FlipkartTable[[#This Row],[Selling Price]])/FlipkartTable[[#This Row],[Original Price]]</f>
        <v>0</v>
      </c>
      <c r="K1944">
        <f>(FlipkartTable[[#This Row],[Rating]]/FlipkartTable[[#This Row],[Selling Price]])*1000</f>
        <v>0.57151021574510652</v>
      </c>
      <c r="L1944" t="str">
        <f>IF(FlipkartTable[[#This Row],[Selling Price]]&lt;15000,"Budget",IF(FlipkartTable[[#This Row],[Selling Price]]&lt;50000,"Mid Range","Premium"))</f>
        <v>Budget</v>
      </c>
      <c r="M1944" t="str">
        <f>IF(FlipkartTable[[#This Row],[Rating]]&gt;4.5,"Excellent",IF(FlipkartTable[[#This Row],[Rating]]&gt;4,"Good",IF(FlipkartTable[[#This Row],[Rating]]&gt;3.5,"Average","Poor")))</f>
        <v>Average</v>
      </c>
    </row>
    <row r="1945" spans="1:13" x14ac:dyDescent="0.35">
      <c r="A1945" t="s">
        <v>663</v>
      </c>
      <c r="B1945" s="9" t="s">
        <v>908</v>
      </c>
      <c r="C1945" t="s">
        <v>19</v>
      </c>
      <c r="D1945" t="s">
        <v>35</v>
      </c>
      <c r="E1945" t="s">
        <v>124</v>
      </c>
      <c r="F1945">
        <v>4.0999999999999996</v>
      </c>
      <c r="G1945">
        <v>6549</v>
      </c>
      <c r="H1945">
        <v>9490</v>
      </c>
      <c r="I1945">
        <f>FlipkartTable[[#This Row],[Original Price]]-FlipkartTable[[#This Row],[Selling Price]]</f>
        <v>2941</v>
      </c>
      <c r="J1945" s="4">
        <f>(FlipkartTable[[#This Row],[Original Price]]-FlipkartTable[[#This Row],[Selling Price]])/FlipkartTable[[#This Row],[Original Price]]</f>
        <v>0.30990516332982088</v>
      </c>
      <c r="K1945">
        <f>(FlipkartTable[[#This Row],[Rating]]/FlipkartTable[[#This Row],[Selling Price]])*1000</f>
        <v>0.62604977859215138</v>
      </c>
      <c r="L1945" t="str">
        <f>IF(FlipkartTable[[#This Row],[Selling Price]]&lt;15000,"Budget",IF(FlipkartTable[[#This Row],[Selling Price]]&lt;50000,"Mid Range","Premium"))</f>
        <v>Budget</v>
      </c>
      <c r="M1945" t="str">
        <f>IF(FlipkartTable[[#This Row],[Rating]]&gt;4.5,"Excellent",IF(FlipkartTable[[#This Row],[Rating]]&gt;4,"Good",IF(FlipkartTable[[#This Row],[Rating]]&gt;3.5,"Average","Poor")))</f>
        <v>Good</v>
      </c>
    </row>
    <row r="1946" spans="1:13" x14ac:dyDescent="0.35">
      <c r="A1946" t="s">
        <v>663</v>
      </c>
      <c r="B1946" s="9" t="s">
        <v>958</v>
      </c>
      <c r="C1946" t="s">
        <v>734</v>
      </c>
      <c r="D1946" t="s">
        <v>134</v>
      </c>
      <c r="E1946" t="s">
        <v>27</v>
      </c>
      <c r="F1946">
        <v>4</v>
      </c>
      <c r="G1946">
        <v>8999</v>
      </c>
      <c r="H1946">
        <v>8999</v>
      </c>
      <c r="I1946">
        <f>FlipkartTable[[#This Row],[Original Price]]-FlipkartTable[[#This Row],[Selling Price]]</f>
        <v>0</v>
      </c>
      <c r="J1946" s="4">
        <f>(FlipkartTable[[#This Row],[Original Price]]-FlipkartTable[[#This Row],[Selling Price]])/FlipkartTable[[#This Row],[Original Price]]</f>
        <v>0</v>
      </c>
      <c r="K1946">
        <f>(FlipkartTable[[#This Row],[Rating]]/FlipkartTable[[#This Row],[Selling Price]])*1000</f>
        <v>0.44449383264807202</v>
      </c>
      <c r="L1946" t="str">
        <f>IF(FlipkartTable[[#This Row],[Selling Price]]&lt;15000,"Budget",IF(FlipkartTable[[#This Row],[Selling Price]]&lt;50000,"Mid Range","Premium"))</f>
        <v>Budget</v>
      </c>
      <c r="M1946" t="str">
        <f>IF(FlipkartTable[[#This Row],[Rating]]&gt;4.5,"Excellent",IF(FlipkartTable[[#This Row],[Rating]]&gt;4,"Good",IF(FlipkartTable[[#This Row],[Rating]]&gt;3.5,"Average","Poor")))</f>
        <v>Average</v>
      </c>
    </row>
    <row r="1947" spans="1:13" x14ac:dyDescent="0.35">
      <c r="A1947" t="s">
        <v>663</v>
      </c>
      <c r="B1947" s="9" t="s">
        <v>811</v>
      </c>
      <c r="C1947" t="s">
        <v>19</v>
      </c>
      <c r="D1947" t="s">
        <v>11</v>
      </c>
      <c r="E1947" t="s">
        <v>12</v>
      </c>
      <c r="F1947">
        <v>4.3</v>
      </c>
      <c r="G1947">
        <v>14990</v>
      </c>
      <c r="H1947">
        <v>14990</v>
      </c>
      <c r="I1947">
        <f>FlipkartTable[[#This Row],[Original Price]]-FlipkartTable[[#This Row],[Selling Price]]</f>
        <v>0</v>
      </c>
      <c r="J1947" s="4">
        <f>(FlipkartTable[[#This Row],[Original Price]]-FlipkartTable[[#This Row],[Selling Price]])/FlipkartTable[[#This Row],[Original Price]]</f>
        <v>0</v>
      </c>
      <c r="K1947">
        <f>(FlipkartTable[[#This Row],[Rating]]/FlipkartTable[[#This Row],[Selling Price]])*1000</f>
        <v>0.28685790527018012</v>
      </c>
      <c r="L1947" t="str">
        <f>IF(FlipkartTable[[#This Row],[Selling Price]]&lt;15000,"Budget",IF(FlipkartTable[[#This Row],[Selling Price]]&lt;50000,"Mid Range","Premium"))</f>
        <v>Budget</v>
      </c>
      <c r="M1947" t="str">
        <f>IF(FlipkartTable[[#This Row],[Rating]]&gt;4.5,"Excellent",IF(FlipkartTable[[#This Row],[Rating]]&gt;4,"Good",IF(FlipkartTable[[#This Row],[Rating]]&gt;3.5,"Average","Poor")))</f>
        <v>Good</v>
      </c>
    </row>
    <row r="1948" spans="1:13" x14ac:dyDescent="0.35">
      <c r="A1948" t="s">
        <v>663</v>
      </c>
      <c r="B1948" s="9" t="s">
        <v>758</v>
      </c>
      <c r="C1948" t="s">
        <v>68</v>
      </c>
      <c r="D1948" t="s">
        <v>35</v>
      </c>
      <c r="E1948" t="s">
        <v>124</v>
      </c>
      <c r="F1948">
        <v>4.0999999999999996</v>
      </c>
      <c r="G1948">
        <v>19990</v>
      </c>
      <c r="H1948">
        <v>19990</v>
      </c>
      <c r="I1948">
        <f>FlipkartTable[[#This Row],[Original Price]]-FlipkartTable[[#This Row],[Selling Price]]</f>
        <v>0</v>
      </c>
      <c r="J1948" s="4">
        <f>(FlipkartTable[[#This Row],[Original Price]]-FlipkartTable[[#This Row],[Selling Price]])/FlipkartTable[[#This Row],[Original Price]]</f>
        <v>0</v>
      </c>
      <c r="K1948">
        <f>(FlipkartTable[[#This Row],[Rating]]/FlipkartTable[[#This Row],[Selling Price]])*1000</f>
        <v>0.20510255127563781</v>
      </c>
      <c r="L1948" t="str">
        <f>IF(FlipkartTable[[#This Row],[Selling Price]]&lt;15000,"Budget",IF(FlipkartTable[[#This Row],[Selling Price]]&lt;50000,"Mid Range","Premium"))</f>
        <v>Mid Range</v>
      </c>
      <c r="M1948" t="str">
        <f>IF(FlipkartTable[[#This Row],[Rating]]&gt;4.5,"Excellent",IF(FlipkartTable[[#This Row],[Rating]]&gt;4,"Good",IF(FlipkartTable[[#This Row],[Rating]]&gt;3.5,"Average","Poor")))</f>
        <v>Good</v>
      </c>
    </row>
    <row r="1949" spans="1:13" x14ac:dyDescent="0.35">
      <c r="A1949" t="s">
        <v>663</v>
      </c>
      <c r="B1949" s="9" t="s">
        <v>777</v>
      </c>
      <c r="C1949" t="s">
        <v>937</v>
      </c>
      <c r="D1949" t="s">
        <v>63</v>
      </c>
      <c r="E1949" t="s">
        <v>15</v>
      </c>
      <c r="F1949">
        <v>4.2</v>
      </c>
      <c r="G1949">
        <v>70490</v>
      </c>
      <c r="H1949">
        <v>70999</v>
      </c>
      <c r="I1949">
        <f>FlipkartTable[[#This Row],[Original Price]]-FlipkartTable[[#This Row],[Selling Price]]</f>
        <v>509</v>
      </c>
      <c r="J1949" s="4">
        <f>(FlipkartTable[[#This Row],[Original Price]]-FlipkartTable[[#This Row],[Selling Price]])/FlipkartTable[[#This Row],[Original Price]]</f>
        <v>7.1691150579585626E-3</v>
      </c>
      <c r="K1949">
        <f>(FlipkartTable[[#This Row],[Rating]]/FlipkartTable[[#This Row],[Selling Price]])*1000</f>
        <v>5.9582919563058591E-2</v>
      </c>
      <c r="L1949" t="str">
        <f>IF(FlipkartTable[[#This Row],[Selling Price]]&lt;15000,"Budget",IF(FlipkartTable[[#This Row],[Selling Price]]&lt;50000,"Mid Range","Premium"))</f>
        <v>Premium</v>
      </c>
      <c r="M1949" t="str">
        <f>IF(FlipkartTable[[#This Row],[Rating]]&gt;4.5,"Excellent",IF(FlipkartTable[[#This Row],[Rating]]&gt;4,"Good",IF(FlipkartTable[[#This Row],[Rating]]&gt;3.5,"Average","Poor")))</f>
        <v>Good</v>
      </c>
    </row>
    <row r="1950" spans="1:13" x14ac:dyDescent="0.35">
      <c r="A1950" t="s">
        <v>663</v>
      </c>
      <c r="B1950" s="9" t="s">
        <v>758</v>
      </c>
      <c r="C1950" t="s">
        <v>405</v>
      </c>
      <c r="D1950" t="s">
        <v>35</v>
      </c>
      <c r="E1950" t="s">
        <v>124</v>
      </c>
      <c r="F1950">
        <v>4.0999999999999996</v>
      </c>
      <c r="G1950">
        <v>19990</v>
      </c>
      <c r="H1950">
        <v>19990</v>
      </c>
      <c r="I1950">
        <f>FlipkartTable[[#This Row],[Original Price]]-FlipkartTable[[#This Row],[Selling Price]]</f>
        <v>0</v>
      </c>
      <c r="J1950" s="4">
        <f>(FlipkartTable[[#This Row],[Original Price]]-FlipkartTable[[#This Row],[Selling Price]])/FlipkartTable[[#This Row],[Original Price]]</f>
        <v>0</v>
      </c>
      <c r="K1950">
        <f>(FlipkartTable[[#This Row],[Rating]]/FlipkartTable[[#This Row],[Selling Price]])*1000</f>
        <v>0.20510255127563781</v>
      </c>
      <c r="L1950" t="str">
        <f>IF(FlipkartTable[[#This Row],[Selling Price]]&lt;15000,"Budget",IF(FlipkartTable[[#This Row],[Selling Price]]&lt;50000,"Mid Range","Premium"))</f>
        <v>Mid Range</v>
      </c>
      <c r="M1950" t="str">
        <f>IF(FlipkartTable[[#This Row],[Rating]]&gt;4.5,"Excellent",IF(FlipkartTable[[#This Row],[Rating]]&gt;4,"Good",IF(FlipkartTable[[#This Row],[Rating]]&gt;3.5,"Average","Poor")))</f>
        <v>Good</v>
      </c>
    </row>
    <row r="1951" spans="1:13" x14ac:dyDescent="0.35">
      <c r="A1951" t="s">
        <v>663</v>
      </c>
      <c r="B1951" s="9" t="s">
        <v>933</v>
      </c>
      <c r="C1951" t="s">
        <v>795</v>
      </c>
      <c r="D1951" t="s">
        <v>263</v>
      </c>
      <c r="E1951" t="s">
        <v>11</v>
      </c>
      <c r="F1951">
        <v>3.8</v>
      </c>
      <c r="G1951">
        <v>5490</v>
      </c>
      <c r="H1951">
        <v>5490</v>
      </c>
      <c r="I1951">
        <f>FlipkartTable[[#This Row],[Original Price]]-FlipkartTable[[#This Row],[Selling Price]]</f>
        <v>0</v>
      </c>
      <c r="J1951" s="4">
        <f>(FlipkartTable[[#This Row],[Original Price]]-FlipkartTable[[#This Row],[Selling Price]])/FlipkartTable[[#This Row],[Original Price]]</f>
        <v>0</v>
      </c>
      <c r="K1951">
        <f>(FlipkartTable[[#This Row],[Rating]]/FlipkartTable[[#This Row],[Selling Price]])*1000</f>
        <v>0.69216757741347901</v>
      </c>
      <c r="L1951" t="str">
        <f>IF(FlipkartTable[[#This Row],[Selling Price]]&lt;15000,"Budget",IF(FlipkartTable[[#This Row],[Selling Price]]&lt;50000,"Mid Range","Premium"))</f>
        <v>Budget</v>
      </c>
      <c r="M1951" t="str">
        <f>IF(FlipkartTable[[#This Row],[Rating]]&gt;4.5,"Excellent",IF(FlipkartTable[[#This Row],[Rating]]&gt;4,"Good",IF(FlipkartTable[[#This Row],[Rating]]&gt;3.5,"Average","Poor")))</f>
        <v>Average</v>
      </c>
    </row>
    <row r="1952" spans="1:13" x14ac:dyDescent="0.35">
      <c r="A1952" t="s">
        <v>663</v>
      </c>
      <c r="B1952" s="9" t="s">
        <v>959</v>
      </c>
      <c r="C1952" t="s">
        <v>19</v>
      </c>
      <c r="D1952" t="s">
        <v>284</v>
      </c>
      <c r="E1952" t="s">
        <v>27</v>
      </c>
      <c r="F1952">
        <v>3.8</v>
      </c>
      <c r="G1952">
        <v>26000</v>
      </c>
      <c r="H1952">
        <v>26000</v>
      </c>
      <c r="I1952">
        <f>FlipkartTable[[#This Row],[Original Price]]-FlipkartTable[[#This Row],[Selling Price]]</f>
        <v>0</v>
      </c>
      <c r="J1952" s="4">
        <f>(FlipkartTable[[#This Row],[Original Price]]-FlipkartTable[[#This Row],[Selling Price]])/FlipkartTable[[#This Row],[Original Price]]</f>
        <v>0</v>
      </c>
      <c r="K1952">
        <f>(FlipkartTable[[#This Row],[Rating]]/FlipkartTable[[#This Row],[Selling Price]])*1000</f>
        <v>0.14615384615384616</v>
      </c>
      <c r="L1952" t="str">
        <f>IF(FlipkartTable[[#This Row],[Selling Price]]&lt;15000,"Budget",IF(FlipkartTable[[#This Row],[Selling Price]]&lt;50000,"Mid Range","Premium"))</f>
        <v>Mid Range</v>
      </c>
      <c r="M1952" t="str">
        <f>IF(FlipkartTable[[#This Row],[Rating]]&gt;4.5,"Excellent",IF(FlipkartTable[[#This Row],[Rating]]&gt;4,"Good",IF(FlipkartTable[[#This Row],[Rating]]&gt;3.5,"Average","Poor")))</f>
        <v>Average</v>
      </c>
    </row>
    <row r="1953" spans="1:13" x14ac:dyDescent="0.35">
      <c r="A1953" t="s">
        <v>663</v>
      </c>
      <c r="B1953" s="9" t="s">
        <v>865</v>
      </c>
      <c r="C1953" t="s">
        <v>152</v>
      </c>
      <c r="D1953" t="s">
        <v>263</v>
      </c>
      <c r="E1953" t="s">
        <v>11</v>
      </c>
      <c r="F1953">
        <v>4</v>
      </c>
      <c r="G1953">
        <v>6190</v>
      </c>
      <c r="H1953">
        <v>6190</v>
      </c>
      <c r="I1953">
        <f>FlipkartTable[[#This Row],[Original Price]]-FlipkartTable[[#This Row],[Selling Price]]</f>
        <v>0</v>
      </c>
      <c r="J1953" s="4">
        <f>(FlipkartTable[[#This Row],[Original Price]]-FlipkartTable[[#This Row],[Selling Price]])/FlipkartTable[[#This Row],[Original Price]]</f>
        <v>0</v>
      </c>
      <c r="K1953">
        <f>(FlipkartTable[[#This Row],[Rating]]/FlipkartTable[[#This Row],[Selling Price]])*1000</f>
        <v>0.64620355411954766</v>
      </c>
      <c r="L1953" t="str">
        <f>IF(FlipkartTable[[#This Row],[Selling Price]]&lt;15000,"Budget",IF(FlipkartTable[[#This Row],[Selling Price]]&lt;50000,"Mid Range","Premium"))</f>
        <v>Budget</v>
      </c>
      <c r="M1953" t="str">
        <f>IF(FlipkartTable[[#This Row],[Rating]]&gt;4.5,"Excellent",IF(FlipkartTable[[#This Row],[Rating]]&gt;4,"Good",IF(FlipkartTable[[#This Row],[Rating]]&gt;3.5,"Average","Poor")))</f>
        <v>Average</v>
      </c>
    </row>
    <row r="1954" spans="1:13" x14ac:dyDescent="0.35">
      <c r="A1954" t="s">
        <v>663</v>
      </c>
      <c r="B1954" s="9" t="s">
        <v>893</v>
      </c>
      <c r="C1954" t="s">
        <v>68</v>
      </c>
      <c r="D1954" t="s">
        <v>134</v>
      </c>
      <c r="E1954" t="s">
        <v>124</v>
      </c>
      <c r="F1954">
        <v>4</v>
      </c>
      <c r="G1954">
        <v>9999</v>
      </c>
      <c r="H1954">
        <v>9999</v>
      </c>
      <c r="I1954">
        <f>FlipkartTable[[#This Row],[Original Price]]-FlipkartTable[[#This Row],[Selling Price]]</f>
        <v>0</v>
      </c>
      <c r="J1954" s="4">
        <f>(FlipkartTable[[#This Row],[Original Price]]-FlipkartTable[[#This Row],[Selling Price]])/FlipkartTable[[#This Row],[Original Price]]</f>
        <v>0</v>
      </c>
      <c r="K1954">
        <f>(FlipkartTable[[#This Row],[Rating]]/FlipkartTable[[#This Row],[Selling Price]])*1000</f>
        <v>0.40004000400040007</v>
      </c>
      <c r="L1954" t="str">
        <f>IF(FlipkartTable[[#This Row],[Selling Price]]&lt;15000,"Budget",IF(FlipkartTable[[#This Row],[Selling Price]]&lt;50000,"Mid Range","Premium"))</f>
        <v>Budget</v>
      </c>
      <c r="M1954" t="str">
        <f>IF(FlipkartTable[[#This Row],[Rating]]&gt;4.5,"Excellent",IF(FlipkartTable[[#This Row],[Rating]]&gt;4,"Good",IF(FlipkartTable[[#This Row],[Rating]]&gt;3.5,"Average","Poor")))</f>
        <v>Average</v>
      </c>
    </row>
    <row r="1955" spans="1:13" x14ac:dyDescent="0.35">
      <c r="A1955" t="s">
        <v>663</v>
      </c>
      <c r="B1955" s="9" t="s">
        <v>785</v>
      </c>
      <c r="C1955" t="s">
        <v>22</v>
      </c>
      <c r="D1955" t="s">
        <v>11</v>
      </c>
      <c r="E1955" t="s">
        <v>12</v>
      </c>
      <c r="F1955">
        <v>4.3</v>
      </c>
      <c r="G1955">
        <v>21000</v>
      </c>
      <c r="H1955">
        <v>21000</v>
      </c>
      <c r="I1955">
        <f>FlipkartTable[[#This Row],[Original Price]]-FlipkartTable[[#This Row],[Selling Price]]</f>
        <v>0</v>
      </c>
      <c r="J1955" s="4">
        <f>(FlipkartTable[[#This Row],[Original Price]]-FlipkartTable[[#This Row],[Selling Price]])/FlipkartTable[[#This Row],[Original Price]]</f>
        <v>0</v>
      </c>
      <c r="K1955">
        <f>(FlipkartTable[[#This Row],[Rating]]/FlipkartTable[[#This Row],[Selling Price]])*1000</f>
        <v>0.20476190476190476</v>
      </c>
      <c r="L1955" t="str">
        <f>IF(FlipkartTable[[#This Row],[Selling Price]]&lt;15000,"Budget",IF(FlipkartTable[[#This Row],[Selling Price]]&lt;50000,"Mid Range","Premium"))</f>
        <v>Mid Range</v>
      </c>
      <c r="M1955" t="str">
        <f>IF(FlipkartTable[[#This Row],[Rating]]&gt;4.5,"Excellent",IF(FlipkartTable[[#This Row],[Rating]]&gt;4,"Good",IF(FlipkartTable[[#This Row],[Rating]]&gt;3.5,"Average","Poor")))</f>
        <v>Good</v>
      </c>
    </row>
    <row r="1956" spans="1:13" x14ac:dyDescent="0.35">
      <c r="A1956" t="s">
        <v>663</v>
      </c>
      <c r="B1956" s="9" t="s">
        <v>960</v>
      </c>
      <c r="C1956" t="s">
        <v>892</v>
      </c>
      <c r="D1956" t="s">
        <v>11</v>
      </c>
      <c r="E1956" t="s">
        <v>21</v>
      </c>
      <c r="F1956">
        <v>4.0999999999999996</v>
      </c>
      <c r="G1956">
        <v>39899</v>
      </c>
      <c r="H1956">
        <v>39899</v>
      </c>
      <c r="I1956">
        <f>FlipkartTable[[#This Row],[Original Price]]-FlipkartTable[[#This Row],[Selling Price]]</f>
        <v>0</v>
      </c>
      <c r="J1956" s="4">
        <f>(FlipkartTable[[#This Row],[Original Price]]-FlipkartTable[[#This Row],[Selling Price]])/FlipkartTable[[#This Row],[Original Price]]</f>
        <v>0</v>
      </c>
      <c r="K1956">
        <f>(FlipkartTable[[#This Row],[Rating]]/FlipkartTable[[#This Row],[Selling Price]])*1000</f>
        <v>0.10275946765583097</v>
      </c>
      <c r="L1956" t="str">
        <f>IF(FlipkartTable[[#This Row],[Selling Price]]&lt;15000,"Budget",IF(FlipkartTable[[#This Row],[Selling Price]]&lt;50000,"Mid Range","Premium"))</f>
        <v>Mid Range</v>
      </c>
      <c r="M1956" t="str">
        <f>IF(FlipkartTable[[#This Row],[Rating]]&gt;4.5,"Excellent",IF(FlipkartTable[[#This Row],[Rating]]&gt;4,"Good",IF(FlipkartTable[[#This Row],[Rating]]&gt;3.5,"Average","Poor")))</f>
        <v>Good</v>
      </c>
    </row>
    <row r="1957" spans="1:13" x14ac:dyDescent="0.35">
      <c r="A1957" t="s">
        <v>663</v>
      </c>
      <c r="B1957" s="9" t="s">
        <v>758</v>
      </c>
      <c r="C1957" t="s">
        <v>19</v>
      </c>
      <c r="D1957" t="s">
        <v>11</v>
      </c>
      <c r="E1957" t="s">
        <v>12</v>
      </c>
      <c r="F1957">
        <v>4.4000000000000004</v>
      </c>
      <c r="G1957">
        <v>22300</v>
      </c>
      <c r="H1957">
        <v>22300</v>
      </c>
      <c r="I1957">
        <f>FlipkartTable[[#This Row],[Original Price]]-FlipkartTable[[#This Row],[Selling Price]]</f>
        <v>0</v>
      </c>
      <c r="J1957" s="4">
        <f>(FlipkartTable[[#This Row],[Original Price]]-FlipkartTable[[#This Row],[Selling Price]])/FlipkartTable[[#This Row],[Original Price]]</f>
        <v>0</v>
      </c>
      <c r="K1957">
        <f>(FlipkartTable[[#This Row],[Rating]]/FlipkartTable[[#This Row],[Selling Price]])*1000</f>
        <v>0.19730941704035876</v>
      </c>
      <c r="L1957" t="str">
        <f>IF(FlipkartTable[[#This Row],[Selling Price]]&lt;15000,"Budget",IF(FlipkartTable[[#This Row],[Selling Price]]&lt;50000,"Mid Range","Premium"))</f>
        <v>Mid Range</v>
      </c>
      <c r="M1957" t="str">
        <f>IF(FlipkartTable[[#This Row],[Rating]]&gt;4.5,"Excellent",IF(FlipkartTable[[#This Row],[Rating]]&gt;4,"Good",IF(FlipkartTable[[#This Row],[Rating]]&gt;3.5,"Average","Poor")))</f>
        <v>Good</v>
      </c>
    </row>
    <row r="1958" spans="1:13" x14ac:dyDescent="0.35">
      <c r="A1958" t="s">
        <v>663</v>
      </c>
      <c r="B1958" s="9" t="s">
        <v>907</v>
      </c>
      <c r="C1958" t="s">
        <v>961</v>
      </c>
      <c r="D1958" t="s">
        <v>20</v>
      </c>
      <c r="E1958" t="s">
        <v>21</v>
      </c>
      <c r="F1958">
        <v>4.0999999999999996</v>
      </c>
      <c r="G1958">
        <v>49990</v>
      </c>
      <c r="H1958">
        <v>49990</v>
      </c>
      <c r="I1958">
        <f>FlipkartTable[[#This Row],[Original Price]]-FlipkartTable[[#This Row],[Selling Price]]</f>
        <v>0</v>
      </c>
      <c r="J1958" s="4">
        <f>(FlipkartTable[[#This Row],[Original Price]]-FlipkartTable[[#This Row],[Selling Price]])/FlipkartTable[[#This Row],[Original Price]]</f>
        <v>0</v>
      </c>
      <c r="K1958">
        <f>(FlipkartTable[[#This Row],[Rating]]/FlipkartTable[[#This Row],[Selling Price]])*1000</f>
        <v>8.2016403280656125E-2</v>
      </c>
      <c r="L1958" t="str">
        <f>IF(FlipkartTable[[#This Row],[Selling Price]]&lt;15000,"Budget",IF(FlipkartTable[[#This Row],[Selling Price]]&lt;50000,"Mid Range","Premium"))</f>
        <v>Mid Range</v>
      </c>
      <c r="M1958" t="str">
        <f>IF(FlipkartTable[[#This Row],[Rating]]&gt;4.5,"Excellent",IF(FlipkartTable[[#This Row],[Rating]]&gt;4,"Good",IF(FlipkartTable[[#This Row],[Rating]]&gt;3.5,"Average","Poor")))</f>
        <v>Good</v>
      </c>
    </row>
    <row r="1959" spans="1:13" x14ac:dyDescent="0.35">
      <c r="A1959" t="s">
        <v>663</v>
      </c>
      <c r="B1959" s="9" t="s">
        <v>782</v>
      </c>
      <c r="C1959" t="s">
        <v>962</v>
      </c>
      <c r="D1959" t="s">
        <v>14</v>
      </c>
      <c r="E1959" t="s">
        <v>15</v>
      </c>
      <c r="F1959">
        <v>4.0999999999999996</v>
      </c>
      <c r="G1959">
        <v>15490</v>
      </c>
      <c r="H1959">
        <v>15490</v>
      </c>
      <c r="I1959">
        <f>FlipkartTable[[#This Row],[Original Price]]-FlipkartTable[[#This Row],[Selling Price]]</f>
        <v>0</v>
      </c>
      <c r="J1959" s="4">
        <f>(FlipkartTable[[#This Row],[Original Price]]-FlipkartTable[[#This Row],[Selling Price]])/FlipkartTable[[#This Row],[Original Price]]</f>
        <v>0</v>
      </c>
      <c r="K1959">
        <f>(FlipkartTable[[#This Row],[Rating]]/FlipkartTable[[#This Row],[Selling Price]])*1000</f>
        <v>0.26468689477081986</v>
      </c>
      <c r="L1959" t="str">
        <f>IF(FlipkartTable[[#This Row],[Selling Price]]&lt;15000,"Budget",IF(FlipkartTable[[#This Row],[Selling Price]]&lt;50000,"Mid Range","Premium"))</f>
        <v>Mid Range</v>
      </c>
      <c r="M1959" t="str">
        <f>IF(FlipkartTable[[#This Row],[Rating]]&gt;4.5,"Excellent",IF(FlipkartTable[[#This Row],[Rating]]&gt;4,"Good",IF(FlipkartTable[[#This Row],[Rating]]&gt;3.5,"Average","Poor")))</f>
        <v>Good</v>
      </c>
    </row>
    <row r="1960" spans="1:13" x14ac:dyDescent="0.35">
      <c r="A1960" t="s">
        <v>663</v>
      </c>
      <c r="B1960" s="9" t="s">
        <v>875</v>
      </c>
      <c r="C1960" t="s">
        <v>22</v>
      </c>
      <c r="D1960" t="s">
        <v>35</v>
      </c>
      <c r="E1960" t="s">
        <v>124</v>
      </c>
      <c r="F1960">
        <v>4.3</v>
      </c>
      <c r="G1960">
        <v>18340</v>
      </c>
      <c r="H1960">
        <v>18340</v>
      </c>
      <c r="I1960">
        <f>FlipkartTable[[#This Row],[Original Price]]-FlipkartTable[[#This Row],[Selling Price]]</f>
        <v>0</v>
      </c>
      <c r="J1960" s="4">
        <f>(FlipkartTable[[#This Row],[Original Price]]-FlipkartTable[[#This Row],[Selling Price]])/FlipkartTable[[#This Row],[Original Price]]</f>
        <v>0</v>
      </c>
      <c r="K1960">
        <f>(FlipkartTable[[#This Row],[Rating]]/FlipkartTable[[#This Row],[Selling Price]])*1000</f>
        <v>0.23446019629225734</v>
      </c>
      <c r="L1960" t="str">
        <f>IF(FlipkartTable[[#This Row],[Selling Price]]&lt;15000,"Budget",IF(FlipkartTable[[#This Row],[Selling Price]]&lt;50000,"Mid Range","Premium"))</f>
        <v>Mid Range</v>
      </c>
      <c r="M1960" t="str">
        <f>IF(FlipkartTable[[#This Row],[Rating]]&gt;4.5,"Excellent",IF(FlipkartTable[[#This Row],[Rating]]&gt;4,"Good",IF(FlipkartTable[[#This Row],[Rating]]&gt;3.5,"Average","Poor")))</f>
        <v>Good</v>
      </c>
    </row>
    <row r="1961" spans="1:13" x14ac:dyDescent="0.35">
      <c r="A1961" t="s">
        <v>663</v>
      </c>
      <c r="B1961" s="9" t="s">
        <v>880</v>
      </c>
      <c r="C1961" t="s">
        <v>170</v>
      </c>
      <c r="D1961" t="s">
        <v>134</v>
      </c>
      <c r="E1961" t="s">
        <v>27</v>
      </c>
      <c r="F1961">
        <v>3.3</v>
      </c>
      <c r="G1961">
        <v>4999</v>
      </c>
      <c r="H1961">
        <v>8999</v>
      </c>
      <c r="I1961">
        <f>FlipkartTable[[#This Row],[Original Price]]-FlipkartTable[[#This Row],[Selling Price]]</f>
        <v>4000</v>
      </c>
      <c r="J1961" s="4">
        <f>(FlipkartTable[[#This Row],[Original Price]]-FlipkartTable[[#This Row],[Selling Price]])/FlipkartTable[[#This Row],[Original Price]]</f>
        <v>0.44449383264807202</v>
      </c>
      <c r="K1961">
        <f>(FlipkartTable[[#This Row],[Rating]]/FlipkartTable[[#This Row],[Selling Price]])*1000</f>
        <v>0.66013202640528101</v>
      </c>
      <c r="L1961" t="str">
        <f>IF(FlipkartTable[[#This Row],[Selling Price]]&lt;15000,"Budget",IF(FlipkartTable[[#This Row],[Selling Price]]&lt;50000,"Mid Range","Premium"))</f>
        <v>Budget</v>
      </c>
      <c r="M1961" t="str">
        <f>IF(FlipkartTable[[#This Row],[Rating]]&gt;4.5,"Excellent",IF(FlipkartTable[[#This Row],[Rating]]&gt;4,"Good",IF(FlipkartTable[[#This Row],[Rating]]&gt;3.5,"Average","Poor")))</f>
        <v>Poor</v>
      </c>
    </row>
    <row r="1962" spans="1:13" x14ac:dyDescent="0.35">
      <c r="A1962" t="s">
        <v>663</v>
      </c>
      <c r="B1962" s="9" t="s">
        <v>936</v>
      </c>
      <c r="C1962" t="s">
        <v>405</v>
      </c>
      <c r="D1962" t="s">
        <v>35</v>
      </c>
      <c r="E1962" t="s">
        <v>124</v>
      </c>
      <c r="F1962">
        <v>4.0999999999999996</v>
      </c>
      <c r="G1962">
        <v>17990</v>
      </c>
      <c r="H1962">
        <v>17990</v>
      </c>
      <c r="I1962">
        <f>FlipkartTable[[#This Row],[Original Price]]-FlipkartTable[[#This Row],[Selling Price]]</f>
        <v>0</v>
      </c>
      <c r="J1962" s="4">
        <f>(FlipkartTable[[#This Row],[Original Price]]-FlipkartTable[[#This Row],[Selling Price]])/FlipkartTable[[#This Row],[Original Price]]</f>
        <v>0</v>
      </c>
      <c r="K1962">
        <f>(FlipkartTable[[#This Row],[Rating]]/FlipkartTable[[#This Row],[Selling Price]])*1000</f>
        <v>0.22790439132851584</v>
      </c>
      <c r="L1962" t="str">
        <f>IF(FlipkartTable[[#This Row],[Selling Price]]&lt;15000,"Budget",IF(FlipkartTable[[#This Row],[Selling Price]]&lt;50000,"Mid Range","Premium"))</f>
        <v>Mid Range</v>
      </c>
      <c r="M1962" t="str">
        <f>IF(FlipkartTable[[#This Row],[Rating]]&gt;4.5,"Excellent",IF(FlipkartTable[[#This Row],[Rating]]&gt;4,"Good",IF(FlipkartTable[[#This Row],[Rating]]&gt;3.5,"Average","Poor")))</f>
        <v>Good</v>
      </c>
    </row>
    <row r="1963" spans="1:13" x14ac:dyDescent="0.35">
      <c r="A1963" t="s">
        <v>663</v>
      </c>
      <c r="B1963" s="9" t="s">
        <v>957</v>
      </c>
      <c r="C1963" t="s">
        <v>963</v>
      </c>
      <c r="D1963" t="s">
        <v>134</v>
      </c>
      <c r="E1963" t="s">
        <v>27</v>
      </c>
      <c r="F1963">
        <v>4</v>
      </c>
      <c r="G1963">
        <v>5999</v>
      </c>
      <c r="H1963">
        <v>5999</v>
      </c>
      <c r="I1963">
        <f>FlipkartTable[[#This Row],[Original Price]]-FlipkartTable[[#This Row],[Selling Price]]</f>
        <v>0</v>
      </c>
      <c r="J1963" s="4">
        <f>(FlipkartTable[[#This Row],[Original Price]]-FlipkartTable[[#This Row],[Selling Price]])/FlipkartTable[[#This Row],[Original Price]]</f>
        <v>0</v>
      </c>
      <c r="K1963">
        <f>(FlipkartTable[[#This Row],[Rating]]/FlipkartTable[[#This Row],[Selling Price]])*1000</f>
        <v>0.66677779629938327</v>
      </c>
      <c r="L1963" t="str">
        <f>IF(FlipkartTable[[#This Row],[Selling Price]]&lt;15000,"Budget",IF(FlipkartTable[[#This Row],[Selling Price]]&lt;50000,"Mid Range","Premium"))</f>
        <v>Budget</v>
      </c>
      <c r="M1963" t="str">
        <f>IF(FlipkartTable[[#This Row],[Rating]]&gt;4.5,"Excellent",IF(FlipkartTable[[#This Row],[Rating]]&gt;4,"Good",IF(FlipkartTable[[#This Row],[Rating]]&gt;3.5,"Average","Poor")))</f>
        <v>Average</v>
      </c>
    </row>
    <row r="1964" spans="1:13" x14ac:dyDescent="0.35">
      <c r="A1964" t="s">
        <v>663</v>
      </c>
      <c r="B1964" s="9" t="s">
        <v>876</v>
      </c>
      <c r="C1964" t="s">
        <v>68</v>
      </c>
      <c r="D1964" t="s">
        <v>14</v>
      </c>
      <c r="E1964" t="s">
        <v>12</v>
      </c>
      <c r="F1964">
        <v>4.5999999999999996</v>
      </c>
      <c r="G1964">
        <v>34899</v>
      </c>
      <c r="H1964">
        <v>74000</v>
      </c>
      <c r="I1964">
        <f>FlipkartTable[[#This Row],[Original Price]]-FlipkartTable[[#This Row],[Selling Price]]</f>
        <v>39101</v>
      </c>
      <c r="J1964" s="4">
        <f>(FlipkartTable[[#This Row],[Original Price]]-FlipkartTable[[#This Row],[Selling Price]])/FlipkartTable[[#This Row],[Original Price]]</f>
        <v>0.52839189189189184</v>
      </c>
      <c r="K1964">
        <f>(FlipkartTable[[#This Row],[Rating]]/FlipkartTable[[#This Row],[Selling Price]])*1000</f>
        <v>0.13180893435341987</v>
      </c>
      <c r="L1964" t="str">
        <f>IF(FlipkartTable[[#This Row],[Selling Price]]&lt;15000,"Budget",IF(FlipkartTable[[#This Row],[Selling Price]]&lt;50000,"Mid Range","Premium"))</f>
        <v>Mid Range</v>
      </c>
      <c r="M1964" t="str">
        <f>IF(FlipkartTable[[#This Row],[Rating]]&gt;4.5,"Excellent",IF(FlipkartTable[[#This Row],[Rating]]&gt;4,"Good",IF(FlipkartTable[[#This Row],[Rating]]&gt;3.5,"Average","Poor")))</f>
        <v>Excellent</v>
      </c>
    </row>
    <row r="1965" spans="1:13" x14ac:dyDescent="0.35">
      <c r="A1965" t="s">
        <v>663</v>
      </c>
      <c r="B1965" s="9" t="s">
        <v>951</v>
      </c>
      <c r="C1965" t="s">
        <v>19</v>
      </c>
      <c r="D1965" t="s">
        <v>284</v>
      </c>
      <c r="E1965" t="s">
        <v>124</v>
      </c>
      <c r="F1965">
        <v>4.2</v>
      </c>
      <c r="G1965">
        <v>9890</v>
      </c>
      <c r="H1965">
        <v>9890</v>
      </c>
      <c r="I1965">
        <f>FlipkartTable[[#This Row],[Original Price]]-FlipkartTable[[#This Row],[Selling Price]]</f>
        <v>0</v>
      </c>
      <c r="J1965" s="4">
        <f>(FlipkartTable[[#This Row],[Original Price]]-FlipkartTable[[#This Row],[Selling Price]])/FlipkartTable[[#This Row],[Original Price]]</f>
        <v>0</v>
      </c>
      <c r="K1965">
        <f>(FlipkartTable[[#This Row],[Rating]]/FlipkartTable[[#This Row],[Selling Price]])*1000</f>
        <v>0.42467138523761377</v>
      </c>
      <c r="L1965" t="str">
        <f>IF(FlipkartTable[[#This Row],[Selling Price]]&lt;15000,"Budget",IF(FlipkartTable[[#This Row],[Selling Price]]&lt;50000,"Mid Range","Premium"))</f>
        <v>Budget</v>
      </c>
      <c r="M1965" t="str">
        <f>IF(FlipkartTable[[#This Row],[Rating]]&gt;4.5,"Excellent",IF(FlipkartTable[[#This Row],[Rating]]&gt;4,"Good",IF(FlipkartTable[[#This Row],[Rating]]&gt;3.5,"Average","Poor")))</f>
        <v>Good</v>
      </c>
    </row>
    <row r="1966" spans="1:13" x14ac:dyDescent="0.35">
      <c r="A1966" t="s">
        <v>663</v>
      </c>
      <c r="B1966" s="9" t="s">
        <v>964</v>
      </c>
      <c r="C1966" t="s">
        <v>152</v>
      </c>
      <c r="D1966" t="s">
        <v>295</v>
      </c>
      <c r="E1966" t="s">
        <v>11</v>
      </c>
      <c r="F1966">
        <v>3.9</v>
      </c>
      <c r="G1966">
        <v>5940</v>
      </c>
      <c r="H1966">
        <v>5940</v>
      </c>
      <c r="I1966">
        <f>FlipkartTable[[#This Row],[Original Price]]-FlipkartTable[[#This Row],[Selling Price]]</f>
        <v>0</v>
      </c>
      <c r="J1966" s="4">
        <f>(FlipkartTable[[#This Row],[Original Price]]-FlipkartTable[[#This Row],[Selling Price]])/FlipkartTable[[#This Row],[Original Price]]</f>
        <v>0</v>
      </c>
      <c r="K1966">
        <f>(FlipkartTable[[#This Row],[Rating]]/FlipkartTable[[#This Row],[Selling Price]])*1000</f>
        <v>0.65656565656565657</v>
      </c>
      <c r="L1966" t="str">
        <f>IF(FlipkartTable[[#This Row],[Selling Price]]&lt;15000,"Budget",IF(FlipkartTable[[#This Row],[Selling Price]]&lt;50000,"Mid Range","Premium"))</f>
        <v>Budget</v>
      </c>
      <c r="M1966" t="str">
        <f>IF(FlipkartTable[[#This Row],[Rating]]&gt;4.5,"Excellent",IF(FlipkartTable[[#This Row],[Rating]]&gt;4,"Good",IF(FlipkartTable[[#This Row],[Rating]]&gt;3.5,"Average","Poor")))</f>
        <v>Average</v>
      </c>
    </row>
    <row r="1967" spans="1:13" x14ac:dyDescent="0.35">
      <c r="A1967" t="s">
        <v>663</v>
      </c>
      <c r="B1967" s="9" t="s">
        <v>789</v>
      </c>
      <c r="C1967" t="s">
        <v>152</v>
      </c>
      <c r="D1967" t="s">
        <v>284</v>
      </c>
      <c r="E1967" t="s">
        <v>27</v>
      </c>
      <c r="F1967">
        <v>4.0999999999999996</v>
      </c>
      <c r="G1967">
        <v>10990</v>
      </c>
      <c r="H1967">
        <v>10990</v>
      </c>
      <c r="I1967">
        <f>FlipkartTable[[#This Row],[Original Price]]-FlipkartTable[[#This Row],[Selling Price]]</f>
        <v>0</v>
      </c>
      <c r="J1967" s="4">
        <f>(FlipkartTable[[#This Row],[Original Price]]-FlipkartTable[[#This Row],[Selling Price]])/FlipkartTable[[#This Row],[Original Price]]</f>
        <v>0</v>
      </c>
      <c r="K1967">
        <f>(FlipkartTable[[#This Row],[Rating]]/FlipkartTable[[#This Row],[Selling Price]])*1000</f>
        <v>0.37306642402183798</v>
      </c>
      <c r="L1967" t="str">
        <f>IF(FlipkartTable[[#This Row],[Selling Price]]&lt;15000,"Budget",IF(FlipkartTable[[#This Row],[Selling Price]]&lt;50000,"Mid Range","Premium"))</f>
        <v>Budget</v>
      </c>
      <c r="M1967" t="str">
        <f>IF(FlipkartTable[[#This Row],[Rating]]&gt;4.5,"Excellent",IF(FlipkartTable[[#This Row],[Rating]]&gt;4,"Good",IF(FlipkartTable[[#This Row],[Rating]]&gt;3.5,"Average","Poor")))</f>
        <v>Good</v>
      </c>
    </row>
    <row r="1968" spans="1:13" x14ac:dyDescent="0.35">
      <c r="A1968" t="s">
        <v>663</v>
      </c>
      <c r="B1968" s="9" t="s">
        <v>910</v>
      </c>
      <c r="C1968" t="s">
        <v>892</v>
      </c>
      <c r="D1968" t="s">
        <v>11</v>
      </c>
      <c r="E1968" t="s">
        <v>21</v>
      </c>
      <c r="F1968">
        <v>4.4000000000000004</v>
      </c>
      <c r="G1968">
        <v>41900</v>
      </c>
      <c r="H1968">
        <v>41900</v>
      </c>
      <c r="I1968">
        <f>FlipkartTable[[#This Row],[Original Price]]-FlipkartTable[[#This Row],[Selling Price]]</f>
        <v>0</v>
      </c>
      <c r="J1968" s="4">
        <f>(FlipkartTable[[#This Row],[Original Price]]-FlipkartTable[[#This Row],[Selling Price]])/FlipkartTable[[#This Row],[Original Price]]</f>
        <v>0</v>
      </c>
      <c r="K1968">
        <f>(FlipkartTable[[#This Row],[Rating]]/FlipkartTable[[#This Row],[Selling Price]])*1000</f>
        <v>0.10501193317422435</v>
      </c>
      <c r="L1968" t="str">
        <f>IF(FlipkartTable[[#This Row],[Selling Price]]&lt;15000,"Budget",IF(FlipkartTable[[#This Row],[Selling Price]]&lt;50000,"Mid Range","Premium"))</f>
        <v>Mid Range</v>
      </c>
      <c r="M1968" t="str">
        <f>IF(FlipkartTable[[#This Row],[Rating]]&gt;4.5,"Excellent",IF(FlipkartTable[[#This Row],[Rating]]&gt;4,"Good",IF(FlipkartTable[[#This Row],[Rating]]&gt;3.5,"Average","Poor")))</f>
        <v>Good</v>
      </c>
    </row>
    <row r="1969" spans="1:13" x14ac:dyDescent="0.35">
      <c r="A1969" t="s">
        <v>663</v>
      </c>
      <c r="B1969" s="9" t="s">
        <v>934</v>
      </c>
      <c r="C1969" t="s">
        <v>170</v>
      </c>
      <c r="D1969" t="s">
        <v>134</v>
      </c>
      <c r="E1969" t="s">
        <v>27</v>
      </c>
      <c r="F1969">
        <v>4.0999999999999996</v>
      </c>
      <c r="G1969">
        <v>6995</v>
      </c>
      <c r="H1969">
        <v>6995</v>
      </c>
      <c r="I1969">
        <f>FlipkartTable[[#This Row],[Original Price]]-FlipkartTable[[#This Row],[Selling Price]]</f>
        <v>0</v>
      </c>
      <c r="J1969" s="4">
        <f>(FlipkartTable[[#This Row],[Original Price]]-FlipkartTable[[#This Row],[Selling Price]])/FlipkartTable[[#This Row],[Original Price]]</f>
        <v>0</v>
      </c>
      <c r="K1969">
        <f>(FlipkartTable[[#This Row],[Rating]]/FlipkartTable[[#This Row],[Selling Price]])*1000</f>
        <v>0.58613295210864902</v>
      </c>
      <c r="L1969" t="str">
        <f>IF(FlipkartTable[[#This Row],[Selling Price]]&lt;15000,"Budget",IF(FlipkartTable[[#This Row],[Selling Price]]&lt;50000,"Mid Range","Premium"))</f>
        <v>Budget</v>
      </c>
      <c r="M1969" t="str">
        <f>IF(FlipkartTable[[#This Row],[Rating]]&gt;4.5,"Excellent",IF(FlipkartTable[[#This Row],[Rating]]&gt;4,"Good",IF(FlipkartTable[[#This Row],[Rating]]&gt;3.5,"Average","Poor")))</f>
        <v>Good</v>
      </c>
    </row>
    <row r="1970" spans="1:13" x14ac:dyDescent="0.35">
      <c r="A1970" t="s">
        <v>663</v>
      </c>
      <c r="B1970" s="9" t="s">
        <v>954</v>
      </c>
      <c r="C1970" t="s">
        <v>795</v>
      </c>
      <c r="D1970" t="s">
        <v>263</v>
      </c>
      <c r="E1970" t="s">
        <v>11</v>
      </c>
      <c r="F1970">
        <v>3.6</v>
      </c>
      <c r="G1970">
        <v>4999</v>
      </c>
      <c r="H1970">
        <v>4999</v>
      </c>
      <c r="I1970">
        <f>FlipkartTable[[#This Row],[Original Price]]-FlipkartTable[[#This Row],[Selling Price]]</f>
        <v>0</v>
      </c>
      <c r="J1970" s="4">
        <f>(FlipkartTable[[#This Row],[Original Price]]-FlipkartTable[[#This Row],[Selling Price]])/FlipkartTable[[#This Row],[Original Price]]</f>
        <v>0</v>
      </c>
      <c r="K1970">
        <f>(FlipkartTable[[#This Row],[Rating]]/FlipkartTable[[#This Row],[Selling Price]])*1000</f>
        <v>0.72014402880576123</v>
      </c>
      <c r="L1970" t="str">
        <f>IF(FlipkartTable[[#This Row],[Selling Price]]&lt;15000,"Budget",IF(FlipkartTable[[#This Row],[Selling Price]]&lt;50000,"Mid Range","Premium"))</f>
        <v>Budget</v>
      </c>
      <c r="M1970" t="str">
        <f>IF(FlipkartTable[[#This Row],[Rating]]&gt;4.5,"Excellent",IF(FlipkartTable[[#This Row],[Rating]]&gt;4,"Good",IF(FlipkartTable[[#This Row],[Rating]]&gt;3.5,"Average","Poor")))</f>
        <v>Average</v>
      </c>
    </row>
    <row r="1971" spans="1:13" x14ac:dyDescent="0.35">
      <c r="A1971" t="s">
        <v>663</v>
      </c>
      <c r="B1971" s="9" t="s">
        <v>953</v>
      </c>
      <c r="C1971" t="s">
        <v>68</v>
      </c>
      <c r="D1971" t="s">
        <v>263</v>
      </c>
      <c r="E1971" t="s">
        <v>11</v>
      </c>
      <c r="F1971">
        <v>3.8</v>
      </c>
      <c r="G1971">
        <v>4299</v>
      </c>
      <c r="H1971">
        <v>4299</v>
      </c>
      <c r="I1971">
        <f>FlipkartTable[[#This Row],[Original Price]]-FlipkartTable[[#This Row],[Selling Price]]</f>
        <v>0</v>
      </c>
      <c r="J1971" s="4">
        <f>(FlipkartTable[[#This Row],[Original Price]]-FlipkartTable[[#This Row],[Selling Price]])/FlipkartTable[[#This Row],[Original Price]]</f>
        <v>0</v>
      </c>
      <c r="K1971">
        <f>(FlipkartTable[[#This Row],[Rating]]/FlipkartTable[[#This Row],[Selling Price]])*1000</f>
        <v>0.88392649453361249</v>
      </c>
      <c r="L1971" t="str">
        <f>IF(FlipkartTable[[#This Row],[Selling Price]]&lt;15000,"Budget",IF(FlipkartTable[[#This Row],[Selling Price]]&lt;50000,"Mid Range","Premium"))</f>
        <v>Budget</v>
      </c>
      <c r="M1971" t="str">
        <f>IF(FlipkartTable[[#This Row],[Rating]]&gt;4.5,"Excellent",IF(FlipkartTable[[#This Row],[Rating]]&gt;4,"Good",IF(FlipkartTable[[#This Row],[Rating]]&gt;3.5,"Average","Poor")))</f>
        <v>Average</v>
      </c>
    </row>
    <row r="1972" spans="1:13" x14ac:dyDescent="0.35">
      <c r="A1972" t="s">
        <v>663</v>
      </c>
      <c r="B1972" s="9" t="s">
        <v>828</v>
      </c>
      <c r="C1972" t="s">
        <v>183</v>
      </c>
      <c r="D1972" t="s">
        <v>14</v>
      </c>
      <c r="E1972" t="s">
        <v>12</v>
      </c>
      <c r="F1972">
        <v>4.3</v>
      </c>
      <c r="G1972">
        <v>16000</v>
      </c>
      <c r="H1972">
        <v>16000</v>
      </c>
      <c r="I1972">
        <f>FlipkartTable[[#This Row],[Original Price]]-FlipkartTable[[#This Row],[Selling Price]]</f>
        <v>0</v>
      </c>
      <c r="J1972" s="4">
        <f>(FlipkartTable[[#This Row],[Original Price]]-FlipkartTable[[#This Row],[Selling Price]])/FlipkartTable[[#This Row],[Original Price]]</f>
        <v>0</v>
      </c>
      <c r="K1972">
        <f>(FlipkartTable[[#This Row],[Rating]]/FlipkartTable[[#This Row],[Selling Price]])*1000</f>
        <v>0.26874999999999999</v>
      </c>
      <c r="L1972" t="str">
        <f>IF(FlipkartTable[[#This Row],[Selling Price]]&lt;15000,"Budget",IF(FlipkartTable[[#This Row],[Selling Price]]&lt;50000,"Mid Range","Premium"))</f>
        <v>Mid Range</v>
      </c>
      <c r="M1972" t="str">
        <f>IF(FlipkartTable[[#This Row],[Rating]]&gt;4.5,"Excellent",IF(FlipkartTable[[#This Row],[Rating]]&gt;4,"Good",IF(FlipkartTable[[#This Row],[Rating]]&gt;3.5,"Average","Poor")))</f>
        <v>Good</v>
      </c>
    </row>
    <row r="1973" spans="1:13" x14ac:dyDescent="0.35">
      <c r="A1973" t="s">
        <v>663</v>
      </c>
      <c r="B1973" s="9" t="s">
        <v>797</v>
      </c>
      <c r="C1973" t="s">
        <v>19</v>
      </c>
      <c r="D1973" t="s">
        <v>20</v>
      </c>
      <c r="E1973" t="s">
        <v>12</v>
      </c>
      <c r="F1973">
        <v>4</v>
      </c>
      <c r="G1973">
        <v>39999</v>
      </c>
      <c r="H1973">
        <v>39999</v>
      </c>
      <c r="I1973">
        <f>FlipkartTable[[#This Row],[Original Price]]-FlipkartTable[[#This Row],[Selling Price]]</f>
        <v>0</v>
      </c>
      <c r="J1973" s="4">
        <f>(FlipkartTable[[#This Row],[Original Price]]-FlipkartTable[[#This Row],[Selling Price]])/FlipkartTable[[#This Row],[Original Price]]</f>
        <v>0</v>
      </c>
      <c r="K1973">
        <f>(FlipkartTable[[#This Row],[Rating]]/FlipkartTable[[#This Row],[Selling Price]])*1000</f>
        <v>0.10000250006250157</v>
      </c>
      <c r="L1973" t="str">
        <f>IF(FlipkartTable[[#This Row],[Selling Price]]&lt;15000,"Budget",IF(FlipkartTable[[#This Row],[Selling Price]]&lt;50000,"Mid Range","Premium"))</f>
        <v>Mid Range</v>
      </c>
      <c r="M1973" t="str">
        <f>IF(FlipkartTable[[#This Row],[Rating]]&gt;4.5,"Excellent",IF(FlipkartTable[[#This Row],[Rating]]&gt;4,"Good",IF(FlipkartTable[[#This Row],[Rating]]&gt;3.5,"Average","Poor")))</f>
        <v>Average</v>
      </c>
    </row>
    <row r="1974" spans="1:13" x14ac:dyDescent="0.35">
      <c r="A1974" t="s">
        <v>663</v>
      </c>
      <c r="B1974" s="9" t="s">
        <v>863</v>
      </c>
      <c r="C1974" t="s">
        <v>19</v>
      </c>
      <c r="D1974" t="s">
        <v>263</v>
      </c>
      <c r="E1974" t="s">
        <v>11</v>
      </c>
      <c r="F1974">
        <v>3.8</v>
      </c>
      <c r="G1974">
        <v>3500</v>
      </c>
      <c r="H1974">
        <v>3500</v>
      </c>
      <c r="I1974">
        <f>FlipkartTable[[#This Row],[Original Price]]-FlipkartTable[[#This Row],[Selling Price]]</f>
        <v>0</v>
      </c>
      <c r="J1974" s="4">
        <f>(FlipkartTable[[#This Row],[Original Price]]-FlipkartTable[[#This Row],[Selling Price]])/FlipkartTable[[#This Row],[Original Price]]</f>
        <v>0</v>
      </c>
      <c r="K1974">
        <f>(FlipkartTable[[#This Row],[Rating]]/FlipkartTable[[#This Row],[Selling Price]])*1000</f>
        <v>1.0857142857142856</v>
      </c>
      <c r="L1974" t="str">
        <f>IF(FlipkartTable[[#This Row],[Selling Price]]&lt;15000,"Budget",IF(FlipkartTable[[#This Row],[Selling Price]]&lt;50000,"Mid Range","Premium"))</f>
        <v>Budget</v>
      </c>
      <c r="M1974" t="str">
        <f>IF(FlipkartTable[[#This Row],[Rating]]&gt;4.5,"Excellent",IF(FlipkartTable[[#This Row],[Rating]]&gt;4,"Good",IF(FlipkartTable[[#This Row],[Rating]]&gt;3.5,"Average","Poor")))</f>
        <v>Average</v>
      </c>
    </row>
    <row r="1975" spans="1:13" x14ac:dyDescent="0.35">
      <c r="A1975" t="s">
        <v>663</v>
      </c>
      <c r="B1975" s="9" t="s">
        <v>954</v>
      </c>
      <c r="C1975" t="s">
        <v>922</v>
      </c>
      <c r="D1975" t="s">
        <v>263</v>
      </c>
      <c r="E1975" t="s">
        <v>11</v>
      </c>
      <c r="F1975">
        <v>3.6</v>
      </c>
      <c r="G1975">
        <v>6999</v>
      </c>
      <c r="H1975">
        <v>8740</v>
      </c>
      <c r="I1975">
        <f>FlipkartTable[[#This Row],[Original Price]]-FlipkartTable[[#This Row],[Selling Price]]</f>
        <v>1741</v>
      </c>
      <c r="J1975" s="4">
        <f>(FlipkartTable[[#This Row],[Original Price]]-FlipkartTable[[#This Row],[Selling Price]])/FlipkartTable[[#This Row],[Original Price]]</f>
        <v>0.19919908466819222</v>
      </c>
      <c r="K1975">
        <f>(FlipkartTable[[#This Row],[Rating]]/FlipkartTable[[#This Row],[Selling Price]])*1000</f>
        <v>0.51435919417059572</v>
      </c>
      <c r="L1975" t="str">
        <f>IF(FlipkartTable[[#This Row],[Selling Price]]&lt;15000,"Budget",IF(FlipkartTable[[#This Row],[Selling Price]]&lt;50000,"Mid Range","Premium"))</f>
        <v>Budget</v>
      </c>
      <c r="M1975" t="str">
        <f>IF(FlipkartTable[[#This Row],[Rating]]&gt;4.5,"Excellent",IF(FlipkartTable[[#This Row],[Rating]]&gt;4,"Good",IF(FlipkartTable[[#This Row],[Rating]]&gt;3.5,"Average","Poor")))</f>
        <v>Average</v>
      </c>
    </row>
    <row r="1976" spans="1:13" x14ac:dyDescent="0.35">
      <c r="A1976" t="s">
        <v>663</v>
      </c>
      <c r="B1976" s="9" t="s">
        <v>916</v>
      </c>
      <c r="C1976" t="s">
        <v>19</v>
      </c>
      <c r="D1976" t="s">
        <v>284</v>
      </c>
      <c r="E1976" t="s">
        <v>124</v>
      </c>
      <c r="F1976">
        <v>4.3</v>
      </c>
      <c r="G1976">
        <v>13499</v>
      </c>
      <c r="H1976">
        <v>13499</v>
      </c>
      <c r="I1976">
        <f>FlipkartTable[[#This Row],[Original Price]]-FlipkartTable[[#This Row],[Selling Price]]</f>
        <v>0</v>
      </c>
      <c r="J1976" s="4">
        <f>(FlipkartTable[[#This Row],[Original Price]]-FlipkartTable[[#This Row],[Selling Price]])/FlipkartTable[[#This Row],[Original Price]]</f>
        <v>0</v>
      </c>
      <c r="K1976">
        <f>(FlipkartTable[[#This Row],[Rating]]/FlipkartTable[[#This Row],[Selling Price]])*1000</f>
        <v>0.31854211423068374</v>
      </c>
      <c r="L1976" t="str">
        <f>IF(FlipkartTable[[#This Row],[Selling Price]]&lt;15000,"Budget",IF(FlipkartTable[[#This Row],[Selling Price]]&lt;50000,"Mid Range","Premium"))</f>
        <v>Budget</v>
      </c>
      <c r="M1976" t="str">
        <f>IF(FlipkartTable[[#This Row],[Rating]]&gt;4.5,"Excellent",IF(FlipkartTable[[#This Row],[Rating]]&gt;4,"Good",IF(FlipkartTable[[#This Row],[Rating]]&gt;3.5,"Average","Poor")))</f>
        <v>Good</v>
      </c>
    </row>
    <row r="1977" spans="1:13" x14ac:dyDescent="0.35">
      <c r="A1977" t="s">
        <v>663</v>
      </c>
      <c r="B1977" s="9" t="s">
        <v>875</v>
      </c>
      <c r="C1977" t="s">
        <v>152</v>
      </c>
      <c r="D1977" t="s">
        <v>35</v>
      </c>
      <c r="E1977" t="s">
        <v>124</v>
      </c>
      <c r="F1977">
        <v>4.3</v>
      </c>
      <c r="G1977">
        <v>12999</v>
      </c>
      <c r="H1977">
        <v>12999</v>
      </c>
      <c r="I1977">
        <f>FlipkartTable[[#This Row],[Original Price]]-FlipkartTable[[#This Row],[Selling Price]]</f>
        <v>0</v>
      </c>
      <c r="J1977" s="4">
        <f>(FlipkartTable[[#This Row],[Original Price]]-FlipkartTable[[#This Row],[Selling Price]])/FlipkartTable[[#This Row],[Original Price]]</f>
        <v>0</v>
      </c>
      <c r="K1977">
        <f>(FlipkartTable[[#This Row],[Rating]]/FlipkartTable[[#This Row],[Selling Price]])*1000</f>
        <v>0.33079467651357791</v>
      </c>
      <c r="L1977" t="str">
        <f>IF(FlipkartTable[[#This Row],[Selling Price]]&lt;15000,"Budget",IF(FlipkartTable[[#This Row],[Selling Price]]&lt;50000,"Mid Range","Premium"))</f>
        <v>Budget</v>
      </c>
      <c r="M1977" t="str">
        <f>IF(FlipkartTable[[#This Row],[Rating]]&gt;4.5,"Excellent",IF(FlipkartTable[[#This Row],[Rating]]&gt;4,"Good",IF(FlipkartTable[[#This Row],[Rating]]&gt;3.5,"Average","Poor")))</f>
        <v>Good</v>
      </c>
    </row>
    <row r="1978" spans="1:13" x14ac:dyDescent="0.35">
      <c r="A1978" t="s">
        <v>663</v>
      </c>
      <c r="B1978" s="9" t="s">
        <v>965</v>
      </c>
      <c r="C1978" t="s">
        <v>966</v>
      </c>
      <c r="D1978" t="s">
        <v>263</v>
      </c>
      <c r="E1978" t="s">
        <v>11</v>
      </c>
      <c r="F1978">
        <v>3.9</v>
      </c>
      <c r="G1978">
        <v>5000</v>
      </c>
      <c r="H1978">
        <v>5000</v>
      </c>
      <c r="I1978">
        <f>FlipkartTable[[#This Row],[Original Price]]-FlipkartTable[[#This Row],[Selling Price]]</f>
        <v>0</v>
      </c>
      <c r="J1978" s="4">
        <f>(FlipkartTable[[#This Row],[Original Price]]-FlipkartTable[[#This Row],[Selling Price]])/FlipkartTable[[#This Row],[Original Price]]</f>
        <v>0</v>
      </c>
      <c r="K1978">
        <f>(FlipkartTable[[#This Row],[Rating]]/FlipkartTable[[#This Row],[Selling Price]])*1000</f>
        <v>0.78</v>
      </c>
      <c r="L1978" t="str">
        <f>IF(FlipkartTable[[#This Row],[Selling Price]]&lt;15000,"Budget",IF(FlipkartTable[[#This Row],[Selling Price]]&lt;50000,"Mid Range","Premium"))</f>
        <v>Budget</v>
      </c>
      <c r="M1978" t="str">
        <f>IF(FlipkartTable[[#This Row],[Rating]]&gt;4.5,"Excellent",IF(FlipkartTable[[#This Row],[Rating]]&gt;4,"Good",IF(FlipkartTable[[#This Row],[Rating]]&gt;3.5,"Average","Poor")))</f>
        <v>Average</v>
      </c>
    </row>
    <row r="1979" spans="1:13" x14ac:dyDescent="0.35">
      <c r="A1979" t="s">
        <v>663</v>
      </c>
      <c r="B1979" s="9" t="s">
        <v>967</v>
      </c>
      <c r="C1979" t="s">
        <v>968</v>
      </c>
      <c r="D1979" t="s">
        <v>263</v>
      </c>
      <c r="E1979" t="s">
        <v>11</v>
      </c>
      <c r="F1979">
        <v>4</v>
      </c>
      <c r="G1979">
        <v>5999</v>
      </c>
      <c r="H1979">
        <v>5999</v>
      </c>
      <c r="I1979">
        <f>FlipkartTable[[#This Row],[Original Price]]-FlipkartTable[[#This Row],[Selling Price]]</f>
        <v>0</v>
      </c>
      <c r="J1979" s="4">
        <f>(FlipkartTable[[#This Row],[Original Price]]-FlipkartTable[[#This Row],[Selling Price]])/FlipkartTable[[#This Row],[Original Price]]</f>
        <v>0</v>
      </c>
      <c r="K1979">
        <f>(FlipkartTable[[#This Row],[Rating]]/FlipkartTable[[#This Row],[Selling Price]])*1000</f>
        <v>0.66677779629938327</v>
      </c>
      <c r="L1979" t="str">
        <f>IF(FlipkartTable[[#This Row],[Selling Price]]&lt;15000,"Budget",IF(FlipkartTable[[#This Row],[Selling Price]]&lt;50000,"Mid Range","Premium"))</f>
        <v>Budget</v>
      </c>
      <c r="M1979" t="str">
        <f>IF(FlipkartTable[[#This Row],[Rating]]&gt;4.5,"Excellent",IF(FlipkartTable[[#This Row],[Rating]]&gt;4,"Good",IF(FlipkartTable[[#This Row],[Rating]]&gt;3.5,"Average","Poor")))</f>
        <v>Average</v>
      </c>
    </row>
    <row r="1980" spans="1:13" x14ac:dyDescent="0.35">
      <c r="A1980" t="s">
        <v>663</v>
      </c>
      <c r="B1980" s="9" t="s">
        <v>969</v>
      </c>
      <c r="C1980" t="s">
        <v>152</v>
      </c>
      <c r="D1980" t="s">
        <v>284</v>
      </c>
      <c r="E1980" t="s">
        <v>27</v>
      </c>
      <c r="F1980">
        <v>3.8</v>
      </c>
      <c r="G1980">
        <v>19999</v>
      </c>
      <c r="H1980">
        <v>19999</v>
      </c>
      <c r="I1980">
        <f>FlipkartTable[[#This Row],[Original Price]]-FlipkartTable[[#This Row],[Selling Price]]</f>
        <v>0</v>
      </c>
      <c r="J1980" s="4">
        <f>(FlipkartTable[[#This Row],[Original Price]]-FlipkartTable[[#This Row],[Selling Price]])/FlipkartTable[[#This Row],[Original Price]]</f>
        <v>0</v>
      </c>
      <c r="K1980">
        <f>(FlipkartTable[[#This Row],[Rating]]/FlipkartTable[[#This Row],[Selling Price]])*1000</f>
        <v>0.19000950047502374</v>
      </c>
      <c r="L1980" t="str">
        <f>IF(FlipkartTable[[#This Row],[Selling Price]]&lt;15000,"Budget",IF(FlipkartTable[[#This Row],[Selling Price]]&lt;50000,"Mid Range","Premium"))</f>
        <v>Mid Range</v>
      </c>
      <c r="M1980" t="str">
        <f>IF(FlipkartTable[[#This Row],[Rating]]&gt;4.5,"Excellent",IF(FlipkartTable[[#This Row],[Rating]]&gt;4,"Good",IF(FlipkartTable[[#This Row],[Rating]]&gt;3.5,"Average","Poor")))</f>
        <v>Average</v>
      </c>
    </row>
    <row r="1981" spans="1:13" x14ac:dyDescent="0.35">
      <c r="A1981" t="s">
        <v>663</v>
      </c>
      <c r="B1981" s="9" t="s">
        <v>964</v>
      </c>
      <c r="C1981" t="s">
        <v>19</v>
      </c>
      <c r="D1981" t="s">
        <v>295</v>
      </c>
      <c r="E1981" t="s">
        <v>11</v>
      </c>
      <c r="F1981">
        <v>3.9</v>
      </c>
      <c r="G1981">
        <v>5920</v>
      </c>
      <c r="H1981">
        <v>5920</v>
      </c>
      <c r="I1981">
        <f>FlipkartTable[[#This Row],[Original Price]]-FlipkartTable[[#This Row],[Selling Price]]</f>
        <v>0</v>
      </c>
      <c r="J1981" s="4">
        <f>(FlipkartTable[[#This Row],[Original Price]]-FlipkartTable[[#This Row],[Selling Price]])/FlipkartTable[[#This Row],[Original Price]]</f>
        <v>0</v>
      </c>
      <c r="K1981">
        <f>(FlipkartTable[[#This Row],[Rating]]/FlipkartTable[[#This Row],[Selling Price]])*1000</f>
        <v>0.65878378378378377</v>
      </c>
      <c r="L1981" t="str">
        <f>IF(FlipkartTable[[#This Row],[Selling Price]]&lt;15000,"Budget",IF(FlipkartTable[[#This Row],[Selling Price]]&lt;50000,"Mid Range","Premium"))</f>
        <v>Budget</v>
      </c>
      <c r="M1981" t="str">
        <f>IF(FlipkartTable[[#This Row],[Rating]]&gt;4.5,"Excellent",IF(FlipkartTable[[#This Row],[Rating]]&gt;4,"Good",IF(FlipkartTable[[#This Row],[Rating]]&gt;3.5,"Average","Poor")))</f>
        <v>Average</v>
      </c>
    </row>
    <row r="1982" spans="1:13" x14ac:dyDescent="0.35">
      <c r="A1982" t="s">
        <v>663</v>
      </c>
      <c r="B1982" s="9" t="s">
        <v>967</v>
      </c>
      <c r="C1982" t="s">
        <v>19</v>
      </c>
      <c r="D1982" t="s">
        <v>263</v>
      </c>
      <c r="E1982" t="s">
        <v>11</v>
      </c>
      <c r="F1982">
        <v>4</v>
      </c>
      <c r="G1982">
        <v>5999</v>
      </c>
      <c r="H1982">
        <v>5999</v>
      </c>
      <c r="I1982">
        <f>FlipkartTable[[#This Row],[Original Price]]-FlipkartTable[[#This Row],[Selling Price]]</f>
        <v>0</v>
      </c>
      <c r="J1982" s="4">
        <f>(FlipkartTable[[#This Row],[Original Price]]-FlipkartTable[[#This Row],[Selling Price]])/FlipkartTable[[#This Row],[Original Price]]</f>
        <v>0</v>
      </c>
      <c r="K1982">
        <f>(FlipkartTable[[#This Row],[Rating]]/FlipkartTable[[#This Row],[Selling Price]])*1000</f>
        <v>0.66677779629938327</v>
      </c>
      <c r="L1982" t="str">
        <f>IF(FlipkartTable[[#This Row],[Selling Price]]&lt;15000,"Budget",IF(FlipkartTable[[#This Row],[Selling Price]]&lt;50000,"Mid Range","Premium"))</f>
        <v>Budget</v>
      </c>
      <c r="M1982" t="str">
        <f>IF(FlipkartTable[[#This Row],[Rating]]&gt;4.5,"Excellent",IF(FlipkartTable[[#This Row],[Rating]]&gt;4,"Good",IF(FlipkartTable[[#This Row],[Rating]]&gt;3.5,"Average","Poor")))</f>
        <v>Average</v>
      </c>
    </row>
    <row r="1983" spans="1:13" x14ac:dyDescent="0.35">
      <c r="A1983" t="s">
        <v>663</v>
      </c>
      <c r="B1983" s="9" t="s">
        <v>894</v>
      </c>
      <c r="C1983" t="s">
        <v>152</v>
      </c>
      <c r="D1983" t="s">
        <v>35</v>
      </c>
      <c r="E1983" t="s">
        <v>124</v>
      </c>
      <c r="F1983">
        <v>4.2</v>
      </c>
      <c r="G1983">
        <v>11250</v>
      </c>
      <c r="H1983">
        <v>11250</v>
      </c>
      <c r="I1983">
        <f>FlipkartTable[[#This Row],[Original Price]]-FlipkartTable[[#This Row],[Selling Price]]</f>
        <v>0</v>
      </c>
      <c r="J1983" s="4">
        <f>(FlipkartTable[[#This Row],[Original Price]]-FlipkartTable[[#This Row],[Selling Price]])/FlipkartTable[[#This Row],[Original Price]]</f>
        <v>0</v>
      </c>
      <c r="K1983">
        <f>(FlipkartTable[[#This Row],[Rating]]/FlipkartTable[[#This Row],[Selling Price]])*1000</f>
        <v>0.37333333333333335</v>
      </c>
      <c r="L1983" t="str">
        <f>IF(FlipkartTable[[#This Row],[Selling Price]]&lt;15000,"Budget",IF(FlipkartTable[[#This Row],[Selling Price]]&lt;50000,"Mid Range","Premium"))</f>
        <v>Budget</v>
      </c>
      <c r="M1983" t="str">
        <f>IF(FlipkartTable[[#This Row],[Rating]]&gt;4.5,"Excellent",IF(FlipkartTable[[#This Row],[Rating]]&gt;4,"Good",IF(FlipkartTable[[#This Row],[Rating]]&gt;3.5,"Average","Poor")))</f>
        <v>Good</v>
      </c>
    </row>
    <row r="1984" spans="1:13" x14ac:dyDescent="0.35">
      <c r="A1984" t="s">
        <v>663</v>
      </c>
      <c r="B1984" s="9" t="s">
        <v>949</v>
      </c>
      <c r="C1984" t="s">
        <v>919</v>
      </c>
      <c r="D1984" t="s">
        <v>11</v>
      </c>
      <c r="E1984" t="s">
        <v>21</v>
      </c>
      <c r="F1984">
        <v>4.4000000000000004</v>
      </c>
      <c r="G1984">
        <v>24999</v>
      </c>
      <c r="H1984">
        <v>24999</v>
      </c>
      <c r="I1984">
        <f>FlipkartTable[[#This Row],[Original Price]]-FlipkartTable[[#This Row],[Selling Price]]</f>
        <v>0</v>
      </c>
      <c r="J1984" s="4">
        <f>(FlipkartTable[[#This Row],[Original Price]]-FlipkartTable[[#This Row],[Selling Price]])/FlipkartTable[[#This Row],[Original Price]]</f>
        <v>0</v>
      </c>
      <c r="K1984">
        <f>(FlipkartTable[[#This Row],[Rating]]/FlipkartTable[[#This Row],[Selling Price]])*1000</f>
        <v>0.17600704028161127</v>
      </c>
      <c r="L1984" t="str">
        <f>IF(FlipkartTable[[#This Row],[Selling Price]]&lt;15000,"Budget",IF(FlipkartTable[[#This Row],[Selling Price]]&lt;50000,"Mid Range","Premium"))</f>
        <v>Mid Range</v>
      </c>
      <c r="M1984" t="str">
        <f>IF(FlipkartTable[[#This Row],[Rating]]&gt;4.5,"Excellent",IF(FlipkartTable[[#This Row],[Rating]]&gt;4,"Good",IF(FlipkartTable[[#This Row],[Rating]]&gt;3.5,"Average","Poor")))</f>
        <v>Good</v>
      </c>
    </row>
    <row r="1985" spans="1:13" x14ac:dyDescent="0.35">
      <c r="A1985" t="s">
        <v>663</v>
      </c>
      <c r="B1985" s="9" t="s">
        <v>880</v>
      </c>
      <c r="C1985" t="s">
        <v>19</v>
      </c>
      <c r="D1985" t="s">
        <v>134</v>
      </c>
      <c r="E1985" t="s">
        <v>27</v>
      </c>
      <c r="F1985">
        <v>3.3</v>
      </c>
      <c r="G1985">
        <v>4999</v>
      </c>
      <c r="H1985">
        <v>4999</v>
      </c>
      <c r="I1985">
        <f>FlipkartTable[[#This Row],[Original Price]]-FlipkartTable[[#This Row],[Selling Price]]</f>
        <v>0</v>
      </c>
      <c r="J1985" s="4">
        <f>(FlipkartTable[[#This Row],[Original Price]]-FlipkartTable[[#This Row],[Selling Price]])/FlipkartTable[[#This Row],[Original Price]]</f>
        <v>0</v>
      </c>
      <c r="K1985">
        <f>(FlipkartTable[[#This Row],[Rating]]/FlipkartTable[[#This Row],[Selling Price]])*1000</f>
        <v>0.66013202640528101</v>
      </c>
      <c r="L1985" t="str">
        <f>IF(FlipkartTable[[#This Row],[Selling Price]]&lt;15000,"Budget",IF(FlipkartTable[[#This Row],[Selling Price]]&lt;50000,"Mid Range","Premium"))</f>
        <v>Budget</v>
      </c>
      <c r="M1985" t="str">
        <f>IF(FlipkartTable[[#This Row],[Rating]]&gt;4.5,"Excellent",IF(FlipkartTable[[#This Row],[Rating]]&gt;4,"Good",IF(FlipkartTable[[#This Row],[Rating]]&gt;3.5,"Average","Poor")))</f>
        <v>Poor</v>
      </c>
    </row>
    <row r="1986" spans="1:13" x14ac:dyDescent="0.35">
      <c r="A1986" t="s">
        <v>663</v>
      </c>
      <c r="B1986" s="9" t="s">
        <v>970</v>
      </c>
      <c r="C1986" t="s">
        <v>141</v>
      </c>
      <c r="D1986" t="s">
        <v>134</v>
      </c>
      <c r="E1986" t="s">
        <v>27</v>
      </c>
      <c r="F1986">
        <v>3.9</v>
      </c>
      <c r="G1986">
        <v>8250</v>
      </c>
      <c r="H1986">
        <v>8250</v>
      </c>
      <c r="I1986">
        <f>FlipkartTable[[#This Row],[Original Price]]-FlipkartTable[[#This Row],[Selling Price]]</f>
        <v>0</v>
      </c>
      <c r="J1986" s="4">
        <f>(FlipkartTable[[#This Row],[Original Price]]-FlipkartTable[[#This Row],[Selling Price]])/FlipkartTable[[#This Row],[Original Price]]</f>
        <v>0</v>
      </c>
      <c r="K1986">
        <f>(FlipkartTable[[#This Row],[Rating]]/FlipkartTable[[#This Row],[Selling Price]])*1000</f>
        <v>0.47272727272727272</v>
      </c>
      <c r="L1986" t="str">
        <f>IF(FlipkartTable[[#This Row],[Selling Price]]&lt;15000,"Budget",IF(FlipkartTable[[#This Row],[Selling Price]]&lt;50000,"Mid Range","Premium"))</f>
        <v>Budget</v>
      </c>
      <c r="M1986" t="str">
        <f>IF(FlipkartTable[[#This Row],[Rating]]&gt;4.5,"Excellent",IF(FlipkartTable[[#This Row],[Rating]]&gt;4,"Good",IF(FlipkartTable[[#This Row],[Rating]]&gt;3.5,"Average","Poor")))</f>
        <v>Average</v>
      </c>
    </row>
    <row r="1987" spans="1:13" x14ac:dyDescent="0.35">
      <c r="A1987" t="s">
        <v>663</v>
      </c>
      <c r="B1987" s="9" t="s">
        <v>943</v>
      </c>
      <c r="C1987" t="s">
        <v>892</v>
      </c>
      <c r="D1987" t="s">
        <v>20</v>
      </c>
      <c r="E1987" t="s">
        <v>21</v>
      </c>
      <c r="F1987">
        <v>4</v>
      </c>
      <c r="G1987">
        <v>33900</v>
      </c>
      <c r="H1987">
        <v>33900</v>
      </c>
      <c r="I1987">
        <f>FlipkartTable[[#This Row],[Original Price]]-FlipkartTable[[#This Row],[Selling Price]]</f>
        <v>0</v>
      </c>
      <c r="J1987" s="4">
        <f>(FlipkartTable[[#This Row],[Original Price]]-FlipkartTable[[#This Row],[Selling Price]])/FlipkartTable[[#This Row],[Original Price]]</f>
        <v>0</v>
      </c>
      <c r="K1987">
        <f>(FlipkartTable[[#This Row],[Rating]]/FlipkartTable[[#This Row],[Selling Price]])*1000</f>
        <v>0.11799410029498526</v>
      </c>
      <c r="L1987" t="str">
        <f>IF(FlipkartTable[[#This Row],[Selling Price]]&lt;15000,"Budget",IF(FlipkartTable[[#This Row],[Selling Price]]&lt;50000,"Mid Range","Premium"))</f>
        <v>Mid Range</v>
      </c>
      <c r="M1987" t="str">
        <f>IF(FlipkartTable[[#This Row],[Rating]]&gt;4.5,"Excellent",IF(FlipkartTable[[#This Row],[Rating]]&gt;4,"Good",IF(FlipkartTable[[#This Row],[Rating]]&gt;3.5,"Average","Poor")))</f>
        <v>Average</v>
      </c>
    </row>
    <row r="1988" spans="1:13" x14ac:dyDescent="0.35">
      <c r="A1988" t="s">
        <v>663</v>
      </c>
      <c r="B1988" s="9" t="s">
        <v>971</v>
      </c>
      <c r="C1988" t="s">
        <v>972</v>
      </c>
      <c r="D1988" t="s">
        <v>11</v>
      </c>
      <c r="E1988" t="s">
        <v>15</v>
      </c>
      <c r="F1988">
        <v>4.3</v>
      </c>
      <c r="G1988">
        <v>36900</v>
      </c>
      <c r="H1988">
        <v>36900</v>
      </c>
      <c r="I1988">
        <f>FlipkartTable[[#This Row],[Original Price]]-FlipkartTable[[#This Row],[Selling Price]]</f>
        <v>0</v>
      </c>
      <c r="J1988" s="4">
        <f>(FlipkartTable[[#This Row],[Original Price]]-FlipkartTable[[#This Row],[Selling Price]])/FlipkartTable[[#This Row],[Original Price]]</f>
        <v>0</v>
      </c>
      <c r="K1988">
        <f>(FlipkartTable[[#This Row],[Rating]]/FlipkartTable[[#This Row],[Selling Price]])*1000</f>
        <v>0.11653116531165311</v>
      </c>
      <c r="L1988" t="str">
        <f>IF(FlipkartTable[[#This Row],[Selling Price]]&lt;15000,"Budget",IF(FlipkartTable[[#This Row],[Selling Price]]&lt;50000,"Mid Range","Premium"))</f>
        <v>Mid Range</v>
      </c>
      <c r="M1988" t="str">
        <f>IF(FlipkartTable[[#This Row],[Rating]]&gt;4.5,"Excellent",IF(FlipkartTable[[#This Row],[Rating]]&gt;4,"Good",IF(FlipkartTable[[#This Row],[Rating]]&gt;3.5,"Average","Poor")))</f>
        <v>Good</v>
      </c>
    </row>
    <row r="1989" spans="1:13" x14ac:dyDescent="0.35">
      <c r="A1989" t="s">
        <v>663</v>
      </c>
      <c r="B1989" s="9" t="s">
        <v>973</v>
      </c>
      <c r="C1989" t="s">
        <v>885</v>
      </c>
      <c r="D1989" t="s">
        <v>11</v>
      </c>
      <c r="E1989" t="s">
        <v>21</v>
      </c>
      <c r="F1989">
        <v>4.2</v>
      </c>
      <c r="G1989">
        <v>34999</v>
      </c>
      <c r="H1989">
        <v>34999</v>
      </c>
      <c r="I1989">
        <f>FlipkartTable[[#This Row],[Original Price]]-FlipkartTable[[#This Row],[Selling Price]]</f>
        <v>0</v>
      </c>
      <c r="J1989" s="4">
        <f>(FlipkartTable[[#This Row],[Original Price]]-FlipkartTable[[#This Row],[Selling Price]])/FlipkartTable[[#This Row],[Original Price]]</f>
        <v>0</v>
      </c>
      <c r="K1989">
        <f>(FlipkartTable[[#This Row],[Rating]]/FlipkartTable[[#This Row],[Selling Price]])*1000</f>
        <v>0.12000342866939057</v>
      </c>
      <c r="L1989" t="str">
        <f>IF(FlipkartTable[[#This Row],[Selling Price]]&lt;15000,"Budget",IF(FlipkartTable[[#This Row],[Selling Price]]&lt;50000,"Mid Range","Premium"))</f>
        <v>Mid Range</v>
      </c>
      <c r="M1989" t="str">
        <f>IF(FlipkartTable[[#This Row],[Rating]]&gt;4.5,"Excellent",IF(FlipkartTable[[#This Row],[Rating]]&gt;4,"Good",IF(FlipkartTable[[#This Row],[Rating]]&gt;3.5,"Average","Poor")))</f>
        <v>Good</v>
      </c>
    </row>
    <row r="1990" spans="1:13" x14ac:dyDescent="0.35">
      <c r="A1990" t="s">
        <v>663</v>
      </c>
      <c r="B1990" s="9" t="s">
        <v>973</v>
      </c>
      <c r="C1990" t="s">
        <v>892</v>
      </c>
      <c r="D1990" t="s">
        <v>11</v>
      </c>
      <c r="E1990" t="s">
        <v>21</v>
      </c>
      <c r="F1990">
        <v>4.2</v>
      </c>
      <c r="G1990">
        <v>28000</v>
      </c>
      <c r="H1990">
        <v>61988</v>
      </c>
      <c r="I1990">
        <f>FlipkartTable[[#This Row],[Original Price]]-FlipkartTable[[#This Row],[Selling Price]]</f>
        <v>33988</v>
      </c>
      <c r="J1990" s="4">
        <f>(FlipkartTable[[#This Row],[Original Price]]-FlipkartTable[[#This Row],[Selling Price]])/FlipkartTable[[#This Row],[Original Price]]</f>
        <v>0.54829967090404597</v>
      </c>
      <c r="K1990">
        <f>(FlipkartTable[[#This Row],[Rating]]/FlipkartTable[[#This Row],[Selling Price]])*1000</f>
        <v>0.15000000000000002</v>
      </c>
      <c r="L1990" t="str">
        <f>IF(FlipkartTable[[#This Row],[Selling Price]]&lt;15000,"Budget",IF(FlipkartTable[[#This Row],[Selling Price]]&lt;50000,"Mid Range","Premium"))</f>
        <v>Mid Range</v>
      </c>
      <c r="M1990" t="str">
        <f>IF(FlipkartTable[[#This Row],[Rating]]&gt;4.5,"Excellent",IF(FlipkartTable[[#This Row],[Rating]]&gt;4,"Good",IF(FlipkartTable[[#This Row],[Rating]]&gt;3.5,"Average","Poor")))</f>
        <v>Good</v>
      </c>
    </row>
    <row r="1991" spans="1:13" x14ac:dyDescent="0.35">
      <c r="A1991" t="s">
        <v>663</v>
      </c>
      <c r="B1991" s="9" t="s">
        <v>910</v>
      </c>
      <c r="C1991" t="s">
        <v>974</v>
      </c>
      <c r="D1991" t="s">
        <v>11</v>
      </c>
      <c r="E1991" t="s">
        <v>21</v>
      </c>
      <c r="F1991">
        <v>4.4000000000000004</v>
      </c>
      <c r="G1991">
        <v>36900</v>
      </c>
      <c r="H1991">
        <v>36900</v>
      </c>
      <c r="I1991">
        <f>FlipkartTable[[#This Row],[Original Price]]-FlipkartTable[[#This Row],[Selling Price]]</f>
        <v>0</v>
      </c>
      <c r="J1991" s="4">
        <f>(FlipkartTable[[#This Row],[Original Price]]-FlipkartTable[[#This Row],[Selling Price]])/FlipkartTable[[#This Row],[Original Price]]</f>
        <v>0</v>
      </c>
      <c r="K1991">
        <f>(FlipkartTable[[#This Row],[Rating]]/FlipkartTable[[#This Row],[Selling Price]])*1000</f>
        <v>0.11924119241192413</v>
      </c>
      <c r="L1991" t="str">
        <f>IF(FlipkartTable[[#This Row],[Selling Price]]&lt;15000,"Budget",IF(FlipkartTable[[#This Row],[Selling Price]]&lt;50000,"Mid Range","Premium"))</f>
        <v>Mid Range</v>
      </c>
      <c r="M1991" t="str">
        <f>IF(FlipkartTable[[#This Row],[Rating]]&gt;4.5,"Excellent",IF(FlipkartTable[[#This Row],[Rating]]&gt;4,"Good",IF(FlipkartTable[[#This Row],[Rating]]&gt;3.5,"Average","Poor")))</f>
        <v>Good</v>
      </c>
    </row>
    <row r="1992" spans="1:13" x14ac:dyDescent="0.35">
      <c r="A1992" t="s">
        <v>975</v>
      </c>
      <c r="B1992" s="9" t="s">
        <v>976</v>
      </c>
      <c r="C1992" t="s">
        <v>19</v>
      </c>
      <c r="D1992" t="s">
        <v>35</v>
      </c>
      <c r="E1992" t="s">
        <v>124</v>
      </c>
      <c r="F1992">
        <v>4</v>
      </c>
      <c r="G1992">
        <v>7999</v>
      </c>
      <c r="H1992">
        <v>7999</v>
      </c>
      <c r="I1992">
        <f>FlipkartTable[[#This Row],[Original Price]]-FlipkartTable[[#This Row],[Selling Price]]</f>
        <v>0</v>
      </c>
      <c r="J1992" s="4">
        <f>(FlipkartTable[[#This Row],[Original Price]]-FlipkartTable[[#This Row],[Selling Price]])/FlipkartTable[[#This Row],[Original Price]]</f>
        <v>0</v>
      </c>
      <c r="K1992">
        <f>(FlipkartTable[[#This Row],[Rating]]/FlipkartTable[[#This Row],[Selling Price]])*1000</f>
        <v>0.50006250781347672</v>
      </c>
      <c r="L1992" t="str">
        <f>IF(FlipkartTable[[#This Row],[Selling Price]]&lt;15000,"Budget",IF(FlipkartTable[[#This Row],[Selling Price]]&lt;50000,"Mid Range","Premium"))</f>
        <v>Budget</v>
      </c>
      <c r="M1992" t="str">
        <f>IF(FlipkartTable[[#This Row],[Rating]]&gt;4.5,"Excellent",IF(FlipkartTable[[#This Row],[Rating]]&gt;4,"Good",IF(FlipkartTable[[#This Row],[Rating]]&gt;3.5,"Average","Poor")))</f>
        <v>Average</v>
      </c>
    </row>
    <row r="1993" spans="1:13" x14ac:dyDescent="0.35">
      <c r="A1993" t="s">
        <v>975</v>
      </c>
      <c r="B1993" s="9" t="s">
        <v>977</v>
      </c>
      <c r="C1993" t="s">
        <v>978</v>
      </c>
      <c r="D1993" t="s">
        <v>20</v>
      </c>
      <c r="E1993" t="s">
        <v>21</v>
      </c>
      <c r="F1993">
        <v>4.2</v>
      </c>
      <c r="G1993">
        <v>10999</v>
      </c>
      <c r="H1993">
        <v>10999</v>
      </c>
      <c r="I1993">
        <f>FlipkartTable[[#This Row],[Original Price]]-FlipkartTable[[#This Row],[Selling Price]]</f>
        <v>0</v>
      </c>
      <c r="J1993" s="4">
        <f>(FlipkartTable[[#This Row],[Original Price]]-FlipkartTable[[#This Row],[Selling Price]])/FlipkartTable[[#This Row],[Original Price]]</f>
        <v>0</v>
      </c>
      <c r="K1993">
        <f>(FlipkartTable[[#This Row],[Rating]]/FlipkartTable[[#This Row],[Selling Price]])*1000</f>
        <v>0.38185289571779252</v>
      </c>
      <c r="L1993" t="str">
        <f>IF(FlipkartTable[[#This Row],[Selling Price]]&lt;15000,"Budget",IF(FlipkartTable[[#This Row],[Selling Price]]&lt;50000,"Mid Range","Premium"))</f>
        <v>Budget</v>
      </c>
      <c r="M1993" t="str">
        <f>IF(FlipkartTable[[#This Row],[Rating]]&gt;4.5,"Excellent",IF(FlipkartTable[[#This Row],[Rating]]&gt;4,"Good",IF(FlipkartTable[[#This Row],[Rating]]&gt;3.5,"Average","Poor")))</f>
        <v>Good</v>
      </c>
    </row>
    <row r="1994" spans="1:13" x14ac:dyDescent="0.35">
      <c r="A1994" t="s">
        <v>975</v>
      </c>
      <c r="B1994" s="9" t="s">
        <v>979</v>
      </c>
      <c r="C1994" t="s">
        <v>329</v>
      </c>
      <c r="D1994" t="s">
        <v>35</v>
      </c>
      <c r="E1994" t="s">
        <v>124</v>
      </c>
      <c r="F1994">
        <v>4</v>
      </c>
      <c r="G1994">
        <v>7999</v>
      </c>
      <c r="H1994">
        <v>7999</v>
      </c>
      <c r="I1994">
        <f>FlipkartTable[[#This Row],[Original Price]]-FlipkartTable[[#This Row],[Selling Price]]</f>
        <v>0</v>
      </c>
      <c r="J1994" s="4">
        <f>(FlipkartTable[[#This Row],[Original Price]]-FlipkartTable[[#This Row],[Selling Price]])/FlipkartTable[[#This Row],[Original Price]]</f>
        <v>0</v>
      </c>
      <c r="K1994">
        <f>(FlipkartTable[[#This Row],[Rating]]/FlipkartTable[[#This Row],[Selling Price]])*1000</f>
        <v>0.50006250781347672</v>
      </c>
      <c r="L1994" t="str">
        <f>IF(FlipkartTable[[#This Row],[Selling Price]]&lt;15000,"Budget",IF(FlipkartTable[[#This Row],[Selling Price]]&lt;50000,"Mid Range","Premium"))</f>
        <v>Budget</v>
      </c>
      <c r="M1994" t="str">
        <f>IF(FlipkartTable[[#This Row],[Rating]]&gt;4.5,"Excellent",IF(FlipkartTable[[#This Row],[Rating]]&gt;4,"Good",IF(FlipkartTable[[#This Row],[Rating]]&gt;3.5,"Average","Poor")))</f>
        <v>Average</v>
      </c>
    </row>
    <row r="1995" spans="1:13" x14ac:dyDescent="0.35">
      <c r="A1995" t="s">
        <v>975</v>
      </c>
      <c r="B1995" s="9" t="s">
        <v>980</v>
      </c>
      <c r="C1995" t="s">
        <v>170</v>
      </c>
      <c r="D1995" t="s">
        <v>134</v>
      </c>
      <c r="E1995" t="s">
        <v>27</v>
      </c>
      <c r="F1995">
        <v>4.3</v>
      </c>
      <c r="G1995">
        <v>13604</v>
      </c>
      <c r="H1995">
        <v>13604</v>
      </c>
      <c r="I1995">
        <f>FlipkartTable[[#This Row],[Original Price]]-FlipkartTable[[#This Row],[Selling Price]]</f>
        <v>0</v>
      </c>
      <c r="J1995" s="4">
        <f>(FlipkartTable[[#This Row],[Original Price]]-FlipkartTable[[#This Row],[Selling Price]])/FlipkartTable[[#This Row],[Original Price]]</f>
        <v>0</v>
      </c>
      <c r="K1995">
        <f>(FlipkartTable[[#This Row],[Rating]]/FlipkartTable[[#This Row],[Selling Price]])*1000</f>
        <v>0.31608350485151426</v>
      </c>
      <c r="L1995" t="str">
        <f>IF(FlipkartTable[[#This Row],[Selling Price]]&lt;15000,"Budget",IF(FlipkartTable[[#This Row],[Selling Price]]&lt;50000,"Mid Range","Premium"))</f>
        <v>Budget</v>
      </c>
      <c r="M1995" t="str">
        <f>IF(FlipkartTable[[#This Row],[Rating]]&gt;4.5,"Excellent",IF(FlipkartTable[[#This Row],[Rating]]&gt;4,"Good",IF(FlipkartTable[[#This Row],[Rating]]&gt;3.5,"Average","Poor")))</f>
        <v>Good</v>
      </c>
    </row>
    <row r="1996" spans="1:13" x14ac:dyDescent="0.35">
      <c r="A1996" t="s">
        <v>975</v>
      </c>
      <c r="B1996" s="9" t="s">
        <v>977</v>
      </c>
      <c r="C1996" t="s">
        <v>981</v>
      </c>
      <c r="D1996" t="s">
        <v>20</v>
      </c>
      <c r="E1996" t="s">
        <v>21</v>
      </c>
      <c r="F1996">
        <v>4.2</v>
      </c>
      <c r="G1996">
        <v>10999</v>
      </c>
      <c r="H1996">
        <v>10999</v>
      </c>
      <c r="I1996">
        <f>FlipkartTable[[#This Row],[Original Price]]-FlipkartTable[[#This Row],[Selling Price]]</f>
        <v>0</v>
      </c>
      <c r="J1996" s="4">
        <f>(FlipkartTable[[#This Row],[Original Price]]-FlipkartTable[[#This Row],[Selling Price]])/FlipkartTable[[#This Row],[Original Price]]</f>
        <v>0</v>
      </c>
      <c r="K1996">
        <f>(FlipkartTable[[#This Row],[Rating]]/FlipkartTable[[#This Row],[Selling Price]])*1000</f>
        <v>0.38185289571779252</v>
      </c>
      <c r="L1996" t="str">
        <f>IF(FlipkartTable[[#This Row],[Selling Price]]&lt;15000,"Budget",IF(FlipkartTable[[#This Row],[Selling Price]]&lt;50000,"Mid Range","Premium"))</f>
        <v>Budget</v>
      </c>
      <c r="M1996" t="str">
        <f>IF(FlipkartTable[[#This Row],[Rating]]&gt;4.5,"Excellent",IF(FlipkartTable[[#This Row],[Rating]]&gt;4,"Good",IF(FlipkartTable[[#This Row],[Rating]]&gt;3.5,"Average","Poor")))</f>
        <v>Good</v>
      </c>
    </row>
    <row r="1997" spans="1:13" x14ac:dyDescent="0.35">
      <c r="A1997" t="s">
        <v>975</v>
      </c>
      <c r="B1997" s="9" t="s">
        <v>979</v>
      </c>
      <c r="C1997" t="s">
        <v>19</v>
      </c>
      <c r="D1997" t="s">
        <v>35</v>
      </c>
      <c r="E1997" t="s">
        <v>124</v>
      </c>
      <c r="F1997">
        <v>4</v>
      </c>
      <c r="G1997">
        <v>9900</v>
      </c>
      <c r="H1997">
        <v>9900</v>
      </c>
      <c r="I1997">
        <f>FlipkartTable[[#This Row],[Original Price]]-FlipkartTable[[#This Row],[Selling Price]]</f>
        <v>0</v>
      </c>
      <c r="J1997" s="4">
        <f>(FlipkartTable[[#This Row],[Original Price]]-FlipkartTable[[#This Row],[Selling Price]])/FlipkartTable[[#This Row],[Original Price]]</f>
        <v>0</v>
      </c>
      <c r="K1997">
        <f>(FlipkartTable[[#This Row],[Rating]]/FlipkartTable[[#This Row],[Selling Price]])*1000</f>
        <v>0.40404040404040403</v>
      </c>
      <c r="L1997" t="str">
        <f>IF(FlipkartTable[[#This Row],[Selling Price]]&lt;15000,"Budget",IF(FlipkartTable[[#This Row],[Selling Price]]&lt;50000,"Mid Range","Premium"))</f>
        <v>Budget</v>
      </c>
      <c r="M1997" t="str">
        <f>IF(FlipkartTable[[#This Row],[Rating]]&gt;4.5,"Excellent",IF(FlipkartTable[[#This Row],[Rating]]&gt;4,"Good",IF(FlipkartTable[[#This Row],[Rating]]&gt;3.5,"Average","Poor")))</f>
        <v>Average</v>
      </c>
    </row>
    <row r="1998" spans="1:13" x14ac:dyDescent="0.35">
      <c r="A1998" t="s">
        <v>975</v>
      </c>
      <c r="B1998" s="9" t="s">
        <v>982</v>
      </c>
      <c r="C1998" t="s">
        <v>19</v>
      </c>
      <c r="D1998" t="s">
        <v>263</v>
      </c>
      <c r="E1998" t="s">
        <v>263</v>
      </c>
      <c r="F1998">
        <v>3.7</v>
      </c>
      <c r="G1998">
        <v>5499</v>
      </c>
      <c r="H1998">
        <v>5499</v>
      </c>
      <c r="I1998">
        <f>FlipkartTable[[#This Row],[Original Price]]-FlipkartTable[[#This Row],[Selling Price]]</f>
        <v>0</v>
      </c>
      <c r="J1998" s="4">
        <f>(FlipkartTable[[#This Row],[Original Price]]-FlipkartTable[[#This Row],[Selling Price]])/FlipkartTable[[#This Row],[Original Price]]</f>
        <v>0</v>
      </c>
      <c r="K1998">
        <f>(FlipkartTable[[#This Row],[Rating]]/FlipkartTable[[#This Row],[Selling Price]])*1000</f>
        <v>0.67284960901982171</v>
      </c>
      <c r="L1998" t="str">
        <f>IF(FlipkartTable[[#This Row],[Selling Price]]&lt;15000,"Budget",IF(FlipkartTable[[#This Row],[Selling Price]]&lt;50000,"Mid Range","Premium"))</f>
        <v>Budget</v>
      </c>
      <c r="M1998" t="str">
        <f>IF(FlipkartTable[[#This Row],[Rating]]&gt;4.5,"Excellent",IF(FlipkartTable[[#This Row],[Rating]]&gt;4,"Good",IF(FlipkartTable[[#This Row],[Rating]]&gt;3.5,"Average","Poor")))</f>
        <v>Average</v>
      </c>
    </row>
    <row r="1999" spans="1:13" x14ac:dyDescent="0.35">
      <c r="A1999" t="s">
        <v>975</v>
      </c>
      <c r="B1999" s="9" t="s">
        <v>983</v>
      </c>
      <c r="C1999" t="s">
        <v>19</v>
      </c>
      <c r="D1999" t="s">
        <v>35</v>
      </c>
      <c r="E1999" t="s">
        <v>21</v>
      </c>
      <c r="F1999">
        <v>4</v>
      </c>
      <c r="G1999">
        <v>7490</v>
      </c>
      <c r="H1999">
        <v>8490</v>
      </c>
      <c r="I1999">
        <f>FlipkartTable[[#This Row],[Original Price]]-FlipkartTable[[#This Row],[Selling Price]]</f>
        <v>1000</v>
      </c>
      <c r="J1999" s="4">
        <f>(FlipkartTable[[#This Row],[Original Price]]-FlipkartTable[[#This Row],[Selling Price]])/FlipkartTable[[#This Row],[Original Price]]</f>
        <v>0.11778563015312132</v>
      </c>
      <c r="K1999">
        <f>(FlipkartTable[[#This Row],[Rating]]/FlipkartTable[[#This Row],[Selling Price]])*1000</f>
        <v>0.53404539385847793</v>
      </c>
      <c r="L1999" t="str">
        <f>IF(FlipkartTable[[#This Row],[Selling Price]]&lt;15000,"Budget",IF(FlipkartTable[[#This Row],[Selling Price]]&lt;50000,"Mid Range","Premium"))</f>
        <v>Budget</v>
      </c>
      <c r="M1999" t="str">
        <f>IF(FlipkartTable[[#This Row],[Rating]]&gt;4.5,"Excellent",IF(FlipkartTable[[#This Row],[Rating]]&gt;4,"Good",IF(FlipkartTable[[#This Row],[Rating]]&gt;3.5,"Average","Poor")))</f>
        <v>Average</v>
      </c>
    </row>
    <row r="2000" spans="1:13" x14ac:dyDescent="0.35">
      <c r="A2000" t="s">
        <v>975</v>
      </c>
      <c r="B2000" s="9" t="s">
        <v>983</v>
      </c>
      <c r="C2000" t="s">
        <v>22</v>
      </c>
      <c r="D2000" t="s">
        <v>35</v>
      </c>
      <c r="E2000" t="s">
        <v>21</v>
      </c>
      <c r="F2000">
        <v>4</v>
      </c>
      <c r="G2000">
        <v>6950</v>
      </c>
      <c r="H2000">
        <v>8490</v>
      </c>
      <c r="I2000">
        <f>FlipkartTable[[#This Row],[Original Price]]-FlipkartTable[[#This Row],[Selling Price]]</f>
        <v>1540</v>
      </c>
      <c r="J2000" s="4">
        <f>(FlipkartTable[[#This Row],[Original Price]]-FlipkartTable[[#This Row],[Selling Price]])/FlipkartTable[[#This Row],[Original Price]]</f>
        <v>0.18138987043580684</v>
      </c>
      <c r="K2000">
        <f>(FlipkartTable[[#This Row],[Rating]]/FlipkartTable[[#This Row],[Selling Price]])*1000</f>
        <v>0.57553956834532372</v>
      </c>
      <c r="L2000" t="str">
        <f>IF(FlipkartTable[[#This Row],[Selling Price]]&lt;15000,"Budget",IF(FlipkartTable[[#This Row],[Selling Price]]&lt;50000,"Mid Range","Premium"))</f>
        <v>Budget</v>
      </c>
      <c r="M2000" t="str">
        <f>IF(FlipkartTable[[#This Row],[Rating]]&gt;4.5,"Excellent",IF(FlipkartTable[[#This Row],[Rating]]&gt;4,"Good",IF(FlipkartTable[[#This Row],[Rating]]&gt;3.5,"Average","Poor")))</f>
        <v>Average</v>
      </c>
    </row>
    <row r="2001" spans="1:13" x14ac:dyDescent="0.35">
      <c r="A2001" t="s">
        <v>975</v>
      </c>
      <c r="B2001" s="9" t="s">
        <v>984</v>
      </c>
      <c r="C2001" t="s">
        <v>116</v>
      </c>
      <c r="D2001" t="s">
        <v>20</v>
      </c>
      <c r="E2001" t="s">
        <v>21</v>
      </c>
      <c r="F2001">
        <v>4.0999999999999996</v>
      </c>
      <c r="G2001">
        <v>7999</v>
      </c>
      <c r="H2001">
        <v>7999</v>
      </c>
      <c r="I2001">
        <f>FlipkartTable[[#This Row],[Original Price]]-FlipkartTable[[#This Row],[Selling Price]]</f>
        <v>0</v>
      </c>
      <c r="J2001" s="4">
        <f>(FlipkartTable[[#This Row],[Original Price]]-FlipkartTable[[#This Row],[Selling Price]])/FlipkartTable[[#This Row],[Original Price]]</f>
        <v>0</v>
      </c>
      <c r="K2001">
        <f>(FlipkartTable[[#This Row],[Rating]]/FlipkartTable[[#This Row],[Selling Price]])*1000</f>
        <v>0.51256407050881359</v>
      </c>
      <c r="L2001" t="str">
        <f>IF(FlipkartTable[[#This Row],[Selling Price]]&lt;15000,"Budget",IF(FlipkartTable[[#This Row],[Selling Price]]&lt;50000,"Mid Range","Premium"))</f>
        <v>Budget</v>
      </c>
      <c r="M2001" t="str">
        <f>IF(FlipkartTable[[#This Row],[Rating]]&gt;4.5,"Excellent",IF(FlipkartTable[[#This Row],[Rating]]&gt;4,"Good",IF(FlipkartTable[[#This Row],[Rating]]&gt;3.5,"Average","Poor")))</f>
        <v>Good</v>
      </c>
    </row>
    <row r="2002" spans="1:13" x14ac:dyDescent="0.35">
      <c r="A2002" t="s">
        <v>975</v>
      </c>
      <c r="B2002" s="9" t="s">
        <v>984</v>
      </c>
      <c r="C2002" t="s">
        <v>19</v>
      </c>
      <c r="D2002" t="s">
        <v>35</v>
      </c>
      <c r="E2002" t="s">
        <v>124</v>
      </c>
      <c r="F2002">
        <v>4.0999999999999996</v>
      </c>
      <c r="G2002">
        <v>6999</v>
      </c>
      <c r="H2002">
        <v>6999</v>
      </c>
      <c r="I2002">
        <f>FlipkartTable[[#This Row],[Original Price]]-FlipkartTable[[#This Row],[Selling Price]]</f>
        <v>0</v>
      </c>
      <c r="J2002" s="4">
        <f>(FlipkartTable[[#This Row],[Original Price]]-FlipkartTable[[#This Row],[Selling Price]])/FlipkartTable[[#This Row],[Original Price]]</f>
        <v>0</v>
      </c>
      <c r="K2002">
        <f>(FlipkartTable[[#This Row],[Rating]]/FlipkartTable[[#This Row],[Selling Price]])*1000</f>
        <v>0.58579797113873411</v>
      </c>
      <c r="L2002" t="str">
        <f>IF(FlipkartTable[[#This Row],[Selling Price]]&lt;15000,"Budget",IF(FlipkartTable[[#This Row],[Selling Price]]&lt;50000,"Mid Range","Premium"))</f>
        <v>Budget</v>
      </c>
      <c r="M2002" t="str">
        <f>IF(FlipkartTable[[#This Row],[Rating]]&gt;4.5,"Excellent",IF(FlipkartTable[[#This Row],[Rating]]&gt;4,"Good",IF(FlipkartTable[[#This Row],[Rating]]&gt;3.5,"Average","Poor")))</f>
        <v>Good</v>
      </c>
    </row>
    <row r="2003" spans="1:13" x14ac:dyDescent="0.35">
      <c r="A2003" t="s">
        <v>975</v>
      </c>
      <c r="B2003" s="9" t="s">
        <v>985</v>
      </c>
      <c r="C2003" t="s">
        <v>152</v>
      </c>
      <c r="D2003" t="s">
        <v>134</v>
      </c>
      <c r="E2003" t="s">
        <v>27</v>
      </c>
      <c r="F2003">
        <v>3.9</v>
      </c>
      <c r="G2003">
        <v>4990</v>
      </c>
      <c r="H2003">
        <v>4990</v>
      </c>
      <c r="I2003">
        <f>FlipkartTable[[#This Row],[Original Price]]-FlipkartTable[[#This Row],[Selling Price]]</f>
        <v>0</v>
      </c>
      <c r="J2003" s="4">
        <f>(FlipkartTable[[#This Row],[Original Price]]-FlipkartTable[[#This Row],[Selling Price]])/FlipkartTable[[#This Row],[Original Price]]</f>
        <v>0</v>
      </c>
      <c r="K2003">
        <f>(FlipkartTable[[#This Row],[Rating]]/FlipkartTable[[#This Row],[Selling Price]])*1000</f>
        <v>0.78156312625250501</v>
      </c>
      <c r="L2003" t="str">
        <f>IF(FlipkartTable[[#This Row],[Selling Price]]&lt;15000,"Budget",IF(FlipkartTable[[#This Row],[Selling Price]]&lt;50000,"Mid Range","Premium"))</f>
        <v>Budget</v>
      </c>
      <c r="M2003" t="str">
        <f>IF(FlipkartTable[[#This Row],[Rating]]&gt;4.5,"Excellent",IF(FlipkartTable[[#This Row],[Rating]]&gt;4,"Good",IF(FlipkartTable[[#This Row],[Rating]]&gt;3.5,"Average","Poor")))</f>
        <v>Average</v>
      </c>
    </row>
    <row r="2004" spans="1:13" x14ac:dyDescent="0.35">
      <c r="A2004" t="s">
        <v>975</v>
      </c>
      <c r="B2004" s="9" t="s">
        <v>986</v>
      </c>
      <c r="C2004" t="s">
        <v>141</v>
      </c>
      <c r="D2004" t="s">
        <v>20</v>
      </c>
      <c r="E2004" t="s">
        <v>21</v>
      </c>
      <c r="F2004">
        <v>3.7</v>
      </c>
      <c r="G2004">
        <v>9799</v>
      </c>
      <c r="H2004">
        <v>9799</v>
      </c>
      <c r="I2004">
        <f>FlipkartTable[[#This Row],[Original Price]]-FlipkartTable[[#This Row],[Selling Price]]</f>
        <v>0</v>
      </c>
      <c r="J2004" s="4">
        <f>(FlipkartTable[[#This Row],[Original Price]]-FlipkartTable[[#This Row],[Selling Price]])/FlipkartTable[[#This Row],[Original Price]]</f>
        <v>0</v>
      </c>
      <c r="K2004">
        <f>(FlipkartTable[[#This Row],[Rating]]/FlipkartTable[[#This Row],[Selling Price]])*1000</f>
        <v>0.37758954995407695</v>
      </c>
      <c r="L2004" t="str">
        <f>IF(FlipkartTable[[#This Row],[Selling Price]]&lt;15000,"Budget",IF(FlipkartTable[[#This Row],[Selling Price]]&lt;50000,"Mid Range","Premium"))</f>
        <v>Budget</v>
      </c>
      <c r="M2004" t="str">
        <f>IF(FlipkartTable[[#This Row],[Rating]]&gt;4.5,"Excellent",IF(FlipkartTable[[#This Row],[Rating]]&gt;4,"Good",IF(FlipkartTable[[#This Row],[Rating]]&gt;3.5,"Average","Poor")))</f>
        <v>Average</v>
      </c>
    </row>
    <row r="2005" spans="1:13" x14ac:dyDescent="0.35">
      <c r="A2005" t="s">
        <v>975</v>
      </c>
      <c r="B2005" s="9" t="s">
        <v>987</v>
      </c>
      <c r="C2005" t="s">
        <v>19</v>
      </c>
      <c r="D2005" t="s">
        <v>35</v>
      </c>
      <c r="E2005" t="s">
        <v>124</v>
      </c>
      <c r="F2005">
        <v>3.9</v>
      </c>
      <c r="G2005">
        <v>6499</v>
      </c>
      <c r="H2005">
        <v>6499</v>
      </c>
      <c r="I2005">
        <f>FlipkartTable[[#This Row],[Original Price]]-FlipkartTable[[#This Row],[Selling Price]]</f>
        <v>0</v>
      </c>
      <c r="J2005" s="4">
        <f>(FlipkartTable[[#This Row],[Original Price]]-FlipkartTable[[#This Row],[Selling Price]])/FlipkartTable[[#This Row],[Original Price]]</f>
        <v>0</v>
      </c>
      <c r="K2005">
        <f>(FlipkartTable[[#This Row],[Rating]]/FlipkartTable[[#This Row],[Selling Price]])*1000</f>
        <v>0.60009232189567618</v>
      </c>
      <c r="L2005" t="str">
        <f>IF(FlipkartTable[[#This Row],[Selling Price]]&lt;15000,"Budget",IF(FlipkartTable[[#This Row],[Selling Price]]&lt;50000,"Mid Range","Premium"))</f>
        <v>Budget</v>
      </c>
      <c r="M2005" t="str">
        <f>IF(FlipkartTable[[#This Row],[Rating]]&gt;4.5,"Excellent",IF(FlipkartTable[[#This Row],[Rating]]&gt;4,"Good",IF(FlipkartTable[[#This Row],[Rating]]&gt;3.5,"Average","Poor")))</f>
        <v>Average</v>
      </c>
    </row>
    <row r="2006" spans="1:13" x14ac:dyDescent="0.35">
      <c r="A2006" t="s">
        <v>975</v>
      </c>
      <c r="B2006" s="9" t="s">
        <v>988</v>
      </c>
      <c r="C2006" t="s">
        <v>978</v>
      </c>
      <c r="D2006" t="s">
        <v>20</v>
      </c>
      <c r="E2006" t="s">
        <v>21</v>
      </c>
      <c r="F2006">
        <v>4.0999999999999996</v>
      </c>
      <c r="G2006">
        <v>7490</v>
      </c>
      <c r="H2006">
        <v>7490</v>
      </c>
      <c r="I2006">
        <f>FlipkartTable[[#This Row],[Original Price]]-FlipkartTable[[#This Row],[Selling Price]]</f>
        <v>0</v>
      </c>
      <c r="J2006" s="4">
        <f>(FlipkartTable[[#This Row],[Original Price]]-FlipkartTable[[#This Row],[Selling Price]])/FlipkartTable[[#This Row],[Original Price]]</f>
        <v>0</v>
      </c>
      <c r="K2006">
        <f>(FlipkartTable[[#This Row],[Rating]]/FlipkartTable[[#This Row],[Selling Price]])*1000</f>
        <v>0.54739652870493982</v>
      </c>
      <c r="L2006" t="str">
        <f>IF(FlipkartTable[[#This Row],[Selling Price]]&lt;15000,"Budget",IF(FlipkartTable[[#This Row],[Selling Price]]&lt;50000,"Mid Range","Premium"))</f>
        <v>Budget</v>
      </c>
      <c r="M2006" t="str">
        <f>IF(FlipkartTable[[#This Row],[Rating]]&gt;4.5,"Excellent",IF(FlipkartTable[[#This Row],[Rating]]&gt;4,"Good",IF(FlipkartTable[[#This Row],[Rating]]&gt;3.5,"Average","Poor")))</f>
        <v>Good</v>
      </c>
    </row>
    <row r="2007" spans="1:13" x14ac:dyDescent="0.35">
      <c r="A2007" t="s">
        <v>975</v>
      </c>
      <c r="B2007" s="9" t="s">
        <v>989</v>
      </c>
      <c r="C2007" t="s">
        <v>19</v>
      </c>
      <c r="D2007" t="s">
        <v>20</v>
      </c>
      <c r="E2007" t="s">
        <v>21</v>
      </c>
      <c r="F2007">
        <v>4.2</v>
      </c>
      <c r="G2007">
        <v>9999</v>
      </c>
      <c r="H2007">
        <v>9999</v>
      </c>
      <c r="I2007">
        <f>FlipkartTable[[#This Row],[Original Price]]-FlipkartTable[[#This Row],[Selling Price]]</f>
        <v>0</v>
      </c>
      <c r="J2007" s="4">
        <f>(FlipkartTable[[#This Row],[Original Price]]-FlipkartTable[[#This Row],[Selling Price]])/FlipkartTable[[#This Row],[Original Price]]</f>
        <v>0</v>
      </c>
      <c r="K2007">
        <f>(FlipkartTable[[#This Row],[Rating]]/FlipkartTable[[#This Row],[Selling Price]])*1000</f>
        <v>0.42004200420042004</v>
      </c>
      <c r="L2007" t="str">
        <f>IF(FlipkartTable[[#This Row],[Selling Price]]&lt;15000,"Budget",IF(FlipkartTable[[#This Row],[Selling Price]]&lt;50000,"Mid Range","Premium"))</f>
        <v>Budget</v>
      </c>
      <c r="M2007" t="str">
        <f>IF(FlipkartTable[[#This Row],[Rating]]&gt;4.5,"Excellent",IF(FlipkartTable[[#This Row],[Rating]]&gt;4,"Good",IF(FlipkartTable[[#This Row],[Rating]]&gt;3.5,"Average","Poor")))</f>
        <v>Good</v>
      </c>
    </row>
    <row r="2008" spans="1:13" x14ac:dyDescent="0.35">
      <c r="A2008" t="s">
        <v>975</v>
      </c>
      <c r="B2008" s="9" t="s">
        <v>979</v>
      </c>
      <c r="C2008" t="s">
        <v>152</v>
      </c>
      <c r="D2008" t="s">
        <v>35</v>
      </c>
      <c r="E2008" t="s">
        <v>124</v>
      </c>
      <c r="F2008">
        <v>4</v>
      </c>
      <c r="G2008">
        <v>7000</v>
      </c>
      <c r="H2008">
        <v>7000</v>
      </c>
      <c r="I2008">
        <f>FlipkartTable[[#This Row],[Original Price]]-FlipkartTable[[#This Row],[Selling Price]]</f>
        <v>0</v>
      </c>
      <c r="J2008" s="4">
        <f>(FlipkartTable[[#This Row],[Original Price]]-FlipkartTable[[#This Row],[Selling Price]])/FlipkartTable[[#This Row],[Original Price]]</f>
        <v>0</v>
      </c>
      <c r="K2008">
        <f>(FlipkartTable[[#This Row],[Rating]]/FlipkartTable[[#This Row],[Selling Price]])*1000</f>
        <v>0.57142857142857151</v>
      </c>
      <c r="L2008" t="str">
        <f>IF(FlipkartTable[[#This Row],[Selling Price]]&lt;15000,"Budget",IF(FlipkartTable[[#This Row],[Selling Price]]&lt;50000,"Mid Range","Premium"))</f>
        <v>Budget</v>
      </c>
      <c r="M2008" t="str">
        <f>IF(FlipkartTable[[#This Row],[Rating]]&gt;4.5,"Excellent",IF(FlipkartTable[[#This Row],[Rating]]&gt;4,"Good",IF(FlipkartTable[[#This Row],[Rating]]&gt;3.5,"Average","Poor")))</f>
        <v>Average</v>
      </c>
    </row>
    <row r="2009" spans="1:13" x14ac:dyDescent="0.35">
      <c r="A2009" t="s">
        <v>975</v>
      </c>
      <c r="B2009" s="9" t="s">
        <v>990</v>
      </c>
      <c r="C2009" t="s">
        <v>152</v>
      </c>
      <c r="D2009" t="s">
        <v>35</v>
      </c>
      <c r="E2009" t="s">
        <v>124</v>
      </c>
      <c r="F2009">
        <v>4.0999999999999996</v>
      </c>
      <c r="G2009">
        <v>6999</v>
      </c>
      <c r="H2009">
        <v>6999</v>
      </c>
      <c r="I2009">
        <f>FlipkartTable[[#This Row],[Original Price]]-FlipkartTable[[#This Row],[Selling Price]]</f>
        <v>0</v>
      </c>
      <c r="J2009" s="4">
        <f>(FlipkartTable[[#This Row],[Original Price]]-FlipkartTable[[#This Row],[Selling Price]])/FlipkartTable[[#This Row],[Original Price]]</f>
        <v>0</v>
      </c>
      <c r="K2009">
        <f>(FlipkartTable[[#This Row],[Rating]]/FlipkartTable[[#This Row],[Selling Price]])*1000</f>
        <v>0.58579797113873411</v>
      </c>
      <c r="L2009" t="str">
        <f>IF(FlipkartTable[[#This Row],[Selling Price]]&lt;15000,"Budget",IF(FlipkartTable[[#This Row],[Selling Price]]&lt;50000,"Mid Range","Premium"))</f>
        <v>Budget</v>
      </c>
      <c r="M2009" t="str">
        <f>IF(FlipkartTable[[#This Row],[Rating]]&gt;4.5,"Excellent",IF(FlipkartTable[[#This Row],[Rating]]&gt;4,"Good",IF(FlipkartTable[[#This Row],[Rating]]&gt;3.5,"Average","Poor")))</f>
        <v>Good</v>
      </c>
    </row>
    <row r="2010" spans="1:13" x14ac:dyDescent="0.35">
      <c r="A2010" t="s">
        <v>975</v>
      </c>
      <c r="B2010" s="9" t="s">
        <v>990</v>
      </c>
      <c r="C2010" t="s">
        <v>19</v>
      </c>
      <c r="D2010" t="s">
        <v>35</v>
      </c>
      <c r="E2010" t="s">
        <v>124</v>
      </c>
      <c r="F2010">
        <v>4.0999999999999996</v>
      </c>
      <c r="G2010">
        <v>6999</v>
      </c>
      <c r="H2010">
        <v>6999</v>
      </c>
      <c r="I2010">
        <f>FlipkartTable[[#This Row],[Original Price]]-FlipkartTable[[#This Row],[Selling Price]]</f>
        <v>0</v>
      </c>
      <c r="J2010" s="4">
        <f>(FlipkartTable[[#This Row],[Original Price]]-FlipkartTable[[#This Row],[Selling Price]])/FlipkartTable[[#This Row],[Original Price]]</f>
        <v>0</v>
      </c>
      <c r="K2010">
        <f>(FlipkartTable[[#This Row],[Rating]]/FlipkartTable[[#This Row],[Selling Price]])*1000</f>
        <v>0.58579797113873411</v>
      </c>
      <c r="L2010" t="str">
        <f>IF(FlipkartTable[[#This Row],[Selling Price]]&lt;15000,"Budget",IF(FlipkartTable[[#This Row],[Selling Price]]&lt;50000,"Mid Range","Premium"))</f>
        <v>Budget</v>
      </c>
      <c r="M2010" t="str">
        <f>IF(FlipkartTable[[#This Row],[Rating]]&gt;4.5,"Excellent",IF(FlipkartTable[[#This Row],[Rating]]&gt;4,"Good",IF(FlipkartTable[[#This Row],[Rating]]&gt;3.5,"Average","Poor")))</f>
        <v>Good</v>
      </c>
    </row>
    <row r="2011" spans="1:13" x14ac:dyDescent="0.35">
      <c r="A2011" t="s">
        <v>975</v>
      </c>
      <c r="B2011" s="9" t="s">
        <v>988</v>
      </c>
      <c r="C2011" t="s">
        <v>978</v>
      </c>
      <c r="D2011" t="s">
        <v>11</v>
      </c>
      <c r="E2011" t="s">
        <v>12</v>
      </c>
      <c r="F2011">
        <v>4.0999999999999996</v>
      </c>
      <c r="G2011">
        <v>8499</v>
      </c>
      <c r="H2011">
        <v>8499</v>
      </c>
      <c r="I2011">
        <f>FlipkartTable[[#This Row],[Original Price]]-FlipkartTable[[#This Row],[Selling Price]]</f>
        <v>0</v>
      </c>
      <c r="J2011" s="4">
        <f>(FlipkartTable[[#This Row],[Original Price]]-FlipkartTable[[#This Row],[Selling Price]])/FlipkartTable[[#This Row],[Original Price]]</f>
        <v>0</v>
      </c>
      <c r="K2011">
        <f>(FlipkartTable[[#This Row],[Rating]]/FlipkartTable[[#This Row],[Selling Price]])*1000</f>
        <v>0.4824096952582656</v>
      </c>
      <c r="L2011" t="str">
        <f>IF(FlipkartTable[[#This Row],[Selling Price]]&lt;15000,"Budget",IF(FlipkartTable[[#This Row],[Selling Price]]&lt;50000,"Mid Range","Premium"))</f>
        <v>Budget</v>
      </c>
      <c r="M2011" t="str">
        <f>IF(FlipkartTable[[#This Row],[Rating]]&gt;4.5,"Excellent",IF(FlipkartTable[[#This Row],[Rating]]&gt;4,"Good",IF(FlipkartTable[[#This Row],[Rating]]&gt;3.5,"Average","Poor")))</f>
        <v>Good</v>
      </c>
    </row>
    <row r="2012" spans="1:13" x14ac:dyDescent="0.35">
      <c r="A2012" t="s">
        <v>975</v>
      </c>
      <c r="B2012" s="9" t="s">
        <v>988</v>
      </c>
      <c r="C2012" t="s">
        <v>981</v>
      </c>
      <c r="D2012" t="s">
        <v>11</v>
      </c>
      <c r="E2012" t="s">
        <v>12</v>
      </c>
      <c r="F2012">
        <v>4.0999999999999996</v>
      </c>
      <c r="G2012">
        <v>12999</v>
      </c>
      <c r="H2012">
        <v>12999</v>
      </c>
      <c r="I2012">
        <f>FlipkartTable[[#This Row],[Original Price]]-FlipkartTable[[#This Row],[Selling Price]]</f>
        <v>0</v>
      </c>
      <c r="J2012" s="4">
        <f>(FlipkartTable[[#This Row],[Original Price]]-FlipkartTable[[#This Row],[Selling Price]])/FlipkartTable[[#This Row],[Original Price]]</f>
        <v>0</v>
      </c>
      <c r="K2012">
        <f>(FlipkartTable[[#This Row],[Rating]]/FlipkartTable[[#This Row],[Selling Price]])*1000</f>
        <v>0.31540887760596964</v>
      </c>
      <c r="L2012" t="str">
        <f>IF(FlipkartTable[[#This Row],[Selling Price]]&lt;15000,"Budget",IF(FlipkartTable[[#This Row],[Selling Price]]&lt;50000,"Mid Range","Premium"))</f>
        <v>Budget</v>
      </c>
      <c r="M2012" t="str">
        <f>IF(FlipkartTable[[#This Row],[Rating]]&gt;4.5,"Excellent",IF(FlipkartTable[[#This Row],[Rating]]&gt;4,"Good",IF(FlipkartTable[[#This Row],[Rating]]&gt;3.5,"Average","Poor")))</f>
        <v>Good</v>
      </c>
    </row>
    <row r="2013" spans="1:13" x14ac:dyDescent="0.35">
      <c r="A2013" t="s">
        <v>975</v>
      </c>
      <c r="B2013" s="9" t="s">
        <v>991</v>
      </c>
      <c r="C2013" t="s">
        <v>19</v>
      </c>
      <c r="D2013" t="s">
        <v>11</v>
      </c>
      <c r="E2013" t="s">
        <v>12</v>
      </c>
      <c r="F2013">
        <v>3.8</v>
      </c>
      <c r="G2013">
        <v>19999</v>
      </c>
      <c r="H2013">
        <v>19999</v>
      </c>
      <c r="I2013">
        <f>FlipkartTable[[#This Row],[Original Price]]-FlipkartTable[[#This Row],[Selling Price]]</f>
        <v>0</v>
      </c>
      <c r="J2013" s="4">
        <f>(FlipkartTable[[#This Row],[Original Price]]-FlipkartTable[[#This Row],[Selling Price]])/FlipkartTable[[#This Row],[Original Price]]</f>
        <v>0</v>
      </c>
      <c r="K2013">
        <f>(FlipkartTable[[#This Row],[Rating]]/FlipkartTable[[#This Row],[Selling Price]])*1000</f>
        <v>0.19000950047502374</v>
      </c>
      <c r="L2013" t="str">
        <f>IF(FlipkartTable[[#This Row],[Selling Price]]&lt;15000,"Budget",IF(FlipkartTable[[#This Row],[Selling Price]]&lt;50000,"Mid Range","Premium"))</f>
        <v>Mid Range</v>
      </c>
      <c r="M2013" t="str">
        <f>IF(FlipkartTable[[#This Row],[Rating]]&gt;4.5,"Excellent",IF(FlipkartTable[[#This Row],[Rating]]&gt;4,"Good",IF(FlipkartTable[[#This Row],[Rating]]&gt;3.5,"Average","Poor")))</f>
        <v>Average</v>
      </c>
    </row>
    <row r="2014" spans="1:13" x14ac:dyDescent="0.35">
      <c r="A2014" t="s">
        <v>975</v>
      </c>
      <c r="B2014" s="9" t="s">
        <v>983</v>
      </c>
      <c r="C2014" t="s">
        <v>19</v>
      </c>
      <c r="D2014" t="s">
        <v>11</v>
      </c>
      <c r="E2014" t="s">
        <v>12</v>
      </c>
      <c r="F2014">
        <v>3.9</v>
      </c>
      <c r="G2014">
        <v>8490</v>
      </c>
      <c r="H2014">
        <v>9999</v>
      </c>
      <c r="I2014">
        <f>FlipkartTable[[#This Row],[Original Price]]-FlipkartTable[[#This Row],[Selling Price]]</f>
        <v>1509</v>
      </c>
      <c r="J2014" s="4">
        <f>(FlipkartTable[[#This Row],[Original Price]]-FlipkartTable[[#This Row],[Selling Price]])/FlipkartTable[[#This Row],[Original Price]]</f>
        <v>0.15091509150915092</v>
      </c>
      <c r="K2014">
        <f>(FlipkartTable[[#This Row],[Rating]]/FlipkartTable[[#This Row],[Selling Price]])*1000</f>
        <v>0.45936395759717313</v>
      </c>
      <c r="L2014" t="str">
        <f>IF(FlipkartTable[[#This Row],[Selling Price]]&lt;15000,"Budget",IF(FlipkartTable[[#This Row],[Selling Price]]&lt;50000,"Mid Range","Premium"))</f>
        <v>Budget</v>
      </c>
      <c r="M2014" t="str">
        <f>IF(FlipkartTable[[#This Row],[Rating]]&gt;4.5,"Excellent",IF(FlipkartTable[[#This Row],[Rating]]&gt;4,"Good",IF(FlipkartTable[[#This Row],[Rating]]&gt;3.5,"Average","Poor")))</f>
        <v>Average</v>
      </c>
    </row>
    <row r="2015" spans="1:13" x14ac:dyDescent="0.35">
      <c r="A2015" t="s">
        <v>975</v>
      </c>
      <c r="B2015" s="9" t="s">
        <v>983</v>
      </c>
      <c r="C2015" t="s">
        <v>22</v>
      </c>
      <c r="D2015" t="s">
        <v>11</v>
      </c>
      <c r="E2015" t="s">
        <v>12</v>
      </c>
      <c r="F2015">
        <v>3.9</v>
      </c>
      <c r="G2015">
        <v>7990</v>
      </c>
      <c r="H2015">
        <v>9999</v>
      </c>
      <c r="I2015">
        <f>FlipkartTable[[#This Row],[Original Price]]-FlipkartTable[[#This Row],[Selling Price]]</f>
        <v>2009</v>
      </c>
      <c r="J2015" s="4">
        <f>(FlipkartTable[[#This Row],[Original Price]]-FlipkartTable[[#This Row],[Selling Price]])/FlipkartTable[[#This Row],[Original Price]]</f>
        <v>0.20092009200920091</v>
      </c>
      <c r="K2015">
        <f>(FlipkartTable[[#This Row],[Rating]]/FlipkartTable[[#This Row],[Selling Price]])*1000</f>
        <v>0.48811013767209011</v>
      </c>
      <c r="L2015" t="str">
        <f>IF(FlipkartTable[[#This Row],[Selling Price]]&lt;15000,"Budget",IF(FlipkartTable[[#This Row],[Selling Price]]&lt;50000,"Mid Range","Premium"))</f>
        <v>Budget</v>
      </c>
      <c r="M2015" t="str">
        <f>IF(FlipkartTable[[#This Row],[Rating]]&gt;4.5,"Excellent",IF(FlipkartTable[[#This Row],[Rating]]&gt;4,"Good",IF(FlipkartTable[[#This Row],[Rating]]&gt;3.5,"Average","Poor")))</f>
        <v>Average</v>
      </c>
    </row>
    <row r="2016" spans="1:13" x14ac:dyDescent="0.35">
      <c r="A2016" t="s">
        <v>975</v>
      </c>
      <c r="B2016" s="9" t="s">
        <v>983</v>
      </c>
      <c r="C2016" t="s">
        <v>22</v>
      </c>
      <c r="D2016" t="s">
        <v>11</v>
      </c>
      <c r="E2016" t="s">
        <v>12</v>
      </c>
      <c r="F2016">
        <v>3.9</v>
      </c>
      <c r="G2016">
        <v>7990</v>
      </c>
      <c r="H2016">
        <v>9999</v>
      </c>
      <c r="I2016">
        <f>FlipkartTable[[#This Row],[Original Price]]-FlipkartTable[[#This Row],[Selling Price]]</f>
        <v>2009</v>
      </c>
      <c r="J2016" s="4">
        <f>(FlipkartTable[[#This Row],[Original Price]]-FlipkartTable[[#This Row],[Selling Price]])/FlipkartTable[[#This Row],[Original Price]]</f>
        <v>0.20092009200920091</v>
      </c>
      <c r="K2016">
        <f>(FlipkartTable[[#This Row],[Rating]]/FlipkartTable[[#This Row],[Selling Price]])*1000</f>
        <v>0.48811013767209011</v>
      </c>
      <c r="L2016" t="str">
        <f>IF(FlipkartTable[[#This Row],[Selling Price]]&lt;15000,"Budget",IF(FlipkartTable[[#This Row],[Selling Price]]&lt;50000,"Mid Range","Premium"))</f>
        <v>Budget</v>
      </c>
      <c r="M2016" t="str">
        <f>IF(FlipkartTable[[#This Row],[Rating]]&gt;4.5,"Excellent",IF(FlipkartTable[[#This Row],[Rating]]&gt;4,"Good",IF(FlipkartTable[[#This Row],[Rating]]&gt;3.5,"Average","Poor")))</f>
        <v>Average</v>
      </c>
    </row>
    <row r="2017" spans="1:13" x14ac:dyDescent="0.35">
      <c r="A2017" t="s">
        <v>975</v>
      </c>
      <c r="B2017" s="9" t="s">
        <v>992</v>
      </c>
      <c r="C2017" t="s">
        <v>141</v>
      </c>
      <c r="D2017" t="s">
        <v>20</v>
      </c>
      <c r="E2017" t="s">
        <v>21</v>
      </c>
      <c r="F2017">
        <v>4.0999999999999996</v>
      </c>
      <c r="G2017">
        <v>10999</v>
      </c>
      <c r="H2017">
        <v>10999</v>
      </c>
      <c r="I2017">
        <f>FlipkartTable[[#This Row],[Original Price]]-FlipkartTable[[#This Row],[Selling Price]]</f>
        <v>0</v>
      </c>
      <c r="J2017" s="4">
        <f>(FlipkartTable[[#This Row],[Original Price]]-FlipkartTable[[#This Row],[Selling Price]])/FlipkartTable[[#This Row],[Original Price]]</f>
        <v>0</v>
      </c>
      <c r="K2017">
        <f>(FlipkartTable[[#This Row],[Rating]]/FlipkartTable[[#This Row],[Selling Price]])*1000</f>
        <v>0.37276116010546406</v>
      </c>
      <c r="L2017" t="str">
        <f>IF(FlipkartTable[[#This Row],[Selling Price]]&lt;15000,"Budget",IF(FlipkartTable[[#This Row],[Selling Price]]&lt;50000,"Mid Range","Premium"))</f>
        <v>Budget</v>
      </c>
      <c r="M2017" t="str">
        <f>IF(FlipkartTable[[#This Row],[Rating]]&gt;4.5,"Excellent",IF(FlipkartTable[[#This Row],[Rating]]&gt;4,"Good",IF(FlipkartTable[[#This Row],[Rating]]&gt;3.5,"Average","Poor")))</f>
        <v>Good</v>
      </c>
    </row>
    <row r="2018" spans="1:13" x14ac:dyDescent="0.35">
      <c r="A2018" t="s">
        <v>975</v>
      </c>
      <c r="B2018" s="9" t="s">
        <v>992</v>
      </c>
      <c r="C2018" t="s">
        <v>141</v>
      </c>
      <c r="D2018" t="s">
        <v>11</v>
      </c>
      <c r="E2018" t="s">
        <v>21</v>
      </c>
      <c r="F2018">
        <v>4.0999999999999996</v>
      </c>
      <c r="G2018">
        <v>12499</v>
      </c>
      <c r="H2018">
        <v>12499</v>
      </c>
      <c r="I2018">
        <f>FlipkartTable[[#This Row],[Original Price]]-FlipkartTable[[#This Row],[Selling Price]]</f>
        <v>0</v>
      </c>
      <c r="J2018" s="4">
        <f>(FlipkartTable[[#This Row],[Original Price]]-FlipkartTable[[#This Row],[Selling Price]])/FlipkartTable[[#This Row],[Original Price]]</f>
        <v>0</v>
      </c>
      <c r="K2018">
        <f>(FlipkartTable[[#This Row],[Rating]]/FlipkartTable[[#This Row],[Selling Price]])*1000</f>
        <v>0.32802624209936793</v>
      </c>
      <c r="L2018" t="str">
        <f>IF(FlipkartTable[[#This Row],[Selling Price]]&lt;15000,"Budget",IF(FlipkartTable[[#This Row],[Selling Price]]&lt;50000,"Mid Range","Premium"))</f>
        <v>Budget</v>
      </c>
      <c r="M2018" t="str">
        <f>IF(FlipkartTable[[#This Row],[Rating]]&gt;4.5,"Excellent",IF(FlipkartTable[[#This Row],[Rating]]&gt;4,"Good",IF(FlipkartTable[[#This Row],[Rating]]&gt;3.5,"Average","Poor")))</f>
        <v>Good</v>
      </c>
    </row>
    <row r="2019" spans="1:13" x14ac:dyDescent="0.35">
      <c r="A2019" t="s">
        <v>975</v>
      </c>
      <c r="B2019" s="9" t="s">
        <v>985</v>
      </c>
      <c r="C2019" t="s">
        <v>19</v>
      </c>
      <c r="D2019" t="s">
        <v>134</v>
      </c>
      <c r="E2019" t="s">
        <v>27</v>
      </c>
      <c r="F2019">
        <v>3.9</v>
      </c>
      <c r="G2019">
        <v>5490</v>
      </c>
      <c r="H2019">
        <v>5490</v>
      </c>
      <c r="I2019">
        <f>FlipkartTable[[#This Row],[Original Price]]-FlipkartTable[[#This Row],[Selling Price]]</f>
        <v>0</v>
      </c>
      <c r="J2019" s="4">
        <f>(FlipkartTable[[#This Row],[Original Price]]-FlipkartTable[[#This Row],[Selling Price]])/FlipkartTable[[#This Row],[Original Price]]</f>
        <v>0</v>
      </c>
      <c r="K2019">
        <f>(FlipkartTable[[#This Row],[Rating]]/FlipkartTable[[#This Row],[Selling Price]])*1000</f>
        <v>0.7103825136612022</v>
      </c>
      <c r="L2019" t="str">
        <f>IF(FlipkartTable[[#This Row],[Selling Price]]&lt;15000,"Budget",IF(FlipkartTable[[#This Row],[Selling Price]]&lt;50000,"Mid Range","Premium"))</f>
        <v>Budget</v>
      </c>
      <c r="M2019" t="str">
        <f>IF(FlipkartTable[[#This Row],[Rating]]&gt;4.5,"Excellent",IF(FlipkartTable[[#This Row],[Rating]]&gt;4,"Good",IF(FlipkartTable[[#This Row],[Rating]]&gt;3.5,"Average","Poor")))</f>
        <v>Average</v>
      </c>
    </row>
    <row r="2020" spans="1:13" x14ac:dyDescent="0.35">
      <c r="A2020" t="s">
        <v>975</v>
      </c>
      <c r="B2020" s="9" t="s">
        <v>993</v>
      </c>
      <c r="C2020" t="s">
        <v>19</v>
      </c>
      <c r="D2020" t="s">
        <v>134</v>
      </c>
      <c r="E2020" t="s">
        <v>27</v>
      </c>
      <c r="F2020">
        <v>3.8</v>
      </c>
      <c r="G2020">
        <v>4890</v>
      </c>
      <c r="H2020">
        <v>4890</v>
      </c>
      <c r="I2020">
        <f>FlipkartTable[[#This Row],[Original Price]]-FlipkartTable[[#This Row],[Selling Price]]</f>
        <v>0</v>
      </c>
      <c r="J2020" s="4">
        <f>(FlipkartTable[[#This Row],[Original Price]]-FlipkartTable[[#This Row],[Selling Price]])/FlipkartTable[[#This Row],[Original Price]]</f>
        <v>0</v>
      </c>
      <c r="K2020">
        <f>(FlipkartTable[[#This Row],[Rating]]/FlipkartTable[[#This Row],[Selling Price]])*1000</f>
        <v>0.77709611451942739</v>
      </c>
      <c r="L2020" t="str">
        <f>IF(FlipkartTable[[#This Row],[Selling Price]]&lt;15000,"Budget",IF(FlipkartTable[[#This Row],[Selling Price]]&lt;50000,"Mid Range","Premium"))</f>
        <v>Budget</v>
      </c>
      <c r="M2020" t="str">
        <f>IF(FlipkartTable[[#This Row],[Rating]]&gt;4.5,"Excellent",IF(FlipkartTable[[#This Row],[Rating]]&gt;4,"Good",IF(FlipkartTable[[#This Row],[Rating]]&gt;3.5,"Average","Poor")))</f>
        <v>Average</v>
      </c>
    </row>
    <row r="2021" spans="1:13" x14ac:dyDescent="0.35">
      <c r="A2021" t="s">
        <v>975</v>
      </c>
      <c r="B2021" s="9" t="s">
        <v>988</v>
      </c>
      <c r="C2021" t="s">
        <v>981</v>
      </c>
      <c r="D2021" t="s">
        <v>20</v>
      </c>
      <c r="E2021" t="s">
        <v>21</v>
      </c>
      <c r="F2021">
        <v>4.0999999999999996</v>
      </c>
      <c r="G2021">
        <v>7819</v>
      </c>
      <c r="H2021">
        <v>7819</v>
      </c>
      <c r="I2021">
        <f>FlipkartTable[[#This Row],[Original Price]]-FlipkartTable[[#This Row],[Selling Price]]</f>
        <v>0</v>
      </c>
      <c r="J2021" s="4">
        <f>(FlipkartTable[[#This Row],[Original Price]]-FlipkartTable[[#This Row],[Selling Price]])/FlipkartTable[[#This Row],[Original Price]]</f>
        <v>0</v>
      </c>
      <c r="K2021">
        <f>(FlipkartTable[[#This Row],[Rating]]/FlipkartTable[[#This Row],[Selling Price]])*1000</f>
        <v>0.52436372937715814</v>
      </c>
      <c r="L2021" t="str">
        <f>IF(FlipkartTable[[#This Row],[Selling Price]]&lt;15000,"Budget",IF(FlipkartTable[[#This Row],[Selling Price]]&lt;50000,"Mid Range","Premium"))</f>
        <v>Budget</v>
      </c>
      <c r="M2021" t="str">
        <f>IF(FlipkartTable[[#This Row],[Rating]]&gt;4.5,"Excellent",IF(FlipkartTable[[#This Row],[Rating]]&gt;4,"Good",IF(FlipkartTable[[#This Row],[Rating]]&gt;3.5,"Average","Poor")))</f>
        <v>Good</v>
      </c>
    </row>
    <row r="2022" spans="1:13" x14ac:dyDescent="0.35">
      <c r="A2022" t="s">
        <v>975</v>
      </c>
      <c r="B2022" s="9" t="s">
        <v>992</v>
      </c>
      <c r="C2022" t="s">
        <v>116</v>
      </c>
      <c r="D2022" t="s">
        <v>11</v>
      </c>
      <c r="E2022" t="s">
        <v>12</v>
      </c>
      <c r="F2022">
        <v>4.0999999999999996</v>
      </c>
      <c r="G2022">
        <v>13499</v>
      </c>
      <c r="H2022">
        <v>13499</v>
      </c>
      <c r="I2022">
        <f>FlipkartTable[[#This Row],[Original Price]]-FlipkartTable[[#This Row],[Selling Price]]</f>
        <v>0</v>
      </c>
      <c r="J2022" s="4">
        <f>(FlipkartTable[[#This Row],[Original Price]]-FlipkartTable[[#This Row],[Selling Price]])/FlipkartTable[[#This Row],[Original Price]]</f>
        <v>0</v>
      </c>
      <c r="K2022">
        <f>(FlipkartTable[[#This Row],[Rating]]/FlipkartTable[[#This Row],[Selling Price]])*1000</f>
        <v>0.30372620194088445</v>
      </c>
      <c r="L2022" t="str">
        <f>IF(FlipkartTable[[#This Row],[Selling Price]]&lt;15000,"Budget",IF(FlipkartTable[[#This Row],[Selling Price]]&lt;50000,"Mid Range","Premium"))</f>
        <v>Budget</v>
      </c>
      <c r="M2022" t="str">
        <f>IF(FlipkartTable[[#This Row],[Rating]]&gt;4.5,"Excellent",IF(FlipkartTable[[#This Row],[Rating]]&gt;4,"Good",IF(FlipkartTable[[#This Row],[Rating]]&gt;3.5,"Average","Poor")))</f>
        <v>Good</v>
      </c>
    </row>
    <row r="2023" spans="1:13" x14ac:dyDescent="0.35">
      <c r="A2023" t="s">
        <v>975</v>
      </c>
      <c r="B2023" s="9" t="s">
        <v>994</v>
      </c>
      <c r="C2023" t="s">
        <v>152</v>
      </c>
      <c r="D2023" t="s">
        <v>134</v>
      </c>
      <c r="E2023" t="s">
        <v>124</v>
      </c>
      <c r="F2023">
        <v>4</v>
      </c>
      <c r="G2023">
        <v>18499</v>
      </c>
      <c r="H2023">
        <v>18499</v>
      </c>
      <c r="I2023">
        <f>FlipkartTable[[#This Row],[Original Price]]-FlipkartTable[[#This Row],[Selling Price]]</f>
        <v>0</v>
      </c>
      <c r="J2023" s="4">
        <f>(FlipkartTable[[#This Row],[Original Price]]-FlipkartTable[[#This Row],[Selling Price]])/FlipkartTable[[#This Row],[Original Price]]</f>
        <v>0</v>
      </c>
      <c r="K2023">
        <f>(FlipkartTable[[#This Row],[Rating]]/FlipkartTable[[#This Row],[Selling Price]])*1000</f>
        <v>0.21622790421103844</v>
      </c>
      <c r="L2023" t="str">
        <f>IF(FlipkartTable[[#This Row],[Selling Price]]&lt;15000,"Budget",IF(FlipkartTable[[#This Row],[Selling Price]]&lt;50000,"Mid Range","Premium"))</f>
        <v>Mid Range</v>
      </c>
      <c r="M2023" t="str">
        <f>IF(FlipkartTable[[#This Row],[Rating]]&gt;4.5,"Excellent",IF(FlipkartTable[[#This Row],[Rating]]&gt;4,"Good",IF(FlipkartTable[[#This Row],[Rating]]&gt;3.5,"Average","Poor")))</f>
        <v>Average</v>
      </c>
    </row>
    <row r="2024" spans="1:13" x14ac:dyDescent="0.35">
      <c r="A2024" t="s">
        <v>975</v>
      </c>
      <c r="B2024" s="9" t="s">
        <v>995</v>
      </c>
      <c r="C2024" t="s">
        <v>19</v>
      </c>
      <c r="D2024" t="s">
        <v>134</v>
      </c>
      <c r="E2024" t="s">
        <v>124</v>
      </c>
      <c r="F2024">
        <v>3.8</v>
      </c>
      <c r="G2024">
        <v>5499</v>
      </c>
      <c r="H2024">
        <v>5499</v>
      </c>
      <c r="I2024">
        <f>FlipkartTable[[#This Row],[Original Price]]-FlipkartTable[[#This Row],[Selling Price]]</f>
        <v>0</v>
      </c>
      <c r="J2024" s="4">
        <f>(FlipkartTable[[#This Row],[Original Price]]-FlipkartTable[[#This Row],[Selling Price]])/FlipkartTable[[#This Row],[Original Price]]</f>
        <v>0</v>
      </c>
      <c r="K2024">
        <f>(FlipkartTable[[#This Row],[Rating]]/FlipkartTable[[#This Row],[Selling Price]])*1000</f>
        <v>0.69103473358792511</v>
      </c>
      <c r="L2024" t="str">
        <f>IF(FlipkartTable[[#This Row],[Selling Price]]&lt;15000,"Budget",IF(FlipkartTable[[#This Row],[Selling Price]]&lt;50000,"Mid Range","Premium"))</f>
        <v>Budget</v>
      </c>
      <c r="M2024" t="str">
        <f>IF(FlipkartTable[[#This Row],[Rating]]&gt;4.5,"Excellent",IF(FlipkartTable[[#This Row],[Rating]]&gt;4,"Good",IF(FlipkartTable[[#This Row],[Rating]]&gt;3.5,"Average","Poor")))</f>
        <v>Average</v>
      </c>
    </row>
    <row r="2025" spans="1:13" x14ac:dyDescent="0.35">
      <c r="A2025" t="s">
        <v>975</v>
      </c>
      <c r="B2025" s="9" t="s">
        <v>996</v>
      </c>
      <c r="C2025" t="s">
        <v>152</v>
      </c>
      <c r="D2025" t="s">
        <v>134</v>
      </c>
      <c r="E2025" t="s">
        <v>27</v>
      </c>
      <c r="F2025">
        <v>4</v>
      </c>
      <c r="G2025">
        <v>9999</v>
      </c>
      <c r="H2025">
        <v>9999</v>
      </c>
      <c r="I2025">
        <f>FlipkartTable[[#This Row],[Original Price]]-FlipkartTable[[#This Row],[Selling Price]]</f>
        <v>0</v>
      </c>
      <c r="J2025" s="4">
        <f>(FlipkartTable[[#This Row],[Original Price]]-FlipkartTable[[#This Row],[Selling Price]])/FlipkartTable[[#This Row],[Original Price]]</f>
        <v>0</v>
      </c>
      <c r="K2025">
        <f>(FlipkartTable[[#This Row],[Rating]]/FlipkartTable[[#This Row],[Selling Price]])*1000</f>
        <v>0.40004000400040007</v>
      </c>
      <c r="L2025" t="str">
        <f>IF(FlipkartTable[[#This Row],[Selling Price]]&lt;15000,"Budget",IF(FlipkartTable[[#This Row],[Selling Price]]&lt;50000,"Mid Range","Premium"))</f>
        <v>Budget</v>
      </c>
      <c r="M2025" t="str">
        <f>IF(FlipkartTable[[#This Row],[Rating]]&gt;4.5,"Excellent",IF(FlipkartTable[[#This Row],[Rating]]&gt;4,"Good",IF(FlipkartTable[[#This Row],[Rating]]&gt;3.5,"Average","Poor")))</f>
        <v>Average</v>
      </c>
    </row>
    <row r="2026" spans="1:13" x14ac:dyDescent="0.35">
      <c r="A2026" t="s">
        <v>975</v>
      </c>
      <c r="B2026" s="9" t="s">
        <v>997</v>
      </c>
      <c r="C2026" t="s">
        <v>152</v>
      </c>
      <c r="D2026" t="s">
        <v>35</v>
      </c>
      <c r="E2026" t="s">
        <v>124</v>
      </c>
      <c r="F2026">
        <v>3.9</v>
      </c>
      <c r="G2026">
        <v>6266</v>
      </c>
      <c r="H2026">
        <v>6266</v>
      </c>
      <c r="I2026">
        <f>FlipkartTable[[#This Row],[Original Price]]-FlipkartTable[[#This Row],[Selling Price]]</f>
        <v>0</v>
      </c>
      <c r="J2026" s="4">
        <f>(FlipkartTable[[#This Row],[Original Price]]-FlipkartTable[[#This Row],[Selling Price]])/FlipkartTable[[#This Row],[Original Price]]</f>
        <v>0</v>
      </c>
      <c r="K2026">
        <f>(FlipkartTable[[#This Row],[Rating]]/FlipkartTable[[#This Row],[Selling Price]])*1000</f>
        <v>0.62240663900414939</v>
      </c>
      <c r="L2026" t="str">
        <f>IF(FlipkartTable[[#This Row],[Selling Price]]&lt;15000,"Budget",IF(FlipkartTable[[#This Row],[Selling Price]]&lt;50000,"Mid Range","Premium"))</f>
        <v>Budget</v>
      </c>
      <c r="M2026" t="str">
        <f>IF(FlipkartTable[[#This Row],[Rating]]&gt;4.5,"Excellent",IF(FlipkartTable[[#This Row],[Rating]]&gt;4,"Good",IF(FlipkartTable[[#This Row],[Rating]]&gt;3.5,"Average","Poor")))</f>
        <v>Average</v>
      </c>
    </row>
    <row r="2027" spans="1:13" x14ac:dyDescent="0.35">
      <c r="A2027" t="s">
        <v>975</v>
      </c>
      <c r="B2027" s="9" t="s">
        <v>998</v>
      </c>
      <c r="C2027" t="s">
        <v>19</v>
      </c>
      <c r="D2027" t="s">
        <v>134</v>
      </c>
      <c r="E2027" t="s">
        <v>27</v>
      </c>
      <c r="F2027">
        <v>3.8</v>
      </c>
      <c r="G2027">
        <v>7700</v>
      </c>
      <c r="H2027">
        <v>7700</v>
      </c>
      <c r="I2027">
        <f>FlipkartTable[[#This Row],[Original Price]]-FlipkartTable[[#This Row],[Selling Price]]</f>
        <v>0</v>
      </c>
      <c r="J2027" s="4">
        <f>(FlipkartTable[[#This Row],[Original Price]]-FlipkartTable[[#This Row],[Selling Price]])/FlipkartTable[[#This Row],[Original Price]]</f>
        <v>0</v>
      </c>
      <c r="K2027">
        <f>(FlipkartTable[[#This Row],[Rating]]/FlipkartTable[[#This Row],[Selling Price]])*1000</f>
        <v>0.4935064935064935</v>
      </c>
      <c r="L2027" t="str">
        <f>IF(FlipkartTable[[#This Row],[Selling Price]]&lt;15000,"Budget",IF(FlipkartTable[[#This Row],[Selling Price]]&lt;50000,"Mid Range","Premium"))</f>
        <v>Budget</v>
      </c>
      <c r="M2027" t="str">
        <f>IF(FlipkartTable[[#This Row],[Rating]]&gt;4.5,"Excellent",IF(FlipkartTable[[#This Row],[Rating]]&gt;4,"Good",IF(FlipkartTable[[#This Row],[Rating]]&gt;3.5,"Average","Poor")))</f>
        <v>Average</v>
      </c>
    </row>
    <row r="2028" spans="1:13" x14ac:dyDescent="0.35">
      <c r="A2028" t="s">
        <v>975</v>
      </c>
      <c r="B2028" s="9" t="s">
        <v>999</v>
      </c>
      <c r="C2028" t="s">
        <v>152</v>
      </c>
      <c r="D2028" t="s">
        <v>35</v>
      </c>
      <c r="E2028" t="s">
        <v>27</v>
      </c>
      <c r="F2028">
        <v>4</v>
      </c>
      <c r="G2028">
        <v>8999</v>
      </c>
      <c r="H2028">
        <v>8999</v>
      </c>
      <c r="I2028">
        <f>FlipkartTable[[#This Row],[Original Price]]-FlipkartTable[[#This Row],[Selling Price]]</f>
        <v>0</v>
      </c>
      <c r="J2028" s="4">
        <f>(FlipkartTable[[#This Row],[Original Price]]-FlipkartTable[[#This Row],[Selling Price]])/FlipkartTable[[#This Row],[Original Price]]</f>
        <v>0</v>
      </c>
      <c r="K2028">
        <f>(FlipkartTable[[#This Row],[Rating]]/FlipkartTable[[#This Row],[Selling Price]])*1000</f>
        <v>0.44449383264807202</v>
      </c>
      <c r="L2028" t="str">
        <f>IF(FlipkartTable[[#This Row],[Selling Price]]&lt;15000,"Budget",IF(FlipkartTable[[#This Row],[Selling Price]]&lt;50000,"Mid Range","Premium"))</f>
        <v>Budget</v>
      </c>
      <c r="M2028" t="str">
        <f>IF(FlipkartTable[[#This Row],[Rating]]&gt;4.5,"Excellent",IF(FlipkartTable[[#This Row],[Rating]]&gt;4,"Good",IF(FlipkartTable[[#This Row],[Rating]]&gt;3.5,"Average","Poor")))</f>
        <v>Average</v>
      </c>
    </row>
    <row r="2029" spans="1:13" x14ac:dyDescent="0.35">
      <c r="A2029" t="s">
        <v>975</v>
      </c>
      <c r="B2029" s="9" t="s">
        <v>1000</v>
      </c>
      <c r="C2029" t="s">
        <v>19</v>
      </c>
      <c r="D2029" t="s">
        <v>11</v>
      </c>
      <c r="E2029" t="s">
        <v>12</v>
      </c>
      <c r="F2029">
        <v>4.0999999999999996</v>
      </c>
      <c r="G2029">
        <v>16999</v>
      </c>
      <c r="H2029">
        <v>16999</v>
      </c>
      <c r="I2029">
        <f>FlipkartTable[[#This Row],[Original Price]]-FlipkartTable[[#This Row],[Selling Price]]</f>
        <v>0</v>
      </c>
      <c r="J2029" s="4">
        <f>(FlipkartTable[[#This Row],[Original Price]]-FlipkartTable[[#This Row],[Selling Price]])/FlipkartTable[[#This Row],[Original Price]]</f>
        <v>0</v>
      </c>
      <c r="K2029">
        <f>(FlipkartTable[[#This Row],[Rating]]/FlipkartTable[[#This Row],[Selling Price]])*1000</f>
        <v>0.24119065827401609</v>
      </c>
      <c r="L2029" t="str">
        <f>IF(FlipkartTable[[#This Row],[Selling Price]]&lt;15000,"Budget",IF(FlipkartTable[[#This Row],[Selling Price]]&lt;50000,"Mid Range","Premium"))</f>
        <v>Mid Range</v>
      </c>
      <c r="M2029" t="str">
        <f>IF(FlipkartTable[[#This Row],[Rating]]&gt;4.5,"Excellent",IF(FlipkartTable[[#This Row],[Rating]]&gt;4,"Good",IF(FlipkartTable[[#This Row],[Rating]]&gt;3.5,"Average","Poor")))</f>
        <v>Good</v>
      </c>
    </row>
    <row r="2030" spans="1:13" x14ac:dyDescent="0.35">
      <c r="A2030" t="s">
        <v>975</v>
      </c>
      <c r="B2030" s="9" t="s">
        <v>999</v>
      </c>
      <c r="C2030" t="s">
        <v>19</v>
      </c>
      <c r="D2030" t="s">
        <v>35</v>
      </c>
      <c r="E2030" t="s">
        <v>27</v>
      </c>
      <c r="F2030">
        <v>4</v>
      </c>
      <c r="G2030">
        <v>5499</v>
      </c>
      <c r="H2030">
        <v>5499</v>
      </c>
      <c r="I2030">
        <f>FlipkartTable[[#This Row],[Original Price]]-FlipkartTable[[#This Row],[Selling Price]]</f>
        <v>0</v>
      </c>
      <c r="J2030" s="4">
        <f>(FlipkartTable[[#This Row],[Original Price]]-FlipkartTable[[#This Row],[Selling Price]])/FlipkartTable[[#This Row],[Original Price]]</f>
        <v>0</v>
      </c>
      <c r="K2030">
        <f>(FlipkartTable[[#This Row],[Rating]]/FlipkartTable[[#This Row],[Selling Price]])*1000</f>
        <v>0.72740498272413168</v>
      </c>
      <c r="L2030" t="str">
        <f>IF(FlipkartTable[[#This Row],[Selling Price]]&lt;15000,"Budget",IF(FlipkartTable[[#This Row],[Selling Price]]&lt;50000,"Mid Range","Premium"))</f>
        <v>Budget</v>
      </c>
      <c r="M2030" t="str">
        <f>IF(FlipkartTable[[#This Row],[Rating]]&gt;4.5,"Excellent",IF(FlipkartTable[[#This Row],[Rating]]&gt;4,"Good",IF(FlipkartTable[[#This Row],[Rating]]&gt;3.5,"Average","Poor")))</f>
        <v>Average</v>
      </c>
    </row>
    <row r="2031" spans="1:13" x14ac:dyDescent="0.35">
      <c r="A2031" t="s">
        <v>975</v>
      </c>
      <c r="B2031" s="9" t="s">
        <v>1001</v>
      </c>
      <c r="C2031" t="s">
        <v>19</v>
      </c>
      <c r="D2031" t="s">
        <v>35</v>
      </c>
      <c r="E2031" t="s">
        <v>124</v>
      </c>
      <c r="F2031">
        <v>3.8</v>
      </c>
      <c r="G2031">
        <v>5999</v>
      </c>
      <c r="H2031">
        <v>5999</v>
      </c>
      <c r="I2031">
        <f>FlipkartTable[[#This Row],[Original Price]]-FlipkartTable[[#This Row],[Selling Price]]</f>
        <v>0</v>
      </c>
      <c r="J2031" s="4">
        <f>(FlipkartTable[[#This Row],[Original Price]]-FlipkartTable[[#This Row],[Selling Price]])/FlipkartTable[[#This Row],[Original Price]]</f>
        <v>0</v>
      </c>
      <c r="K2031">
        <f>(FlipkartTable[[#This Row],[Rating]]/FlipkartTable[[#This Row],[Selling Price]])*1000</f>
        <v>0.63343890648441403</v>
      </c>
      <c r="L2031" t="str">
        <f>IF(FlipkartTable[[#This Row],[Selling Price]]&lt;15000,"Budget",IF(FlipkartTable[[#This Row],[Selling Price]]&lt;50000,"Mid Range","Premium"))</f>
        <v>Budget</v>
      </c>
      <c r="M2031" t="str">
        <f>IF(FlipkartTable[[#This Row],[Rating]]&gt;4.5,"Excellent",IF(FlipkartTable[[#This Row],[Rating]]&gt;4,"Good",IF(FlipkartTable[[#This Row],[Rating]]&gt;3.5,"Average","Poor")))</f>
        <v>Average</v>
      </c>
    </row>
    <row r="2032" spans="1:13" x14ac:dyDescent="0.35">
      <c r="A2032" t="s">
        <v>975</v>
      </c>
      <c r="B2032" s="9" t="s">
        <v>1002</v>
      </c>
      <c r="C2032" t="s">
        <v>170</v>
      </c>
      <c r="D2032" t="s">
        <v>35</v>
      </c>
      <c r="E2032" t="s">
        <v>124</v>
      </c>
      <c r="F2032">
        <v>4</v>
      </c>
      <c r="G2032">
        <v>8499</v>
      </c>
      <c r="H2032">
        <v>8499</v>
      </c>
      <c r="I2032">
        <f>FlipkartTable[[#This Row],[Original Price]]-FlipkartTable[[#This Row],[Selling Price]]</f>
        <v>0</v>
      </c>
      <c r="J2032" s="4">
        <f>(FlipkartTable[[#This Row],[Original Price]]-FlipkartTable[[#This Row],[Selling Price]])/FlipkartTable[[#This Row],[Original Price]]</f>
        <v>0</v>
      </c>
      <c r="K2032">
        <f>(FlipkartTable[[#This Row],[Rating]]/FlipkartTable[[#This Row],[Selling Price]])*1000</f>
        <v>0.4706436051300153</v>
      </c>
      <c r="L2032" t="str">
        <f>IF(FlipkartTable[[#This Row],[Selling Price]]&lt;15000,"Budget",IF(FlipkartTable[[#This Row],[Selling Price]]&lt;50000,"Mid Range","Premium"))</f>
        <v>Budget</v>
      </c>
      <c r="M2032" t="str">
        <f>IF(FlipkartTable[[#This Row],[Rating]]&gt;4.5,"Excellent",IF(FlipkartTable[[#This Row],[Rating]]&gt;4,"Good",IF(FlipkartTable[[#This Row],[Rating]]&gt;3.5,"Average","Poor")))</f>
        <v>Average</v>
      </c>
    </row>
    <row r="2033" spans="1:13" x14ac:dyDescent="0.35">
      <c r="A2033" t="s">
        <v>975</v>
      </c>
      <c r="B2033" s="9" t="s">
        <v>1002</v>
      </c>
      <c r="C2033" t="s">
        <v>615</v>
      </c>
      <c r="D2033" t="s">
        <v>35</v>
      </c>
      <c r="E2033" t="s">
        <v>124</v>
      </c>
      <c r="F2033">
        <v>4</v>
      </c>
      <c r="G2033">
        <v>8499</v>
      </c>
      <c r="H2033">
        <v>8499</v>
      </c>
      <c r="I2033">
        <f>FlipkartTable[[#This Row],[Original Price]]-FlipkartTable[[#This Row],[Selling Price]]</f>
        <v>0</v>
      </c>
      <c r="J2033" s="4">
        <f>(FlipkartTable[[#This Row],[Original Price]]-FlipkartTable[[#This Row],[Selling Price]])/FlipkartTable[[#This Row],[Original Price]]</f>
        <v>0</v>
      </c>
      <c r="K2033">
        <f>(FlipkartTable[[#This Row],[Rating]]/FlipkartTable[[#This Row],[Selling Price]])*1000</f>
        <v>0.4706436051300153</v>
      </c>
      <c r="L2033" t="str">
        <f>IF(FlipkartTable[[#This Row],[Selling Price]]&lt;15000,"Budget",IF(FlipkartTable[[#This Row],[Selling Price]]&lt;50000,"Mid Range","Premium"))</f>
        <v>Budget</v>
      </c>
      <c r="M2033" t="str">
        <f>IF(FlipkartTable[[#This Row],[Rating]]&gt;4.5,"Excellent",IF(FlipkartTable[[#This Row],[Rating]]&gt;4,"Good",IF(FlipkartTable[[#This Row],[Rating]]&gt;3.5,"Average","Poor")))</f>
        <v>Average</v>
      </c>
    </row>
    <row r="2034" spans="1:13" x14ac:dyDescent="0.35">
      <c r="A2034" t="s">
        <v>975</v>
      </c>
      <c r="B2034" s="9" t="s">
        <v>1002</v>
      </c>
      <c r="C2034" t="s">
        <v>615</v>
      </c>
      <c r="D2034" t="s">
        <v>20</v>
      </c>
      <c r="E2034" t="s">
        <v>124</v>
      </c>
      <c r="F2034">
        <v>4</v>
      </c>
      <c r="G2034">
        <v>7999</v>
      </c>
      <c r="H2034">
        <v>7999</v>
      </c>
      <c r="I2034">
        <f>FlipkartTable[[#This Row],[Original Price]]-FlipkartTable[[#This Row],[Selling Price]]</f>
        <v>0</v>
      </c>
      <c r="J2034" s="4">
        <f>(FlipkartTable[[#This Row],[Original Price]]-FlipkartTable[[#This Row],[Selling Price]])/FlipkartTable[[#This Row],[Original Price]]</f>
        <v>0</v>
      </c>
      <c r="K2034">
        <f>(FlipkartTable[[#This Row],[Rating]]/FlipkartTable[[#This Row],[Selling Price]])*1000</f>
        <v>0.50006250781347672</v>
      </c>
      <c r="L2034" t="str">
        <f>IF(FlipkartTable[[#This Row],[Selling Price]]&lt;15000,"Budget",IF(FlipkartTable[[#This Row],[Selling Price]]&lt;50000,"Mid Range","Premium"))</f>
        <v>Budget</v>
      </c>
      <c r="M2034" t="str">
        <f>IF(FlipkartTable[[#This Row],[Rating]]&gt;4.5,"Excellent",IF(FlipkartTable[[#This Row],[Rating]]&gt;4,"Good",IF(FlipkartTable[[#This Row],[Rating]]&gt;3.5,"Average","Poor")))</f>
        <v>Average</v>
      </c>
    </row>
    <row r="2035" spans="1:13" x14ac:dyDescent="0.35">
      <c r="A2035" t="s">
        <v>975</v>
      </c>
      <c r="B2035" s="9" t="s">
        <v>1002</v>
      </c>
      <c r="C2035" t="s">
        <v>170</v>
      </c>
      <c r="D2035" t="s">
        <v>20</v>
      </c>
      <c r="E2035" t="s">
        <v>124</v>
      </c>
      <c r="F2035">
        <v>4</v>
      </c>
      <c r="G2035">
        <v>8499</v>
      </c>
      <c r="H2035">
        <v>8499</v>
      </c>
      <c r="I2035">
        <f>FlipkartTable[[#This Row],[Original Price]]-FlipkartTable[[#This Row],[Selling Price]]</f>
        <v>0</v>
      </c>
      <c r="J2035" s="4">
        <f>(FlipkartTable[[#This Row],[Original Price]]-FlipkartTable[[#This Row],[Selling Price]])/FlipkartTable[[#This Row],[Original Price]]</f>
        <v>0</v>
      </c>
      <c r="K2035">
        <f>(FlipkartTable[[#This Row],[Rating]]/FlipkartTable[[#This Row],[Selling Price]])*1000</f>
        <v>0.4706436051300153</v>
      </c>
      <c r="L2035" t="str">
        <f>IF(FlipkartTable[[#This Row],[Selling Price]]&lt;15000,"Budget",IF(FlipkartTable[[#This Row],[Selling Price]]&lt;50000,"Mid Range","Premium"))</f>
        <v>Budget</v>
      </c>
      <c r="M2035" t="str">
        <f>IF(FlipkartTable[[#This Row],[Rating]]&gt;4.5,"Excellent",IF(FlipkartTable[[#This Row],[Rating]]&gt;4,"Good",IF(FlipkartTable[[#This Row],[Rating]]&gt;3.5,"Average","Poor")))</f>
        <v>Average</v>
      </c>
    </row>
    <row r="2036" spans="1:13" x14ac:dyDescent="0.35">
      <c r="A2036" t="s">
        <v>975</v>
      </c>
      <c r="B2036" s="9" t="s">
        <v>1002</v>
      </c>
      <c r="C2036" t="s">
        <v>116</v>
      </c>
      <c r="D2036" t="s">
        <v>20</v>
      </c>
      <c r="E2036" t="s">
        <v>124</v>
      </c>
      <c r="F2036">
        <v>4</v>
      </c>
      <c r="G2036">
        <v>7999</v>
      </c>
      <c r="H2036">
        <v>7999</v>
      </c>
      <c r="I2036">
        <f>FlipkartTable[[#This Row],[Original Price]]-FlipkartTable[[#This Row],[Selling Price]]</f>
        <v>0</v>
      </c>
      <c r="J2036" s="4">
        <f>(FlipkartTable[[#This Row],[Original Price]]-FlipkartTable[[#This Row],[Selling Price]])/FlipkartTable[[#This Row],[Original Price]]</f>
        <v>0</v>
      </c>
      <c r="K2036">
        <f>(FlipkartTable[[#This Row],[Rating]]/FlipkartTable[[#This Row],[Selling Price]])*1000</f>
        <v>0.50006250781347672</v>
      </c>
      <c r="L2036" t="str">
        <f>IF(FlipkartTable[[#This Row],[Selling Price]]&lt;15000,"Budget",IF(FlipkartTable[[#This Row],[Selling Price]]&lt;50000,"Mid Range","Premium"))</f>
        <v>Budget</v>
      </c>
      <c r="M2036" t="str">
        <f>IF(FlipkartTable[[#This Row],[Rating]]&gt;4.5,"Excellent",IF(FlipkartTable[[#This Row],[Rating]]&gt;4,"Good",IF(FlipkartTable[[#This Row],[Rating]]&gt;3.5,"Average","Poor")))</f>
        <v>Average</v>
      </c>
    </row>
    <row r="2037" spans="1:13" x14ac:dyDescent="0.35">
      <c r="A2037" t="s">
        <v>975</v>
      </c>
      <c r="B2037" s="9" t="s">
        <v>994</v>
      </c>
      <c r="C2037" t="s">
        <v>484</v>
      </c>
      <c r="D2037" t="s">
        <v>134</v>
      </c>
      <c r="E2037" t="s">
        <v>124</v>
      </c>
      <c r="F2037">
        <v>4</v>
      </c>
      <c r="G2037">
        <v>15999</v>
      </c>
      <c r="H2037">
        <v>15999</v>
      </c>
      <c r="I2037">
        <f>FlipkartTable[[#This Row],[Original Price]]-FlipkartTable[[#This Row],[Selling Price]]</f>
        <v>0</v>
      </c>
      <c r="J2037" s="4">
        <f>(FlipkartTable[[#This Row],[Original Price]]-FlipkartTable[[#This Row],[Selling Price]])/FlipkartTable[[#This Row],[Original Price]]</f>
        <v>0</v>
      </c>
      <c r="K2037">
        <f>(FlipkartTable[[#This Row],[Rating]]/FlipkartTable[[#This Row],[Selling Price]])*1000</f>
        <v>0.25001562597662352</v>
      </c>
      <c r="L2037" t="str">
        <f>IF(FlipkartTable[[#This Row],[Selling Price]]&lt;15000,"Budget",IF(FlipkartTable[[#This Row],[Selling Price]]&lt;50000,"Mid Range","Premium"))</f>
        <v>Mid Range</v>
      </c>
      <c r="M2037" t="str">
        <f>IF(FlipkartTable[[#This Row],[Rating]]&gt;4.5,"Excellent",IF(FlipkartTable[[#This Row],[Rating]]&gt;4,"Good",IF(FlipkartTable[[#This Row],[Rating]]&gt;3.5,"Average","Poor")))</f>
        <v>Average</v>
      </c>
    </row>
    <row r="2038" spans="1:13" x14ac:dyDescent="0.35">
      <c r="A2038" t="s">
        <v>975</v>
      </c>
      <c r="B2038" s="9" t="s">
        <v>1003</v>
      </c>
      <c r="C2038" t="s">
        <v>141</v>
      </c>
      <c r="D2038" t="s">
        <v>11</v>
      </c>
      <c r="E2038" t="s">
        <v>21</v>
      </c>
      <c r="F2038">
        <v>4</v>
      </c>
      <c r="G2038">
        <v>9150</v>
      </c>
      <c r="H2038">
        <v>9150</v>
      </c>
      <c r="I2038">
        <f>FlipkartTable[[#This Row],[Original Price]]-FlipkartTable[[#This Row],[Selling Price]]</f>
        <v>0</v>
      </c>
      <c r="J2038" s="4">
        <f>(FlipkartTable[[#This Row],[Original Price]]-FlipkartTable[[#This Row],[Selling Price]])/FlipkartTable[[#This Row],[Original Price]]</f>
        <v>0</v>
      </c>
      <c r="K2038">
        <f>(FlipkartTable[[#This Row],[Rating]]/FlipkartTable[[#This Row],[Selling Price]])*1000</f>
        <v>0.43715846994535518</v>
      </c>
      <c r="L2038" t="str">
        <f>IF(FlipkartTable[[#This Row],[Selling Price]]&lt;15000,"Budget",IF(FlipkartTable[[#This Row],[Selling Price]]&lt;50000,"Mid Range","Premium"))</f>
        <v>Budget</v>
      </c>
      <c r="M2038" t="str">
        <f>IF(FlipkartTable[[#This Row],[Rating]]&gt;4.5,"Excellent",IF(FlipkartTable[[#This Row],[Rating]]&gt;4,"Good",IF(FlipkartTable[[#This Row],[Rating]]&gt;3.5,"Average","Poor")))</f>
        <v>Average</v>
      </c>
    </row>
    <row r="2039" spans="1:13" x14ac:dyDescent="0.35">
      <c r="A2039" t="s">
        <v>975</v>
      </c>
      <c r="B2039" s="9" t="s">
        <v>1004</v>
      </c>
      <c r="C2039" t="s">
        <v>141</v>
      </c>
      <c r="D2039" t="s">
        <v>11</v>
      </c>
      <c r="E2039" t="s">
        <v>21</v>
      </c>
      <c r="F2039">
        <v>4</v>
      </c>
      <c r="G2039">
        <v>8999</v>
      </c>
      <c r="H2039">
        <v>8999</v>
      </c>
      <c r="I2039">
        <f>FlipkartTable[[#This Row],[Original Price]]-FlipkartTable[[#This Row],[Selling Price]]</f>
        <v>0</v>
      </c>
      <c r="J2039" s="4">
        <f>(FlipkartTable[[#This Row],[Original Price]]-FlipkartTable[[#This Row],[Selling Price]])/FlipkartTable[[#This Row],[Original Price]]</f>
        <v>0</v>
      </c>
      <c r="K2039">
        <f>(FlipkartTable[[#This Row],[Rating]]/FlipkartTable[[#This Row],[Selling Price]])*1000</f>
        <v>0.44449383264807202</v>
      </c>
      <c r="L2039" t="str">
        <f>IF(FlipkartTable[[#This Row],[Selling Price]]&lt;15000,"Budget",IF(FlipkartTable[[#This Row],[Selling Price]]&lt;50000,"Mid Range","Premium"))</f>
        <v>Budget</v>
      </c>
      <c r="M2039" t="str">
        <f>IF(FlipkartTable[[#This Row],[Rating]]&gt;4.5,"Excellent",IF(FlipkartTable[[#This Row],[Rating]]&gt;4,"Good",IF(FlipkartTable[[#This Row],[Rating]]&gt;3.5,"Average","Poor")))</f>
        <v>Average</v>
      </c>
    </row>
    <row r="2040" spans="1:13" x14ac:dyDescent="0.35">
      <c r="A2040" t="s">
        <v>975</v>
      </c>
      <c r="B2040" s="9" t="s">
        <v>992</v>
      </c>
      <c r="C2040" t="s">
        <v>170</v>
      </c>
      <c r="D2040" t="s">
        <v>20</v>
      </c>
      <c r="E2040" t="s">
        <v>21</v>
      </c>
      <c r="F2040">
        <v>4.0999999999999996</v>
      </c>
      <c r="G2040">
        <v>10999</v>
      </c>
      <c r="H2040">
        <v>10999</v>
      </c>
      <c r="I2040">
        <f>FlipkartTable[[#This Row],[Original Price]]-FlipkartTable[[#This Row],[Selling Price]]</f>
        <v>0</v>
      </c>
      <c r="J2040" s="4">
        <f>(FlipkartTable[[#This Row],[Original Price]]-FlipkartTable[[#This Row],[Selling Price]])/FlipkartTable[[#This Row],[Original Price]]</f>
        <v>0</v>
      </c>
      <c r="K2040">
        <f>(FlipkartTable[[#This Row],[Rating]]/FlipkartTable[[#This Row],[Selling Price]])*1000</f>
        <v>0.37276116010546406</v>
      </c>
      <c r="L2040" t="str">
        <f>IF(FlipkartTable[[#This Row],[Selling Price]]&lt;15000,"Budget",IF(FlipkartTable[[#This Row],[Selling Price]]&lt;50000,"Mid Range","Premium"))</f>
        <v>Budget</v>
      </c>
      <c r="M2040" t="str">
        <f>IF(FlipkartTable[[#This Row],[Rating]]&gt;4.5,"Excellent",IF(FlipkartTable[[#This Row],[Rating]]&gt;4,"Good",IF(FlipkartTable[[#This Row],[Rating]]&gt;3.5,"Average","Poor")))</f>
        <v>Good</v>
      </c>
    </row>
    <row r="2041" spans="1:13" x14ac:dyDescent="0.35">
      <c r="A2041" t="s">
        <v>975</v>
      </c>
      <c r="B2041" s="9" t="s">
        <v>1005</v>
      </c>
      <c r="C2041" t="s">
        <v>116</v>
      </c>
      <c r="D2041" t="s">
        <v>35</v>
      </c>
      <c r="E2041" t="s">
        <v>21</v>
      </c>
      <c r="F2041">
        <v>3.7</v>
      </c>
      <c r="G2041">
        <v>17499</v>
      </c>
      <c r="H2041">
        <v>17499</v>
      </c>
      <c r="I2041">
        <f>FlipkartTable[[#This Row],[Original Price]]-FlipkartTable[[#This Row],[Selling Price]]</f>
        <v>0</v>
      </c>
      <c r="J2041" s="4">
        <f>(FlipkartTable[[#This Row],[Original Price]]-FlipkartTable[[#This Row],[Selling Price]])/FlipkartTable[[#This Row],[Original Price]]</f>
        <v>0</v>
      </c>
      <c r="K2041">
        <f>(FlipkartTable[[#This Row],[Rating]]/FlipkartTable[[#This Row],[Selling Price]])*1000</f>
        <v>0.21144065375164295</v>
      </c>
      <c r="L2041" t="str">
        <f>IF(FlipkartTable[[#This Row],[Selling Price]]&lt;15000,"Budget",IF(FlipkartTable[[#This Row],[Selling Price]]&lt;50000,"Mid Range","Premium"))</f>
        <v>Mid Range</v>
      </c>
      <c r="M2041" t="str">
        <f>IF(FlipkartTable[[#This Row],[Rating]]&gt;4.5,"Excellent",IF(FlipkartTable[[#This Row],[Rating]]&gt;4,"Good",IF(FlipkartTable[[#This Row],[Rating]]&gt;3.5,"Average","Poor")))</f>
        <v>Average</v>
      </c>
    </row>
    <row r="2042" spans="1:13" x14ac:dyDescent="0.35">
      <c r="A2042" t="s">
        <v>975</v>
      </c>
      <c r="B2042" s="9" t="s">
        <v>985</v>
      </c>
      <c r="C2042" t="s">
        <v>141</v>
      </c>
      <c r="D2042" t="s">
        <v>134</v>
      </c>
      <c r="E2042" t="s">
        <v>27</v>
      </c>
      <c r="F2042">
        <v>3.9</v>
      </c>
      <c r="G2042">
        <v>5499</v>
      </c>
      <c r="H2042">
        <v>5499</v>
      </c>
      <c r="I2042">
        <f>FlipkartTable[[#This Row],[Original Price]]-FlipkartTable[[#This Row],[Selling Price]]</f>
        <v>0</v>
      </c>
      <c r="J2042" s="4">
        <f>(FlipkartTable[[#This Row],[Original Price]]-FlipkartTable[[#This Row],[Selling Price]])/FlipkartTable[[#This Row],[Original Price]]</f>
        <v>0</v>
      </c>
      <c r="K2042">
        <f>(FlipkartTable[[#This Row],[Rating]]/FlipkartTable[[#This Row],[Selling Price]])*1000</f>
        <v>0.70921985815602828</v>
      </c>
      <c r="L2042" t="str">
        <f>IF(FlipkartTable[[#This Row],[Selling Price]]&lt;15000,"Budget",IF(FlipkartTable[[#This Row],[Selling Price]]&lt;50000,"Mid Range","Premium"))</f>
        <v>Budget</v>
      </c>
      <c r="M2042" t="str">
        <f>IF(FlipkartTable[[#This Row],[Rating]]&gt;4.5,"Excellent",IF(FlipkartTable[[#This Row],[Rating]]&gt;4,"Good",IF(FlipkartTable[[#This Row],[Rating]]&gt;3.5,"Average","Poor")))</f>
        <v>Average</v>
      </c>
    </row>
    <row r="2043" spans="1:13" x14ac:dyDescent="0.35">
      <c r="A2043" t="s">
        <v>975</v>
      </c>
      <c r="B2043" s="9" t="s">
        <v>992</v>
      </c>
      <c r="C2043" t="s">
        <v>116</v>
      </c>
      <c r="D2043" t="s">
        <v>20</v>
      </c>
      <c r="E2043" t="s">
        <v>21</v>
      </c>
      <c r="F2043">
        <v>4.0999999999999996</v>
      </c>
      <c r="G2043">
        <v>10999</v>
      </c>
      <c r="H2043">
        <v>10999</v>
      </c>
      <c r="I2043">
        <f>FlipkartTable[[#This Row],[Original Price]]-FlipkartTable[[#This Row],[Selling Price]]</f>
        <v>0</v>
      </c>
      <c r="J2043" s="4">
        <f>(FlipkartTable[[#This Row],[Original Price]]-FlipkartTable[[#This Row],[Selling Price]])/FlipkartTable[[#This Row],[Original Price]]</f>
        <v>0</v>
      </c>
      <c r="K2043">
        <f>(FlipkartTable[[#This Row],[Rating]]/FlipkartTable[[#This Row],[Selling Price]])*1000</f>
        <v>0.37276116010546406</v>
      </c>
      <c r="L2043" t="str">
        <f>IF(FlipkartTable[[#This Row],[Selling Price]]&lt;15000,"Budget",IF(FlipkartTable[[#This Row],[Selling Price]]&lt;50000,"Mid Range","Premium"))</f>
        <v>Budget</v>
      </c>
      <c r="M2043" t="str">
        <f>IF(FlipkartTable[[#This Row],[Rating]]&gt;4.5,"Excellent",IF(FlipkartTable[[#This Row],[Rating]]&gt;4,"Good",IF(FlipkartTable[[#This Row],[Rating]]&gt;3.5,"Average","Poor")))</f>
        <v>Good</v>
      </c>
    </row>
    <row r="2044" spans="1:13" x14ac:dyDescent="0.35">
      <c r="A2044" t="s">
        <v>975</v>
      </c>
      <c r="B2044" s="9" t="s">
        <v>1004</v>
      </c>
      <c r="C2044" t="s">
        <v>1006</v>
      </c>
      <c r="D2044" t="s">
        <v>20</v>
      </c>
      <c r="E2044" t="s">
        <v>21</v>
      </c>
      <c r="F2044">
        <v>4.0999999999999996</v>
      </c>
      <c r="G2044">
        <v>7499</v>
      </c>
      <c r="H2044">
        <v>7499</v>
      </c>
      <c r="I2044">
        <f>FlipkartTable[[#This Row],[Original Price]]-FlipkartTable[[#This Row],[Selling Price]]</f>
        <v>0</v>
      </c>
      <c r="J2044" s="4">
        <f>(FlipkartTable[[#This Row],[Original Price]]-FlipkartTable[[#This Row],[Selling Price]])/FlipkartTable[[#This Row],[Original Price]]</f>
        <v>0</v>
      </c>
      <c r="K2044">
        <f>(FlipkartTable[[#This Row],[Rating]]/FlipkartTable[[#This Row],[Selling Price]])*1000</f>
        <v>0.54673956527537004</v>
      </c>
      <c r="L2044" t="str">
        <f>IF(FlipkartTable[[#This Row],[Selling Price]]&lt;15000,"Budget",IF(FlipkartTable[[#This Row],[Selling Price]]&lt;50000,"Mid Range","Premium"))</f>
        <v>Budget</v>
      </c>
      <c r="M2044" t="str">
        <f>IF(FlipkartTable[[#This Row],[Rating]]&gt;4.5,"Excellent",IF(FlipkartTable[[#This Row],[Rating]]&gt;4,"Good",IF(FlipkartTable[[#This Row],[Rating]]&gt;3.5,"Average","Poor")))</f>
        <v>Good</v>
      </c>
    </row>
    <row r="2045" spans="1:13" x14ac:dyDescent="0.35">
      <c r="A2045" t="s">
        <v>975</v>
      </c>
      <c r="B2045" s="9" t="s">
        <v>1003</v>
      </c>
      <c r="C2045" t="s">
        <v>116</v>
      </c>
      <c r="D2045" t="s">
        <v>11</v>
      </c>
      <c r="E2045" t="s">
        <v>21</v>
      </c>
      <c r="F2045">
        <v>4</v>
      </c>
      <c r="G2045">
        <v>7490</v>
      </c>
      <c r="H2045">
        <v>7490</v>
      </c>
      <c r="I2045">
        <f>FlipkartTable[[#This Row],[Original Price]]-FlipkartTable[[#This Row],[Selling Price]]</f>
        <v>0</v>
      </c>
      <c r="J2045" s="4">
        <f>(FlipkartTable[[#This Row],[Original Price]]-FlipkartTable[[#This Row],[Selling Price]])/FlipkartTable[[#This Row],[Original Price]]</f>
        <v>0</v>
      </c>
      <c r="K2045">
        <f>(FlipkartTable[[#This Row],[Rating]]/FlipkartTable[[#This Row],[Selling Price]])*1000</f>
        <v>0.53404539385847793</v>
      </c>
      <c r="L2045" t="str">
        <f>IF(FlipkartTable[[#This Row],[Selling Price]]&lt;15000,"Budget",IF(FlipkartTable[[#This Row],[Selling Price]]&lt;50000,"Mid Range","Premium"))</f>
        <v>Budget</v>
      </c>
      <c r="M2045" t="str">
        <f>IF(FlipkartTable[[#This Row],[Rating]]&gt;4.5,"Excellent",IF(FlipkartTable[[#This Row],[Rating]]&gt;4,"Good",IF(FlipkartTable[[#This Row],[Rating]]&gt;3.5,"Average","Poor")))</f>
        <v>Average</v>
      </c>
    </row>
    <row r="2046" spans="1:13" x14ac:dyDescent="0.35">
      <c r="A2046" t="s">
        <v>975</v>
      </c>
      <c r="B2046" s="9" t="s">
        <v>1003</v>
      </c>
      <c r="C2046" t="s">
        <v>170</v>
      </c>
      <c r="D2046" t="s">
        <v>20</v>
      </c>
      <c r="E2046" t="s">
        <v>21</v>
      </c>
      <c r="F2046">
        <v>4.0999999999999996</v>
      </c>
      <c r="G2046">
        <v>7490</v>
      </c>
      <c r="H2046">
        <v>14890</v>
      </c>
      <c r="I2046">
        <f>FlipkartTable[[#This Row],[Original Price]]-FlipkartTable[[#This Row],[Selling Price]]</f>
        <v>7400</v>
      </c>
      <c r="J2046" s="4">
        <f>(FlipkartTable[[#This Row],[Original Price]]-FlipkartTable[[#This Row],[Selling Price]])/FlipkartTable[[#This Row],[Original Price]]</f>
        <v>0.49697783747481533</v>
      </c>
      <c r="K2046">
        <f>(FlipkartTable[[#This Row],[Rating]]/FlipkartTable[[#This Row],[Selling Price]])*1000</f>
        <v>0.54739652870493982</v>
      </c>
      <c r="L2046" t="str">
        <f>IF(FlipkartTable[[#This Row],[Selling Price]]&lt;15000,"Budget",IF(FlipkartTable[[#This Row],[Selling Price]]&lt;50000,"Mid Range","Premium"))</f>
        <v>Budget</v>
      </c>
      <c r="M2046" t="str">
        <f>IF(FlipkartTable[[#This Row],[Rating]]&gt;4.5,"Excellent",IF(FlipkartTable[[#This Row],[Rating]]&gt;4,"Good",IF(FlipkartTable[[#This Row],[Rating]]&gt;3.5,"Average","Poor")))</f>
        <v>Good</v>
      </c>
    </row>
    <row r="2047" spans="1:13" x14ac:dyDescent="0.35">
      <c r="A2047" t="s">
        <v>975</v>
      </c>
      <c r="B2047" s="9" t="s">
        <v>1003</v>
      </c>
      <c r="C2047" t="s">
        <v>116</v>
      </c>
      <c r="D2047" t="s">
        <v>20</v>
      </c>
      <c r="E2047" t="s">
        <v>21</v>
      </c>
      <c r="F2047">
        <v>4.0999999999999996</v>
      </c>
      <c r="G2047">
        <v>6250</v>
      </c>
      <c r="H2047">
        <v>6250</v>
      </c>
      <c r="I2047">
        <f>FlipkartTable[[#This Row],[Original Price]]-FlipkartTable[[#This Row],[Selling Price]]</f>
        <v>0</v>
      </c>
      <c r="J2047" s="4">
        <f>(FlipkartTable[[#This Row],[Original Price]]-FlipkartTable[[#This Row],[Selling Price]])/FlipkartTable[[#This Row],[Original Price]]</f>
        <v>0</v>
      </c>
      <c r="K2047">
        <f>(FlipkartTable[[#This Row],[Rating]]/FlipkartTable[[#This Row],[Selling Price]])*1000</f>
        <v>0.65599999999999992</v>
      </c>
      <c r="L2047" t="str">
        <f>IF(FlipkartTable[[#This Row],[Selling Price]]&lt;15000,"Budget",IF(FlipkartTable[[#This Row],[Selling Price]]&lt;50000,"Mid Range","Premium"))</f>
        <v>Budget</v>
      </c>
      <c r="M2047" t="str">
        <f>IF(FlipkartTable[[#This Row],[Rating]]&gt;4.5,"Excellent",IF(FlipkartTable[[#This Row],[Rating]]&gt;4,"Good",IF(FlipkartTable[[#This Row],[Rating]]&gt;3.5,"Average","Poor")))</f>
        <v>Good</v>
      </c>
    </row>
    <row r="2048" spans="1:13" x14ac:dyDescent="0.35">
      <c r="A2048" t="s">
        <v>975</v>
      </c>
      <c r="B2048" s="9" t="s">
        <v>991</v>
      </c>
      <c r="C2048" t="s">
        <v>152</v>
      </c>
      <c r="D2048" t="s">
        <v>11</v>
      </c>
      <c r="E2048" t="s">
        <v>12</v>
      </c>
      <c r="F2048">
        <v>3.8</v>
      </c>
      <c r="G2048">
        <v>19999</v>
      </c>
      <c r="H2048">
        <v>19999</v>
      </c>
      <c r="I2048">
        <f>FlipkartTable[[#This Row],[Original Price]]-FlipkartTable[[#This Row],[Selling Price]]</f>
        <v>0</v>
      </c>
      <c r="J2048" s="4">
        <f>(FlipkartTable[[#This Row],[Original Price]]-FlipkartTable[[#This Row],[Selling Price]])/FlipkartTable[[#This Row],[Original Price]]</f>
        <v>0</v>
      </c>
      <c r="K2048">
        <f>(FlipkartTable[[#This Row],[Rating]]/FlipkartTable[[#This Row],[Selling Price]])*1000</f>
        <v>0.19000950047502374</v>
      </c>
      <c r="L2048" t="str">
        <f>IF(FlipkartTable[[#This Row],[Selling Price]]&lt;15000,"Budget",IF(FlipkartTable[[#This Row],[Selling Price]]&lt;50000,"Mid Range","Premium"))</f>
        <v>Mid Range</v>
      </c>
      <c r="M2048" t="str">
        <f>IF(FlipkartTable[[#This Row],[Rating]]&gt;4.5,"Excellent",IF(FlipkartTable[[#This Row],[Rating]]&gt;4,"Good",IF(FlipkartTable[[#This Row],[Rating]]&gt;3.5,"Average","Poor")))</f>
        <v>Average</v>
      </c>
    </row>
    <row r="2049" spans="1:13" x14ac:dyDescent="0.35">
      <c r="A2049" t="s">
        <v>975</v>
      </c>
      <c r="B2049" s="9" t="s">
        <v>998</v>
      </c>
      <c r="C2049" t="s">
        <v>152</v>
      </c>
      <c r="D2049" t="s">
        <v>134</v>
      </c>
      <c r="E2049" t="s">
        <v>27</v>
      </c>
      <c r="F2049">
        <v>3.8</v>
      </c>
      <c r="G2049">
        <v>9999</v>
      </c>
      <c r="H2049">
        <v>9999</v>
      </c>
      <c r="I2049">
        <f>FlipkartTable[[#This Row],[Original Price]]-FlipkartTable[[#This Row],[Selling Price]]</f>
        <v>0</v>
      </c>
      <c r="J2049" s="4">
        <f>(FlipkartTable[[#This Row],[Original Price]]-FlipkartTable[[#This Row],[Selling Price]])/FlipkartTable[[#This Row],[Original Price]]</f>
        <v>0</v>
      </c>
      <c r="K2049">
        <f>(FlipkartTable[[#This Row],[Rating]]/FlipkartTable[[#This Row],[Selling Price]])*1000</f>
        <v>0.38003800380038</v>
      </c>
      <c r="L2049" t="str">
        <f>IF(FlipkartTable[[#This Row],[Selling Price]]&lt;15000,"Budget",IF(FlipkartTable[[#This Row],[Selling Price]]&lt;50000,"Mid Range","Premium"))</f>
        <v>Budget</v>
      </c>
      <c r="M2049" t="str">
        <f>IF(FlipkartTable[[#This Row],[Rating]]&gt;4.5,"Excellent",IF(FlipkartTable[[#This Row],[Rating]]&gt;4,"Good",IF(FlipkartTable[[#This Row],[Rating]]&gt;3.5,"Average","Poor")))</f>
        <v>Average</v>
      </c>
    </row>
    <row r="2050" spans="1:13" x14ac:dyDescent="0.35">
      <c r="A2050" t="s">
        <v>975</v>
      </c>
      <c r="B2050" s="9" t="s">
        <v>1007</v>
      </c>
      <c r="C2050" t="s">
        <v>19</v>
      </c>
      <c r="D2050" t="s">
        <v>11</v>
      </c>
      <c r="E2050" t="s">
        <v>12</v>
      </c>
      <c r="F2050">
        <v>4.0999999999999996</v>
      </c>
      <c r="G2050">
        <v>13999</v>
      </c>
      <c r="H2050">
        <v>13999</v>
      </c>
      <c r="I2050">
        <f>FlipkartTable[[#This Row],[Original Price]]-FlipkartTable[[#This Row],[Selling Price]]</f>
        <v>0</v>
      </c>
      <c r="J2050" s="4">
        <f>(FlipkartTable[[#This Row],[Original Price]]-FlipkartTable[[#This Row],[Selling Price]])/FlipkartTable[[#This Row],[Original Price]]</f>
        <v>0</v>
      </c>
      <c r="K2050">
        <f>(FlipkartTable[[#This Row],[Rating]]/FlipkartTable[[#This Row],[Selling Price]])*1000</f>
        <v>0.2928780627187656</v>
      </c>
      <c r="L2050" t="str">
        <f>IF(FlipkartTable[[#This Row],[Selling Price]]&lt;15000,"Budget",IF(FlipkartTable[[#This Row],[Selling Price]]&lt;50000,"Mid Range","Premium"))</f>
        <v>Budget</v>
      </c>
      <c r="M2050" t="str">
        <f>IF(FlipkartTable[[#This Row],[Rating]]&gt;4.5,"Excellent",IF(FlipkartTable[[#This Row],[Rating]]&gt;4,"Good",IF(FlipkartTable[[#This Row],[Rating]]&gt;3.5,"Average","Poor")))</f>
        <v>Good</v>
      </c>
    </row>
    <row r="2051" spans="1:13" x14ac:dyDescent="0.35">
      <c r="A2051" t="s">
        <v>975</v>
      </c>
      <c r="B2051" s="9" t="s">
        <v>1008</v>
      </c>
      <c r="C2051" t="s">
        <v>141</v>
      </c>
      <c r="D2051" t="s">
        <v>134</v>
      </c>
      <c r="E2051" t="s">
        <v>11</v>
      </c>
      <c r="F2051">
        <v>4.3</v>
      </c>
      <c r="G2051">
        <v>12899</v>
      </c>
      <c r="H2051">
        <v>12899</v>
      </c>
      <c r="I2051">
        <f>FlipkartTable[[#This Row],[Original Price]]-FlipkartTable[[#This Row],[Selling Price]]</f>
        <v>0</v>
      </c>
      <c r="J2051" s="4">
        <f>(FlipkartTable[[#This Row],[Original Price]]-FlipkartTable[[#This Row],[Selling Price]])/FlipkartTable[[#This Row],[Original Price]]</f>
        <v>0</v>
      </c>
      <c r="K2051">
        <f>(FlipkartTable[[#This Row],[Rating]]/FlipkartTable[[#This Row],[Selling Price]])*1000</f>
        <v>0.33335917512985502</v>
      </c>
      <c r="L2051" t="str">
        <f>IF(FlipkartTable[[#This Row],[Selling Price]]&lt;15000,"Budget",IF(FlipkartTable[[#This Row],[Selling Price]]&lt;50000,"Mid Range","Premium"))</f>
        <v>Budget</v>
      </c>
      <c r="M2051" t="str">
        <f>IF(FlipkartTable[[#This Row],[Rating]]&gt;4.5,"Excellent",IF(FlipkartTable[[#This Row],[Rating]]&gt;4,"Good",IF(FlipkartTable[[#This Row],[Rating]]&gt;3.5,"Average","Poor")))</f>
        <v>Good</v>
      </c>
    </row>
    <row r="2052" spans="1:13" x14ac:dyDescent="0.35">
      <c r="A2052" t="s">
        <v>975</v>
      </c>
      <c r="B2052" s="9" t="s">
        <v>1009</v>
      </c>
      <c r="C2052" t="s">
        <v>141</v>
      </c>
      <c r="D2052" t="s">
        <v>35</v>
      </c>
      <c r="E2052" t="s">
        <v>21</v>
      </c>
      <c r="F2052">
        <v>4.0999999999999996</v>
      </c>
      <c r="G2052">
        <v>15999</v>
      </c>
      <c r="H2052">
        <v>15999</v>
      </c>
      <c r="I2052">
        <f>FlipkartTable[[#This Row],[Original Price]]-FlipkartTable[[#This Row],[Selling Price]]</f>
        <v>0</v>
      </c>
      <c r="J2052" s="4">
        <f>(FlipkartTable[[#This Row],[Original Price]]-FlipkartTable[[#This Row],[Selling Price]])/FlipkartTable[[#This Row],[Original Price]]</f>
        <v>0</v>
      </c>
      <c r="K2052">
        <f>(FlipkartTable[[#This Row],[Rating]]/FlipkartTable[[#This Row],[Selling Price]])*1000</f>
        <v>0.25626601662603909</v>
      </c>
      <c r="L2052" t="str">
        <f>IF(FlipkartTable[[#This Row],[Selling Price]]&lt;15000,"Budget",IF(FlipkartTable[[#This Row],[Selling Price]]&lt;50000,"Mid Range","Premium"))</f>
        <v>Mid Range</v>
      </c>
      <c r="M2052" t="str">
        <f>IF(FlipkartTable[[#This Row],[Rating]]&gt;4.5,"Excellent",IF(FlipkartTable[[#This Row],[Rating]]&gt;4,"Good",IF(FlipkartTable[[#This Row],[Rating]]&gt;3.5,"Average","Poor")))</f>
        <v>Good</v>
      </c>
    </row>
    <row r="2053" spans="1:13" x14ac:dyDescent="0.35">
      <c r="A2053" t="s">
        <v>975</v>
      </c>
      <c r="B2053" s="9" t="s">
        <v>1010</v>
      </c>
      <c r="C2053" t="s">
        <v>1011</v>
      </c>
      <c r="D2053" t="s">
        <v>20</v>
      </c>
      <c r="E2053" t="s">
        <v>124</v>
      </c>
      <c r="F2053">
        <v>3.9</v>
      </c>
      <c r="G2053">
        <v>7999</v>
      </c>
      <c r="H2053">
        <v>7999</v>
      </c>
      <c r="I2053">
        <f>FlipkartTable[[#This Row],[Original Price]]-FlipkartTable[[#This Row],[Selling Price]]</f>
        <v>0</v>
      </c>
      <c r="J2053" s="4">
        <f>(FlipkartTable[[#This Row],[Original Price]]-FlipkartTable[[#This Row],[Selling Price]])/FlipkartTable[[#This Row],[Original Price]]</f>
        <v>0</v>
      </c>
      <c r="K2053">
        <f>(FlipkartTable[[#This Row],[Rating]]/FlipkartTable[[#This Row],[Selling Price]])*1000</f>
        <v>0.48756094511813974</v>
      </c>
      <c r="L2053" t="str">
        <f>IF(FlipkartTable[[#This Row],[Selling Price]]&lt;15000,"Budget",IF(FlipkartTable[[#This Row],[Selling Price]]&lt;50000,"Mid Range","Premium"))</f>
        <v>Budget</v>
      </c>
      <c r="M2053" t="str">
        <f>IF(FlipkartTable[[#This Row],[Rating]]&gt;4.5,"Excellent",IF(FlipkartTable[[#This Row],[Rating]]&gt;4,"Good",IF(FlipkartTable[[#This Row],[Rating]]&gt;3.5,"Average","Poor")))</f>
        <v>Average</v>
      </c>
    </row>
    <row r="2054" spans="1:13" x14ac:dyDescent="0.35">
      <c r="A2054" t="s">
        <v>975</v>
      </c>
      <c r="B2054" s="9" t="s">
        <v>985</v>
      </c>
      <c r="C2054" t="s">
        <v>19</v>
      </c>
      <c r="D2054" t="s">
        <v>134</v>
      </c>
      <c r="E2054" t="s">
        <v>27</v>
      </c>
      <c r="F2054">
        <v>3.9</v>
      </c>
      <c r="G2054">
        <v>4599</v>
      </c>
      <c r="H2054">
        <v>4599</v>
      </c>
      <c r="I2054">
        <f>FlipkartTable[[#This Row],[Original Price]]-FlipkartTable[[#This Row],[Selling Price]]</f>
        <v>0</v>
      </c>
      <c r="J2054" s="4">
        <f>(FlipkartTable[[#This Row],[Original Price]]-FlipkartTable[[#This Row],[Selling Price]])/FlipkartTable[[#This Row],[Original Price]]</f>
        <v>0</v>
      </c>
      <c r="K2054">
        <f>(FlipkartTable[[#This Row],[Rating]]/FlipkartTable[[#This Row],[Selling Price]])*1000</f>
        <v>0.84801043705153289</v>
      </c>
      <c r="L2054" t="str">
        <f>IF(FlipkartTable[[#This Row],[Selling Price]]&lt;15000,"Budget",IF(FlipkartTable[[#This Row],[Selling Price]]&lt;50000,"Mid Range","Premium"))</f>
        <v>Budget</v>
      </c>
      <c r="M2054" t="str">
        <f>IF(FlipkartTable[[#This Row],[Rating]]&gt;4.5,"Excellent",IF(FlipkartTable[[#This Row],[Rating]]&gt;4,"Good",IF(FlipkartTable[[#This Row],[Rating]]&gt;3.5,"Average","Poor")))</f>
        <v>Average</v>
      </c>
    </row>
    <row r="2055" spans="1:13" x14ac:dyDescent="0.35">
      <c r="A2055" t="s">
        <v>975</v>
      </c>
      <c r="B2055" s="9" t="s">
        <v>1012</v>
      </c>
      <c r="C2055" t="s">
        <v>116</v>
      </c>
      <c r="D2055" t="s">
        <v>134</v>
      </c>
      <c r="E2055" t="s">
        <v>27</v>
      </c>
      <c r="F2055">
        <v>4</v>
      </c>
      <c r="G2055">
        <v>14999</v>
      </c>
      <c r="H2055">
        <v>14999</v>
      </c>
      <c r="I2055">
        <f>FlipkartTable[[#This Row],[Original Price]]-FlipkartTable[[#This Row],[Selling Price]]</f>
        <v>0</v>
      </c>
      <c r="J2055" s="4">
        <f>(FlipkartTable[[#This Row],[Original Price]]-FlipkartTable[[#This Row],[Selling Price]])/FlipkartTable[[#This Row],[Original Price]]</f>
        <v>0</v>
      </c>
      <c r="K2055">
        <f>(FlipkartTable[[#This Row],[Rating]]/FlipkartTable[[#This Row],[Selling Price]])*1000</f>
        <v>0.26668444562970867</v>
      </c>
      <c r="L2055" t="str">
        <f>IF(FlipkartTable[[#This Row],[Selling Price]]&lt;15000,"Budget",IF(FlipkartTable[[#This Row],[Selling Price]]&lt;50000,"Mid Range","Premium"))</f>
        <v>Budget</v>
      </c>
      <c r="M2055" t="str">
        <f>IF(FlipkartTable[[#This Row],[Rating]]&gt;4.5,"Excellent",IF(FlipkartTable[[#This Row],[Rating]]&gt;4,"Good",IF(FlipkartTable[[#This Row],[Rating]]&gt;3.5,"Average","Poor")))</f>
        <v>Average</v>
      </c>
    </row>
    <row r="2056" spans="1:13" x14ac:dyDescent="0.35">
      <c r="A2056" t="s">
        <v>975</v>
      </c>
      <c r="B2056" s="9" t="s">
        <v>1013</v>
      </c>
      <c r="C2056" t="s">
        <v>1014</v>
      </c>
      <c r="D2056" t="s">
        <v>20</v>
      </c>
      <c r="E2056" t="s">
        <v>21</v>
      </c>
      <c r="F2056">
        <v>4</v>
      </c>
      <c r="G2056">
        <v>29999</v>
      </c>
      <c r="H2056">
        <v>29999</v>
      </c>
      <c r="I2056">
        <f>FlipkartTable[[#This Row],[Original Price]]-FlipkartTable[[#This Row],[Selling Price]]</f>
        <v>0</v>
      </c>
      <c r="J2056" s="4">
        <f>(FlipkartTable[[#This Row],[Original Price]]-FlipkartTable[[#This Row],[Selling Price]])/FlipkartTable[[#This Row],[Original Price]]</f>
        <v>0</v>
      </c>
      <c r="K2056">
        <f>(FlipkartTable[[#This Row],[Rating]]/FlipkartTable[[#This Row],[Selling Price]])*1000</f>
        <v>0.13333777792593088</v>
      </c>
      <c r="L2056" t="str">
        <f>IF(FlipkartTable[[#This Row],[Selling Price]]&lt;15000,"Budget",IF(FlipkartTable[[#This Row],[Selling Price]]&lt;50000,"Mid Range","Premium"))</f>
        <v>Mid Range</v>
      </c>
      <c r="M2056" t="str">
        <f>IF(FlipkartTable[[#This Row],[Rating]]&gt;4.5,"Excellent",IF(FlipkartTable[[#This Row],[Rating]]&gt;4,"Good",IF(FlipkartTable[[#This Row],[Rating]]&gt;3.5,"Average","Poor")))</f>
        <v>Average</v>
      </c>
    </row>
    <row r="2057" spans="1:13" x14ac:dyDescent="0.35">
      <c r="A2057" t="s">
        <v>975</v>
      </c>
      <c r="B2057" s="9" t="s">
        <v>984</v>
      </c>
      <c r="C2057" t="s">
        <v>116</v>
      </c>
      <c r="D2057" t="s">
        <v>35</v>
      </c>
      <c r="E2057" t="s">
        <v>124</v>
      </c>
      <c r="F2057">
        <v>4.0999999999999996</v>
      </c>
      <c r="G2057">
        <v>6999</v>
      </c>
      <c r="H2057">
        <v>6999</v>
      </c>
      <c r="I2057">
        <f>FlipkartTable[[#This Row],[Original Price]]-FlipkartTable[[#This Row],[Selling Price]]</f>
        <v>0</v>
      </c>
      <c r="J2057" s="4">
        <f>(FlipkartTable[[#This Row],[Original Price]]-FlipkartTable[[#This Row],[Selling Price]])/FlipkartTable[[#This Row],[Original Price]]</f>
        <v>0</v>
      </c>
      <c r="K2057">
        <f>(FlipkartTable[[#This Row],[Rating]]/FlipkartTable[[#This Row],[Selling Price]])*1000</f>
        <v>0.58579797113873411</v>
      </c>
      <c r="L2057" t="str">
        <f>IF(FlipkartTable[[#This Row],[Selling Price]]&lt;15000,"Budget",IF(FlipkartTable[[#This Row],[Selling Price]]&lt;50000,"Mid Range","Premium"))</f>
        <v>Budget</v>
      </c>
      <c r="M2057" t="str">
        <f>IF(FlipkartTable[[#This Row],[Rating]]&gt;4.5,"Excellent",IF(FlipkartTable[[#This Row],[Rating]]&gt;4,"Good",IF(FlipkartTable[[#This Row],[Rating]]&gt;3.5,"Average","Poor")))</f>
        <v>Good</v>
      </c>
    </row>
    <row r="2058" spans="1:13" x14ac:dyDescent="0.35">
      <c r="A2058" t="s">
        <v>975</v>
      </c>
      <c r="B2058" s="9" t="s">
        <v>984</v>
      </c>
      <c r="C2058" t="s">
        <v>19</v>
      </c>
      <c r="D2058" t="s">
        <v>20</v>
      </c>
      <c r="E2058" t="s">
        <v>21</v>
      </c>
      <c r="F2058">
        <v>4.0999999999999996</v>
      </c>
      <c r="G2058">
        <v>7999</v>
      </c>
      <c r="H2058">
        <v>7999</v>
      </c>
      <c r="I2058">
        <f>FlipkartTable[[#This Row],[Original Price]]-FlipkartTable[[#This Row],[Selling Price]]</f>
        <v>0</v>
      </c>
      <c r="J2058" s="4">
        <f>(FlipkartTable[[#This Row],[Original Price]]-FlipkartTable[[#This Row],[Selling Price]])/FlipkartTable[[#This Row],[Original Price]]</f>
        <v>0</v>
      </c>
      <c r="K2058">
        <f>(FlipkartTable[[#This Row],[Rating]]/FlipkartTable[[#This Row],[Selling Price]])*1000</f>
        <v>0.51256407050881359</v>
      </c>
      <c r="L2058" t="str">
        <f>IF(FlipkartTable[[#This Row],[Selling Price]]&lt;15000,"Budget",IF(FlipkartTable[[#This Row],[Selling Price]]&lt;50000,"Mid Range","Premium"))</f>
        <v>Budget</v>
      </c>
      <c r="M2058" t="str">
        <f>IF(FlipkartTable[[#This Row],[Rating]]&gt;4.5,"Excellent",IF(FlipkartTable[[#This Row],[Rating]]&gt;4,"Good",IF(FlipkartTable[[#This Row],[Rating]]&gt;3.5,"Average","Poor")))</f>
        <v>Good</v>
      </c>
    </row>
    <row r="2059" spans="1:13" x14ac:dyDescent="0.35">
      <c r="A2059" t="s">
        <v>975</v>
      </c>
      <c r="B2059" s="9" t="s">
        <v>1015</v>
      </c>
      <c r="C2059" t="s">
        <v>116</v>
      </c>
      <c r="D2059" t="s">
        <v>11</v>
      </c>
      <c r="E2059" t="s">
        <v>12</v>
      </c>
      <c r="F2059">
        <v>4.0999999999999996</v>
      </c>
      <c r="G2059">
        <v>11999</v>
      </c>
      <c r="H2059">
        <v>11999</v>
      </c>
      <c r="I2059">
        <f>FlipkartTable[[#This Row],[Original Price]]-FlipkartTable[[#This Row],[Selling Price]]</f>
        <v>0</v>
      </c>
      <c r="J2059" s="4">
        <f>(FlipkartTable[[#This Row],[Original Price]]-FlipkartTable[[#This Row],[Selling Price]])/FlipkartTable[[#This Row],[Original Price]]</f>
        <v>0</v>
      </c>
      <c r="K2059">
        <f>(FlipkartTable[[#This Row],[Rating]]/FlipkartTable[[#This Row],[Selling Price]])*1000</f>
        <v>0.34169514126177181</v>
      </c>
      <c r="L2059" t="str">
        <f>IF(FlipkartTable[[#This Row],[Selling Price]]&lt;15000,"Budget",IF(FlipkartTable[[#This Row],[Selling Price]]&lt;50000,"Mid Range","Premium"))</f>
        <v>Budget</v>
      </c>
      <c r="M2059" t="str">
        <f>IF(FlipkartTable[[#This Row],[Rating]]&gt;4.5,"Excellent",IF(FlipkartTable[[#This Row],[Rating]]&gt;4,"Good",IF(FlipkartTable[[#This Row],[Rating]]&gt;3.5,"Average","Poor")))</f>
        <v>Good</v>
      </c>
    </row>
    <row r="2060" spans="1:13" x14ac:dyDescent="0.35">
      <c r="A2060" t="s">
        <v>975</v>
      </c>
      <c r="B2060" s="9" t="s">
        <v>989</v>
      </c>
      <c r="C2060" t="s">
        <v>22</v>
      </c>
      <c r="D2060" t="s">
        <v>20</v>
      </c>
      <c r="E2060" t="s">
        <v>21</v>
      </c>
      <c r="F2060">
        <v>4.2</v>
      </c>
      <c r="G2060">
        <v>9999</v>
      </c>
      <c r="H2060">
        <v>9999</v>
      </c>
      <c r="I2060">
        <f>FlipkartTable[[#This Row],[Original Price]]-FlipkartTable[[#This Row],[Selling Price]]</f>
        <v>0</v>
      </c>
      <c r="J2060" s="4">
        <f>(FlipkartTable[[#This Row],[Original Price]]-FlipkartTable[[#This Row],[Selling Price]])/FlipkartTable[[#This Row],[Original Price]]</f>
        <v>0</v>
      </c>
      <c r="K2060">
        <f>(FlipkartTable[[#This Row],[Rating]]/FlipkartTable[[#This Row],[Selling Price]])*1000</f>
        <v>0.42004200420042004</v>
      </c>
      <c r="L2060" t="str">
        <f>IF(FlipkartTable[[#This Row],[Selling Price]]&lt;15000,"Budget",IF(FlipkartTable[[#This Row],[Selling Price]]&lt;50000,"Mid Range","Premium"))</f>
        <v>Budget</v>
      </c>
      <c r="M2060" t="str">
        <f>IF(FlipkartTable[[#This Row],[Rating]]&gt;4.5,"Excellent",IF(FlipkartTable[[#This Row],[Rating]]&gt;4,"Good",IF(FlipkartTable[[#This Row],[Rating]]&gt;3.5,"Average","Poor")))</f>
        <v>Good</v>
      </c>
    </row>
    <row r="2061" spans="1:13" x14ac:dyDescent="0.35">
      <c r="A2061" t="s">
        <v>975</v>
      </c>
      <c r="B2061" s="9" t="s">
        <v>1016</v>
      </c>
      <c r="C2061" t="s">
        <v>888</v>
      </c>
      <c r="D2061" t="s">
        <v>134</v>
      </c>
      <c r="E2061" t="s">
        <v>11</v>
      </c>
      <c r="F2061">
        <v>4.0999999999999996</v>
      </c>
      <c r="G2061">
        <v>15410</v>
      </c>
      <c r="H2061">
        <v>15410</v>
      </c>
      <c r="I2061">
        <f>FlipkartTable[[#This Row],[Original Price]]-FlipkartTable[[#This Row],[Selling Price]]</f>
        <v>0</v>
      </c>
      <c r="J2061" s="4">
        <f>(FlipkartTable[[#This Row],[Original Price]]-FlipkartTable[[#This Row],[Selling Price]])/FlipkartTable[[#This Row],[Original Price]]</f>
        <v>0</v>
      </c>
      <c r="K2061">
        <f>(FlipkartTable[[#This Row],[Rating]]/FlipkartTable[[#This Row],[Selling Price]])*1000</f>
        <v>0.26606099935107069</v>
      </c>
      <c r="L2061" t="str">
        <f>IF(FlipkartTable[[#This Row],[Selling Price]]&lt;15000,"Budget",IF(FlipkartTable[[#This Row],[Selling Price]]&lt;50000,"Mid Range","Premium"))</f>
        <v>Mid Range</v>
      </c>
      <c r="M2061" t="str">
        <f>IF(FlipkartTable[[#This Row],[Rating]]&gt;4.5,"Excellent",IF(FlipkartTable[[#This Row],[Rating]]&gt;4,"Good",IF(FlipkartTable[[#This Row],[Rating]]&gt;3.5,"Average","Poor")))</f>
        <v>Good</v>
      </c>
    </row>
    <row r="2062" spans="1:13" x14ac:dyDescent="0.35">
      <c r="A2062" t="s">
        <v>975</v>
      </c>
      <c r="B2062" s="9" t="s">
        <v>1017</v>
      </c>
      <c r="C2062" t="s">
        <v>152</v>
      </c>
      <c r="D2062" t="s">
        <v>134</v>
      </c>
      <c r="E2062" t="s">
        <v>11</v>
      </c>
      <c r="F2062">
        <v>4.0999999999999996</v>
      </c>
      <c r="G2062">
        <v>15999</v>
      </c>
      <c r="H2062">
        <v>15999</v>
      </c>
      <c r="I2062">
        <f>FlipkartTable[[#This Row],[Original Price]]-FlipkartTable[[#This Row],[Selling Price]]</f>
        <v>0</v>
      </c>
      <c r="J2062" s="4">
        <f>(FlipkartTable[[#This Row],[Original Price]]-FlipkartTable[[#This Row],[Selling Price]])/FlipkartTable[[#This Row],[Original Price]]</f>
        <v>0</v>
      </c>
      <c r="K2062">
        <f>(FlipkartTable[[#This Row],[Rating]]/FlipkartTable[[#This Row],[Selling Price]])*1000</f>
        <v>0.25626601662603909</v>
      </c>
      <c r="L2062" t="str">
        <f>IF(FlipkartTable[[#This Row],[Selling Price]]&lt;15000,"Budget",IF(FlipkartTable[[#This Row],[Selling Price]]&lt;50000,"Mid Range","Premium"))</f>
        <v>Mid Range</v>
      </c>
      <c r="M2062" t="str">
        <f>IF(FlipkartTable[[#This Row],[Rating]]&gt;4.5,"Excellent",IF(FlipkartTable[[#This Row],[Rating]]&gt;4,"Good",IF(FlipkartTable[[#This Row],[Rating]]&gt;3.5,"Average","Poor")))</f>
        <v>Good</v>
      </c>
    </row>
    <row r="2063" spans="1:13" x14ac:dyDescent="0.35">
      <c r="A2063" t="s">
        <v>975</v>
      </c>
      <c r="B2063" s="9" t="s">
        <v>1018</v>
      </c>
      <c r="C2063" t="s">
        <v>152</v>
      </c>
      <c r="D2063" t="s">
        <v>263</v>
      </c>
      <c r="E2063" t="s">
        <v>11</v>
      </c>
      <c r="F2063">
        <v>3.7</v>
      </c>
      <c r="G2063">
        <v>7580</v>
      </c>
      <c r="H2063">
        <v>7580</v>
      </c>
      <c r="I2063">
        <f>FlipkartTable[[#This Row],[Original Price]]-FlipkartTable[[#This Row],[Selling Price]]</f>
        <v>0</v>
      </c>
      <c r="J2063" s="4">
        <f>(FlipkartTable[[#This Row],[Original Price]]-FlipkartTable[[#This Row],[Selling Price]])/FlipkartTable[[#This Row],[Original Price]]</f>
        <v>0</v>
      </c>
      <c r="K2063">
        <f>(FlipkartTable[[#This Row],[Rating]]/FlipkartTable[[#This Row],[Selling Price]])*1000</f>
        <v>0.48812664907651715</v>
      </c>
      <c r="L2063" t="str">
        <f>IF(FlipkartTable[[#This Row],[Selling Price]]&lt;15000,"Budget",IF(FlipkartTable[[#This Row],[Selling Price]]&lt;50000,"Mid Range","Premium"))</f>
        <v>Budget</v>
      </c>
      <c r="M2063" t="str">
        <f>IF(FlipkartTable[[#This Row],[Rating]]&gt;4.5,"Excellent",IF(FlipkartTable[[#This Row],[Rating]]&gt;4,"Good",IF(FlipkartTable[[#This Row],[Rating]]&gt;3.5,"Average","Poor")))</f>
        <v>Average</v>
      </c>
    </row>
    <row r="2064" spans="1:13" x14ac:dyDescent="0.35">
      <c r="A2064" t="s">
        <v>975</v>
      </c>
      <c r="B2064" s="9" t="s">
        <v>1007</v>
      </c>
      <c r="C2064" t="s">
        <v>1019</v>
      </c>
      <c r="D2064" t="s">
        <v>11</v>
      </c>
      <c r="E2064" t="s">
        <v>12</v>
      </c>
      <c r="F2064">
        <v>4.0999999999999996</v>
      </c>
      <c r="G2064">
        <v>13999</v>
      </c>
      <c r="H2064">
        <v>13999</v>
      </c>
      <c r="I2064">
        <f>FlipkartTable[[#This Row],[Original Price]]-FlipkartTable[[#This Row],[Selling Price]]</f>
        <v>0</v>
      </c>
      <c r="J2064" s="4">
        <f>(FlipkartTable[[#This Row],[Original Price]]-FlipkartTable[[#This Row],[Selling Price]])/FlipkartTable[[#This Row],[Original Price]]</f>
        <v>0</v>
      </c>
      <c r="K2064">
        <f>(FlipkartTable[[#This Row],[Rating]]/FlipkartTable[[#This Row],[Selling Price]])*1000</f>
        <v>0.2928780627187656</v>
      </c>
      <c r="L2064" t="str">
        <f>IF(FlipkartTable[[#This Row],[Selling Price]]&lt;15000,"Budget",IF(FlipkartTable[[#This Row],[Selling Price]]&lt;50000,"Mid Range","Premium"))</f>
        <v>Budget</v>
      </c>
      <c r="M2064" t="str">
        <f>IF(FlipkartTable[[#This Row],[Rating]]&gt;4.5,"Excellent",IF(FlipkartTable[[#This Row],[Rating]]&gt;4,"Good",IF(FlipkartTable[[#This Row],[Rating]]&gt;3.5,"Average","Poor")))</f>
        <v>Good</v>
      </c>
    </row>
    <row r="2065" spans="1:13" x14ac:dyDescent="0.35">
      <c r="A2065" t="s">
        <v>975</v>
      </c>
      <c r="B2065" s="9" t="s">
        <v>977</v>
      </c>
      <c r="C2065" t="s">
        <v>978</v>
      </c>
      <c r="D2065" t="s">
        <v>11</v>
      </c>
      <c r="E2065" t="s">
        <v>21</v>
      </c>
      <c r="F2065">
        <v>4.0999999999999996</v>
      </c>
      <c r="G2065">
        <v>11999</v>
      </c>
      <c r="H2065">
        <v>11999</v>
      </c>
      <c r="I2065">
        <f>FlipkartTable[[#This Row],[Original Price]]-FlipkartTable[[#This Row],[Selling Price]]</f>
        <v>0</v>
      </c>
      <c r="J2065" s="4">
        <f>(FlipkartTable[[#This Row],[Original Price]]-FlipkartTable[[#This Row],[Selling Price]])/FlipkartTable[[#This Row],[Original Price]]</f>
        <v>0</v>
      </c>
      <c r="K2065">
        <f>(FlipkartTable[[#This Row],[Rating]]/FlipkartTable[[#This Row],[Selling Price]])*1000</f>
        <v>0.34169514126177181</v>
      </c>
      <c r="L2065" t="str">
        <f>IF(FlipkartTable[[#This Row],[Selling Price]]&lt;15000,"Budget",IF(FlipkartTable[[#This Row],[Selling Price]]&lt;50000,"Mid Range","Premium"))</f>
        <v>Budget</v>
      </c>
      <c r="M2065" t="str">
        <f>IF(FlipkartTable[[#This Row],[Rating]]&gt;4.5,"Excellent",IF(FlipkartTable[[#This Row],[Rating]]&gt;4,"Good",IF(FlipkartTable[[#This Row],[Rating]]&gt;3.5,"Average","Poor")))</f>
        <v>Good</v>
      </c>
    </row>
    <row r="2066" spans="1:13" x14ac:dyDescent="0.35">
      <c r="A2066" t="s">
        <v>975</v>
      </c>
      <c r="B2066" s="9" t="s">
        <v>992</v>
      </c>
      <c r="C2066" t="s">
        <v>170</v>
      </c>
      <c r="D2066" t="s">
        <v>11</v>
      </c>
      <c r="E2066" t="s">
        <v>21</v>
      </c>
      <c r="F2066">
        <v>4.0999999999999996</v>
      </c>
      <c r="G2066">
        <v>12499</v>
      </c>
      <c r="H2066">
        <v>12499</v>
      </c>
      <c r="I2066">
        <f>FlipkartTable[[#This Row],[Original Price]]-FlipkartTable[[#This Row],[Selling Price]]</f>
        <v>0</v>
      </c>
      <c r="J2066" s="4">
        <f>(FlipkartTable[[#This Row],[Original Price]]-FlipkartTable[[#This Row],[Selling Price]])/FlipkartTable[[#This Row],[Original Price]]</f>
        <v>0</v>
      </c>
      <c r="K2066">
        <f>(FlipkartTable[[#This Row],[Rating]]/FlipkartTable[[#This Row],[Selling Price]])*1000</f>
        <v>0.32802624209936793</v>
      </c>
      <c r="L2066" t="str">
        <f>IF(FlipkartTable[[#This Row],[Selling Price]]&lt;15000,"Budget",IF(FlipkartTable[[#This Row],[Selling Price]]&lt;50000,"Mid Range","Premium"))</f>
        <v>Budget</v>
      </c>
      <c r="M2066" t="str">
        <f>IF(FlipkartTable[[#This Row],[Rating]]&gt;4.5,"Excellent",IF(FlipkartTable[[#This Row],[Rating]]&gt;4,"Good",IF(FlipkartTable[[#This Row],[Rating]]&gt;3.5,"Average","Poor")))</f>
        <v>Good</v>
      </c>
    </row>
    <row r="2067" spans="1:13" x14ac:dyDescent="0.35">
      <c r="A2067" t="s">
        <v>975</v>
      </c>
      <c r="B2067" s="9" t="s">
        <v>1020</v>
      </c>
      <c r="C2067" t="s">
        <v>116</v>
      </c>
      <c r="D2067" t="s">
        <v>11</v>
      </c>
      <c r="E2067" t="s">
        <v>21</v>
      </c>
      <c r="F2067">
        <v>4.3</v>
      </c>
      <c r="G2067">
        <v>17999</v>
      </c>
      <c r="H2067">
        <v>17999</v>
      </c>
      <c r="I2067">
        <f>FlipkartTable[[#This Row],[Original Price]]-FlipkartTable[[#This Row],[Selling Price]]</f>
        <v>0</v>
      </c>
      <c r="J2067" s="4">
        <f>(FlipkartTable[[#This Row],[Original Price]]-FlipkartTable[[#This Row],[Selling Price]])/FlipkartTable[[#This Row],[Original Price]]</f>
        <v>0</v>
      </c>
      <c r="K2067">
        <f>(FlipkartTable[[#This Row],[Rating]]/FlipkartTable[[#This Row],[Selling Price]])*1000</f>
        <v>0.23890216123117949</v>
      </c>
      <c r="L2067" t="str">
        <f>IF(FlipkartTable[[#This Row],[Selling Price]]&lt;15000,"Budget",IF(FlipkartTable[[#This Row],[Selling Price]]&lt;50000,"Mid Range","Premium"))</f>
        <v>Mid Range</v>
      </c>
      <c r="M2067" t="str">
        <f>IF(FlipkartTable[[#This Row],[Rating]]&gt;4.5,"Excellent",IF(FlipkartTable[[#This Row],[Rating]]&gt;4,"Good",IF(FlipkartTable[[#This Row],[Rating]]&gt;3.5,"Average","Poor")))</f>
        <v>Good</v>
      </c>
    </row>
    <row r="2068" spans="1:13" x14ac:dyDescent="0.35">
      <c r="A2068" t="s">
        <v>975</v>
      </c>
      <c r="B2068" s="9" t="s">
        <v>1020</v>
      </c>
      <c r="C2068" t="s">
        <v>141</v>
      </c>
      <c r="D2068" t="s">
        <v>11</v>
      </c>
      <c r="E2068" t="s">
        <v>21</v>
      </c>
      <c r="F2068">
        <v>4.3</v>
      </c>
      <c r="G2068">
        <v>17999</v>
      </c>
      <c r="H2068">
        <v>17999</v>
      </c>
      <c r="I2068">
        <f>FlipkartTable[[#This Row],[Original Price]]-FlipkartTable[[#This Row],[Selling Price]]</f>
        <v>0</v>
      </c>
      <c r="J2068" s="4">
        <f>(FlipkartTable[[#This Row],[Original Price]]-FlipkartTable[[#This Row],[Selling Price]])/FlipkartTable[[#This Row],[Original Price]]</f>
        <v>0</v>
      </c>
      <c r="K2068">
        <f>(FlipkartTable[[#This Row],[Rating]]/FlipkartTable[[#This Row],[Selling Price]])*1000</f>
        <v>0.23890216123117949</v>
      </c>
      <c r="L2068" t="str">
        <f>IF(FlipkartTable[[#This Row],[Selling Price]]&lt;15000,"Budget",IF(FlipkartTable[[#This Row],[Selling Price]]&lt;50000,"Mid Range","Premium"))</f>
        <v>Mid Range</v>
      </c>
      <c r="M2068" t="str">
        <f>IF(FlipkartTable[[#This Row],[Rating]]&gt;4.5,"Excellent",IF(FlipkartTable[[#This Row],[Rating]]&gt;4,"Good",IF(FlipkartTable[[#This Row],[Rating]]&gt;3.5,"Average","Poor")))</f>
        <v>Good</v>
      </c>
    </row>
    <row r="2069" spans="1:13" x14ac:dyDescent="0.35">
      <c r="A2069" t="s">
        <v>975</v>
      </c>
      <c r="B2069" s="9" t="s">
        <v>1021</v>
      </c>
      <c r="C2069" t="s">
        <v>19</v>
      </c>
      <c r="D2069" t="s">
        <v>134</v>
      </c>
      <c r="E2069" t="s">
        <v>11</v>
      </c>
      <c r="F2069">
        <v>3.8</v>
      </c>
      <c r="G2069">
        <v>7499</v>
      </c>
      <c r="H2069">
        <v>7499</v>
      </c>
      <c r="I2069">
        <f>FlipkartTable[[#This Row],[Original Price]]-FlipkartTable[[#This Row],[Selling Price]]</f>
        <v>0</v>
      </c>
      <c r="J2069" s="4">
        <f>(FlipkartTable[[#This Row],[Original Price]]-FlipkartTable[[#This Row],[Selling Price]])/FlipkartTable[[#This Row],[Original Price]]</f>
        <v>0</v>
      </c>
      <c r="K2069">
        <f>(FlipkartTable[[#This Row],[Rating]]/FlipkartTable[[#This Row],[Selling Price]])*1000</f>
        <v>0.50673423123083072</v>
      </c>
      <c r="L2069" t="str">
        <f>IF(FlipkartTable[[#This Row],[Selling Price]]&lt;15000,"Budget",IF(FlipkartTable[[#This Row],[Selling Price]]&lt;50000,"Mid Range","Premium"))</f>
        <v>Budget</v>
      </c>
      <c r="M2069" t="str">
        <f>IF(FlipkartTable[[#This Row],[Rating]]&gt;4.5,"Excellent",IF(FlipkartTable[[#This Row],[Rating]]&gt;4,"Good",IF(FlipkartTable[[#This Row],[Rating]]&gt;3.5,"Average","Poor")))</f>
        <v>Average</v>
      </c>
    </row>
    <row r="2070" spans="1:13" x14ac:dyDescent="0.35">
      <c r="A2070" t="s">
        <v>975</v>
      </c>
      <c r="B2070" s="9" t="s">
        <v>1000</v>
      </c>
      <c r="C2070" t="s">
        <v>19</v>
      </c>
      <c r="D2070" t="s">
        <v>14</v>
      </c>
      <c r="E2070" t="s">
        <v>15</v>
      </c>
      <c r="F2070">
        <v>4.0999999999999996</v>
      </c>
      <c r="G2070">
        <v>18999</v>
      </c>
      <c r="H2070">
        <v>18999</v>
      </c>
      <c r="I2070">
        <f>FlipkartTable[[#This Row],[Original Price]]-FlipkartTable[[#This Row],[Selling Price]]</f>
        <v>0</v>
      </c>
      <c r="J2070" s="4">
        <f>(FlipkartTable[[#This Row],[Original Price]]-FlipkartTable[[#This Row],[Selling Price]])/FlipkartTable[[#This Row],[Original Price]]</f>
        <v>0</v>
      </c>
      <c r="K2070">
        <f>(FlipkartTable[[#This Row],[Rating]]/FlipkartTable[[#This Row],[Selling Price]])*1000</f>
        <v>0.21580083162271696</v>
      </c>
      <c r="L2070" t="str">
        <f>IF(FlipkartTable[[#This Row],[Selling Price]]&lt;15000,"Budget",IF(FlipkartTable[[#This Row],[Selling Price]]&lt;50000,"Mid Range","Premium"))</f>
        <v>Mid Range</v>
      </c>
      <c r="M2070" t="str">
        <f>IF(FlipkartTable[[#This Row],[Rating]]&gt;4.5,"Excellent",IF(FlipkartTable[[#This Row],[Rating]]&gt;4,"Good",IF(FlipkartTable[[#This Row],[Rating]]&gt;3.5,"Average","Poor")))</f>
        <v>Good</v>
      </c>
    </row>
    <row r="2071" spans="1:13" x14ac:dyDescent="0.35">
      <c r="A2071" t="s">
        <v>975</v>
      </c>
      <c r="B2071" s="9" t="s">
        <v>977</v>
      </c>
      <c r="C2071" t="s">
        <v>981</v>
      </c>
      <c r="D2071" t="s">
        <v>11</v>
      </c>
      <c r="E2071" t="s">
        <v>21</v>
      </c>
      <c r="F2071">
        <v>4.0999999999999996</v>
      </c>
      <c r="G2071">
        <v>11999</v>
      </c>
      <c r="H2071">
        <v>11999</v>
      </c>
      <c r="I2071">
        <f>FlipkartTable[[#This Row],[Original Price]]-FlipkartTable[[#This Row],[Selling Price]]</f>
        <v>0</v>
      </c>
      <c r="J2071" s="4">
        <f>(FlipkartTable[[#This Row],[Original Price]]-FlipkartTable[[#This Row],[Selling Price]])/FlipkartTable[[#This Row],[Original Price]]</f>
        <v>0</v>
      </c>
      <c r="K2071">
        <f>(FlipkartTable[[#This Row],[Rating]]/FlipkartTable[[#This Row],[Selling Price]])*1000</f>
        <v>0.34169514126177181</v>
      </c>
      <c r="L2071" t="str">
        <f>IF(FlipkartTable[[#This Row],[Selling Price]]&lt;15000,"Budget",IF(FlipkartTable[[#This Row],[Selling Price]]&lt;50000,"Mid Range","Premium"))</f>
        <v>Budget</v>
      </c>
      <c r="M2071" t="str">
        <f>IF(FlipkartTable[[#This Row],[Rating]]&gt;4.5,"Excellent",IF(FlipkartTable[[#This Row],[Rating]]&gt;4,"Good",IF(FlipkartTable[[#This Row],[Rating]]&gt;3.5,"Average","Poor")))</f>
        <v>Good</v>
      </c>
    </row>
    <row r="2072" spans="1:13" x14ac:dyDescent="0.35">
      <c r="A2072" t="s">
        <v>975</v>
      </c>
      <c r="B2072" s="9" t="s">
        <v>1022</v>
      </c>
      <c r="C2072" t="s">
        <v>19</v>
      </c>
      <c r="D2072" t="s">
        <v>20</v>
      </c>
      <c r="E2072" t="s">
        <v>21</v>
      </c>
      <c r="F2072">
        <v>4.2</v>
      </c>
      <c r="G2072">
        <v>9999</v>
      </c>
      <c r="H2072">
        <v>9999</v>
      </c>
      <c r="I2072">
        <f>FlipkartTable[[#This Row],[Original Price]]-FlipkartTable[[#This Row],[Selling Price]]</f>
        <v>0</v>
      </c>
      <c r="J2072" s="4">
        <f>(FlipkartTable[[#This Row],[Original Price]]-FlipkartTable[[#This Row],[Selling Price]])/FlipkartTable[[#This Row],[Original Price]]</f>
        <v>0</v>
      </c>
      <c r="K2072">
        <f>(FlipkartTable[[#This Row],[Rating]]/FlipkartTable[[#This Row],[Selling Price]])*1000</f>
        <v>0.42004200420042004</v>
      </c>
      <c r="L2072" t="str">
        <f>IF(FlipkartTable[[#This Row],[Selling Price]]&lt;15000,"Budget",IF(FlipkartTable[[#This Row],[Selling Price]]&lt;50000,"Mid Range","Premium"))</f>
        <v>Budget</v>
      </c>
      <c r="M2072" t="str">
        <f>IF(FlipkartTable[[#This Row],[Rating]]&gt;4.5,"Excellent",IF(FlipkartTable[[#This Row],[Rating]]&gt;4,"Good",IF(FlipkartTable[[#This Row],[Rating]]&gt;3.5,"Average","Poor")))</f>
        <v>Good</v>
      </c>
    </row>
    <row r="2073" spans="1:13" x14ac:dyDescent="0.35">
      <c r="A2073" t="s">
        <v>975</v>
      </c>
      <c r="B2073" s="9" t="s">
        <v>1020</v>
      </c>
      <c r="C2073" t="s">
        <v>141</v>
      </c>
      <c r="D2073" t="s">
        <v>20</v>
      </c>
      <c r="E2073" t="s">
        <v>21</v>
      </c>
      <c r="F2073">
        <v>4.3</v>
      </c>
      <c r="G2073">
        <v>16999</v>
      </c>
      <c r="H2073">
        <v>16999</v>
      </c>
      <c r="I2073">
        <f>FlipkartTable[[#This Row],[Original Price]]-FlipkartTable[[#This Row],[Selling Price]]</f>
        <v>0</v>
      </c>
      <c r="J2073" s="4">
        <f>(FlipkartTable[[#This Row],[Original Price]]-FlipkartTable[[#This Row],[Selling Price]])/FlipkartTable[[#This Row],[Original Price]]</f>
        <v>0</v>
      </c>
      <c r="K2073">
        <f>(FlipkartTable[[#This Row],[Rating]]/FlipkartTable[[#This Row],[Selling Price]])*1000</f>
        <v>0.25295605623860223</v>
      </c>
      <c r="L2073" t="str">
        <f>IF(FlipkartTable[[#This Row],[Selling Price]]&lt;15000,"Budget",IF(FlipkartTable[[#This Row],[Selling Price]]&lt;50000,"Mid Range","Premium"))</f>
        <v>Mid Range</v>
      </c>
      <c r="M2073" t="str">
        <f>IF(FlipkartTable[[#This Row],[Rating]]&gt;4.5,"Excellent",IF(FlipkartTable[[#This Row],[Rating]]&gt;4,"Good",IF(FlipkartTable[[#This Row],[Rating]]&gt;3.5,"Average","Poor")))</f>
        <v>Good</v>
      </c>
    </row>
    <row r="2074" spans="1:13" x14ac:dyDescent="0.35">
      <c r="A2074" t="s">
        <v>975</v>
      </c>
      <c r="B2074" s="9" t="s">
        <v>1020</v>
      </c>
      <c r="C2074" t="s">
        <v>116</v>
      </c>
      <c r="D2074" t="s">
        <v>20</v>
      </c>
      <c r="E2074" t="s">
        <v>21</v>
      </c>
      <c r="F2074">
        <v>4.3</v>
      </c>
      <c r="G2074">
        <v>16999</v>
      </c>
      <c r="H2074">
        <v>16999</v>
      </c>
      <c r="I2074">
        <f>FlipkartTable[[#This Row],[Original Price]]-FlipkartTable[[#This Row],[Selling Price]]</f>
        <v>0</v>
      </c>
      <c r="J2074" s="4">
        <f>(FlipkartTable[[#This Row],[Original Price]]-FlipkartTable[[#This Row],[Selling Price]])/FlipkartTable[[#This Row],[Original Price]]</f>
        <v>0</v>
      </c>
      <c r="K2074">
        <f>(FlipkartTable[[#This Row],[Rating]]/FlipkartTable[[#This Row],[Selling Price]])*1000</f>
        <v>0.25295605623860223</v>
      </c>
      <c r="L2074" t="str">
        <f>IF(FlipkartTable[[#This Row],[Selling Price]]&lt;15000,"Budget",IF(FlipkartTable[[#This Row],[Selling Price]]&lt;50000,"Mid Range","Premium"))</f>
        <v>Mid Range</v>
      </c>
      <c r="M2074" t="str">
        <f>IF(FlipkartTable[[#This Row],[Rating]]&gt;4.5,"Excellent",IF(FlipkartTable[[#This Row],[Rating]]&gt;4,"Good",IF(FlipkartTable[[#This Row],[Rating]]&gt;3.5,"Average","Poor")))</f>
        <v>Good</v>
      </c>
    </row>
    <row r="2075" spans="1:13" x14ac:dyDescent="0.35">
      <c r="A2075" t="s">
        <v>975</v>
      </c>
      <c r="B2075" s="9" t="s">
        <v>1022</v>
      </c>
      <c r="C2075" t="s">
        <v>22</v>
      </c>
      <c r="D2075" t="s">
        <v>20</v>
      </c>
      <c r="E2075" t="s">
        <v>21</v>
      </c>
      <c r="F2075">
        <v>4.2</v>
      </c>
      <c r="G2075">
        <v>9999</v>
      </c>
      <c r="H2075">
        <v>9999</v>
      </c>
      <c r="I2075">
        <f>FlipkartTable[[#This Row],[Original Price]]-FlipkartTable[[#This Row],[Selling Price]]</f>
        <v>0</v>
      </c>
      <c r="J2075" s="4">
        <f>(FlipkartTable[[#This Row],[Original Price]]-FlipkartTable[[#This Row],[Selling Price]])/FlipkartTable[[#This Row],[Original Price]]</f>
        <v>0</v>
      </c>
      <c r="K2075">
        <f>(FlipkartTable[[#This Row],[Rating]]/FlipkartTable[[#This Row],[Selling Price]])*1000</f>
        <v>0.42004200420042004</v>
      </c>
      <c r="L2075" t="str">
        <f>IF(FlipkartTable[[#This Row],[Selling Price]]&lt;15000,"Budget",IF(FlipkartTable[[#This Row],[Selling Price]]&lt;50000,"Mid Range","Premium"))</f>
        <v>Budget</v>
      </c>
      <c r="M2075" t="str">
        <f>IF(FlipkartTable[[#This Row],[Rating]]&gt;4.5,"Excellent",IF(FlipkartTable[[#This Row],[Rating]]&gt;4,"Good",IF(FlipkartTable[[#This Row],[Rating]]&gt;3.5,"Average","Poor")))</f>
        <v>Good</v>
      </c>
    </row>
    <row r="2076" spans="1:13" x14ac:dyDescent="0.35">
      <c r="A2076" t="s">
        <v>975</v>
      </c>
      <c r="B2076" s="9" t="s">
        <v>1023</v>
      </c>
      <c r="C2076" t="s">
        <v>170</v>
      </c>
      <c r="D2076" t="s">
        <v>20</v>
      </c>
      <c r="E2076" t="s">
        <v>21</v>
      </c>
      <c r="F2076">
        <v>3.7</v>
      </c>
      <c r="G2076">
        <v>7650</v>
      </c>
      <c r="H2076">
        <v>7650</v>
      </c>
      <c r="I2076">
        <f>FlipkartTable[[#This Row],[Original Price]]-FlipkartTable[[#This Row],[Selling Price]]</f>
        <v>0</v>
      </c>
      <c r="J2076" s="4">
        <f>(FlipkartTable[[#This Row],[Original Price]]-FlipkartTable[[#This Row],[Selling Price]])/FlipkartTable[[#This Row],[Original Price]]</f>
        <v>0</v>
      </c>
      <c r="K2076">
        <f>(FlipkartTable[[#This Row],[Rating]]/FlipkartTable[[#This Row],[Selling Price]])*1000</f>
        <v>0.48366013071895431</v>
      </c>
      <c r="L2076" t="str">
        <f>IF(FlipkartTable[[#This Row],[Selling Price]]&lt;15000,"Budget",IF(FlipkartTable[[#This Row],[Selling Price]]&lt;50000,"Mid Range","Premium"))</f>
        <v>Budget</v>
      </c>
      <c r="M2076" t="str">
        <f>IF(FlipkartTable[[#This Row],[Rating]]&gt;4.5,"Excellent",IF(FlipkartTable[[#This Row],[Rating]]&gt;4,"Good",IF(FlipkartTable[[#This Row],[Rating]]&gt;3.5,"Average","Poor")))</f>
        <v>Average</v>
      </c>
    </row>
    <row r="2077" spans="1:13" x14ac:dyDescent="0.35">
      <c r="A2077" t="s">
        <v>975</v>
      </c>
      <c r="B2077" s="9" t="s">
        <v>1024</v>
      </c>
      <c r="C2077" t="s">
        <v>19</v>
      </c>
      <c r="D2077" t="s">
        <v>134</v>
      </c>
      <c r="E2077" t="s">
        <v>27</v>
      </c>
      <c r="F2077">
        <v>3.8</v>
      </c>
      <c r="G2077">
        <v>3549</v>
      </c>
      <c r="H2077">
        <v>3549</v>
      </c>
      <c r="I2077">
        <f>FlipkartTable[[#This Row],[Original Price]]-FlipkartTable[[#This Row],[Selling Price]]</f>
        <v>0</v>
      </c>
      <c r="J2077" s="4">
        <f>(FlipkartTable[[#This Row],[Original Price]]-FlipkartTable[[#This Row],[Selling Price]])/FlipkartTable[[#This Row],[Original Price]]</f>
        <v>0</v>
      </c>
      <c r="K2077">
        <f>(FlipkartTable[[#This Row],[Rating]]/FlipkartTable[[#This Row],[Selling Price]])*1000</f>
        <v>1.0707241476472245</v>
      </c>
      <c r="L2077" t="str">
        <f>IF(FlipkartTable[[#This Row],[Selling Price]]&lt;15000,"Budget",IF(FlipkartTable[[#This Row],[Selling Price]]&lt;50000,"Mid Range","Premium"))</f>
        <v>Budget</v>
      </c>
      <c r="M2077" t="str">
        <f>IF(FlipkartTable[[#This Row],[Rating]]&gt;4.5,"Excellent",IF(FlipkartTable[[#This Row],[Rating]]&gt;4,"Good",IF(FlipkartTable[[#This Row],[Rating]]&gt;3.5,"Average","Poor")))</f>
        <v>Average</v>
      </c>
    </row>
    <row r="2078" spans="1:13" x14ac:dyDescent="0.35">
      <c r="A2078" t="s">
        <v>975</v>
      </c>
      <c r="B2078" s="9" t="s">
        <v>991</v>
      </c>
      <c r="C2078" t="s">
        <v>152</v>
      </c>
      <c r="D2078" t="s">
        <v>20</v>
      </c>
      <c r="E2078" t="s">
        <v>21</v>
      </c>
      <c r="F2078">
        <v>3.9</v>
      </c>
      <c r="G2078">
        <v>17999</v>
      </c>
      <c r="H2078">
        <v>17999</v>
      </c>
      <c r="I2078">
        <f>FlipkartTable[[#This Row],[Original Price]]-FlipkartTable[[#This Row],[Selling Price]]</f>
        <v>0</v>
      </c>
      <c r="J2078" s="4">
        <f>(FlipkartTable[[#This Row],[Original Price]]-FlipkartTable[[#This Row],[Selling Price]])/FlipkartTable[[#This Row],[Original Price]]</f>
        <v>0</v>
      </c>
      <c r="K2078">
        <f>(FlipkartTable[[#This Row],[Rating]]/FlipkartTable[[#This Row],[Selling Price]])*1000</f>
        <v>0.21667870437246511</v>
      </c>
      <c r="L2078" t="str">
        <f>IF(FlipkartTable[[#This Row],[Selling Price]]&lt;15000,"Budget",IF(FlipkartTable[[#This Row],[Selling Price]]&lt;50000,"Mid Range","Premium"))</f>
        <v>Mid Range</v>
      </c>
      <c r="M2078" t="str">
        <f>IF(FlipkartTable[[#This Row],[Rating]]&gt;4.5,"Excellent",IF(FlipkartTable[[#This Row],[Rating]]&gt;4,"Good",IF(FlipkartTable[[#This Row],[Rating]]&gt;3.5,"Average","Poor")))</f>
        <v>Average</v>
      </c>
    </row>
    <row r="2079" spans="1:13" x14ac:dyDescent="0.35">
      <c r="A2079" t="s">
        <v>975</v>
      </c>
      <c r="B2079" s="9" t="s">
        <v>264</v>
      </c>
      <c r="C2079" t="s">
        <v>981</v>
      </c>
      <c r="D2079" t="s">
        <v>20</v>
      </c>
      <c r="E2079" t="s">
        <v>21</v>
      </c>
      <c r="F2079">
        <v>4.0999999999999996</v>
      </c>
      <c r="G2079">
        <v>7490</v>
      </c>
      <c r="H2079">
        <v>11499</v>
      </c>
      <c r="I2079">
        <f>FlipkartTable[[#This Row],[Original Price]]-FlipkartTable[[#This Row],[Selling Price]]</f>
        <v>4009</v>
      </c>
      <c r="J2079" s="4">
        <f>(FlipkartTable[[#This Row],[Original Price]]-FlipkartTable[[#This Row],[Selling Price]])/FlipkartTable[[#This Row],[Original Price]]</f>
        <v>0.34863901208800763</v>
      </c>
      <c r="K2079">
        <f>(FlipkartTable[[#This Row],[Rating]]/FlipkartTable[[#This Row],[Selling Price]])*1000</f>
        <v>0.54739652870493982</v>
      </c>
      <c r="L2079" t="str">
        <f>IF(FlipkartTable[[#This Row],[Selling Price]]&lt;15000,"Budget",IF(FlipkartTable[[#This Row],[Selling Price]]&lt;50000,"Mid Range","Premium"))</f>
        <v>Budget</v>
      </c>
      <c r="M2079" t="str">
        <f>IF(FlipkartTable[[#This Row],[Rating]]&gt;4.5,"Excellent",IF(FlipkartTable[[#This Row],[Rating]]&gt;4,"Good",IF(FlipkartTable[[#This Row],[Rating]]&gt;3.5,"Average","Poor")))</f>
        <v>Good</v>
      </c>
    </row>
    <row r="2080" spans="1:13" x14ac:dyDescent="0.35">
      <c r="A2080" t="s">
        <v>975</v>
      </c>
      <c r="B2080" s="9" t="s">
        <v>264</v>
      </c>
      <c r="C2080" t="s">
        <v>978</v>
      </c>
      <c r="D2080" t="s">
        <v>20</v>
      </c>
      <c r="E2080" t="s">
        <v>21</v>
      </c>
      <c r="F2080">
        <v>4.0999999999999996</v>
      </c>
      <c r="G2080">
        <v>6990</v>
      </c>
      <c r="H2080">
        <v>6990</v>
      </c>
      <c r="I2080">
        <f>FlipkartTable[[#This Row],[Original Price]]-FlipkartTable[[#This Row],[Selling Price]]</f>
        <v>0</v>
      </c>
      <c r="J2080" s="4">
        <f>(FlipkartTable[[#This Row],[Original Price]]-FlipkartTable[[#This Row],[Selling Price]])/FlipkartTable[[#This Row],[Original Price]]</f>
        <v>0</v>
      </c>
      <c r="K2080">
        <f>(FlipkartTable[[#This Row],[Rating]]/FlipkartTable[[#This Row],[Selling Price]])*1000</f>
        <v>0.58655221745350494</v>
      </c>
      <c r="L2080" t="str">
        <f>IF(FlipkartTable[[#This Row],[Selling Price]]&lt;15000,"Budget",IF(FlipkartTable[[#This Row],[Selling Price]]&lt;50000,"Mid Range","Premium"))</f>
        <v>Budget</v>
      </c>
      <c r="M2080" t="str">
        <f>IF(FlipkartTable[[#This Row],[Rating]]&gt;4.5,"Excellent",IF(FlipkartTable[[#This Row],[Rating]]&gt;4,"Good",IF(FlipkartTable[[#This Row],[Rating]]&gt;3.5,"Average","Poor")))</f>
        <v>Good</v>
      </c>
    </row>
    <row r="2081" spans="1:13" x14ac:dyDescent="0.35">
      <c r="A2081" t="s">
        <v>975</v>
      </c>
      <c r="B2081" s="9" t="s">
        <v>991</v>
      </c>
      <c r="C2081" t="s">
        <v>19</v>
      </c>
      <c r="D2081" t="s">
        <v>20</v>
      </c>
      <c r="E2081" t="s">
        <v>21</v>
      </c>
      <c r="F2081">
        <v>3.9</v>
      </c>
      <c r="G2081">
        <v>8250</v>
      </c>
      <c r="H2081">
        <v>8250</v>
      </c>
      <c r="I2081">
        <f>FlipkartTable[[#This Row],[Original Price]]-FlipkartTable[[#This Row],[Selling Price]]</f>
        <v>0</v>
      </c>
      <c r="J2081" s="4">
        <f>(FlipkartTable[[#This Row],[Original Price]]-FlipkartTable[[#This Row],[Selling Price]])/FlipkartTable[[#This Row],[Original Price]]</f>
        <v>0</v>
      </c>
      <c r="K2081">
        <f>(FlipkartTable[[#This Row],[Rating]]/FlipkartTable[[#This Row],[Selling Price]])*1000</f>
        <v>0.47272727272727272</v>
      </c>
      <c r="L2081" t="str">
        <f>IF(FlipkartTable[[#This Row],[Selling Price]]&lt;15000,"Budget",IF(FlipkartTable[[#This Row],[Selling Price]]&lt;50000,"Mid Range","Premium"))</f>
        <v>Budget</v>
      </c>
      <c r="M2081" t="str">
        <f>IF(FlipkartTable[[#This Row],[Rating]]&gt;4.5,"Excellent",IF(FlipkartTable[[#This Row],[Rating]]&gt;4,"Good",IF(FlipkartTable[[#This Row],[Rating]]&gt;3.5,"Average","Poor")))</f>
        <v>Average</v>
      </c>
    </row>
    <row r="2082" spans="1:13" x14ac:dyDescent="0.35">
      <c r="A2082" t="s">
        <v>975</v>
      </c>
      <c r="B2082" s="9" t="s">
        <v>1025</v>
      </c>
      <c r="C2082" t="s">
        <v>84</v>
      </c>
      <c r="D2082" t="s">
        <v>35</v>
      </c>
      <c r="E2082" t="s">
        <v>124</v>
      </c>
      <c r="F2082">
        <v>4.0999999999999996</v>
      </c>
      <c r="G2082">
        <v>7499</v>
      </c>
      <c r="H2082">
        <v>7499</v>
      </c>
      <c r="I2082">
        <f>FlipkartTable[[#This Row],[Original Price]]-FlipkartTable[[#This Row],[Selling Price]]</f>
        <v>0</v>
      </c>
      <c r="J2082" s="4">
        <f>(FlipkartTable[[#This Row],[Original Price]]-FlipkartTable[[#This Row],[Selling Price]])/FlipkartTable[[#This Row],[Original Price]]</f>
        <v>0</v>
      </c>
      <c r="K2082">
        <f>(FlipkartTable[[#This Row],[Rating]]/FlipkartTable[[#This Row],[Selling Price]])*1000</f>
        <v>0.54673956527537004</v>
      </c>
      <c r="L2082" t="str">
        <f>IF(FlipkartTable[[#This Row],[Selling Price]]&lt;15000,"Budget",IF(FlipkartTable[[#This Row],[Selling Price]]&lt;50000,"Mid Range","Premium"))</f>
        <v>Budget</v>
      </c>
      <c r="M2082" t="str">
        <f>IF(FlipkartTable[[#This Row],[Rating]]&gt;4.5,"Excellent",IF(FlipkartTable[[#This Row],[Rating]]&gt;4,"Good",IF(FlipkartTable[[#This Row],[Rating]]&gt;3.5,"Average","Poor")))</f>
        <v>Good</v>
      </c>
    </row>
    <row r="2083" spans="1:13" x14ac:dyDescent="0.35">
      <c r="A2083" t="s">
        <v>975</v>
      </c>
      <c r="B2083" s="9" t="s">
        <v>1025</v>
      </c>
      <c r="C2083" t="s">
        <v>19</v>
      </c>
      <c r="D2083" t="s">
        <v>35</v>
      </c>
      <c r="E2083" t="s">
        <v>124</v>
      </c>
      <c r="F2083">
        <v>4.0999999999999996</v>
      </c>
      <c r="G2083">
        <v>7499</v>
      </c>
      <c r="H2083">
        <v>7499</v>
      </c>
      <c r="I2083">
        <f>FlipkartTable[[#This Row],[Original Price]]-FlipkartTable[[#This Row],[Selling Price]]</f>
        <v>0</v>
      </c>
      <c r="J2083" s="4">
        <f>(FlipkartTable[[#This Row],[Original Price]]-FlipkartTable[[#This Row],[Selling Price]])/FlipkartTable[[#This Row],[Original Price]]</f>
        <v>0</v>
      </c>
      <c r="K2083">
        <f>(FlipkartTable[[#This Row],[Rating]]/FlipkartTable[[#This Row],[Selling Price]])*1000</f>
        <v>0.54673956527537004</v>
      </c>
      <c r="L2083" t="str">
        <f>IF(FlipkartTable[[#This Row],[Selling Price]]&lt;15000,"Budget",IF(FlipkartTable[[#This Row],[Selling Price]]&lt;50000,"Mid Range","Premium"))</f>
        <v>Budget</v>
      </c>
      <c r="M2083" t="str">
        <f>IF(FlipkartTable[[#This Row],[Rating]]&gt;4.5,"Excellent",IF(FlipkartTable[[#This Row],[Rating]]&gt;4,"Good",IF(FlipkartTable[[#This Row],[Rating]]&gt;3.5,"Average","Poor")))</f>
        <v>Good</v>
      </c>
    </row>
    <row r="2084" spans="1:13" x14ac:dyDescent="0.35">
      <c r="A2084" t="s">
        <v>975</v>
      </c>
      <c r="B2084" s="9" t="s">
        <v>1025</v>
      </c>
      <c r="C2084" t="s">
        <v>152</v>
      </c>
      <c r="D2084" t="s">
        <v>35</v>
      </c>
      <c r="E2084" t="s">
        <v>124</v>
      </c>
      <c r="F2084">
        <v>4.0999999999999996</v>
      </c>
      <c r="G2084">
        <v>7499</v>
      </c>
      <c r="H2084">
        <v>7499</v>
      </c>
      <c r="I2084">
        <f>FlipkartTable[[#This Row],[Original Price]]-FlipkartTable[[#This Row],[Selling Price]]</f>
        <v>0</v>
      </c>
      <c r="J2084" s="4">
        <f>(FlipkartTable[[#This Row],[Original Price]]-FlipkartTable[[#This Row],[Selling Price]])/FlipkartTable[[#This Row],[Original Price]]</f>
        <v>0</v>
      </c>
      <c r="K2084">
        <f>(FlipkartTable[[#This Row],[Rating]]/FlipkartTable[[#This Row],[Selling Price]])*1000</f>
        <v>0.54673956527537004</v>
      </c>
      <c r="L2084" t="str">
        <f>IF(FlipkartTable[[#This Row],[Selling Price]]&lt;15000,"Budget",IF(FlipkartTable[[#This Row],[Selling Price]]&lt;50000,"Mid Range","Premium"))</f>
        <v>Budget</v>
      </c>
      <c r="M2084" t="str">
        <f>IF(FlipkartTable[[#This Row],[Rating]]&gt;4.5,"Excellent",IF(FlipkartTable[[#This Row],[Rating]]&gt;4,"Good",IF(FlipkartTable[[#This Row],[Rating]]&gt;3.5,"Average","Poor")))</f>
        <v>Good</v>
      </c>
    </row>
    <row r="2085" spans="1:13" x14ac:dyDescent="0.35">
      <c r="A2085" t="s">
        <v>975</v>
      </c>
      <c r="B2085" s="9" t="s">
        <v>996</v>
      </c>
      <c r="C2085" t="s">
        <v>19</v>
      </c>
      <c r="D2085" t="s">
        <v>134</v>
      </c>
      <c r="E2085" t="s">
        <v>27</v>
      </c>
      <c r="F2085">
        <v>4</v>
      </c>
      <c r="G2085">
        <v>6499</v>
      </c>
      <c r="H2085">
        <v>6499</v>
      </c>
      <c r="I2085">
        <f>FlipkartTable[[#This Row],[Original Price]]-FlipkartTable[[#This Row],[Selling Price]]</f>
        <v>0</v>
      </c>
      <c r="J2085" s="4">
        <f>(FlipkartTable[[#This Row],[Original Price]]-FlipkartTable[[#This Row],[Selling Price]])/FlipkartTable[[#This Row],[Original Price]]</f>
        <v>0</v>
      </c>
      <c r="K2085">
        <f>(FlipkartTable[[#This Row],[Rating]]/FlipkartTable[[#This Row],[Selling Price]])*1000</f>
        <v>0.61547930450838595</v>
      </c>
      <c r="L2085" t="str">
        <f>IF(FlipkartTable[[#This Row],[Selling Price]]&lt;15000,"Budget",IF(FlipkartTable[[#This Row],[Selling Price]]&lt;50000,"Mid Range","Premium"))</f>
        <v>Budget</v>
      </c>
      <c r="M2085" t="str">
        <f>IF(FlipkartTable[[#This Row],[Rating]]&gt;4.5,"Excellent",IF(FlipkartTable[[#This Row],[Rating]]&gt;4,"Good",IF(FlipkartTable[[#This Row],[Rating]]&gt;3.5,"Average","Poor")))</f>
        <v>Average</v>
      </c>
    </row>
    <row r="2086" spans="1:13" x14ac:dyDescent="0.35">
      <c r="A2086" t="s">
        <v>975</v>
      </c>
      <c r="B2086" s="9" t="s">
        <v>1026</v>
      </c>
      <c r="C2086" t="s">
        <v>888</v>
      </c>
      <c r="D2086" t="s">
        <v>134</v>
      </c>
      <c r="E2086" t="s">
        <v>27</v>
      </c>
      <c r="F2086">
        <v>4.0999999999999996</v>
      </c>
      <c r="G2086">
        <v>19999</v>
      </c>
      <c r="H2086">
        <v>19999</v>
      </c>
      <c r="I2086">
        <f>FlipkartTable[[#This Row],[Original Price]]-FlipkartTable[[#This Row],[Selling Price]]</f>
        <v>0</v>
      </c>
      <c r="J2086" s="4">
        <f>(FlipkartTable[[#This Row],[Original Price]]-FlipkartTable[[#This Row],[Selling Price]])/FlipkartTable[[#This Row],[Original Price]]</f>
        <v>0</v>
      </c>
      <c r="K2086">
        <f>(FlipkartTable[[#This Row],[Rating]]/FlipkartTable[[#This Row],[Selling Price]])*1000</f>
        <v>0.20501025051252561</v>
      </c>
      <c r="L2086" t="str">
        <f>IF(FlipkartTable[[#This Row],[Selling Price]]&lt;15000,"Budget",IF(FlipkartTable[[#This Row],[Selling Price]]&lt;50000,"Mid Range","Premium"))</f>
        <v>Mid Range</v>
      </c>
      <c r="M2086" t="str">
        <f>IF(FlipkartTable[[#This Row],[Rating]]&gt;4.5,"Excellent",IF(FlipkartTable[[#This Row],[Rating]]&gt;4,"Good",IF(FlipkartTable[[#This Row],[Rating]]&gt;3.5,"Average","Poor")))</f>
        <v>Good</v>
      </c>
    </row>
    <row r="2087" spans="1:13" x14ac:dyDescent="0.35">
      <c r="A2087" t="s">
        <v>975</v>
      </c>
      <c r="B2087" s="9" t="s">
        <v>1015</v>
      </c>
      <c r="C2087" t="s">
        <v>19</v>
      </c>
      <c r="D2087" t="s">
        <v>11</v>
      </c>
      <c r="E2087" t="s">
        <v>12</v>
      </c>
      <c r="F2087">
        <v>4.0999999999999996</v>
      </c>
      <c r="G2087">
        <v>11999</v>
      </c>
      <c r="H2087">
        <v>11999</v>
      </c>
      <c r="I2087">
        <f>FlipkartTable[[#This Row],[Original Price]]-FlipkartTable[[#This Row],[Selling Price]]</f>
        <v>0</v>
      </c>
      <c r="J2087" s="4">
        <f>(FlipkartTable[[#This Row],[Original Price]]-FlipkartTable[[#This Row],[Selling Price]])/FlipkartTable[[#This Row],[Original Price]]</f>
        <v>0</v>
      </c>
      <c r="K2087">
        <f>(FlipkartTable[[#This Row],[Rating]]/FlipkartTable[[#This Row],[Selling Price]])*1000</f>
        <v>0.34169514126177181</v>
      </c>
      <c r="L2087" t="str">
        <f>IF(FlipkartTable[[#This Row],[Selling Price]]&lt;15000,"Budget",IF(FlipkartTable[[#This Row],[Selling Price]]&lt;50000,"Mid Range","Premium"))</f>
        <v>Budget</v>
      </c>
      <c r="M2087" t="str">
        <f>IF(FlipkartTable[[#This Row],[Rating]]&gt;4.5,"Excellent",IF(FlipkartTable[[#This Row],[Rating]]&gt;4,"Good",IF(FlipkartTable[[#This Row],[Rating]]&gt;3.5,"Average","Poor")))</f>
        <v>Good</v>
      </c>
    </row>
    <row r="2088" spans="1:13" x14ac:dyDescent="0.35">
      <c r="A2088" t="s">
        <v>975</v>
      </c>
      <c r="B2088" s="9" t="s">
        <v>1015</v>
      </c>
      <c r="C2088" t="s">
        <v>19</v>
      </c>
      <c r="D2088" t="s">
        <v>11</v>
      </c>
      <c r="E2088" t="s">
        <v>12</v>
      </c>
      <c r="F2088">
        <v>4.0999999999999996</v>
      </c>
      <c r="G2088">
        <v>11999</v>
      </c>
      <c r="H2088">
        <v>11999</v>
      </c>
      <c r="I2088">
        <f>FlipkartTable[[#This Row],[Original Price]]-FlipkartTable[[#This Row],[Selling Price]]</f>
        <v>0</v>
      </c>
      <c r="J2088" s="4">
        <f>(FlipkartTable[[#This Row],[Original Price]]-FlipkartTable[[#This Row],[Selling Price]])/FlipkartTable[[#This Row],[Original Price]]</f>
        <v>0</v>
      </c>
      <c r="K2088">
        <f>(FlipkartTable[[#This Row],[Rating]]/FlipkartTable[[#This Row],[Selling Price]])*1000</f>
        <v>0.34169514126177181</v>
      </c>
      <c r="L2088" t="str">
        <f>IF(FlipkartTable[[#This Row],[Selling Price]]&lt;15000,"Budget",IF(FlipkartTable[[#This Row],[Selling Price]]&lt;50000,"Mid Range","Premium"))</f>
        <v>Budget</v>
      </c>
      <c r="M2088" t="str">
        <f>IF(FlipkartTable[[#This Row],[Rating]]&gt;4.5,"Excellent",IF(FlipkartTable[[#This Row],[Rating]]&gt;4,"Good",IF(FlipkartTable[[#This Row],[Rating]]&gt;3.5,"Average","Poor")))</f>
        <v>Good</v>
      </c>
    </row>
    <row r="2089" spans="1:13" x14ac:dyDescent="0.35">
      <c r="A2089" t="s">
        <v>975</v>
      </c>
      <c r="B2089" s="9" t="s">
        <v>1003</v>
      </c>
      <c r="C2089" t="s">
        <v>170</v>
      </c>
      <c r="D2089" t="s">
        <v>11</v>
      </c>
      <c r="E2089" t="s">
        <v>21</v>
      </c>
      <c r="F2089">
        <v>4</v>
      </c>
      <c r="G2089">
        <v>7599</v>
      </c>
      <c r="H2089">
        <v>7599</v>
      </c>
      <c r="I2089">
        <f>FlipkartTable[[#This Row],[Original Price]]-FlipkartTable[[#This Row],[Selling Price]]</f>
        <v>0</v>
      </c>
      <c r="J2089" s="4">
        <f>(FlipkartTable[[#This Row],[Original Price]]-FlipkartTable[[#This Row],[Selling Price]])/FlipkartTable[[#This Row],[Original Price]]</f>
        <v>0</v>
      </c>
      <c r="K2089">
        <f>(FlipkartTable[[#This Row],[Rating]]/FlipkartTable[[#This Row],[Selling Price]])*1000</f>
        <v>0.5263850506645612</v>
      </c>
      <c r="L2089" t="str">
        <f>IF(FlipkartTable[[#This Row],[Selling Price]]&lt;15000,"Budget",IF(FlipkartTable[[#This Row],[Selling Price]]&lt;50000,"Mid Range","Premium"))</f>
        <v>Budget</v>
      </c>
      <c r="M2089" t="str">
        <f>IF(FlipkartTable[[#This Row],[Rating]]&gt;4.5,"Excellent",IF(FlipkartTable[[#This Row],[Rating]]&gt;4,"Good",IF(FlipkartTable[[#This Row],[Rating]]&gt;3.5,"Average","Poor")))</f>
        <v>Average</v>
      </c>
    </row>
    <row r="2090" spans="1:13" x14ac:dyDescent="0.35">
      <c r="A2090" t="s">
        <v>975</v>
      </c>
      <c r="B2090" s="9" t="s">
        <v>1001</v>
      </c>
      <c r="C2090" t="s">
        <v>152</v>
      </c>
      <c r="D2090" t="s">
        <v>35</v>
      </c>
      <c r="E2090" t="s">
        <v>124</v>
      </c>
      <c r="F2090">
        <v>3.8</v>
      </c>
      <c r="G2090">
        <v>8999</v>
      </c>
      <c r="H2090">
        <v>8999</v>
      </c>
      <c r="I2090">
        <f>FlipkartTable[[#This Row],[Original Price]]-FlipkartTable[[#This Row],[Selling Price]]</f>
        <v>0</v>
      </c>
      <c r="J2090" s="4">
        <f>(FlipkartTable[[#This Row],[Original Price]]-FlipkartTable[[#This Row],[Selling Price]])/FlipkartTable[[#This Row],[Original Price]]</f>
        <v>0</v>
      </c>
      <c r="K2090">
        <f>(FlipkartTable[[#This Row],[Rating]]/FlipkartTable[[#This Row],[Selling Price]])*1000</f>
        <v>0.42226914101566843</v>
      </c>
      <c r="L2090" t="str">
        <f>IF(FlipkartTable[[#This Row],[Selling Price]]&lt;15000,"Budget",IF(FlipkartTable[[#This Row],[Selling Price]]&lt;50000,"Mid Range","Premium"))</f>
        <v>Budget</v>
      </c>
      <c r="M2090" t="str">
        <f>IF(FlipkartTable[[#This Row],[Rating]]&gt;4.5,"Excellent",IF(FlipkartTable[[#This Row],[Rating]]&gt;4,"Good",IF(FlipkartTable[[#This Row],[Rating]]&gt;3.5,"Average","Poor")))</f>
        <v>Average</v>
      </c>
    </row>
    <row r="2091" spans="1:13" x14ac:dyDescent="0.35">
      <c r="A2091" t="s">
        <v>975</v>
      </c>
      <c r="B2091" s="9" t="s">
        <v>1023</v>
      </c>
      <c r="C2091" t="s">
        <v>141</v>
      </c>
      <c r="D2091" t="s">
        <v>20</v>
      </c>
      <c r="E2091" t="s">
        <v>21</v>
      </c>
      <c r="F2091">
        <v>3.7</v>
      </c>
      <c r="G2091">
        <v>9229</v>
      </c>
      <c r="H2091">
        <v>9229</v>
      </c>
      <c r="I2091">
        <f>FlipkartTable[[#This Row],[Original Price]]-FlipkartTable[[#This Row],[Selling Price]]</f>
        <v>0</v>
      </c>
      <c r="J2091" s="4">
        <f>(FlipkartTable[[#This Row],[Original Price]]-FlipkartTable[[#This Row],[Selling Price]])/FlipkartTable[[#This Row],[Original Price]]</f>
        <v>0</v>
      </c>
      <c r="K2091">
        <f>(FlipkartTable[[#This Row],[Rating]]/FlipkartTable[[#This Row],[Selling Price]])*1000</f>
        <v>0.40091017445010296</v>
      </c>
      <c r="L2091" t="str">
        <f>IF(FlipkartTable[[#This Row],[Selling Price]]&lt;15000,"Budget",IF(FlipkartTable[[#This Row],[Selling Price]]&lt;50000,"Mid Range","Premium"))</f>
        <v>Budget</v>
      </c>
      <c r="M2091" t="str">
        <f>IF(FlipkartTable[[#This Row],[Rating]]&gt;4.5,"Excellent",IF(FlipkartTable[[#This Row],[Rating]]&gt;4,"Good",IF(FlipkartTable[[#This Row],[Rating]]&gt;3.5,"Average","Poor")))</f>
        <v>Average</v>
      </c>
    </row>
    <row r="2092" spans="1:13" x14ac:dyDescent="0.35">
      <c r="A2092" t="s">
        <v>975</v>
      </c>
      <c r="B2092" s="9" t="s">
        <v>993</v>
      </c>
      <c r="C2092" t="s">
        <v>152</v>
      </c>
      <c r="D2092" t="s">
        <v>134</v>
      </c>
      <c r="E2092" t="s">
        <v>27</v>
      </c>
      <c r="F2092">
        <v>3.8</v>
      </c>
      <c r="G2092">
        <v>6799</v>
      </c>
      <c r="H2092">
        <v>6799</v>
      </c>
      <c r="I2092">
        <f>FlipkartTable[[#This Row],[Original Price]]-FlipkartTable[[#This Row],[Selling Price]]</f>
        <v>0</v>
      </c>
      <c r="J2092" s="4">
        <f>(FlipkartTable[[#This Row],[Original Price]]-FlipkartTable[[#This Row],[Selling Price]])/FlipkartTable[[#This Row],[Original Price]]</f>
        <v>0</v>
      </c>
      <c r="K2092">
        <f>(FlipkartTable[[#This Row],[Rating]]/FlipkartTable[[#This Row],[Selling Price]])*1000</f>
        <v>0.55890572142962192</v>
      </c>
      <c r="L2092" t="str">
        <f>IF(FlipkartTable[[#This Row],[Selling Price]]&lt;15000,"Budget",IF(FlipkartTable[[#This Row],[Selling Price]]&lt;50000,"Mid Range","Premium"))</f>
        <v>Budget</v>
      </c>
      <c r="M2092" t="str">
        <f>IF(FlipkartTable[[#This Row],[Rating]]&gt;4.5,"Excellent",IF(FlipkartTable[[#This Row],[Rating]]&gt;4,"Good",IF(FlipkartTable[[#This Row],[Rating]]&gt;3.5,"Average","Poor")))</f>
        <v>Average</v>
      </c>
    </row>
    <row r="2093" spans="1:13" x14ac:dyDescent="0.35">
      <c r="A2093" t="s">
        <v>975</v>
      </c>
      <c r="B2093" s="9" t="s">
        <v>1003</v>
      </c>
      <c r="C2093" t="s">
        <v>141</v>
      </c>
      <c r="D2093" t="s">
        <v>20</v>
      </c>
      <c r="E2093" t="s">
        <v>21</v>
      </c>
      <c r="F2093">
        <v>4.0999999999999996</v>
      </c>
      <c r="G2093">
        <v>6999</v>
      </c>
      <c r="H2093">
        <v>6999</v>
      </c>
      <c r="I2093">
        <f>FlipkartTable[[#This Row],[Original Price]]-FlipkartTable[[#This Row],[Selling Price]]</f>
        <v>0</v>
      </c>
      <c r="J2093" s="4">
        <f>(FlipkartTable[[#This Row],[Original Price]]-FlipkartTable[[#This Row],[Selling Price]])/FlipkartTable[[#This Row],[Original Price]]</f>
        <v>0</v>
      </c>
      <c r="K2093">
        <f>(FlipkartTable[[#This Row],[Rating]]/FlipkartTable[[#This Row],[Selling Price]])*1000</f>
        <v>0.58579797113873411</v>
      </c>
      <c r="L2093" t="str">
        <f>IF(FlipkartTable[[#This Row],[Selling Price]]&lt;15000,"Budget",IF(FlipkartTable[[#This Row],[Selling Price]]&lt;50000,"Mid Range","Premium"))</f>
        <v>Budget</v>
      </c>
      <c r="M2093" t="str">
        <f>IF(FlipkartTable[[#This Row],[Rating]]&gt;4.5,"Excellent",IF(FlipkartTable[[#This Row],[Rating]]&gt;4,"Good",IF(FlipkartTable[[#This Row],[Rating]]&gt;3.5,"Average","Poor")))</f>
        <v>Good</v>
      </c>
    </row>
    <row r="2094" spans="1:13" x14ac:dyDescent="0.35">
      <c r="A2094" t="s">
        <v>975</v>
      </c>
      <c r="B2094" s="9" t="s">
        <v>1027</v>
      </c>
      <c r="C2094" t="s">
        <v>141</v>
      </c>
      <c r="D2094" t="s">
        <v>35</v>
      </c>
      <c r="E2094" t="s">
        <v>27</v>
      </c>
      <c r="F2094">
        <v>3.5</v>
      </c>
      <c r="G2094">
        <v>6980</v>
      </c>
      <c r="H2094">
        <v>6980</v>
      </c>
      <c r="I2094">
        <f>FlipkartTable[[#This Row],[Original Price]]-FlipkartTable[[#This Row],[Selling Price]]</f>
        <v>0</v>
      </c>
      <c r="J2094" s="4">
        <f>(FlipkartTable[[#This Row],[Original Price]]-FlipkartTable[[#This Row],[Selling Price]])/FlipkartTable[[#This Row],[Original Price]]</f>
        <v>0</v>
      </c>
      <c r="K2094">
        <f>(FlipkartTable[[#This Row],[Rating]]/FlipkartTable[[#This Row],[Selling Price]])*1000</f>
        <v>0.50143266475644699</v>
      </c>
      <c r="L2094" t="str">
        <f>IF(FlipkartTable[[#This Row],[Selling Price]]&lt;15000,"Budget",IF(FlipkartTable[[#This Row],[Selling Price]]&lt;50000,"Mid Range","Premium"))</f>
        <v>Budget</v>
      </c>
      <c r="M2094" t="str">
        <f>IF(FlipkartTable[[#This Row],[Rating]]&gt;4.5,"Excellent",IF(FlipkartTable[[#This Row],[Rating]]&gt;4,"Good",IF(FlipkartTable[[#This Row],[Rating]]&gt;3.5,"Average","Poor")))</f>
        <v>Poor</v>
      </c>
    </row>
    <row r="2095" spans="1:13" x14ac:dyDescent="0.35">
      <c r="A2095" t="s">
        <v>975</v>
      </c>
      <c r="B2095" s="9" t="s">
        <v>1027</v>
      </c>
      <c r="C2095" t="s">
        <v>152</v>
      </c>
      <c r="D2095" t="s">
        <v>35</v>
      </c>
      <c r="E2095" t="s">
        <v>27</v>
      </c>
      <c r="F2095">
        <v>3.5</v>
      </c>
      <c r="G2095">
        <v>13999</v>
      </c>
      <c r="H2095">
        <v>13999</v>
      </c>
      <c r="I2095">
        <f>FlipkartTable[[#This Row],[Original Price]]-FlipkartTable[[#This Row],[Selling Price]]</f>
        <v>0</v>
      </c>
      <c r="J2095" s="4">
        <f>(FlipkartTable[[#This Row],[Original Price]]-FlipkartTable[[#This Row],[Selling Price]])/FlipkartTable[[#This Row],[Original Price]]</f>
        <v>0</v>
      </c>
      <c r="K2095">
        <f>(FlipkartTable[[#This Row],[Rating]]/FlipkartTable[[#This Row],[Selling Price]])*1000</f>
        <v>0.25001785841845842</v>
      </c>
      <c r="L2095" t="str">
        <f>IF(FlipkartTable[[#This Row],[Selling Price]]&lt;15000,"Budget",IF(FlipkartTable[[#This Row],[Selling Price]]&lt;50000,"Mid Range","Premium"))</f>
        <v>Budget</v>
      </c>
      <c r="M2095" t="str">
        <f>IF(FlipkartTable[[#This Row],[Rating]]&gt;4.5,"Excellent",IF(FlipkartTable[[#This Row],[Rating]]&gt;4,"Good",IF(FlipkartTable[[#This Row],[Rating]]&gt;3.5,"Average","Poor")))</f>
        <v>Poor</v>
      </c>
    </row>
    <row r="2096" spans="1:13" x14ac:dyDescent="0.35">
      <c r="A2096" t="s">
        <v>975</v>
      </c>
      <c r="B2096" s="9" t="s">
        <v>1010</v>
      </c>
      <c r="C2096" t="s">
        <v>152</v>
      </c>
      <c r="D2096" t="s">
        <v>20</v>
      </c>
      <c r="E2096" t="s">
        <v>124</v>
      </c>
      <c r="F2096">
        <v>3.9</v>
      </c>
      <c r="G2096">
        <v>7999</v>
      </c>
      <c r="H2096">
        <v>7999</v>
      </c>
      <c r="I2096">
        <f>FlipkartTable[[#This Row],[Original Price]]-FlipkartTable[[#This Row],[Selling Price]]</f>
        <v>0</v>
      </c>
      <c r="J2096" s="4">
        <f>(FlipkartTable[[#This Row],[Original Price]]-FlipkartTable[[#This Row],[Selling Price]])/FlipkartTable[[#This Row],[Original Price]]</f>
        <v>0</v>
      </c>
      <c r="K2096">
        <f>(FlipkartTable[[#This Row],[Rating]]/FlipkartTable[[#This Row],[Selling Price]])*1000</f>
        <v>0.48756094511813974</v>
      </c>
      <c r="L2096" t="str">
        <f>IF(FlipkartTable[[#This Row],[Selling Price]]&lt;15000,"Budget",IF(FlipkartTable[[#This Row],[Selling Price]]&lt;50000,"Mid Range","Premium"))</f>
        <v>Budget</v>
      </c>
      <c r="M2096" t="str">
        <f>IF(FlipkartTable[[#This Row],[Rating]]&gt;4.5,"Excellent",IF(FlipkartTable[[#This Row],[Rating]]&gt;4,"Good",IF(FlipkartTable[[#This Row],[Rating]]&gt;3.5,"Average","Poor")))</f>
        <v>Average</v>
      </c>
    </row>
    <row r="2097" spans="1:13" x14ac:dyDescent="0.35">
      <c r="A2097" t="s">
        <v>975</v>
      </c>
      <c r="B2097" s="9" t="s">
        <v>987</v>
      </c>
      <c r="C2097" t="s">
        <v>152</v>
      </c>
      <c r="D2097" t="s">
        <v>35</v>
      </c>
      <c r="E2097" t="s">
        <v>124</v>
      </c>
      <c r="F2097">
        <v>3.9</v>
      </c>
      <c r="G2097">
        <v>6750</v>
      </c>
      <c r="H2097">
        <v>6750</v>
      </c>
      <c r="I2097">
        <f>FlipkartTable[[#This Row],[Original Price]]-FlipkartTable[[#This Row],[Selling Price]]</f>
        <v>0</v>
      </c>
      <c r="J2097" s="4">
        <f>(FlipkartTable[[#This Row],[Original Price]]-FlipkartTable[[#This Row],[Selling Price]])/FlipkartTable[[#This Row],[Original Price]]</f>
        <v>0</v>
      </c>
      <c r="K2097">
        <f>(FlipkartTable[[#This Row],[Rating]]/FlipkartTable[[#This Row],[Selling Price]])*1000</f>
        <v>0.57777777777777772</v>
      </c>
      <c r="L2097" t="str">
        <f>IF(FlipkartTable[[#This Row],[Selling Price]]&lt;15000,"Budget",IF(FlipkartTable[[#This Row],[Selling Price]]&lt;50000,"Mid Range","Premium"))</f>
        <v>Budget</v>
      </c>
      <c r="M2097" t="str">
        <f>IF(FlipkartTable[[#This Row],[Rating]]&gt;4.5,"Excellent",IF(FlipkartTable[[#This Row],[Rating]]&gt;4,"Good",IF(FlipkartTable[[#This Row],[Rating]]&gt;3.5,"Average","Poor")))</f>
        <v>Average</v>
      </c>
    </row>
    <row r="2098" spans="1:13" x14ac:dyDescent="0.35">
      <c r="A2098" t="s">
        <v>975</v>
      </c>
      <c r="B2098" s="9" t="s">
        <v>995</v>
      </c>
      <c r="C2098" t="s">
        <v>152</v>
      </c>
      <c r="D2098" t="s">
        <v>134</v>
      </c>
      <c r="E2098" t="s">
        <v>124</v>
      </c>
      <c r="F2098">
        <v>3.8</v>
      </c>
      <c r="G2098">
        <v>4499</v>
      </c>
      <c r="H2098">
        <v>7499</v>
      </c>
      <c r="I2098">
        <f>FlipkartTable[[#This Row],[Original Price]]-FlipkartTable[[#This Row],[Selling Price]]</f>
        <v>3000</v>
      </c>
      <c r="J2098" s="4">
        <f>(FlipkartTable[[#This Row],[Original Price]]-FlipkartTable[[#This Row],[Selling Price]])/FlipkartTable[[#This Row],[Original Price]]</f>
        <v>0.4000533404453927</v>
      </c>
      <c r="K2098">
        <f>(FlipkartTable[[#This Row],[Rating]]/FlipkartTable[[#This Row],[Selling Price]])*1000</f>
        <v>0.84463214047566126</v>
      </c>
      <c r="L2098" t="str">
        <f>IF(FlipkartTable[[#This Row],[Selling Price]]&lt;15000,"Budget",IF(FlipkartTable[[#This Row],[Selling Price]]&lt;50000,"Mid Range","Premium"))</f>
        <v>Budget</v>
      </c>
      <c r="M2098" t="str">
        <f>IF(FlipkartTable[[#This Row],[Rating]]&gt;4.5,"Excellent",IF(FlipkartTable[[#This Row],[Rating]]&gt;4,"Good",IF(FlipkartTable[[#This Row],[Rating]]&gt;3.5,"Average","Poor")))</f>
        <v>Average</v>
      </c>
    </row>
    <row r="2099" spans="1:13" x14ac:dyDescent="0.35">
      <c r="A2099" t="s">
        <v>975</v>
      </c>
      <c r="B2099" s="9" t="s">
        <v>1028</v>
      </c>
      <c r="C2099" t="s">
        <v>22</v>
      </c>
      <c r="D2099" t="s">
        <v>35</v>
      </c>
      <c r="E2099" t="s">
        <v>124</v>
      </c>
      <c r="F2099">
        <v>3.5</v>
      </c>
      <c r="G2099">
        <v>6989</v>
      </c>
      <c r="H2099">
        <v>6989</v>
      </c>
      <c r="I2099">
        <f>FlipkartTable[[#This Row],[Original Price]]-FlipkartTable[[#This Row],[Selling Price]]</f>
        <v>0</v>
      </c>
      <c r="J2099" s="4">
        <f>(FlipkartTable[[#This Row],[Original Price]]-FlipkartTable[[#This Row],[Selling Price]])/FlipkartTable[[#This Row],[Original Price]]</f>
        <v>0</v>
      </c>
      <c r="K2099">
        <f>(FlipkartTable[[#This Row],[Rating]]/FlipkartTable[[#This Row],[Selling Price]])*1000</f>
        <v>0.50078695092287873</v>
      </c>
      <c r="L2099" t="str">
        <f>IF(FlipkartTable[[#This Row],[Selling Price]]&lt;15000,"Budget",IF(FlipkartTable[[#This Row],[Selling Price]]&lt;50000,"Mid Range","Premium"))</f>
        <v>Budget</v>
      </c>
      <c r="M2099" t="str">
        <f>IF(FlipkartTable[[#This Row],[Rating]]&gt;4.5,"Excellent",IF(FlipkartTable[[#This Row],[Rating]]&gt;4,"Good",IF(FlipkartTable[[#This Row],[Rating]]&gt;3.5,"Average","Poor")))</f>
        <v>Poor</v>
      </c>
    </row>
    <row r="2100" spans="1:13" x14ac:dyDescent="0.35">
      <c r="A2100" t="s">
        <v>975</v>
      </c>
      <c r="B2100" s="9" t="s">
        <v>1029</v>
      </c>
      <c r="C2100" t="s">
        <v>19</v>
      </c>
      <c r="D2100" t="s">
        <v>263</v>
      </c>
      <c r="E2100" t="s">
        <v>11</v>
      </c>
      <c r="F2100">
        <v>3.6</v>
      </c>
      <c r="G2100">
        <v>4200</v>
      </c>
      <c r="H2100">
        <v>4200</v>
      </c>
      <c r="I2100">
        <f>FlipkartTable[[#This Row],[Original Price]]-FlipkartTable[[#This Row],[Selling Price]]</f>
        <v>0</v>
      </c>
      <c r="J2100" s="4">
        <f>(FlipkartTable[[#This Row],[Original Price]]-FlipkartTable[[#This Row],[Selling Price]])/FlipkartTable[[#This Row],[Original Price]]</f>
        <v>0</v>
      </c>
      <c r="K2100">
        <f>(FlipkartTable[[#This Row],[Rating]]/FlipkartTable[[#This Row],[Selling Price]])*1000</f>
        <v>0.85714285714285721</v>
      </c>
      <c r="L2100" t="str">
        <f>IF(FlipkartTable[[#This Row],[Selling Price]]&lt;15000,"Budget",IF(FlipkartTable[[#This Row],[Selling Price]]&lt;50000,"Mid Range","Premium"))</f>
        <v>Budget</v>
      </c>
      <c r="M2100" t="str">
        <f>IF(FlipkartTable[[#This Row],[Rating]]&gt;4.5,"Excellent",IF(FlipkartTable[[#This Row],[Rating]]&gt;4,"Good",IF(FlipkartTable[[#This Row],[Rating]]&gt;3.5,"Average","Poor")))</f>
        <v>Average</v>
      </c>
    </row>
    <row r="2101" spans="1:13" x14ac:dyDescent="0.35">
      <c r="A2101" t="s">
        <v>975</v>
      </c>
      <c r="B2101" s="9" t="s">
        <v>1024</v>
      </c>
      <c r="C2101" t="s">
        <v>152</v>
      </c>
      <c r="D2101" t="s">
        <v>134</v>
      </c>
      <c r="E2101" t="s">
        <v>27</v>
      </c>
      <c r="F2101">
        <v>3.8</v>
      </c>
      <c r="G2101">
        <v>3549</v>
      </c>
      <c r="H2101">
        <v>3549</v>
      </c>
      <c r="I2101">
        <f>FlipkartTable[[#This Row],[Original Price]]-FlipkartTable[[#This Row],[Selling Price]]</f>
        <v>0</v>
      </c>
      <c r="J2101" s="4">
        <f>(FlipkartTable[[#This Row],[Original Price]]-FlipkartTable[[#This Row],[Selling Price]])/FlipkartTable[[#This Row],[Original Price]]</f>
        <v>0</v>
      </c>
      <c r="K2101">
        <f>(FlipkartTable[[#This Row],[Rating]]/FlipkartTable[[#This Row],[Selling Price]])*1000</f>
        <v>1.0707241476472245</v>
      </c>
      <c r="L2101" t="str">
        <f>IF(FlipkartTable[[#This Row],[Selling Price]]&lt;15000,"Budget",IF(FlipkartTable[[#This Row],[Selling Price]]&lt;50000,"Mid Range","Premium"))</f>
        <v>Budget</v>
      </c>
      <c r="M2101" t="str">
        <f>IF(FlipkartTable[[#This Row],[Rating]]&gt;4.5,"Excellent",IF(FlipkartTable[[#This Row],[Rating]]&gt;4,"Good",IF(FlipkartTable[[#This Row],[Rating]]&gt;3.5,"Average","Poor")))</f>
        <v>Average</v>
      </c>
    </row>
    <row r="2102" spans="1:13" x14ac:dyDescent="0.35">
      <c r="A2102" t="s">
        <v>975</v>
      </c>
      <c r="B2102" s="9" t="s">
        <v>986</v>
      </c>
      <c r="C2102" t="s">
        <v>84</v>
      </c>
      <c r="D2102" t="s">
        <v>20</v>
      </c>
      <c r="E2102" t="s">
        <v>21</v>
      </c>
      <c r="F2102">
        <v>3.7</v>
      </c>
      <c r="G2102">
        <v>18999</v>
      </c>
      <c r="H2102">
        <v>18999</v>
      </c>
      <c r="I2102">
        <f>FlipkartTable[[#This Row],[Original Price]]-FlipkartTable[[#This Row],[Selling Price]]</f>
        <v>0</v>
      </c>
      <c r="J2102" s="4">
        <f>(FlipkartTable[[#This Row],[Original Price]]-FlipkartTable[[#This Row],[Selling Price]])/FlipkartTable[[#This Row],[Original Price]]</f>
        <v>0</v>
      </c>
      <c r="K2102">
        <f>(FlipkartTable[[#This Row],[Rating]]/FlipkartTable[[#This Row],[Selling Price]])*1000</f>
        <v>0.19474709195220802</v>
      </c>
      <c r="L2102" t="str">
        <f>IF(FlipkartTable[[#This Row],[Selling Price]]&lt;15000,"Budget",IF(FlipkartTable[[#This Row],[Selling Price]]&lt;50000,"Mid Range","Premium"))</f>
        <v>Mid Range</v>
      </c>
      <c r="M2102" t="str">
        <f>IF(FlipkartTable[[#This Row],[Rating]]&gt;4.5,"Excellent",IF(FlipkartTable[[#This Row],[Rating]]&gt;4,"Good",IF(FlipkartTable[[#This Row],[Rating]]&gt;3.5,"Average","Poor")))</f>
        <v>Average</v>
      </c>
    </row>
    <row r="2103" spans="1:13" x14ac:dyDescent="0.35">
      <c r="A2103" t="s">
        <v>975</v>
      </c>
      <c r="B2103" s="9" t="s">
        <v>1030</v>
      </c>
      <c r="C2103" t="s">
        <v>141</v>
      </c>
      <c r="D2103" t="s">
        <v>35</v>
      </c>
      <c r="E2103" t="s">
        <v>21</v>
      </c>
      <c r="F2103">
        <v>3.6</v>
      </c>
      <c r="G2103">
        <v>12999</v>
      </c>
      <c r="H2103">
        <v>12999</v>
      </c>
      <c r="I2103">
        <f>FlipkartTable[[#This Row],[Original Price]]-FlipkartTable[[#This Row],[Selling Price]]</f>
        <v>0</v>
      </c>
      <c r="J2103" s="4">
        <f>(FlipkartTable[[#This Row],[Original Price]]-FlipkartTable[[#This Row],[Selling Price]])/FlipkartTable[[#This Row],[Original Price]]</f>
        <v>0</v>
      </c>
      <c r="K2103">
        <f>(FlipkartTable[[#This Row],[Rating]]/FlipkartTable[[#This Row],[Selling Price]])*1000</f>
        <v>0.27694438033694901</v>
      </c>
      <c r="L2103" t="str">
        <f>IF(FlipkartTable[[#This Row],[Selling Price]]&lt;15000,"Budget",IF(FlipkartTable[[#This Row],[Selling Price]]&lt;50000,"Mid Range","Premium"))</f>
        <v>Budget</v>
      </c>
      <c r="M2103" t="str">
        <f>IF(FlipkartTable[[#This Row],[Rating]]&gt;4.5,"Excellent",IF(FlipkartTable[[#This Row],[Rating]]&gt;4,"Good",IF(FlipkartTable[[#This Row],[Rating]]&gt;3.5,"Average","Poor")))</f>
        <v>Average</v>
      </c>
    </row>
    <row r="2104" spans="1:13" x14ac:dyDescent="0.35">
      <c r="A2104" t="s">
        <v>975</v>
      </c>
      <c r="B2104" s="9" t="s">
        <v>1031</v>
      </c>
      <c r="C2104" t="s">
        <v>19</v>
      </c>
      <c r="D2104" t="s">
        <v>35</v>
      </c>
      <c r="E2104" t="s">
        <v>124</v>
      </c>
      <c r="F2104">
        <v>3.7</v>
      </c>
      <c r="G2104">
        <v>6200</v>
      </c>
      <c r="H2104">
        <v>9991</v>
      </c>
      <c r="I2104">
        <f>FlipkartTable[[#This Row],[Original Price]]-FlipkartTable[[#This Row],[Selling Price]]</f>
        <v>3791</v>
      </c>
      <c r="J2104" s="4">
        <f>(FlipkartTable[[#This Row],[Original Price]]-FlipkartTable[[#This Row],[Selling Price]])/FlipkartTable[[#This Row],[Original Price]]</f>
        <v>0.37944149734761284</v>
      </c>
      <c r="K2104">
        <f>(FlipkartTable[[#This Row],[Rating]]/FlipkartTable[[#This Row],[Selling Price]])*1000</f>
        <v>0.59677419354838712</v>
      </c>
      <c r="L2104" t="str">
        <f>IF(FlipkartTable[[#This Row],[Selling Price]]&lt;15000,"Budget",IF(FlipkartTable[[#This Row],[Selling Price]]&lt;50000,"Mid Range","Premium"))</f>
        <v>Budget</v>
      </c>
      <c r="M2104" t="str">
        <f>IF(FlipkartTable[[#This Row],[Rating]]&gt;4.5,"Excellent",IF(FlipkartTable[[#This Row],[Rating]]&gt;4,"Good",IF(FlipkartTable[[#This Row],[Rating]]&gt;3.5,"Average","Poor")))</f>
        <v>Average</v>
      </c>
    </row>
    <row r="2105" spans="1:13" x14ac:dyDescent="0.35">
      <c r="A2105" t="s">
        <v>975</v>
      </c>
      <c r="B2105" s="9" t="s">
        <v>1032</v>
      </c>
      <c r="C2105" t="s">
        <v>1033</v>
      </c>
      <c r="D2105" t="s">
        <v>11</v>
      </c>
      <c r="E2105" t="s">
        <v>21</v>
      </c>
      <c r="F2105">
        <v>4</v>
      </c>
      <c r="G2105">
        <v>7999</v>
      </c>
      <c r="H2105">
        <v>7999</v>
      </c>
      <c r="I2105">
        <f>FlipkartTable[[#This Row],[Original Price]]-FlipkartTable[[#This Row],[Selling Price]]</f>
        <v>0</v>
      </c>
      <c r="J2105" s="4">
        <f>(FlipkartTable[[#This Row],[Original Price]]-FlipkartTable[[#This Row],[Selling Price]])/FlipkartTable[[#This Row],[Original Price]]</f>
        <v>0</v>
      </c>
      <c r="K2105">
        <f>(FlipkartTable[[#This Row],[Rating]]/FlipkartTable[[#This Row],[Selling Price]])*1000</f>
        <v>0.50006250781347672</v>
      </c>
      <c r="L2105" t="str">
        <f>IF(FlipkartTable[[#This Row],[Selling Price]]&lt;15000,"Budget",IF(FlipkartTable[[#This Row],[Selling Price]]&lt;50000,"Mid Range","Premium"))</f>
        <v>Budget</v>
      </c>
      <c r="M2105" t="str">
        <f>IF(FlipkartTable[[#This Row],[Rating]]&gt;4.5,"Excellent",IF(FlipkartTable[[#This Row],[Rating]]&gt;4,"Good",IF(FlipkartTable[[#This Row],[Rating]]&gt;3.5,"Average","Poor")))</f>
        <v>Average</v>
      </c>
    </row>
    <row r="2106" spans="1:13" x14ac:dyDescent="0.35">
      <c r="A2106" t="s">
        <v>975</v>
      </c>
      <c r="B2106" s="9" t="s">
        <v>1034</v>
      </c>
      <c r="C2106" t="s">
        <v>329</v>
      </c>
      <c r="D2106" t="s">
        <v>35</v>
      </c>
      <c r="E2106" t="s">
        <v>124</v>
      </c>
      <c r="F2106">
        <v>3.7</v>
      </c>
      <c r="G2106">
        <v>9795</v>
      </c>
      <c r="H2106">
        <v>9795</v>
      </c>
      <c r="I2106">
        <f>FlipkartTable[[#This Row],[Original Price]]-FlipkartTable[[#This Row],[Selling Price]]</f>
        <v>0</v>
      </c>
      <c r="J2106" s="4">
        <f>(FlipkartTable[[#This Row],[Original Price]]-FlipkartTable[[#This Row],[Selling Price]])/FlipkartTable[[#This Row],[Original Price]]</f>
        <v>0</v>
      </c>
      <c r="K2106">
        <f>(FlipkartTable[[#This Row],[Rating]]/FlipkartTable[[#This Row],[Selling Price]])*1000</f>
        <v>0.37774374680959671</v>
      </c>
      <c r="L2106" t="str">
        <f>IF(FlipkartTable[[#This Row],[Selling Price]]&lt;15000,"Budget",IF(FlipkartTable[[#This Row],[Selling Price]]&lt;50000,"Mid Range","Premium"))</f>
        <v>Budget</v>
      </c>
      <c r="M2106" t="str">
        <f>IF(FlipkartTable[[#This Row],[Rating]]&gt;4.5,"Excellent",IF(FlipkartTable[[#This Row],[Rating]]&gt;4,"Good",IF(FlipkartTable[[#This Row],[Rating]]&gt;3.5,"Average","Poor")))</f>
        <v>Average</v>
      </c>
    </row>
    <row r="2107" spans="1:13" x14ac:dyDescent="0.35">
      <c r="A2107" t="s">
        <v>975</v>
      </c>
      <c r="B2107" s="9" t="s">
        <v>1031</v>
      </c>
      <c r="C2107" t="s">
        <v>152</v>
      </c>
      <c r="D2107" t="s">
        <v>35</v>
      </c>
      <c r="E2107" t="s">
        <v>124</v>
      </c>
      <c r="F2107">
        <v>3.7</v>
      </c>
      <c r="G2107">
        <v>7990</v>
      </c>
      <c r="H2107">
        <v>7990</v>
      </c>
      <c r="I2107">
        <f>FlipkartTable[[#This Row],[Original Price]]-FlipkartTable[[#This Row],[Selling Price]]</f>
        <v>0</v>
      </c>
      <c r="J2107" s="4">
        <f>(FlipkartTable[[#This Row],[Original Price]]-FlipkartTable[[#This Row],[Selling Price]])/FlipkartTable[[#This Row],[Original Price]]</f>
        <v>0</v>
      </c>
      <c r="K2107">
        <f>(FlipkartTable[[#This Row],[Rating]]/FlipkartTable[[#This Row],[Selling Price]])*1000</f>
        <v>0.46307884856070086</v>
      </c>
      <c r="L2107" t="str">
        <f>IF(FlipkartTable[[#This Row],[Selling Price]]&lt;15000,"Budget",IF(FlipkartTable[[#This Row],[Selling Price]]&lt;50000,"Mid Range","Premium"))</f>
        <v>Budget</v>
      </c>
      <c r="M2107" t="str">
        <f>IF(FlipkartTable[[#This Row],[Rating]]&gt;4.5,"Excellent",IF(FlipkartTable[[#This Row],[Rating]]&gt;4,"Good",IF(FlipkartTable[[#This Row],[Rating]]&gt;3.5,"Average","Poor")))</f>
        <v>Average</v>
      </c>
    </row>
    <row r="2108" spans="1:13" x14ac:dyDescent="0.35">
      <c r="A2108" t="s">
        <v>975</v>
      </c>
      <c r="B2108" s="9" t="s">
        <v>1005</v>
      </c>
      <c r="C2108" t="s">
        <v>152</v>
      </c>
      <c r="D2108" t="s">
        <v>35</v>
      </c>
      <c r="E2108" t="s">
        <v>21</v>
      </c>
      <c r="F2108">
        <v>3.7</v>
      </c>
      <c r="G2108">
        <v>9999</v>
      </c>
      <c r="H2108">
        <v>9999</v>
      </c>
      <c r="I2108">
        <f>FlipkartTable[[#This Row],[Original Price]]-FlipkartTable[[#This Row],[Selling Price]]</f>
        <v>0</v>
      </c>
      <c r="J2108" s="4">
        <f>(FlipkartTable[[#This Row],[Original Price]]-FlipkartTable[[#This Row],[Selling Price]])/FlipkartTable[[#This Row],[Original Price]]</f>
        <v>0</v>
      </c>
      <c r="K2108">
        <f>(FlipkartTable[[#This Row],[Rating]]/FlipkartTable[[#This Row],[Selling Price]])*1000</f>
        <v>0.37003700370037007</v>
      </c>
      <c r="L2108" t="str">
        <f>IF(FlipkartTable[[#This Row],[Selling Price]]&lt;15000,"Budget",IF(FlipkartTable[[#This Row],[Selling Price]]&lt;50000,"Mid Range","Premium"))</f>
        <v>Budget</v>
      </c>
      <c r="M2108" t="str">
        <f>IF(FlipkartTable[[#This Row],[Rating]]&gt;4.5,"Excellent",IF(FlipkartTable[[#This Row],[Rating]]&gt;4,"Good",IF(FlipkartTable[[#This Row],[Rating]]&gt;3.5,"Average","Poor")))</f>
        <v>Average</v>
      </c>
    </row>
    <row r="2109" spans="1:13" x14ac:dyDescent="0.35">
      <c r="A2109" t="s">
        <v>975</v>
      </c>
      <c r="B2109" s="9" t="s">
        <v>1035</v>
      </c>
      <c r="C2109" t="s">
        <v>649</v>
      </c>
      <c r="D2109" t="s">
        <v>20</v>
      </c>
      <c r="E2109" t="s">
        <v>12</v>
      </c>
      <c r="F2109">
        <v>3.4</v>
      </c>
      <c r="G2109">
        <v>7499</v>
      </c>
      <c r="H2109">
        <v>13499</v>
      </c>
      <c r="I2109">
        <f>FlipkartTable[[#This Row],[Original Price]]-FlipkartTable[[#This Row],[Selling Price]]</f>
        <v>6000</v>
      </c>
      <c r="J2109" s="4">
        <f>(FlipkartTable[[#This Row],[Original Price]]-FlipkartTable[[#This Row],[Selling Price]])/FlipkartTable[[#This Row],[Original Price]]</f>
        <v>0.44447736869397736</v>
      </c>
      <c r="K2109">
        <f>(FlipkartTable[[#This Row],[Rating]]/FlipkartTable[[#This Row],[Selling Price]])*1000</f>
        <v>0.45339378583811174</v>
      </c>
      <c r="L2109" t="str">
        <f>IF(FlipkartTable[[#This Row],[Selling Price]]&lt;15000,"Budget",IF(FlipkartTable[[#This Row],[Selling Price]]&lt;50000,"Mid Range","Premium"))</f>
        <v>Budget</v>
      </c>
      <c r="M2109" t="str">
        <f>IF(FlipkartTable[[#This Row],[Rating]]&gt;4.5,"Excellent",IF(FlipkartTable[[#This Row],[Rating]]&gt;4,"Good",IF(FlipkartTable[[#This Row],[Rating]]&gt;3.5,"Average","Poor")))</f>
        <v>Poor</v>
      </c>
    </row>
    <row r="2110" spans="1:13" x14ac:dyDescent="0.35">
      <c r="A2110" t="s">
        <v>1036</v>
      </c>
      <c r="B2110" s="9" t="s">
        <v>1037</v>
      </c>
      <c r="C2110" t="s">
        <v>1038</v>
      </c>
      <c r="D2110" t="s">
        <v>11</v>
      </c>
      <c r="E2110" t="s">
        <v>12</v>
      </c>
      <c r="F2110">
        <v>4.0999999999999996</v>
      </c>
      <c r="G2110">
        <v>8799</v>
      </c>
      <c r="H2110">
        <v>11999</v>
      </c>
      <c r="I2110">
        <f>FlipkartTable[[#This Row],[Original Price]]-FlipkartTable[[#This Row],[Selling Price]]</f>
        <v>3200</v>
      </c>
      <c r="J2110" s="4">
        <f>(FlipkartTable[[#This Row],[Original Price]]-FlipkartTable[[#This Row],[Selling Price]])/FlipkartTable[[#This Row],[Original Price]]</f>
        <v>0.26668889074089508</v>
      </c>
      <c r="K2110">
        <f>(FlipkartTable[[#This Row],[Rating]]/FlipkartTable[[#This Row],[Selling Price]])*1000</f>
        <v>0.46596204114103873</v>
      </c>
      <c r="L2110" t="str">
        <f>IF(FlipkartTable[[#This Row],[Selling Price]]&lt;15000,"Budget",IF(FlipkartTable[[#This Row],[Selling Price]]&lt;50000,"Mid Range","Premium"))</f>
        <v>Budget</v>
      </c>
      <c r="M2110" t="str">
        <f>IF(FlipkartTable[[#This Row],[Rating]]&gt;4.5,"Excellent",IF(FlipkartTable[[#This Row],[Rating]]&gt;4,"Good",IF(FlipkartTable[[#This Row],[Rating]]&gt;3.5,"Average","Poor")))</f>
        <v>Good</v>
      </c>
    </row>
    <row r="2111" spans="1:13" x14ac:dyDescent="0.35">
      <c r="A2111" t="s">
        <v>1036</v>
      </c>
      <c r="B2111" s="9" t="s">
        <v>1041</v>
      </c>
      <c r="C2111" t="s">
        <v>1042</v>
      </c>
      <c r="D2111" t="s">
        <v>11</v>
      </c>
      <c r="E2111" t="s">
        <v>12</v>
      </c>
      <c r="F2111">
        <v>4.0999999999999996</v>
      </c>
      <c r="G2111">
        <v>10499</v>
      </c>
      <c r="H2111">
        <v>12999</v>
      </c>
      <c r="I2111">
        <f>FlipkartTable[[#This Row],[Original Price]]-FlipkartTable[[#This Row],[Selling Price]]</f>
        <v>2500</v>
      </c>
      <c r="J2111" s="4">
        <f>(FlipkartTable[[#This Row],[Original Price]]-FlipkartTable[[#This Row],[Selling Price]])/FlipkartTable[[#This Row],[Original Price]]</f>
        <v>0.19232248634510346</v>
      </c>
      <c r="K2111">
        <f>(FlipkartTable[[#This Row],[Rating]]/FlipkartTable[[#This Row],[Selling Price]])*1000</f>
        <v>0.3905133822268787</v>
      </c>
      <c r="L2111" t="str">
        <f>IF(FlipkartTable[[#This Row],[Selling Price]]&lt;15000,"Budget",IF(FlipkartTable[[#This Row],[Selling Price]]&lt;50000,"Mid Range","Premium"))</f>
        <v>Budget</v>
      </c>
      <c r="M2111" t="str">
        <f>IF(FlipkartTable[[#This Row],[Rating]]&gt;4.5,"Excellent",IF(FlipkartTable[[#This Row],[Rating]]&gt;4,"Good",IF(FlipkartTable[[#This Row],[Rating]]&gt;3.5,"Average","Poor")))</f>
        <v>Good</v>
      </c>
    </row>
    <row r="2112" spans="1:13" x14ac:dyDescent="0.35">
      <c r="A2112" t="s">
        <v>1036</v>
      </c>
      <c r="B2112" s="9" t="s">
        <v>1043</v>
      </c>
      <c r="C2112" t="s">
        <v>1044</v>
      </c>
      <c r="D2112" t="s">
        <v>14</v>
      </c>
      <c r="E2112" t="s">
        <v>15</v>
      </c>
      <c r="F2112">
        <v>4.2</v>
      </c>
      <c r="G2112">
        <v>17999</v>
      </c>
      <c r="H2112">
        <v>21999</v>
      </c>
      <c r="I2112">
        <f>FlipkartTable[[#This Row],[Original Price]]-FlipkartTable[[#This Row],[Selling Price]]</f>
        <v>4000</v>
      </c>
      <c r="J2112" s="4">
        <f>(FlipkartTable[[#This Row],[Original Price]]-FlipkartTable[[#This Row],[Selling Price]])/FlipkartTable[[#This Row],[Original Price]]</f>
        <v>0.18182644665666622</v>
      </c>
      <c r="K2112">
        <f>(FlipkartTable[[#This Row],[Rating]]/FlipkartTable[[#This Row],[Selling Price]])*1000</f>
        <v>0.23334629701650095</v>
      </c>
      <c r="L2112" t="str">
        <f>IF(FlipkartTable[[#This Row],[Selling Price]]&lt;15000,"Budget",IF(FlipkartTable[[#This Row],[Selling Price]]&lt;50000,"Mid Range","Premium"))</f>
        <v>Mid Range</v>
      </c>
      <c r="M2112" t="str">
        <f>IF(FlipkartTable[[#This Row],[Rating]]&gt;4.5,"Excellent",IF(FlipkartTable[[#This Row],[Rating]]&gt;4,"Good",IF(FlipkartTable[[#This Row],[Rating]]&gt;3.5,"Average","Poor")))</f>
        <v>Good</v>
      </c>
    </row>
    <row r="2113" spans="1:13" x14ac:dyDescent="0.35">
      <c r="A2113" t="s">
        <v>1036</v>
      </c>
      <c r="B2113" s="9" t="s">
        <v>1045</v>
      </c>
      <c r="C2113" t="s">
        <v>1046</v>
      </c>
      <c r="D2113" t="s">
        <v>14</v>
      </c>
      <c r="E2113" t="s">
        <v>15</v>
      </c>
      <c r="F2113">
        <v>4.3</v>
      </c>
      <c r="G2113">
        <v>16499</v>
      </c>
      <c r="H2113">
        <v>19999</v>
      </c>
      <c r="I2113">
        <f>FlipkartTable[[#This Row],[Original Price]]-FlipkartTable[[#This Row],[Selling Price]]</f>
        <v>3500</v>
      </c>
      <c r="J2113" s="4">
        <f>(FlipkartTable[[#This Row],[Original Price]]-FlipkartTable[[#This Row],[Selling Price]])/FlipkartTable[[#This Row],[Original Price]]</f>
        <v>0.17500875043752187</v>
      </c>
      <c r="K2113">
        <f>(FlipkartTable[[#This Row],[Rating]]/FlipkartTable[[#This Row],[Selling Price]])*1000</f>
        <v>0.26062185587005271</v>
      </c>
      <c r="L2113" t="str">
        <f>IF(FlipkartTable[[#This Row],[Selling Price]]&lt;15000,"Budget",IF(FlipkartTable[[#This Row],[Selling Price]]&lt;50000,"Mid Range","Premium"))</f>
        <v>Mid Range</v>
      </c>
      <c r="M2113" t="str">
        <f>IF(FlipkartTable[[#This Row],[Rating]]&gt;4.5,"Excellent",IF(FlipkartTable[[#This Row],[Rating]]&gt;4,"Good",IF(FlipkartTable[[#This Row],[Rating]]&gt;3.5,"Average","Poor")))</f>
        <v>Good</v>
      </c>
    </row>
    <row r="2114" spans="1:13" x14ac:dyDescent="0.35">
      <c r="A2114" t="s">
        <v>1036</v>
      </c>
      <c r="B2114" s="9" t="s">
        <v>1037</v>
      </c>
      <c r="C2114" t="s">
        <v>1047</v>
      </c>
      <c r="D2114" t="s">
        <v>11</v>
      </c>
      <c r="E2114" t="s">
        <v>12</v>
      </c>
      <c r="F2114">
        <v>4.0999999999999996</v>
      </c>
      <c r="G2114">
        <v>8799</v>
      </c>
      <c r="H2114">
        <v>11999</v>
      </c>
      <c r="I2114">
        <f>FlipkartTable[[#This Row],[Original Price]]-FlipkartTable[[#This Row],[Selling Price]]</f>
        <v>3200</v>
      </c>
      <c r="J2114" s="4">
        <f>(FlipkartTable[[#This Row],[Original Price]]-FlipkartTable[[#This Row],[Selling Price]])/FlipkartTable[[#This Row],[Original Price]]</f>
        <v>0.26668889074089508</v>
      </c>
      <c r="K2114">
        <f>(FlipkartTable[[#This Row],[Rating]]/FlipkartTable[[#This Row],[Selling Price]])*1000</f>
        <v>0.46596204114103873</v>
      </c>
      <c r="L2114" t="str">
        <f>IF(FlipkartTable[[#This Row],[Selling Price]]&lt;15000,"Budget",IF(FlipkartTable[[#This Row],[Selling Price]]&lt;50000,"Mid Range","Premium"))</f>
        <v>Budget</v>
      </c>
      <c r="M2114" t="str">
        <f>IF(FlipkartTable[[#This Row],[Rating]]&gt;4.5,"Excellent",IF(FlipkartTable[[#This Row],[Rating]]&gt;4,"Good",IF(FlipkartTable[[#This Row],[Rating]]&gt;3.5,"Average","Poor")))</f>
        <v>Good</v>
      </c>
    </row>
    <row r="2115" spans="1:13" x14ac:dyDescent="0.35">
      <c r="A2115" t="s">
        <v>1036</v>
      </c>
      <c r="B2115" s="9" t="s">
        <v>1045</v>
      </c>
      <c r="C2115" t="s">
        <v>1046</v>
      </c>
      <c r="D2115" t="s">
        <v>11</v>
      </c>
      <c r="E2115" t="s">
        <v>12</v>
      </c>
      <c r="F2115">
        <v>4.3</v>
      </c>
      <c r="G2115">
        <v>14499</v>
      </c>
      <c r="H2115">
        <v>16999</v>
      </c>
      <c r="I2115">
        <f>FlipkartTable[[#This Row],[Original Price]]-FlipkartTable[[#This Row],[Selling Price]]</f>
        <v>2500</v>
      </c>
      <c r="J2115" s="4">
        <f>(FlipkartTable[[#This Row],[Original Price]]-FlipkartTable[[#This Row],[Selling Price]])/FlipkartTable[[#This Row],[Original Price]]</f>
        <v>0.14706747455732691</v>
      </c>
      <c r="K2115">
        <f>(FlipkartTable[[#This Row],[Rating]]/FlipkartTable[[#This Row],[Selling Price]])*1000</f>
        <v>0.29657217739154423</v>
      </c>
      <c r="L2115" t="str">
        <f>IF(FlipkartTable[[#This Row],[Selling Price]]&lt;15000,"Budget",IF(FlipkartTable[[#This Row],[Selling Price]]&lt;50000,"Mid Range","Premium"))</f>
        <v>Budget</v>
      </c>
      <c r="M2115" t="str">
        <f>IF(FlipkartTable[[#This Row],[Rating]]&gt;4.5,"Excellent",IF(FlipkartTable[[#This Row],[Rating]]&gt;4,"Good",IF(FlipkartTable[[#This Row],[Rating]]&gt;3.5,"Average","Poor")))</f>
        <v>Good</v>
      </c>
    </row>
    <row r="2116" spans="1:13" x14ac:dyDescent="0.35">
      <c r="A2116" t="s">
        <v>1036</v>
      </c>
      <c r="B2116" s="9" t="s">
        <v>1043</v>
      </c>
      <c r="C2116" t="s">
        <v>1046</v>
      </c>
      <c r="D2116" t="s">
        <v>14</v>
      </c>
      <c r="E2116" t="s">
        <v>15</v>
      </c>
      <c r="F2116">
        <v>4.2</v>
      </c>
      <c r="G2116">
        <v>17999</v>
      </c>
      <c r="H2116">
        <v>21999</v>
      </c>
      <c r="I2116">
        <f>FlipkartTable[[#This Row],[Original Price]]-FlipkartTable[[#This Row],[Selling Price]]</f>
        <v>4000</v>
      </c>
      <c r="J2116" s="4">
        <f>(FlipkartTable[[#This Row],[Original Price]]-FlipkartTable[[#This Row],[Selling Price]])/FlipkartTable[[#This Row],[Original Price]]</f>
        <v>0.18182644665666622</v>
      </c>
      <c r="K2116">
        <f>(FlipkartTable[[#This Row],[Rating]]/FlipkartTable[[#This Row],[Selling Price]])*1000</f>
        <v>0.23334629701650095</v>
      </c>
      <c r="L2116" t="str">
        <f>IF(FlipkartTable[[#This Row],[Selling Price]]&lt;15000,"Budget",IF(FlipkartTable[[#This Row],[Selling Price]]&lt;50000,"Mid Range","Premium"))</f>
        <v>Mid Range</v>
      </c>
      <c r="M2116" t="str">
        <f>IF(FlipkartTable[[#This Row],[Rating]]&gt;4.5,"Excellent",IF(FlipkartTable[[#This Row],[Rating]]&gt;4,"Good",IF(FlipkartTable[[#This Row],[Rating]]&gt;3.5,"Average","Poor")))</f>
        <v>Good</v>
      </c>
    </row>
    <row r="2117" spans="1:13" x14ac:dyDescent="0.35">
      <c r="A2117" t="s">
        <v>1036</v>
      </c>
      <c r="B2117" s="9" t="s">
        <v>1045</v>
      </c>
      <c r="C2117" t="s">
        <v>1044</v>
      </c>
      <c r="D2117" t="s">
        <v>14</v>
      </c>
      <c r="E2117" t="s">
        <v>15</v>
      </c>
      <c r="F2117">
        <v>4.3</v>
      </c>
      <c r="G2117">
        <v>16499</v>
      </c>
      <c r="H2117">
        <v>19999</v>
      </c>
      <c r="I2117">
        <f>FlipkartTable[[#This Row],[Original Price]]-FlipkartTable[[#This Row],[Selling Price]]</f>
        <v>3500</v>
      </c>
      <c r="J2117" s="4">
        <f>(FlipkartTable[[#This Row],[Original Price]]-FlipkartTable[[#This Row],[Selling Price]])/FlipkartTable[[#This Row],[Original Price]]</f>
        <v>0.17500875043752187</v>
      </c>
      <c r="K2117">
        <f>(FlipkartTable[[#This Row],[Rating]]/FlipkartTable[[#This Row],[Selling Price]])*1000</f>
        <v>0.26062185587005271</v>
      </c>
      <c r="L2117" t="str">
        <f>IF(FlipkartTable[[#This Row],[Selling Price]]&lt;15000,"Budget",IF(FlipkartTable[[#This Row],[Selling Price]]&lt;50000,"Mid Range","Premium"))</f>
        <v>Mid Range</v>
      </c>
      <c r="M2117" t="str">
        <f>IF(FlipkartTable[[#This Row],[Rating]]&gt;4.5,"Excellent",IF(FlipkartTable[[#This Row],[Rating]]&gt;4,"Good",IF(FlipkartTable[[#This Row],[Rating]]&gt;3.5,"Average","Poor")))</f>
        <v>Good</v>
      </c>
    </row>
    <row r="2118" spans="1:13" x14ac:dyDescent="0.35">
      <c r="A2118" t="s">
        <v>1036</v>
      </c>
      <c r="B2118" s="9" t="s">
        <v>1045</v>
      </c>
      <c r="C2118" t="s">
        <v>1044</v>
      </c>
      <c r="D2118" t="s">
        <v>11</v>
      </c>
      <c r="E2118" t="s">
        <v>12</v>
      </c>
      <c r="F2118">
        <v>4.3</v>
      </c>
      <c r="G2118">
        <v>14499</v>
      </c>
      <c r="H2118">
        <v>16999</v>
      </c>
      <c r="I2118">
        <f>FlipkartTable[[#This Row],[Original Price]]-FlipkartTable[[#This Row],[Selling Price]]</f>
        <v>2500</v>
      </c>
      <c r="J2118" s="4">
        <f>(FlipkartTable[[#This Row],[Original Price]]-FlipkartTable[[#This Row],[Selling Price]])/FlipkartTable[[#This Row],[Original Price]]</f>
        <v>0.14706747455732691</v>
      </c>
      <c r="K2118">
        <f>(FlipkartTable[[#This Row],[Rating]]/FlipkartTable[[#This Row],[Selling Price]])*1000</f>
        <v>0.29657217739154423</v>
      </c>
      <c r="L2118" t="str">
        <f>IF(FlipkartTable[[#This Row],[Selling Price]]&lt;15000,"Budget",IF(FlipkartTable[[#This Row],[Selling Price]]&lt;50000,"Mid Range","Premium"))</f>
        <v>Budget</v>
      </c>
      <c r="M2118" t="str">
        <f>IF(FlipkartTable[[#This Row],[Rating]]&gt;4.5,"Excellent",IF(FlipkartTable[[#This Row],[Rating]]&gt;4,"Good",IF(FlipkartTable[[#This Row],[Rating]]&gt;3.5,"Average","Poor")))</f>
        <v>Good</v>
      </c>
    </row>
    <row r="2119" spans="1:13" x14ac:dyDescent="0.35">
      <c r="A2119" t="s">
        <v>1036</v>
      </c>
      <c r="B2119" s="9" t="s">
        <v>1041</v>
      </c>
      <c r="C2119" t="s">
        <v>1049</v>
      </c>
      <c r="D2119" t="s">
        <v>11</v>
      </c>
      <c r="E2119" t="s">
        <v>12</v>
      </c>
      <c r="F2119">
        <v>4.0999999999999996</v>
      </c>
      <c r="G2119">
        <v>10499</v>
      </c>
      <c r="H2119">
        <v>12999</v>
      </c>
      <c r="I2119">
        <f>FlipkartTable[[#This Row],[Original Price]]-FlipkartTable[[#This Row],[Selling Price]]</f>
        <v>2500</v>
      </c>
      <c r="J2119" s="4">
        <f>(FlipkartTable[[#This Row],[Original Price]]-FlipkartTable[[#This Row],[Selling Price]])/FlipkartTable[[#This Row],[Original Price]]</f>
        <v>0.19232248634510346</v>
      </c>
      <c r="K2119">
        <f>(FlipkartTable[[#This Row],[Rating]]/FlipkartTable[[#This Row],[Selling Price]])*1000</f>
        <v>0.3905133822268787</v>
      </c>
      <c r="L2119" t="str">
        <f>IF(FlipkartTable[[#This Row],[Selling Price]]&lt;15000,"Budget",IF(FlipkartTable[[#This Row],[Selling Price]]&lt;50000,"Mid Range","Premium"))</f>
        <v>Budget</v>
      </c>
      <c r="M2119" t="str">
        <f>IF(FlipkartTable[[#This Row],[Rating]]&gt;4.5,"Excellent",IF(FlipkartTable[[#This Row],[Rating]]&gt;4,"Good",IF(FlipkartTable[[#This Row],[Rating]]&gt;3.5,"Average","Poor")))</f>
        <v>Good</v>
      </c>
    </row>
    <row r="2120" spans="1:13" x14ac:dyDescent="0.35">
      <c r="A2120" t="s">
        <v>1036</v>
      </c>
      <c r="B2120" s="9" t="s">
        <v>1050</v>
      </c>
      <c r="C2120" t="s">
        <v>19</v>
      </c>
      <c r="D2120" t="s">
        <v>134</v>
      </c>
      <c r="E2120" t="s">
        <v>124</v>
      </c>
      <c r="F2120">
        <v>4.2</v>
      </c>
      <c r="G2120">
        <v>8999</v>
      </c>
      <c r="H2120">
        <v>8999</v>
      </c>
      <c r="I2120">
        <f>FlipkartTable[[#This Row],[Original Price]]-FlipkartTable[[#This Row],[Selling Price]]</f>
        <v>0</v>
      </c>
      <c r="J2120" s="4">
        <f>(FlipkartTable[[#This Row],[Original Price]]-FlipkartTable[[#This Row],[Selling Price]])/FlipkartTable[[#This Row],[Original Price]]</f>
        <v>0</v>
      </c>
      <c r="K2120">
        <f>(FlipkartTable[[#This Row],[Rating]]/FlipkartTable[[#This Row],[Selling Price]])*1000</f>
        <v>0.46671852428047561</v>
      </c>
      <c r="L2120" t="str">
        <f>IF(FlipkartTable[[#This Row],[Selling Price]]&lt;15000,"Budget",IF(FlipkartTable[[#This Row],[Selling Price]]&lt;50000,"Mid Range","Premium"))</f>
        <v>Budget</v>
      </c>
      <c r="M2120" t="str">
        <f>IF(FlipkartTable[[#This Row],[Rating]]&gt;4.5,"Excellent",IF(FlipkartTable[[#This Row],[Rating]]&gt;4,"Good",IF(FlipkartTable[[#This Row],[Rating]]&gt;3.5,"Average","Poor")))</f>
        <v>Good</v>
      </c>
    </row>
    <row r="2121" spans="1:13" x14ac:dyDescent="0.35">
      <c r="A2121" t="s">
        <v>1036</v>
      </c>
      <c r="B2121" s="9" t="s">
        <v>1051</v>
      </c>
      <c r="C2121" t="s">
        <v>1052</v>
      </c>
      <c r="D2121" t="s">
        <v>27</v>
      </c>
      <c r="E2121" t="s">
        <v>15</v>
      </c>
      <c r="F2121">
        <v>4.4000000000000004</v>
      </c>
      <c r="G2121">
        <v>29999</v>
      </c>
      <c r="H2121">
        <v>34999</v>
      </c>
      <c r="I2121">
        <f>FlipkartTable[[#This Row],[Original Price]]-FlipkartTable[[#This Row],[Selling Price]]</f>
        <v>5000</v>
      </c>
      <c r="J2121" s="4">
        <f>(FlipkartTable[[#This Row],[Original Price]]-FlipkartTable[[#This Row],[Selling Price]])/FlipkartTable[[#This Row],[Original Price]]</f>
        <v>0.14286122460641731</v>
      </c>
      <c r="K2121">
        <f>(FlipkartTable[[#This Row],[Rating]]/FlipkartTable[[#This Row],[Selling Price]])*1000</f>
        <v>0.14667155571852394</v>
      </c>
      <c r="L2121" t="str">
        <f>IF(FlipkartTable[[#This Row],[Selling Price]]&lt;15000,"Budget",IF(FlipkartTable[[#This Row],[Selling Price]]&lt;50000,"Mid Range","Premium"))</f>
        <v>Mid Range</v>
      </c>
      <c r="M2121" t="str">
        <f>IF(FlipkartTable[[#This Row],[Rating]]&gt;4.5,"Excellent",IF(FlipkartTable[[#This Row],[Rating]]&gt;4,"Good",IF(FlipkartTable[[#This Row],[Rating]]&gt;3.5,"Average","Poor")))</f>
        <v>Good</v>
      </c>
    </row>
    <row r="2122" spans="1:13" x14ac:dyDescent="0.35">
      <c r="A2122" t="s">
        <v>1036</v>
      </c>
      <c r="B2122" s="9" t="s">
        <v>1053</v>
      </c>
      <c r="C2122" t="s">
        <v>477</v>
      </c>
      <c r="D2122" t="s">
        <v>11</v>
      </c>
      <c r="E2122" t="s">
        <v>12</v>
      </c>
      <c r="F2122">
        <v>4.3</v>
      </c>
      <c r="G2122">
        <v>9999</v>
      </c>
      <c r="H2122">
        <v>9999</v>
      </c>
      <c r="I2122">
        <f>FlipkartTable[[#This Row],[Original Price]]-FlipkartTable[[#This Row],[Selling Price]]</f>
        <v>0</v>
      </c>
      <c r="J2122" s="4">
        <f>(FlipkartTable[[#This Row],[Original Price]]-FlipkartTable[[#This Row],[Selling Price]])/FlipkartTable[[#This Row],[Original Price]]</f>
        <v>0</v>
      </c>
      <c r="K2122">
        <f>(FlipkartTable[[#This Row],[Rating]]/FlipkartTable[[#This Row],[Selling Price]])*1000</f>
        <v>0.43004300430043002</v>
      </c>
      <c r="L2122" t="str">
        <f>IF(FlipkartTable[[#This Row],[Selling Price]]&lt;15000,"Budget",IF(FlipkartTable[[#This Row],[Selling Price]]&lt;50000,"Mid Range","Premium"))</f>
        <v>Budget</v>
      </c>
      <c r="M2122" t="str">
        <f>IF(FlipkartTable[[#This Row],[Rating]]&gt;4.5,"Excellent",IF(FlipkartTable[[#This Row],[Rating]]&gt;4,"Good",IF(FlipkartTable[[#This Row],[Rating]]&gt;3.5,"Average","Poor")))</f>
        <v>Good</v>
      </c>
    </row>
    <row r="2123" spans="1:13" x14ac:dyDescent="0.35">
      <c r="A2123" t="s">
        <v>1036</v>
      </c>
      <c r="B2123" s="9" t="s">
        <v>1039</v>
      </c>
      <c r="C2123" t="s">
        <v>1040</v>
      </c>
      <c r="D2123" t="s">
        <v>14</v>
      </c>
      <c r="E2123" t="s">
        <v>15</v>
      </c>
      <c r="F2123">
        <v>3.9</v>
      </c>
      <c r="G2123">
        <v>21499</v>
      </c>
      <c r="H2123">
        <v>24999</v>
      </c>
      <c r="I2123">
        <f>FlipkartTable[[#This Row],[Original Price]]-FlipkartTable[[#This Row],[Selling Price]]</f>
        <v>3500</v>
      </c>
      <c r="J2123" s="4">
        <f>(FlipkartTable[[#This Row],[Original Price]]-FlipkartTable[[#This Row],[Selling Price]])/FlipkartTable[[#This Row],[Original Price]]</f>
        <v>0.14000560022400896</v>
      </c>
      <c r="K2123">
        <f>(FlipkartTable[[#This Row],[Rating]]/FlipkartTable[[#This Row],[Selling Price]])*1000</f>
        <v>0.18140378622261499</v>
      </c>
      <c r="L2123" t="str">
        <f>IF(FlipkartTable[[#This Row],[Selling Price]]&lt;15000,"Budget",IF(FlipkartTable[[#This Row],[Selling Price]]&lt;50000,"Mid Range","Premium"))</f>
        <v>Mid Range</v>
      </c>
      <c r="M2123" t="str">
        <f>IF(FlipkartTable[[#This Row],[Rating]]&gt;4.5,"Excellent",IF(FlipkartTable[[#This Row],[Rating]]&gt;4,"Good",IF(FlipkartTable[[#This Row],[Rating]]&gt;3.5,"Average","Poor")))</f>
        <v>Average</v>
      </c>
    </row>
    <row r="2124" spans="1:13" x14ac:dyDescent="0.35">
      <c r="A2124" t="s">
        <v>1036</v>
      </c>
      <c r="B2124" s="9" t="s">
        <v>1054</v>
      </c>
      <c r="C2124" t="s">
        <v>1055</v>
      </c>
      <c r="D2124" t="s">
        <v>20</v>
      </c>
      <c r="E2124" t="s">
        <v>21</v>
      </c>
      <c r="F2124">
        <v>4.3</v>
      </c>
      <c r="G2124">
        <v>21999</v>
      </c>
      <c r="H2124">
        <v>21999</v>
      </c>
      <c r="I2124">
        <f>FlipkartTable[[#This Row],[Original Price]]-FlipkartTable[[#This Row],[Selling Price]]</f>
        <v>0</v>
      </c>
      <c r="J2124" s="4">
        <f>(FlipkartTable[[#This Row],[Original Price]]-FlipkartTable[[#This Row],[Selling Price]])/FlipkartTable[[#This Row],[Original Price]]</f>
        <v>0</v>
      </c>
      <c r="K2124">
        <f>(FlipkartTable[[#This Row],[Rating]]/FlipkartTable[[#This Row],[Selling Price]])*1000</f>
        <v>0.19546343015591616</v>
      </c>
      <c r="L2124" t="str">
        <f>IF(FlipkartTable[[#This Row],[Selling Price]]&lt;15000,"Budget",IF(FlipkartTable[[#This Row],[Selling Price]]&lt;50000,"Mid Range","Premium"))</f>
        <v>Mid Range</v>
      </c>
      <c r="M2124" t="str">
        <f>IF(FlipkartTable[[#This Row],[Rating]]&gt;4.5,"Excellent",IF(FlipkartTable[[#This Row],[Rating]]&gt;4,"Good",IF(FlipkartTable[[#This Row],[Rating]]&gt;3.5,"Average","Poor")))</f>
        <v>Good</v>
      </c>
    </row>
    <row r="2125" spans="1:13" x14ac:dyDescent="0.35">
      <c r="A2125" t="s">
        <v>1036</v>
      </c>
      <c r="B2125" s="9" t="s">
        <v>1039</v>
      </c>
      <c r="C2125" t="s">
        <v>1048</v>
      </c>
      <c r="D2125" t="s">
        <v>14</v>
      </c>
      <c r="E2125" t="s">
        <v>15</v>
      </c>
      <c r="F2125">
        <v>3.9</v>
      </c>
      <c r="G2125">
        <v>21499</v>
      </c>
      <c r="H2125">
        <v>24999</v>
      </c>
      <c r="I2125">
        <f>FlipkartTable[[#This Row],[Original Price]]-FlipkartTable[[#This Row],[Selling Price]]</f>
        <v>3500</v>
      </c>
      <c r="J2125" s="4">
        <f>(FlipkartTable[[#This Row],[Original Price]]-FlipkartTable[[#This Row],[Selling Price]])/FlipkartTable[[#This Row],[Original Price]]</f>
        <v>0.14000560022400896</v>
      </c>
      <c r="K2125">
        <f>(FlipkartTable[[#This Row],[Rating]]/FlipkartTable[[#This Row],[Selling Price]])*1000</f>
        <v>0.18140378622261499</v>
      </c>
      <c r="L2125" t="str">
        <f>IF(FlipkartTable[[#This Row],[Selling Price]]&lt;15000,"Budget",IF(FlipkartTable[[#This Row],[Selling Price]]&lt;50000,"Mid Range","Premium"))</f>
        <v>Mid Range</v>
      </c>
      <c r="M2125" t="str">
        <f>IF(FlipkartTable[[#This Row],[Rating]]&gt;4.5,"Excellent",IF(FlipkartTable[[#This Row],[Rating]]&gt;4,"Good",IF(FlipkartTable[[#This Row],[Rating]]&gt;3.5,"Average","Poor")))</f>
        <v>Average</v>
      </c>
    </row>
    <row r="2126" spans="1:13" x14ac:dyDescent="0.35">
      <c r="A2126" t="s">
        <v>1036</v>
      </c>
      <c r="B2126" s="9" t="s">
        <v>1056</v>
      </c>
      <c r="C2126" t="s">
        <v>1057</v>
      </c>
      <c r="D2126" t="s">
        <v>27</v>
      </c>
      <c r="E2126" t="s">
        <v>64</v>
      </c>
      <c r="F2126">
        <v>4</v>
      </c>
      <c r="G2126">
        <v>89999</v>
      </c>
      <c r="H2126">
        <v>149999</v>
      </c>
      <c r="I2126">
        <f>FlipkartTable[[#This Row],[Original Price]]-FlipkartTable[[#This Row],[Selling Price]]</f>
        <v>60000</v>
      </c>
      <c r="J2126" s="4">
        <f>(FlipkartTable[[#This Row],[Original Price]]-FlipkartTable[[#This Row],[Selling Price]])/FlipkartTable[[#This Row],[Original Price]]</f>
        <v>0.40000266668444456</v>
      </c>
      <c r="K2126">
        <f>(FlipkartTable[[#This Row],[Rating]]/FlipkartTable[[#This Row],[Selling Price]])*1000</f>
        <v>4.4444938277091971E-2</v>
      </c>
      <c r="L2126" t="str">
        <f>IF(FlipkartTable[[#This Row],[Selling Price]]&lt;15000,"Budget",IF(FlipkartTable[[#This Row],[Selling Price]]&lt;50000,"Mid Range","Premium"))</f>
        <v>Premium</v>
      </c>
      <c r="M2126" t="str">
        <f>IF(FlipkartTable[[#This Row],[Rating]]&gt;4.5,"Excellent",IF(FlipkartTable[[#This Row],[Rating]]&gt;4,"Good",IF(FlipkartTable[[#This Row],[Rating]]&gt;3.5,"Average","Poor")))</f>
        <v>Average</v>
      </c>
    </row>
    <row r="2127" spans="1:13" x14ac:dyDescent="0.35">
      <c r="A2127" t="s">
        <v>1036</v>
      </c>
      <c r="B2127" s="9" t="s">
        <v>1058</v>
      </c>
      <c r="C2127" t="s">
        <v>141</v>
      </c>
      <c r="D2127" t="s">
        <v>35</v>
      </c>
      <c r="E2127" t="s">
        <v>124</v>
      </c>
      <c r="F2127">
        <v>4.3</v>
      </c>
      <c r="G2127">
        <v>12000</v>
      </c>
      <c r="H2127">
        <v>12000</v>
      </c>
      <c r="I2127">
        <f>FlipkartTable[[#This Row],[Original Price]]-FlipkartTable[[#This Row],[Selling Price]]</f>
        <v>0</v>
      </c>
      <c r="J2127" s="4">
        <f>(FlipkartTable[[#This Row],[Original Price]]-FlipkartTable[[#This Row],[Selling Price]])/FlipkartTable[[#This Row],[Original Price]]</f>
        <v>0</v>
      </c>
      <c r="K2127">
        <f>(FlipkartTable[[#This Row],[Rating]]/FlipkartTable[[#This Row],[Selling Price]])*1000</f>
        <v>0.35833333333333334</v>
      </c>
      <c r="L2127" t="str">
        <f>IF(FlipkartTable[[#This Row],[Selling Price]]&lt;15000,"Budget",IF(FlipkartTable[[#This Row],[Selling Price]]&lt;50000,"Mid Range","Premium"))</f>
        <v>Budget</v>
      </c>
      <c r="M2127" t="str">
        <f>IF(FlipkartTable[[#This Row],[Rating]]&gt;4.5,"Excellent",IF(FlipkartTable[[#This Row],[Rating]]&gt;4,"Good",IF(FlipkartTable[[#This Row],[Rating]]&gt;3.5,"Average","Poor")))</f>
        <v>Good</v>
      </c>
    </row>
    <row r="2128" spans="1:13" x14ac:dyDescent="0.35">
      <c r="A2128" t="s">
        <v>1036</v>
      </c>
      <c r="B2128" s="9" t="s">
        <v>1059</v>
      </c>
      <c r="C2128" t="s">
        <v>19</v>
      </c>
      <c r="D2128" t="s">
        <v>14</v>
      </c>
      <c r="E2128" t="s">
        <v>15</v>
      </c>
      <c r="F2128">
        <v>3.8</v>
      </c>
      <c r="G2128">
        <v>74999</v>
      </c>
      <c r="H2128">
        <v>149999</v>
      </c>
      <c r="I2128">
        <f>FlipkartTable[[#This Row],[Original Price]]-FlipkartTable[[#This Row],[Selling Price]]</f>
        <v>75000</v>
      </c>
      <c r="J2128" s="4">
        <f>(FlipkartTable[[#This Row],[Original Price]]-FlipkartTable[[#This Row],[Selling Price]])/FlipkartTable[[#This Row],[Original Price]]</f>
        <v>0.50000333335555569</v>
      </c>
      <c r="K2128">
        <f>(FlipkartTable[[#This Row],[Rating]]/FlipkartTable[[#This Row],[Selling Price]])*1000</f>
        <v>5.0667342231229748E-2</v>
      </c>
      <c r="L2128" t="str">
        <f>IF(FlipkartTable[[#This Row],[Selling Price]]&lt;15000,"Budget",IF(FlipkartTable[[#This Row],[Selling Price]]&lt;50000,"Mid Range","Premium"))</f>
        <v>Premium</v>
      </c>
      <c r="M2128" t="str">
        <f>IF(FlipkartTable[[#This Row],[Rating]]&gt;4.5,"Excellent",IF(FlipkartTable[[#This Row],[Rating]]&gt;4,"Good",IF(FlipkartTable[[#This Row],[Rating]]&gt;3.5,"Average","Poor")))</f>
        <v>Average</v>
      </c>
    </row>
    <row r="2129" spans="1:13" x14ac:dyDescent="0.35">
      <c r="A2129" t="s">
        <v>1036</v>
      </c>
      <c r="B2129" s="9" t="s">
        <v>1060</v>
      </c>
      <c r="C2129" t="s">
        <v>152</v>
      </c>
      <c r="D2129" t="s">
        <v>35</v>
      </c>
      <c r="E2129" t="s">
        <v>124</v>
      </c>
      <c r="F2129">
        <v>4.2</v>
      </c>
      <c r="G2129">
        <v>17499</v>
      </c>
      <c r="H2129">
        <v>17499</v>
      </c>
      <c r="I2129">
        <f>FlipkartTable[[#This Row],[Original Price]]-FlipkartTable[[#This Row],[Selling Price]]</f>
        <v>0</v>
      </c>
      <c r="J2129" s="4">
        <f>(FlipkartTable[[#This Row],[Original Price]]-FlipkartTable[[#This Row],[Selling Price]])/FlipkartTable[[#This Row],[Original Price]]</f>
        <v>0</v>
      </c>
      <c r="K2129">
        <f>(FlipkartTable[[#This Row],[Rating]]/FlipkartTable[[#This Row],[Selling Price]])*1000</f>
        <v>0.24001371506943256</v>
      </c>
      <c r="L2129" t="str">
        <f>IF(FlipkartTable[[#This Row],[Selling Price]]&lt;15000,"Budget",IF(FlipkartTable[[#This Row],[Selling Price]]&lt;50000,"Mid Range","Premium"))</f>
        <v>Mid Range</v>
      </c>
      <c r="M2129" t="str">
        <f>IF(FlipkartTable[[#This Row],[Rating]]&gt;4.5,"Excellent",IF(FlipkartTable[[#This Row],[Rating]]&gt;4,"Good",IF(FlipkartTable[[#This Row],[Rating]]&gt;3.5,"Average","Poor")))</f>
        <v>Good</v>
      </c>
    </row>
    <row r="2130" spans="1:13" x14ac:dyDescent="0.35">
      <c r="A2130" t="s">
        <v>1036</v>
      </c>
      <c r="B2130" s="9" t="s">
        <v>1051</v>
      </c>
      <c r="C2130" t="s">
        <v>1061</v>
      </c>
      <c r="D2130" t="s">
        <v>27</v>
      </c>
      <c r="E2130" t="s">
        <v>15</v>
      </c>
      <c r="F2130">
        <v>4.4000000000000004</v>
      </c>
      <c r="G2130">
        <v>29999</v>
      </c>
      <c r="H2130">
        <v>34999</v>
      </c>
      <c r="I2130">
        <f>FlipkartTable[[#This Row],[Original Price]]-FlipkartTable[[#This Row],[Selling Price]]</f>
        <v>5000</v>
      </c>
      <c r="J2130" s="4">
        <f>(FlipkartTable[[#This Row],[Original Price]]-FlipkartTable[[#This Row],[Selling Price]])/FlipkartTable[[#This Row],[Original Price]]</f>
        <v>0.14286122460641731</v>
      </c>
      <c r="K2130">
        <f>(FlipkartTable[[#This Row],[Rating]]/FlipkartTable[[#This Row],[Selling Price]])*1000</f>
        <v>0.14667155571852394</v>
      </c>
      <c r="L2130" t="str">
        <f>IF(FlipkartTable[[#This Row],[Selling Price]]&lt;15000,"Budget",IF(FlipkartTable[[#This Row],[Selling Price]]&lt;50000,"Mid Range","Premium"))</f>
        <v>Mid Range</v>
      </c>
      <c r="M2130" t="str">
        <f>IF(FlipkartTable[[#This Row],[Rating]]&gt;4.5,"Excellent",IF(FlipkartTable[[#This Row],[Rating]]&gt;4,"Good",IF(FlipkartTable[[#This Row],[Rating]]&gt;3.5,"Average","Poor")))</f>
        <v>Good</v>
      </c>
    </row>
    <row r="2131" spans="1:13" x14ac:dyDescent="0.35">
      <c r="A2131" t="s">
        <v>1036</v>
      </c>
      <c r="B2131" s="9" t="s">
        <v>1062</v>
      </c>
      <c r="C2131" t="s">
        <v>405</v>
      </c>
      <c r="D2131" t="s">
        <v>35</v>
      </c>
      <c r="E2131" t="s">
        <v>124</v>
      </c>
      <c r="F2131">
        <v>4.2</v>
      </c>
      <c r="G2131">
        <v>6900</v>
      </c>
      <c r="H2131">
        <v>6900</v>
      </c>
      <c r="I2131">
        <f>FlipkartTable[[#This Row],[Original Price]]-FlipkartTable[[#This Row],[Selling Price]]</f>
        <v>0</v>
      </c>
      <c r="J2131" s="4">
        <f>(FlipkartTable[[#This Row],[Original Price]]-FlipkartTable[[#This Row],[Selling Price]])/FlipkartTable[[#This Row],[Original Price]]</f>
        <v>0</v>
      </c>
      <c r="K2131">
        <f>(FlipkartTable[[#This Row],[Rating]]/FlipkartTable[[#This Row],[Selling Price]])*1000</f>
        <v>0.60869565217391308</v>
      </c>
      <c r="L2131" t="str">
        <f>IF(FlipkartTable[[#This Row],[Selling Price]]&lt;15000,"Budget",IF(FlipkartTable[[#This Row],[Selling Price]]&lt;50000,"Mid Range","Premium"))</f>
        <v>Budget</v>
      </c>
      <c r="M2131" t="str">
        <f>IF(FlipkartTable[[#This Row],[Rating]]&gt;4.5,"Excellent",IF(FlipkartTable[[#This Row],[Rating]]&gt;4,"Good",IF(FlipkartTable[[#This Row],[Rating]]&gt;3.5,"Average","Poor")))</f>
        <v>Good</v>
      </c>
    </row>
    <row r="2132" spans="1:13" x14ac:dyDescent="0.35">
      <c r="A2132" t="s">
        <v>1036</v>
      </c>
      <c r="B2132" s="9" t="s">
        <v>1063</v>
      </c>
      <c r="C2132" t="s">
        <v>1064</v>
      </c>
      <c r="D2132" t="s">
        <v>11</v>
      </c>
      <c r="E2132" t="s">
        <v>12</v>
      </c>
      <c r="F2132">
        <v>4.2</v>
      </c>
      <c r="G2132">
        <v>20000</v>
      </c>
      <c r="H2132">
        <v>20000</v>
      </c>
      <c r="I2132">
        <f>FlipkartTable[[#This Row],[Original Price]]-FlipkartTable[[#This Row],[Selling Price]]</f>
        <v>0</v>
      </c>
      <c r="J2132" s="4">
        <f>(FlipkartTable[[#This Row],[Original Price]]-FlipkartTable[[#This Row],[Selling Price]])/FlipkartTable[[#This Row],[Original Price]]</f>
        <v>0</v>
      </c>
      <c r="K2132">
        <f>(FlipkartTable[[#This Row],[Rating]]/FlipkartTable[[#This Row],[Selling Price]])*1000</f>
        <v>0.21000000000000002</v>
      </c>
      <c r="L2132" t="str">
        <f>IF(FlipkartTable[[#This Row],[Selling Price]]&lt;15000,"Budget",IF(FlipkartTable[[#This Row],[Selling Price]]&lt;50000,"Mid Range","Premium"))</f>
        <v>Mid Range</v>
      </c>
      <c r="M2132" t="str">
        <f>IF(FlipkartTable[[#This Row],[Rating]]&gt;4.5,"Excellent",IF(FlipkartTable[[#This Row],[Rating]]&gt;4,"Good",IF(FlipkartTable[[#This Row],[Rating]]&gt;3.5,"Average","Poor")))</f>
        <v>Good</v>
      </c>
    </row>
    <row r="2133" spans="1:13" x14ac:dyDescent="0.35">
      <c r="A2133" t="s">
        <v>1036</v>
      </c>
      <c r="B2133" s="9" t="s">
        <v>1065</v>
      </c>
      <c r="C2133" t="s">
        <v>116</v>
      </c>
      <c r="D2133" t="s">
        <v>11</v>
      </c>
      <c r="E2133" t="s">
        <v>12</v>
      </c>
      <c r="F2133">
        <v>3.9</v>
      </c>
      <c r="G2133">
        <v>12999</v>
      </c>
      <c r="H2133">
        <v>12999</v>
      </c>
      <c r="I2133">
        <f>FlipkartTable[[#This Row],[Original Price]]-FlipkartTable[[#This Row],[Selling Price]]</f>
        <v>0</v>
      </c>
      <c r="J2133" s="4">
        <f>(FlipkartTable[[#This Row],[Original Price]]-FlipkartTable[[#This Row],[Selling Price]])/FlipkartTable[[#This Row],[Original Price]]</f>
        <v>0</v>
      </c>
      <c r="K2133">
        <f>(FlipkartTable[[#This Row],[Rating]]/FlipkartTable[[#This Row],[Selling Price]])*1000</f>
        <v>0.30002307869836142</v>
      </c>
      <c r="L2133" t="str">
        <f>IF(FlipkartTable[[#This Row],[Selling Price]]&lt;15000,"Budget",IF(FlipkartTable[[#This Row],[Selling Price]]&lt;50000,"Mid Range","Premium"))</f>
        <v>Budget</v>
      </c>
      <c r="M2133" t="str">
        <f>IF(FlipkartTable[[#This Row],[Rating]]&gt;4.5,"Excellent",IF(FlipkartTable[[#This Row],[Rating]]&gt;4,"Good",IF(FlipkartTable[[#This Row],[Rating]]&gt;3.5,"Average","Poor")))</f>
        <v>Average</v>
      </c>
    </row>
    <row r="2134" spans="1:13" x14ac:dyDescent="0.35">
      <c r="A2134" t="s">
        <v>1036</v>
      </c>
      <c r="B2134" s="9" t="s">
        <v>1066</v>
      </c>
      <c r="C2134" t="s">
        <v>1067</v>
      </c>
      <c r="D2134" t="s">
        <v>11</v>
      </c>
      <c r="E2134" t="s">
        <v>15</v>
      </c>
      <c r="F2134">
        <v>4.2</v>
      </c>
      <c r="G2134">
        <v>14999</v>
      </c>
      <c r="H2134">
        <v>22999</v>
      </c>
      <c r="I2134">
        <f>FlipkartTable[[#This Row],[Original Price]]-FlipkartTable[[#This Row],[Selling Price]]</f>
        <v>8000</v>
      </c>
      <c r="J2134" s="4">
        <f>(FlipkartTable[[#This Row],[Original Price]]-FlipkartTable[[#This Row],[Selling Price]])/FlipkartTable[[#This Row],[Original Price]]</f>
        <v>0.34784121048741251</v>
      </c>
      <c r="K2134">
        <f>(FlipkartTable[[#This Row],[Rating]]/FlipkartTable[[#This Row],[Selling Price]])*1000</f>
        <v>0.28001866791119412</v>
      </c>
      <c r="L2134" t="str">
        <f>IF(FlipkartTable[[#This Row],[Selling Price]]&lt;15000,"Budget",IF(FlipkartTable[[#This Row],[Selling Price]]&lt;50000,"Mid Range","Premium"))</f>
        <v>Budget</v>
      </c>
      <c r="M2134" t="str">
        <f>IF(FlipkartTable[[#This Row],[Rating]]&gt;4.5,"Excellent",IF(FlipkartTable[[#This Row],[Rating]]&gt;4,"Good",IF(FlipkartTable[[#This Row],[Rating]]&gt;3.5,"Average","Poor")))</f>
        <v>Good</v>
      </c>
    </row>
    <row r="2135" spans="1:13" x14ac:dyDescent="0.35">
      <c r="A2135" t="s">
        <v>1036</v>
      </c>
      <c r="B2135" s="9" t="s">
        <v>1068</v>
      </c>
      <c r="C2135" t="s">
        <v>1069</v>
      </c>
      <c r="D2135" t="s">
        <v>11</v>
      </c>
      <c r="E2135" t="s">
        <v>12</v>
      </c>
      <c r="F2135">
        <v>4.0999999999999996</v>
      </c>
      <c r="G2135">
        <v>10999</v>
      </c>
      <c r="H2135">
        <v>14999</v>
      </c>
      <c r="I2135">
        <f>FlipkartTable[[#This Row],[Original Price]]-FlipkartTable[[#This Row],[Selling Price]]</f>
        <v>4000</v>
      </c>
      <c r="J2135" s="4">
        <f>(FlipkartTable[[#This Row],[Original Price]]-FlipkartTable[[#This Row],[Selling Price]])/FlipkartTable[[#This Row],[Original Price]]</f>
        <v>0.26668444562970867</v>
      </c>
      <c r="K2135">
        <f>(FlipkartTable[[#This Row],[Rating]]/FlipkartTable[[#This Row],[Selling Price]])*1000</f>
        <v>0.37276116010546406</v>
      </c>
      <c r="L2135" t="str">
        <f>IF(FlipkartTable[[#This Row],[Selling Price]]&lt;15000,"Budget",IF(FlipkartTable[[#This Row],[Selling Price]]&lt;50000,"Mid Range","Premium"))</f>
        <v>Budget</v>
      </c>
      <c r="M2135" t="str">
        <f>IF(FlipkartTable[[#This Row],[Rating]]&gt;4.5,"Excellent",IF(FlipkartTable[[#This Row],[Rating]]&gt;4,"Good",IF(FlipkartTable[[#This Row],[Rating]]&gt;3.5,"Average","Poor")))</f>
        <v>Good</v>
      </c>
    </row>
    <row r="2136" spans="1:13" x14ac:dyDescent="0.35">
      <c r="A2136" t="s">
        <v>1036</v>
      </c>
      <c r="B2136" s="9" t="s">
        <v>1070</v>
      </c>
      <c r="C2136" t="s">
        <v>1071</v>
      </c>
      <c r="D2136" t="s">
        <v>14</v>
      </c>
      <c r="E2136" t="s">
        <v>15</v>
      </c>
      <c r="F2136">
        <v>4.2</v>
      </c>
      <c r="G2136">
        <v>20999</v>
      </c>
      <c r="H2136">
        <v>24999</v>
      </c>
      <c r="I2136">
        <f>FlipkartTable[[#This Row],[Original Price]]-FlipkartTable[[#This Row],[Selling Price]]</f>
        <v>4000</v>
      </c>
      <c r="J2136" s="4">
        <f>(FlipkartTable[[#This Row],[Original Price]]-FlipkartTable[[#This Row],[Selling Price]])/FlipkartTable[[#This Row],[Original Price]]</f>
        <v>0.16000640025601023</v>
      </c>
      <c r="K2136">
        <f>(FlipkartTable[[#This Row],[Rating]]/FlipkartTable[[#This Row],[Selling Price]])*1000</f>
        <v>0.20000952426306015</v>
      </c>
      <c r="L2136" t="str">
        <f>IF(FlipkartTable[[#This Row],[Selling Price]]&lt;15000,"Budget",IF(FlipkartTable[[#This Row],[Selling Price]]&lt;50000,"Mid Range","Premium"))</f>
        <v>Mid Range</v>
      </c>
      <c r="M2136" t="str">
        <f>IF(FlipkartTable[[#This Row],[Rating]]&gt;4.5,"Excellent",IF(FlipkartTable[[#This Row],[Rating]]&gt;4,"Good",IF(FlipkartTable[[#This Row],[Rating]]&gt;3.5,"Average","Poor")))</f>
        <v>Good</v>
      </c>
    </row>
    <row r="2137" spans="1:13" x14ac:dyDescent="0.35">
      <c r="A2137" t="s">
        <v>1036</v>
      </c>
      <c r="B2137" s="9" t="s">
        <v>1072</v>
      </c>
      <c r="C2137" t="s">
        <v>1073</v>
      </c>
      <c r="D2137" t="s">
        <v>11</v>
      </c>
      <c r="E2137" t="s">
        <v>12</v>
      </c>
      <c r="F2137">
        <v>4.0999999999999996</v>
      </c>
      <c r="G2137">
        <v>11999</v>
      </c>
      <c r="H2137">
        <v>15999</v>
      </c>
      <c r="I2137">
        <f>FlipkartTable[[#This Row],[Original Price]]-FlipkartTable[[#This Row],[Selling Price]]</f>
        <v>4000</v>
      </c>
      <c r="J2137" s="4">
        <f>(FlipkartTable[[#This Row],[Original Price]]-FlipkartTable[[#This Row],[Selling Price]])/FlipkartTable[[#This Row],[Original Price]]</f>
        <v>0.25001562597662352</v>
      </c>
      <c r="K2137">
        <f>(FlipkartTable[[#This Row],[Rating]]/FlipkartTable[[#This Row],[Selling Price]])*1000</f>
        <v>0.34169514126177181</v>
      </c>
      <c r="L2137" t="str">
        <f>IF(FlipkartTable[[#This Row],[Selling Price]]&lt;15000,"Budget",IF(FlipkartTable[[#This Row],[Selling Price]]&lt;50000,"Mid Range","Premium"))</f>
        <v>Budget</v>
      </c>
      <c r="M2137" t="str">
        <f>IF(FlipkartTable[[#This Row],[Rating]]&gt;4.5,"Excellent",IF(FlipkartTable[[#This Row],[Rating]]&gt;4,"Good",IF(FlipkartTable[[#This Row],[Rating]]&gt;3.5,"Average","Poor")))</f>
        <v>Good</v>
      </c>
    </row>
    <row r="2138" spans="1:13" x14ac:dyDescent="0.35">
      <c r="A2138" t="s">
        <v>1036</v>
      </c>
      <c r="B2138" s="9" t="s">
        <v>1037</v>
      </c>
      <c r="C2138" t="s">
        <v>1038</v>
      </c>
      <c r="D2138" t="s">
        <v>35</v>
      </c>
      <c r="E2138" t="s">
        <v>21</v>
      </c>
      <c r="F2138">
        <v>4.0999999999999996</v>
      </c>
      <c r="G2138">
        <v>6999</v>
      </c>
      <c r="H2138">
        <v>9999</v>
      </c>
      <c r="I2138">
        <f>FlipkartTable[[#This Row],[Original Price]]-FlipkartTable[[#This Row],[Selling Price]]</f>
        <v>3000</v>
      </c>
      <c r="J2138" s="4">
        <f>(FlipkartTable[[#This Row],[Original Price]]-FlipkartTable[[#This Row],[Selling Price]])/FlipkartTable[[#This Row],[Original Price]]</f>
        <v>0.30003000300030003</v>
      </c>
      <c r="K2138">
        <f>(FlipkartTable[[#This Row],[Rating]]/FlipkartTable[[#This Row],[Selling Price]])*1000</f>
        <v>0.58579797113873411</v>
      </c>
      <c r="L2138" t="str">
        <f>IF(FlipkartTable[[#This Row],[Selling Price]]&lt;15000,"Budget",IF(FlipkartTable[[#This Row],[Selling Price]]&lt;50000,"Mid Range","Premium"))</f>
        <v>Budget</v>
      </c>
      <c r="M2138" t="str">
        <f>IF(FlipkartTable[[#This Row],[Rating]]&gt;4.5,"Excellent",IF(FlipkartTable[[#This Row],[Rating]]&gt;4,"Good",IF(FlipkartTable[[#This Row],[Rating]]&gt;3.5,"Average","Poor")))</f>
        <v>Good</v>
      </c>
    </row>
    <row r="2139" spans="1:13" x14ac:dyDescent="0.35">
      <c r="A2139" t="s">
        <v>1036</v>
      </c>
      <c r="B2139" s="9" t="s">
        <v>1074</v>
      </c>
      <c r="C2139" t="s">
        <v>152</v>
      </c>
      <c r="D2139" t="s">
        <v>134</v>
      </c>
      <c r="E2139" t="s">
        <v>124</v>
      </c>
      <c r="F2139">
        <v>4.2</v>
      </c>
      <c r="G2139">
        <v>8999</v>
      </c>
      <c r="H2139">
        <v>8999</v>
      </c>
      <c r="I2139">
        <f>FlipkartTable[[#This Row],[Original Price]]-FlipkartTable[[#This Row],[Selling Price]]</f>
        <v>0</v>
      </c>
      <c r="J2139" s="4">
        <f>(FlipkartTable[[#This Row],[Original Price]]-FlipkartTable[[#This Row],[Selling Price]])/FlipkartTable[[#This Row],[Original Price]]</f>
        <v>0</v>
      </c>
      <c r="K2139">
        <f>(FlipkartTable[[#This Row],[Rating]]/FlipkartTable[[#This Row],[Selling Price]])*1000</f>
        <v>0.46671852428047561</v>
      </c>
      <c r="L2139" t="str">
        <f>IF(FlipkartTable[[#This Row],[Selling Price]]&lt;15000,"Budget",IF(FlipkartTable[[#This Row],[Selling Price]]&lt;50000,"Mid Range","Premium"))</f>
        <v>Budget</v>
      </c>
      <c r="M2139" t="str">
        <f>IF(FlipkartTable[[#This Row],[Rating]]&gt;4.5,"Excellent",IF(FlipkartTable[[#This Row],[Rating]]&gt;4,"Good",IF(FlipkartTable[[#This Row],[Rating]]&gt;3.5,"Average","Poor")))</f>
        <v>Good</v>
      </c>
    </row>
    <row r="2140" spans="1:13" x14ac:dyDescent="0.35">
      <c r="A2140" t="s">
        <v>1036</v>
      </c>
      <c r="B2140" s="9" t="s">
        <v>1068</v>
      </c>
      <c r="C2140" t="s">
        <v>1075</v>
      </c>
      <c r="D2140" t="s">
        <v>11</v>
      </c>
      <c r="E2140" t="s">
        <v>12</v>
      </c>
      <c r="F2140">
        <v>4.0999999999999996</v>
      </c>
      <c r="G2140">
        <v>10999</v>
      </c>
      <c r="H2140">
        <v>14999</v>
      </c>
      <c r="I2140">
        <f>FlipkartTable[[#This Row],[Original Price]]-FlipkartTable[[#This Row],[Selling Price]]</f>
        <v>4000</v>
      </c>
      <c r="J2140" s="4">
        <f>(FlipkartTable[[#This Row],[Original Price]]-FlipkartTable[[#This Row],[Selling Price]])/FlipkartTable[[#This Row],[Original Price]]</f>
        <v>0.26668444562970867</v>
      </c>
      <c r="K2140">
        <f>(FlipkartTable[[#This Row],[Rating]]/FlipkartTable[[#This Row],[Selling Price]])*1000</f>
        <v>0.37276116010546406</v>
      </c>
      <c r="L2140" t="str">
        <f>IF(FlipkartTable[[#This Row],[Selling Price]]&lt;15000,"Budget",IF(FlipkartTable[[#This Row],[Selling Price]]&lt;50000,"Mid Range","Premium"))</f>
        <v>Budget</v>
      </c>
      <c r="M2140" t="str">
        <f>IF(FlipkartTable[[#This Row],[Rating]]&gt;4.5,"Excellent",IF(FlipkartTable[[#This Row],[Rating]]&gt;4,"Good",IF(FlipkartTable[[#This Row],[Rating]]&gt;3.5,"Average","Poor")))</f>
        <v>Good</v>
      </c>
    </row>
    <row r="2141" spans="1:13" x14ac:dyDescent="0.35">
      <c r="A2141" t="s">
        <v>1036</v>
      </c>
      <c r="B2141" s="9" t="s">
        <v>1076</v>
      </c>
      <c r="C2141" t="s">
        <v>1077</v>
      </c>
      <c r="D2141" t="s">
        <v>14</v>
      </c>
      <c r="E2141" t="s">
        <v>15</v>
      </c>
      <c r="F2141">
        <v>4.4000000000000004</v>
      </c>
      <c r="G2141">
        <v>17499</v>
      </c>
      <c r="H2141">
        <v>19999</v>
      </c>
      <c r="I2141">
        <f>FlipkartTable[[#This Row],[Original Price]]-FlipkartTable[[#This Row],[Selling Price]]</f>
        <v>2500</v>
      </c>
      <c r="J2141" s="4">
        <f>(FlipkartTable[[#This Row],[Original Price]]-FlipkartTable[[#This Row],[Selling Price]])/FlipkartTable[[#This Row],[Original Price]]</f>
        <v>0.12500625031251564</v>
      </c>
      <c r="K2141">
        <f>(FlipkartTable[[#This Row],[Rating]]/FlipkartTable[[#This Row],[Selling Price]])*1000</f>
        <v>0.2514429395965484</v>
      </c>
      <c r="L2141" t="str">
        <f>IF(FlipkartTable[[#This Row],[Selling Price]]&lt;15000,"Budget",IF(FlipkartTable[[#This Row],[Selling Price]]&lt;50000,"Mid Range","Premium"))</f>
        <v>Mid Range</v>
      </c>
      <c r="M2141" t="str">
        <f>IF(FlipkartTable[[#This Row],[Rating]]&gt;4.5,"Excellent",IF(FlipkartTable[[#This Row],[Rating]]&gt;4,"Good",IF(FlipkartTable[[#This Row],[Rating]]&gt;3.5,"Average","Poor")))</f>
        <v>Good</v>
      </c>
    </row>
    <row r="2142" spans="1:13" x14ac:dyDescent="0.35">
      <c r="A2142" t="s">
        <v>1036</v>
      </c>
      <c r="B2142" s="9" t="s">
        <v>1058</v>
      </c>
      <c r="C2142" t="s">
        <v>978</v>
      </c>
      <c r="D2142" t="s">
        <v>35</v>
      </c>
      <c r="E2142" t="s">
        <v>124</v>
      </c>
      <c r="F2142">
        <v>4.3</v>
      </c>
      <c r="G2142">
        <v>10999</v>
      </c>
      <c r="H2142">
        <v>10999</v>
      </c>
      <c r="I2142">
        <f>FlipkartTable[[#This Row],[Original Price]]-FlipkartTable[[#This Row],[Selling Price]]</f>
        <v>0</v>
      </c>
      <c r="J2142" s="4">
        <f>(FlipkartTable[[#This Row],[Original Price]]-FlipkartTable[[#This Row],[Selling Price]])/FlipkartTable[[#This Row],[Original Price]]</f>
        <v>0</v>
      </c>
      <c r="K2142">
        <f>(FlipkartTable[[#This Row],[Rating]]/FlipkartTable[[#This Row],[Selling Price]])*1000</f>
        <v>0.39094463133012086</v>
      </c>
      <c r="L2142" t="str">
        <f>IF(FlipkartTable[[#This Row],[Selling Price]]&lt;15000,"Budget",IF(FlipkartTable[[#This Row],[Selling Price]]&lt;50000,"Mid Range","Premium"))</f>
        <v>Budget</v>
      </c>
      <c r="M2142" t="str">
        <f>IF(FlipkartTable[[#This Row],[Rating]]&gt;4.5,"Excellent",IF(FlipkartTable[[#This Row],[Rating]]&gt;4,"Good",IF(FlipkartTable[[#This Row],[Rating]]&gt;3.5,"Average","Poor")))</f>
        <v>Good</v>
      </c>
    </row>
    <row r="2143" spans="1:13" x14ac:dyDescent="0.35">
      <c r="A2143" t="s">
        <v>1036</v>
      </c>
      <c r="B2143" s="9" t="s">
        <v>1078</v>
      </c>
      <c r="C2143" t="s">
        <v>1079</v>
      </c>
      <c r="D2143" t="s">
        <v>11</v>
      </c>
      <c r="E2143" t="s">
        <v>12</v>
      </c>
      <c r="F2143">
        <v>4.2</v>
      </c>
      <c r="G2143">
        <v>10999</v>
      </c>
      <c r="H2143">
        <v>14999</v>
      </c>
      <c r="I2143">
        <f>FlipkartTable[[#This Row],[Original Price]]-FlipkartTable[[#This Row],[Selling Price]]</f>
        <v>4000</v>
      </c>
      <c r="J2143" s="4">
        <f>(FlipkartTable[[#This Row],[Original Price]]-FlipkartTable[[#This Row],[Selling Price]])/FlipkartTable[[#This Row],[Original Price]]</f>
        <v>0.26668444562970867</v>
      </c>
      <c r="K2143">
        <f>(FlipkartTable[[#This Row],[Rating]]/FlipkartTable[[#This Row],[Selling Price]])*1000</f>
        <v>0.38185289571779252</v>
      </c>
      <c r="L2143" t="str">
        <f>IF(FlipkartTable[[#This Row],[Selling Price]]&lt;15000,"Budget",IF(FlipkartTable[[#This Row],[Selling Price]]&lt;50000,"Mid Range","Premium"))</f>
        <v>Budget</v>
      </c>
      <c r="M2143" t="str">
        <f>IF(FlipkartTable[[#This Row],[Rating]]&gt;4.5,"Excellent",IF(FlipkartTable[[#This Row],[Rating]]&gt;4,"Good",IF(FlipkartTable[[#This Row],[Rating]]&gt;3.5,"Average","Poor")))</f>
        <v>Good</v>
      </c>
    </row>
    <row r="2144" spans="1:13" x14ac:dyDescent="0.35">
      <c r="A2144" t="s">
        <v>1036</v>
      </c>
      <c r="B2144" s="9" t="s">
        <v>1080</v>
      </c>
      <c r="C2144" t="s">
        <v>1081</v>
      </c>
      <c r="D2144" t="s">
        <v>11</v>
      </c>
      <c r="E2144" t="s">
        <v>12</v>
      </c>
      <c r="F2144">
        <v>4.2</v>
      </c>
      <c r="G2144">
        <v>8999</v>
      </c>
      <c r="H2144">
        <v>12999</v>
      </c>
      <c r="I2144">
        <f>FlipkartTable[[#This Row],[Original Price]]-FlipkartTable[[#This Row],[Selling Price]]</f>
        <v>4000</v>
      </c>
      <c r="J2144" s="4">
        <f>(FlipkartTable[[#This Row],[Original Price]]-FlipkartTable[[#This Row],[Selling Price]])/FlipkartTable[[#This Row],[Original Price]]</f>
        <v>0.30771597815216556</v>
      </c>
      <c r="K2144">
        <f>(FlipkartTable[[#This Row],[Rating]]/FlipkartTable[[#This Row],[Selling Price]])*1000</f>
        <v>0.46671852428047561</v>
      </c>
      <c r="L2144" t="str">
        <f>IF(FlipkartTable[[#This Row],[Selling Price]]&lt;15000,"Budget",IF(FlipkartTable[[#This Row],[Selling Price]]&lt;50000,"Mid Range","Premium"))</f>
        <v>Budget</v>
      </c>
      <c r="M2144" t="str">
        <f>IF(FlipkartTable[[#This Row],[Rating]]&gt;4.5,"Excellent",IF(FlipkartTable[[#This Row],[Rating]]&gt;4,"Good",IF(FlipkartTable[[#This Row],[Rating]]&gt;3.5,"Average","Poor")))</f>
        <v>Good</v>
      </c>
    </row>
    <row r="2145" spans="1:13" x14ac:dyDescent="0.35">
      <c r="A2145" t="s">
        <v>1036</v>
      </c>
      <c r="B2145" s="9" t="s">
        <v>1076</v>
      </c>
      <c r="C2145" t="s">
        <v>144</v>
      </c>
      <c r="D2145" t="s">
        <v>14</v>
      </c>
      <c r="E2145" t="s">
        <v>15</v>
      </c>
      <c r="F2145">
        <v>4.4000000000000004</v>
      </c>
      <c r="G2145">
        <v>17499</v>
      </c>
      <c r="H2145">
        <v>19999</v>
      </c>
      <c r="I2145">
        <f>FlipkartTable[[#This Row],[Original Price]]-FlipkartTable[[#This Row],[Selling Price]]</f>
        <v>2500</v>
      </c>
      <c r="J2145" s="4">
        <f>(FlipkartTable[[#This Row],[Original Price]]-FlipkartTable[[#This Row],[Selling Price]])/FlipkartTable[[#This Row],[Original Price]]</f>
        <v>0.12500625031251564</v>
      </c>
      <c r="K2145">
        <f>(FlipkartTable[[#This Row],[Rating]]/FlipkartTable[[#This Row],[Selling Price]])*1000</f>
        <v>0.2514429395965484</v>
      </c>
      <c r="L2145" t="str">
        <f>IF(FlipkartTable[[#This Row],[Selling Price]]&lt;15000,"Budget",IF(FlipkartTable[[#This Row],[Selling Price]]&lt;50000,"Mid Range","Premium"))</f>
        <v>Mid Range</v>
      </c>
      <c r="M2145" t="str">
        <f>IF(FlipkartTable[[#This Row],[Rating]]&gt;4.5,"Excellent",IF(FlipkartTable[[#This Row],[Rating]]&gt;4,"Good",IF(FlipkartTable[[#This Row],[Rating]]&gt;3.5,"Average","Poor")))</f>
        <v>Good</v>
      </c>
    </row>
    <row r="2146" spans="1:13" x14ac:dyDescent="0.35">
      <c r="A2146" t="s">
        <v>1036</v>
      </c>
      <c r="B2146" s="9" t="s">
        <v>1070</v>
      </c>
      <c r="C2146" t="s">
        <v>1082</v>
      </c>
      <c r="D2146" t="s">
        <v>14</v>
      </c>
      <c r="E2146" t="s">
        <v>15</v>
      </c>
      <c r="F2146">
        <v>4.2</v>
      </c>
      <c r="G2146">
        <v>20999</v>
      </c>
      <c r="H2146">
        <v>24999</v>
      </c>
      <c r="I2146">
        <f>FlipkartTable[[#This Row],[Original Price]]-FlipkartTable[[#This Row],[Selling Price]]</f>
        <v>4000</v>
      </c>
      <c r="J2146" s="4">
        <f>(FlipkartTable[[#This Row],[Original Price]]-FlipkartTable[[#This Row],[Selling Price]])/FlipkartTable[[#This Row],[Original Price]]</f>
        <v>0.16000640025601023</v>
      </c>
      <c r="K2146">
        <f>(FlipkartTable[[#This Row],[Rating]]/FlipkartTable[[#This Row],[Selling Price]])*1000</f>
        <v>0.20000952426306015</v>
      </c>
      <c r="L2146" t="str">
        <f>IF(FlipkartTable[[#This Row],[Selling Price]]&lt;15000,"Budget",IF(FlipkartTable[[#This Row],[Selling Price]]&lt;50000,"Mid Range","Premium"))</f>
        <v>Mid Range</v>
      </c>
      <c r="M2146" t="str">
        <f>IF(FlipkartTable[[#This Row],[Rating]]&gt;4.5,"Excellent",IF(FlipkartTable[[#This Row],[Rating]]&gt;4,"Good",IF(FlipkartTable[[#This Row],[Rating]]&gt;3.5,"Average","Poor")))</f>
        <v>Good</v>
      </c>
    </row>
    <row r="2147" spans="1:13" x14ac:dyDescent="0.35">
      <c r="A2147" t="s">
        <v>1036</v>
      </c>
      <c r="B2147" s="9" t="s">
        <v>1083</v>
      </c>
      <c r="C2147" t="s">
        <v>665</v>
      </c>
      <c r="D2147" t="s">
        <v>11</v>
      </c>
      <c r="E2147" t="s">
        <v>15</v>
      </c>
      <c r="F2147">
        <v>4.2</v>
      </c>
      <c r="G2147">
        <v>10999</v>
      </c>
      <c r="H2147">
        <v>16999</v>
      </c>
      <c r="I2147">
        <f>FlipkartTable[[#This Row],[Original Price]]-FlipkartTable[[#This Row],[Selling Price]]</f>
        <v>6000</v>
      </c>
      <c r="J2147" s="4">
        <f>(FlipkartTable[[#This Row],[Original Price]]-FlipkartTable[[#This Row],[Selling Price]])/FlipkartTable[[#This Row],[Original Price]]</f>
        <v>0.35296193893758454</v>
      </c>
      <c r="K2147">
        <f>(FlipkartTable[[#This Row],[Rating]]/FlipkartTable[[#This Row],[Selling Price]])*1000</f>
        <v>0.38185289571779252</v>
      </c>
      <c r="L2147" t="str">
        <f>IF(FlipkartTable[[#This Row],[Selling Price]]&lt;15000,"Budget",IF(FlipkartTable[[#This Row],[Selling Price]]&lt;50000,"Mid Range","Premium"))</f>
        <v>Budget</v>
      </c>
      <c r="M2147" t="str">
        <f>IF(FlipkartTable[[#This Row],[Rating]]&gt;4.5,"Excellent",IF(FlipkartTable[[#This Row],[Rating]]&gt;4,"Good",IF(FlipkartTable[[#This Row],[Rating]]&gt;3.5,"Average","Poor")))</f>
        <v>Good</v>
      </c>
    </row>
    <row r="2148" spans="1:13" x14ac:dyDescent="0.35">
      <c r="A2148" t="s">
        <v>1036</v>
      </c>
      <c r="B2148" s="9" t="s">
        <v>1084</v>
      </c>
      <c r="C2148" t="s">
        <v>152</v>
      </c>
      <c r="D2148" t="s">
        <v>134</v>
      </c>
      <c r="E2148" t="s">
        <v>27</v>
      </c>
      <c r="F2148">
        <v>4.0999999999999996</v>
      </c>
      <c r="G2148">
        <v>5999</v>
      </c>
      <c r="H2148">
        <v>5999</v>
      </c>
      <c r="I2148">
        <f>FlipkartTable[[#This Row],[Original Price]]-FlipkartTable[[#This Row],[Selling Price]]</f>
        <v>0</v>
      </c>
      <c r="J2148" s="4">
        <f>(FlipkartTable[[#This Row],[Original Price]]-FlipkartTable[[#This Row],[Selling Price]])/FlipkartTable[[#This Row],[Original Price]]</f>
        <v>0</v>
      </c>
      <c r="K2148">
        <f>(FlipkartTable[[#This Row],[Rating]]/FlipkartTable[[#This Row],[Selling Price]])*1000</f>
        <v>0.68344724120686773</v>
      </c>
      <c r="L2148" t="str">
        <f>IF(FlipkartTable[[#This Row],[Selling Price]]&lt;15000,"Budget",IF(FlipkartTable[[#This Row],[Selling Price]]&lt;50000,"Mid Range","Premium"))</f>
        <v>Budget</v>
      </c>
      <c r="M2148" t="str">
        <f>IF(FlipkartTable[[#This Row],[Rating]]&gt;4.5,"Excellent",IF(FlipkartTable[[#This Row],[Rating]]&gt;4,"Good",IF(FlipkartTable[[#This Row],[Rating]]&gt;3.5,"Average","Poor")))</f>
        <v>Good</v>
      </c>
    </row>
    <row r="2149" spans="1:13" x14ac:dyDescent="0.35">
      <c r="A2149" t="s">
        <v>1036</v>
      </c>
      <c r="B2149" s="9" t="s">
        <v>1053</v>
      </c>
      <c r="C2149" t="s">
        <v>705</v>
      </c>
      <c r="D2149" t="s">
        <v>11</v>
      </c>
      <c r="E2149" t="s">
        <v>12</v>
      </c>
      <c r="F2149">
        <v>4.3</v>
      </c>
      <c r="G2149">
        <v>9999</v>
      </c>
      <c r="H2149">
        <v>9999</v>
      </c>
      <c r="I2149">
        <f>FlipkartTable[[#This Row],[Original Price]]-FlipkartTable[[#This Row],[Selling Price]]</f>
        <v>0</v>
      </c>
      <c r="J2149" s="4">
        <f>(FlipkartTable[[#This Row],[Original Price]]-FlipkartTable[[#This Row],[Selling Price]])/FlipkartTable[[#This Row],[Original Price]]</f>
        <v>0</v>
      </c>
      <c r="K2149">
        <f>(FlipkartTable[[#This Row],[Rating]]/FlipkartTable[[#This Row],[Selling Price]])*1000</f>
        <v>0.43004300430043002</v>
      </c>
      <c r="L2149" t="str">
        <f>IF(FlipkartTable[[#This Row],[Selling Price]]&lt;15000,"Budget",IF(FlipkartTable[[#This Row],[Selling Price]]&lt;50000,"Mid Range","Premium"))</f>
        <v>Budget</v>
      </c>
      <c r="M2149" t="str">
        <f>IF(FlipkartTable[[#This Row],[Rating]]&gt;4.5,"Excellent",IF(FlipkartTable[[#This Row],[Rating]]&gt;4,"Good",IF(FlipkartTable[[#This Row],[Rating]]&gt;3.5,"Average","Poor")))</f>
        <v>Good</v>
      </c>
    </row>
    <row r="2150" spans="1:13" x14ac:dyDescent="0.35">
      <c r="A2150" t="s">
        <v>1036</v>
      </c>
      <c r="B2150" s="9" t="s">
        <v>1085</v>
      </c>
      <c r="C2150" t="s">
        <v>1057</v>
      </c>
      <c r="D2150" t="s">
        <v>11</v>
      </c>
      <c r="E2150" t="s">
        <v>12</v>
      </c>
      <c r="F2150">
        <v>4.0999999999999996</v>
      </c>
      <c r="G2150">
        <v>7999</v>
      </c>
      <c r="H2150">
        <v>9999</v>
      </c>
      <c r="I2150">
        <f>FlipkartTable[[#This Row],[Original Price]]-FlipkartTable[[#This Row],[Selling Price]]</f>
        <v>2000</v>
      </c>
      <c r="J2150" s="4">
        <f>(FlipkartTable[[#This Row],[Original Price]]-FlipkartTable[[#This Row],[Selling Price]])/FlipkartTable[[#This Row],[Original Price]]</f>
        <v>0.20002000200020001</v>
      </c>
      <c r="K2150">
        <f>(FlipkartTable[[#This Row],[Rating]]/FlipkartTable[[#This Row],[Selling Price]])*1000</f>
        <v>0.51256407050881359</v>
      </c>
      <c r="L2150" t="str">
        <f>IF(FlipkartTable[[#This Row],[Selling Price]]&lt;15000,"Budget",IF(FlipkartTable[[#This Row],[Selling Price]]&lt;50000,"Mid Range","Premium"))</f>
        <v>Budget</v>
      </c>
      <c r="M2150" t="str">
        <f>IF(FlipkartTable[[#This Row],[Rating]]&gt;4.5,"Excellent",IF(FlipkartTable[[#This Row],[Rating]]&gt;4,"Good",IF(FlipkartTable[[#This Row],[Rating]]&gt;3.5,"Average","Poor")))</f>
        <v>Good</v>
      </c>
    </row>
    <row r="2151" spans="1:13" x14ac:dyDescent="0.35">
      <c r="A2151" t="s">
        <v>1036</v>
      </c>
      <c r="B2151" s="9" t="s">
        <v>1086</v>
      </c>
      <c r="C2151" t="s">
        <v>405</v>
      </c>
      <c r="D2151" t="s">
        <v>134</v>
      </c>
      <c r="E2151" t="s">
        <v>124</v>
      </c>
      <c r="F2151">
        <v>3.9</v>
      </c>
      <c r="G2151">
        <v>5499</v>
      </c>
      <c r="H2151">
        <v>5499</v>
      </c>
      <c r="I2151">
        <f>FlipkartTable[[#This Row],[Original Price]]-FlipkartTable[[#This Row],[Selling Price]]</f>
        <v>0</v>
      </c>
      <c r="J2151" s="4">
        <f>(FlipkartTable[[#This Row],[Original Price]]-FlipkartTable[[#This Row],[Selling Price]])/FlipkartTable[[#This Row],[Original Price]]</f>
        <v>0</v>
      </c>
      <c r="K2151">
        <f>(FlipkartTable[[#This Row],[Rating]]/FlipkartTable[[#This Row],[Selling Price]])*1000</f>
        <v>0.70921985815602828</v>
      </c>
      <c r="L2151" t="str">
        <f>IF(FlipkartTable[[#This Row],[Selling Price]]&lt;15000,"Budget",IF(FlipkartTable[[#This Row],[Selling Price]]&lt;50000,"Mid Range","Premium"))</f>
        <v>Budget</v>
      </c>
      <c r="M2151" t="str">
        <f>IF(FlipkartTable[[#This Row],[Rating]]&gt;4.5,"Excellent",IF(FlipkartTable[[#This Row],[Rating]]&gt;4,"Good",IF(FlipkartTable[[#This Row],[Rating]]&gt;3.5,"Average","Poor")))</f>
        <v>Average</v>
      </c>
    </row>
    <row r="2152" spans="1:13" x14ac:dyDescent="0.35">
      <c r="A2152" t="s">
        <v>1036</v>
      </c>
      <c r="B2152" s="9" t="s">
        <v>1087</v>
      </c>
      <c r="C2152" t="s">
        <v>19</v>
      </c>
      <c r="D2152" t="s">
        <v>20</v>
      </c>
      <c r="E2152" t="s">
        <v>21</v>
      </c>
      <c r="F2152">
        <v>4.2</v>
      </c>
      <c r="G2152">
        <v>11999</v>
      </c>
      <c r="H2152">
        <v>11999</v>
      </c>
      <c r="I2152">
        <f>FlipkartTable[[#This Row],[Original Price]]-FlipkartTable[[#This Row],[Selling Price]]</f>
        <v>0</v>
      </c>
      <c r="J2152" s="4">
        <f>(FlipkartTable[[#This Row],[Original Price]]-FlipkartTable[[#This Row],[Selling Price]])/FlipkartTable[[#This Row],[Original Price]]</f>
        <v>0</v>
      </c>
      <c r="K2152">
        <f>(FlipkartTable[[#This Row],[Rating]]/FlipkartTable[[#This Row],[Selling Price]])*1000</f>
        <v>0.35002916909742476</v>
      </c>
      <c r="L2152" t="str">
        <f>IF(FlipkartTable[[#This Row],[Selling Price]]&lt;15000,"Budget",IF(FlipkartTable[[#This Row],[Selling Price]]&lt;50000,"Mid Range","Premium"))</f>
        <v>Budget</v>
      </c>
      <c r="M2152" t="str">
        <f>IF(FlipkartTable[[#This Row],[Rating]]&gt;4.5,"Excellent",IF(FlipkartTable[[#This Row],[Rating]]&gt;4,"Good",IF(FlipkartTable[[#This Row],[Rating]]&gt;3.5,"Average","Poor")))</f>
        <v>Good</v>
      </c>
    </row>
    <row r="2153" spans="1:13" x14ac:dyDescent="0.35">
      <c r="A2153" t="s">
        <v>1036</v>
      </c>
      <c r="B2153" s="9" t="s">
        <v>1087</v>
      </c>
      <c r="C2153" t="s">
        <v>978</v>
      </c>
      <c r="D2153" t="s">
        <v>20</v>
      </c>
      <c r="E2153" t="s">
        <v>21</v>
      </c>
      <c r="F2153">
        <v>4.2</v>
      </c>
      <c r="G2153">
        <v>11999</v>
      </c>
      <c r="H2153">
        <v>11999</v>
      </c>
      <c r="I2153">
        <f>FlipkartTable[[#This Row],[Original Price]]-FlipkartTable[[#This Row],[Selling Price]]</f>
        <v>0</v>
      </c>
      <c r="J2153" s="4">
        <f>(FlipkartTable[[#This Row],[Original Price]]-FlipkartTable[[#This Row],[Selling Price]])/FlipkartTable[[#This Row],[Original Price]]</f>
        <v>0</v>
      </c>
      <c r="K2153">
        <f>(FlipkartTable[[#This Row],[Rating]]/FlipkartTable[[#This Row],[Selling Price]])*1000</f>
        <v>0.35002916909742476</v>
      </c>
      <c r="L2153" t="str">
        <f>IF(FlipkartTable[[#This Row],[Selling Price]]&lt;15000,"Budget",IF(FlipkartTable[[#This Row],[Selling Price]]&lt;50000,"Mid Range","Premium"))</f>
        <v>Budget</v>
      </c>
      <c r="M2153" t="str">
        <f>IF(FlipkartTable[[#This Row],[Rating]]&gt;4.5,"Excellent",IF(FlipkartTable[[#This Row],[Rating]]&gt;4,"Good",IF(FlipkartTable[[#This Row],[Rating]]&gt;3.5,"Average","Poor")))</f>
        <v>Good</v>
      </c>
    </row>
    <row r="2154" spans="1:13" x14ac:dyDescent="0.35">
      <c r="A2154" t="s">
        <v>1036</v>
      </c>
      <c r="B2154" s="9" t="s">
        <v>1078</v>
      </c>
      <c r="C2154" t="s">
        <v>465</v>
      </c>
      <c r="D2154" t="s">
        <v>11</v>
      </c>
      <c r="E2154" t="s">
        <v>12</v>
      </c>
      <c r="F2154">
        <v>4.2</v>
      </c>
      <c r="G2154">
        <v>10999</v>
      </c>
      <c r="H2154">
        <v>14999</v>
      </c>
      <c r="I2154">
        <f>FlipkartTable[[#This Row],[Original Price]]-FlipkartTable[[#This Row],[Selling Price]]</f>
        <v>4000</v>
      </c>
      <c r="J2154" s="4">
        <f>(FlipkartTable[[#This Row],[Original Price]]-FlipkartTable[[#This Row],[Selling Price]])/FlipkartTable[[#This Row],[Original Price]]</f>
        <v>0.26668444562970867</v>
      </c>
      <c r="K2154">
        <f>(FlipkartTable[[#This Row],[Rating]]/FlipkartTable[[#This Row],[Selling Price]])*1000</f>
        <v>0.38185289571779252</v>
      </c>
      <c r="L2154" t="str">
        <f>IF(FlipkartTable[[#This Row],[Selling Price]]&lt;15000,"Budget",IF(FlipkartTable[[#This Row],[Selling Price]]&lt;50000,"Mid Range","Premium"))</f>
        <v>Budget</v>
      </c>
      <c r="M2154" t="str">
        <f>IF(FlipkartTable[[#This Row],[Rating]]&gt;4.5,"Excellent",IF(FlipkartTable[[#This Row],[Rating]]&gt;4,"Good",IF(FlipkartTable[[#This Row],[Rating]]&gt;3.5,"Average","Poor")))</f>
        <v>Good</v>
      </c>
    </row>
    <row r="2155" spans="1:13" x14ac:dyDescent="0.35">
      <c r="A2155" t="s">
        <v>1036</v>
      </c>
      <c r="B2155" s="9" t="s">
        <v>1088</v>
      </c>
      <c r="C2155" t="s">
        <v>1089</v>
      </c>
      <c r="D2155" t="s">
        <v>63</v>
      </c>
      <c r="E2155" t="s">
        <v>64</v>
      </c>
      <c r="F2155">
        <v>4.0999999999999996</v>
      </c>
      <c r="G2155">
        <v>64999</v>
      </c>
      <c r="H2155">
        <v>89999</v>
      </c>
      <c r="I2155">
        <f>FlipkartTable[[#This Row],[Original Price]]-FlipkartTable[[#This Row],[Selling Price]]</f>
        <v>25000</v>
      </c>
      <c r="J2155" s="4">
        <f>(FlipkartTable[[#This Row],[Original Price]]-FlipkartTable[[#This Row],[Selling Price]])/FlipkartTable[[#This Row],[Original Price]]</f>
        <v>0.2777808642318248</v>
      </c>
      <c r="K2155">
        <f>(FlipkartTable[[#This Row],[Rating]]/FlipkartTable[[#This Row],[Selling Price]])*1000</f>
        <v>6.3077893506053931E-2</v>
      </c>
      <c r="L2155" t="str">
        <f>IF(FlipkartTable[[#This Row],[Selling Price]]&lt;15000,"Budget",IF(FlipkartTable[[#This Row],[Selling Price]]&lt;50000,"Mid Range","Premium"))</f>
        <v>Premium</v>
      </c>
      <c r="M2155" t="str">
        <f>IF(FlipkartTable[[#This Row],[Rating]]&gt;4.5,"Excellent",IF(FlipkartTable[[#This Row],[Rating]]&gt;4,"Good",IF(FlipkartTable[[#This Row],[Rating]]&gt;3.5,"Average","Poor")))</f>
        <v>Good</v>
      </c>
    </row>
    <row r="2156" spans="1:13" x14ac:dyDescent="0.35">
      <c r="A2156" t="s">
        <v>1036</v>
      </c>
      <c r="B2156" s="9" t="s">
        <v>1059</v>
      </c>
      <c r="C2156" t="s">
        <v>116</v>
      </c>
      <c r="D2156" t="s">
        <v>14</v>
      </c>
      <c r="E2156" t="s">
        <v>15</v>
      </c>
      <c r="F2156">
        <v>3.8</v>
      </c>
      <c r="G2156">
        <v>74999</v>
      </c>
      <c r="H2156">
        <v>149999</v>
      </c>
      <c r="I2156">
        <f>FlipkartTable[[#This Row],[Original Price]]-FlipkartTable[[#This Row],[Selling Price]]</f>
        <v>75000</v>
      </c>
      <c r="J2156" s="4">
        <f>(FlipkartTable[[#This Row],[Original Price]]-FlipkartTable[[#This Row],[Selling Price]])/FlipkartTable[[#This Row],[Original Price]]</f>
        <v>0.50000333335555569</v>
      </c>
      <c r="K2156">
        <f>(FlipkartTable[[#This Row],[Rating]]/FlipkartTable[[#This Row],[Selling Price]])*1000</f>
        <v>5.0667342231229748E-2</v>
      </c>
      <c r="L2156" t="str">
        <f>IF(FlipkartTable[[#This Row],[Selling Price]]&lt;15000,"Budget",IF(FlipkartTable[[#This Row],[Selling Price]]&lt;50000,"Mid Range","Premium"))</f>
        <v>Premium</v>
      </c>
      <c r="M2156" t="str">
        <f>IF(FlipkartTable[[#This Row],[Rating]]&gt;4.5,"Excellent",IF(FlipkartTable[[#This Row],[Rating]]&gt;4,"Good",IF(FlipkartTable[[#This Row],[Rating]]&gt;3.5,"Average","Poor")))</f>
        <v>Average</v>
      </c>
    </row>
    <row r="2157" spans="1:13" x14ac:dyDescent="0.35">
      <c r="A2157" t="s">
        <v>1036</v>
      </c>
      <c r="B2157" s="9" t="s">
        <v>1090</v>
      </c>
      <c r="C2157" t="s">
        <v>152</v>
      </c>
      <c r="D2157" t="s">
        <v>134</v>
      </c>
      <c r="E2157" t="s">
        <v>27</v>
      </c>
      <c r="F2157">
        <v>4.2</v>
      </c>
      <c r="G2157">
        <v>11999</v>
      </c>
      <c r="H2157">
        <v>11999</v>
      </c>
      <c r="I2157">
        <f>FlipkartTable[[#This Row],[Original Price]]-FlipkartTable[[#This Row],[Selling Price]]</f>
        <v>0</v>
      </c>
      <c r="J2157" s="4">
        <f>(FlipkartTable[[#This Row],[Original Price]]-FlipkartTable[[#This Row],[Selling Price]])/FlipkartTable[[#This Row],[Original Price]]</f>
        <v>0</v>
      </c>
      <c r="K2157">
        <f>(FlipkartTable[[#This Row],[Rating]]/FlipkartTable[[#This Row],[Selling Price]])*1000</f>
        <v>0.35002916909742476</v>
      </c>
      <c r="L2157" t="str">
        <f>IF(FlipkartTable[[#This Row],[Selling Price]]&lt;15000,"Budget",IF(FlipkartTable[[#This Row],[Selling Price]]&lt;50000,"Mid Range","Premium"))</f>
        <v>Budget</v>
      </c>
      <c r="M2157" t="str">
        <f>IF(FlipkartTable[[#This Row],[Rating]]&gt;4.5,"Excellent",IF(FlipkartTable[[#This Row],[Rating]]&gt;4,"Good",IF(FlipkartTable[[#This Row],[Rating]]&gt;3.5,"Average","Poor")))</f>
        <v>Good</v>
      </c>
    </row>
    <row r="2158" spans="1:13" x14ac:dyDescent="0.35">
      <c r="A2158" t="s">
        <v>1036</v>
      </c>
      <c r="B2158" s="9" t="s">
        <v>1091</v>
      </c>
      <c r="C2158" t="s">
        <v>1092</v>
      </c>
      <c r="D2158" t="s">
        <v>11</v>
      </c>
      <c r="E2158" t="s">
        <v>12</v>
      </c>
      <c r="F2158">
        <v>4.3</v>
      </c>
      <c r="G2158">
        <v>9499</v>
      </c>
      <c r="H2158">
        <v>11999</v>
      </c>
      <c r="I2158">
        <f>FlipkartTable[[#This Row],[Original Price]]-FlipkartTable[[#This Row],[Selling Price]]</f>
        <v>2500</v>
      </c>
      <c r="J2158" s="4">
        <f>(FlipkartTable[[#This Row],[Original Price]]-FlipkartTable[[#This Row],[Selling Price]])/FlipkartTable[[#This Row],[Original Price]]</f>
        <v>0.20835069589132427</v>
      </c>
      <c r="K2158">
        <f>(FlipkartTable[[#This Row],[Rating]]/FlipkartTable[[#This Row],[Selling Price]])*1000</f>
        <v>0.45267922939256761</v>
      </c>
      <c r="L2158" t="str">
        <f>IF(FlipkartTable[[#This Row],[Selling Price]]&lt;15000,"Budget",IF(FlipkartTable[[#This Row],[Selling Price]]&lt;50000,"Mid Range","Premium"))</f>
        <v>Budget</v>
      </c>
      <c r="M2158" t="str">
        <f>IF(FlipkartTable[[#This Row],[Rating]]&gt;4.5,"Excellent",IF(FlipkartTable[[#This Row],[Rating]]&gt;4,"Good",IF(FlipkartTable[[#This Row],[Rating]]&gt;3.5,"Average","Poor")))</f>
        <v>Good</v>
      </c>
    </row>
    <row r="2159" spans="1:13" x14ac:dyDescent="0.35">
      <c r="A2159" t="s">
        <v>1036</v>
      </c>
      <c r="B2159" s="9" t="s">
        <v>1093</v>
      </c>
      <c r="C2159" t="s">
        <v>1094</v>
      </c>
      <c r="D2159" t="s">
        <v>11</v>
      </c>
      <c r="E2159" t="s">
        <v>21</v>
      </c>
      <c r="F2159">
        <v>4.0999999999999996</v>
      </c>
      <c r="G2159">
        <v>7350</v>
      </c>
      <c r="H2159">
        <v>7350</v>
      </c>
      <c r="I2159">
        <f>FlipkartTable[[#This Row],[Original Price]]-FlipkartTable[[#This Row],[Selling Price]]</f>
        <v>0</v>
      </c>
      <c r="J2159" s="4">
        <f>(FlipkartTable[[#This Row],[Original Price]]-FlipkartTable[[#This Row],[Selling Price]])/FlipkartTable[[#This Row],[Original Price]]</f>
        <v>0</v>
      </c>
      <c r="K2159">
        <f>(FlipkartTable[[#This Row],[Rating]]/FlipkartTable[[#This Row],[Selling Price]])*1000</f>
        <v>0.55782312925170063</v>
      </c>
      <c r="L2159" t="str">
        <f>IF(FlipkartTable[[#This Row],[Selling Price]]&lt;15000,"Budget",IF(FlipkartTable[[#This Row],[Selling Price]]&lt;50000,"Mid Range","Premium"))</f>
        <v>Budget</v>
      </c>
      <c r="M2159" t="str">
        <f>IF(FlipkartTable[[#This Row],[Rating]]&gt;4.5,"Excellent",IF(FlipkartTable[[#This Row],[Rating]]&gt;4,"Good",IF(FlipkartTable[[#This Row],[Rating]]&gt;3.5,"Average","Poor")))</f>
        <v>Good</v>
      </c>
    </row>
    <row r="2160" spans="1:13" x14ac:dyDescent="0.35">
      <c r="A2160" t="s">
        <v>1036</v>
      </c>
      <c r="B2160" s="9" t="s">
        <v>1095</v>
      </c>
      <c r="C2160" t="s">
        <v>19</v>
      </c>
      <c r="D2160" t="s">
        <v>35</v>
      </c>
      <c r="E2160" t="s">
        <v>124</v>
      </c>
      <c r="F2160">
        <v>4.2</v>
      </c>
      <c r="G2160">
        <v>14500</v>
      </c>
      <c r="H2160">
        <v>14500</v>
      </c>
      <c r="I2160">
        <f>FlipkartTable[[#This Row],[Original Price]]-FlipkartTable[[#This Row],[Selling Price]]</f>
        <v>0</v>
      </c>
      <c r="J2160" s="4">
        <f>(FlipkartTable[[#This Row],[Original Price]]-FlipkartTable[[#This Row],[Selling Price]])/FlipkartTable[[#This Row],[Original Price]]</f>
        <v>0</v>
      </c>
      <c r="K2160">
        <f>(FlipkartTable[[#This Row],[Rating]]/FlipkartTable[[#This Row],[Selling Price]])*1000</f>
        <v>0.28965517241379313</v>
      </c>
      <c r="L2160" t="str">
        <f>IF(FlipkartTable[[#This Row],[Selling Price]]&lt;15000,"Budget",IF(FlipkartTable[[#This Row],[Selling Price]]&lt;50000,"Mid Range","Premium"))</f>
        <v>Budget</v>
      </c>
      <c r="M2160" t="str">
        <f>IF(FlipkartTable[[#This Row],[Rating]]&gt;4.5,"Excellent",IF(FlipkartTable[[#This Row],[Rating]]&gt;4,"Good",IF(FlipkartTable[[#This Row],[Rating]]&gt;3.5,"Average","Poor")))</f>
        <v>Good</v>
      </c>
    </row>
    <row r="2161" spans="1:13" x14ac:dyDescent="0.35">
      <c r="A2161" t="s">
        <v>1036</v>
      </c>
      <c r="B2161" s="9" t="s">
        <v>1096</v>
      </c>
      <c r="C2161" t="s">
        <v>19</v>
      </c>
      <c r="D2161" t="s">
        <v>11</v>
      </c>
      <c r="E2161" t="s">
        <v>12</v>
      </c>
      <c r="F2161">
        <v>4.3</v>
      </c>
      <c r="G2161">
        <v>9999</v>
      </c>
      <c r="H2161">
        <v>18999</v>
      </c>
      <c r="I2161">
        <f>FlipkartTable[[#This Row],[Original Price]]-FlipkartTable[[#This Row],[Selling Price]]</f>
        <v>9000</v>
      </c>
      <c r="J2161" s="4">
        <f>(FlipkartTable[[#This Row],[Original Price]]-FlipkartTable[[#This Row],[Selling Price]])/FlipkartTable[[#This Row],[Original Price]]</f>
        <v>0.47370914258645191</v>
      </c>
      <c r="K2161">
        <f>(FlipkartTable[[#This Row],[Rating]]/FlipkartTable[[#This Row],[Selling Price]])*1000</f>
        <v>0.43004300430043002</v>
      </c>
      <c r="L2161" t="str">
        <f>IF(FlipkartTable[[#This Row],[Selling Price]]&lt;15000,"Budget",IF(FlipkartTable[[#This Row],[Selling Price]]&lt;50000,"Mid Range","Premium"))</f>
        <v>Budget</v>
      </c>
      <c r="M2161" t="str">
        <f>IF(FlipkartTable[[#This Row],[Rating]]&gt;4.5,"Excellent",IF(FlipkartTable[[#This Row],[Rating]]&gt;4,"Good",IF(FlipkartTable[[#This Row],[Rating]]&gt;3.5,"Average","Poor")))</f>
        <v>Good</v>
      </c>
    </row>
    <row r="2162" spans="1:13" x14ac:dyDescent="0.35">
      <c r="A2162" t="s">
        <v>1036</v>
      </c>
      <c r="B2162" s="9" t="s">
        <v>1096</v>
      </c>
      <c r="C2162" t="s">
        <v>152</v>
      </c>
      <c r="D2162" t="s">
        <v>11</v>
      </c>
      <c r="E2162" t="s">
        <v>12</v>
      </c>
      <c r="F2162">
        <v>4.3</v>
      </c>
      <c r="G2162">
        <v>9999</v>
      </c>
      <c r="H2162">
        <v>18999</v>
      </c>
      <c r="I2162">
        <f>FlipkartTable[[#This Row],[Original Price]]-FlipkartTable[[#This Row],[Selling Price]]</f>
        <v>9000</v>
      </c>
      <c r="J2162" s="4">
        <f>(FlipkartTable[[#This Row],[Original Price]]-FlipkartTable[[#This Row],[Selling Price]])/FlipkartTable[[#This Row],[Original Price]]</f>
        <v>0.47370914258645191</v>
      </c>
      <c r="K2162">
        <f>(FlipkartTable[[#This Row],[Rating]]/FlipkartTable[[#This Row],[Selling Price]])*1000</f>
        <v>0.43004300430043002</v>
      </c>
      <c r="L2162" t="str">
        <f>IF(FlipkartTable[[#This Row],[Selling Price]]&lt;15000,"Budget",IF(FlipkartTable[[#This Row],[Selling Price]]&lt;50000,"Mid Range","Premium"))</f>
        <v>Budget</v>
      </c>
      <c r="M2162" t="str">
        <f>IF(FlipkartTable[[#This Row],[Rating]]&gt;4.5,"Excellent",IF(FlipkartTable[[#This Row],[Rating]]&gt;4,"Good",IF(FlipkartTable[[#This Row],[Rating]]&gt;3.5,"Average","Poor")))</f>
        <v>Good</v>
      </c>
    </row>
    <row r="2163" spans="1:13" x14ac:dyDescent="0.35">
      <c r="A2163" t="s">
        <v>1036</v>
      </c>
      <c r="B2163" s="9" t="s">
        <v>1054</v>
      </c>
      <c r="C2163" t="s">
        <v>1097</v>
      </c>
      <c r="D2163" t="s">
        <v>14</v>
      </c>
      <c r="E2163" t="s">
        <v>12</v>
      </c>
      <c r="F2163">
        <v>4.3</v>
      </c>
      <c r="G2163">
        <v>24999</v>
      </c>
      <c r="H2163">
        <v>24999</v>
      </c>
      <c r="I2163">
        <f>FlipkartTable[[#This Row],[Original Price]]-FlipkartTable[[#This Row],[Selling Price]]</f>
        <v>0</v>
      </c>
      <c r="J2163" s="4">
        <f>(FlipkartTable[[#This Row],[Original Price]]-FlipkartTable[[#This Row],[Selling Price]])/FlipkartTable[[#This Row],[Original Price]]</f>
        <v>0</v>
      </c>
      <c r="K2163">
        <f>(FlipkartTable[[#This Row],[Rating]]/FlipkartTable[[#This Row],[Selling Price]])*1000</f>
        <v>0.17200688027521099</v>
      </c>
      <c r="L2163" t="str">
        <f>IF(FlipkartTable[[#This Row],[Selling Price]]&lt;15000,"Budget",IF(FlipkartTable[[#This Row],[Selling Price]]&lt;50000,"Mid Range","Premium"))</f>
        <v>Mid Range</v>
      </c>
      <c r="M2163" t="str">
        <f>IF(FlipkartTable[[#This Row],[Rating]]&gt;4.5,"Excellent",IF(FlipkartTable[[#This Row],[Rating]]&gt;4,"Good",IF(FlipkartTable[[#This Row],[Rating]]&gt;3.5,"Average","Poor")))</f>
        <v>Good</v>
      </c>
    </row>
    <row r="2164" spans="1:13" x14ac:dyDescent="0.35">
      <c r="A2164" t="s">
        <v>1036</v>
      </c>
      <c r="B2164" s="9" t="s">
        <v>1085</v>
      </c>
      <c r="C2164" t="s">
        <v>1098</v>
      </c>
      <c r="D2164" t="s">
        <v>11</v>
      </c>
      <c r="E2164" t="s">
        <v>12</v>
      </c>
      <c r="F2164">
        <v>4.0999999999999996</v>
      </c>
      <c r="G2164">
        <v>7999</v>
      </c>
      <c r="H2164">
        <v>9999</v>
      </c>
      <c r="I2164">
        <f>FlipkartTable[[#This Row],[Original Price]]-FlipkartTable[[#This Row],[Selling Price]]</f>
        <v>2000</v>
      </c>
      <c r="J2164" s="4">
        <f>(FlipkartTable[[#This Row],[Original Price]]-FlipkartTable[[#This Row],[Selling Price]])/FlipkartTable[[#This Row],[Original Price]]</f>
        <v>0.20002000200020001</v>
      </c>
      <c r="K2164">
        <f>(FlipkartTable[[#This Row],[Rating]]/FlipkartTable[[#This Row],[Selling Price]])*1000</f>
        <v>0.51256407050881359</v>
      </c>
      <c r="L2164" t="str">
        <f>IF(FlipkartTable[[#This Row],[Selling Price]]&lt;15000,"Budget",IF(FlipkartTable[[#This Row],[Selling Price]]&lt;50000,"Mid Range","Premium"))</f>
        <v>Budget</v>
      </c>
      <c r="M2164" t="str">
        <f>IF(FlipkartTable[[#This Row],[Rating]]&gt;4.5,"Excellent",IF(FlipkartTable[[#This Row],[Rating]]&gt;4,"Good",IF(FlipkartTable[[#This Row],[Rating]]&gt;3.5,"Average","Poor")))</f>
        <v>Good</v>
      </c>
    </row>
    <row r="2165" spans="1:13" x14ac:dyDescent="0.35">
      <c r="A2165" t="s">
        <v>1036</v>
      </c>
      <c r="B2165" s="9" t="s">
        <v>1091</v>
      </c>
      <c r="C2165" t="s">
        <v>177</v>
      </c>
      <c r="D2165" t="s">
        <v>11</v>
      </c>
      <c r="E2165" t="s">
        <v>12</v>
      </c>
      <c r="F2165">
        <v>4.3</v>
      </c>
      <c r="G2165">
        <v>9999</v>
      </c>
      <c r="H2165">
        <v>11999</v>
      </c>
      <c r="I2165">
        <f>FlipkartTable[[#This Row],[Original Price]]-FlipkartTable[[#This Row],[Selling Price]]</f>
        <v>2000</v>
      </c>
      <c r="J2165" s="4">
        <f>(FlipkartTable[[#This Row],[Original Price]]-FlipkartTable[[#This Row],[Selling Price]])/FlipkartTable[[#This Row],[Original Price]]</f>
        <v>0.16668055671305942</v>
      </c>
      <c r="K2165">
        <f>(FlipkartTable[[#This Row],[Rating]]/FlipkartTable[[#This Row],[Selling Price]])*1000</f>
        <v>0.43004300430043002</v>
      </c>
      <c r="L2165" t="str">
        <f>IF(FlipkartTable[[#This Row],[Selling Price]]&lt;15000,"Budget",IF(FlipkartTable[[#This Row],[Selling Price]]&lt;50000,"Mid Range","Premium"))</f>
        <v>Budget</v>
      </c>
      <c r="M2165" t="str">
        <f>IF(FlipkartTable[[#This Row],[Rating]]&gt;4.5,"Excellent",IF(FlipkartTable[[#This Row],[Rating]]&gt;4,"Good",IF(FlipkartTable[[#This Row],[Rating]]&gt;3.5,"Average","Poor")))</f>
        <v>Good</v>
      </c>
    </row>
    <row r="2166" spans="1:13" x14ac:dyDescent="0.35">
      <c r="A2166" t="s">
        <v>1036</v>
      </c>
      <c r="B2166" s="9" t="s">
        <v>1093</v>
      </c>
      <c r="C2166" t="s">
        <v>486</v>
      </c>
      <c r="D2166" t="s">
        <v>11</v>
      </c>
      <c r="E2166" t="s">
        <v>21</v>
      </c>
      <c r="F2166">
        <v>4.0999999999999996</v>
      </c>
      <c r="G2166">
        <v>9869</v>
      </c>
      <c r="H2166">
        <v>9869</v>
      </c>
      <c r="I2166">
        <f>FlipkartTable[[#This Row],[Original Price]]-FlipkartTable[[#This Row],[Selling Price]]</f>
        <v>0</v>
      </c>
      <c r="J2166" s="4">
        <f>(FlipkartTable[[#This Row],[Original Price]]-FlipkartTable[[#This Row],[Selling Price]])/FlipkartTable[[#This Row],[Original Price]]</f>
        <v>0</v>
      </c>
      <c r="K2166">
        <f>(FlipkartTable[[#This Row],[Rating]]/FlipkartTable[[#This Row],[Selling Price]])*1000</f>
        <v>0.41544229405208222</v>
      </c>
      <c r="L2166" t="str">
        <f>IF(FlipkartTable[[#This Row],[Selling Price]]&lt;15000,"Budget",IF(FlipkartTable[[#This Row],[Selling Price]]&lt;50000,"Mid Range","Premium"))</f>
        <v>Budget</v>
      </c>
      <c r="M2166" t="str">
        <f>IF(FlipkartTable[[#This Row],[Rating]]&gt;4.5,"Excellent",IF(FlipkartTable[[#This Row],[Rating]]&gt;4,"Good",IF(FlipkartTable[[#This Row],[Rating]]&gt;3.5,"Average","Poor")))</f>
        <v>Good</v>
      </c>
    </row>
    <row r="2167" spans="1:13" x14ac:dyDescent="0.35">
      <c r="A2167" t="s">
        <v>1036</v>
      </c>
      <c r="B2167" s="9" t="s">
        <v>1099</v>
      </c>
      <c r="C2167" t="s">
        <v>19</v>
      </c>
      <c r="D2167" t="s">
        <v>11</v>
      </c>
      <c r="E2167" t="s">
        <v>12</v>
      </c>
      <c r="F2167">
        <v>4.0999999999999996</v>
      </c>
      <c r="G2167">
        <v>14999</v>
      </c>
      <c r="H2167">
        <v>14999</v>
      </c>
      <c r="I2167">
        <f>FlipkartTable[[#This Row],[Original Price]]-FlipkartTable[[#This Row],[Selling Price]]</f>
        <v>0</v>
      </c>
      <c r="J2167" s="4">
        <f>(FlipkartTable[[#This Row],[Original Price]]-FlipkartTable[[#This Row],[Selling Price]])/FlipkartTable[[#This Row],[Original Price]]</f>
        <v>0</v>
      </c>
      <c r="K2167">
        <f>(FlipkartTable[[#This Row],[Rating]]/FlipkartTable[[#This Row],[Selling Price]])*1000</f>
        <v>0.27335155677045131</v>
      </c>
      <c r="L2167" t="str">
        <f>IF(FlipkartTable[[#This Row],[Selling Price]]&lt;15000,"Budget",IF(FlipkartTable[[#This Row],[Selling Price]]&lt;50000,"Mid Range","Premium"))</f>
        <v>Budget</v>
      </c>
      <c r="M2167" t="str">
        <f>IF(FlipkartTable[[#This Row],[Rating]]&gt;4.5,"Excellent",IF(FlipkartTable[[#This Row],[Rating]]&gt;4,"Good",IF(FlipkartTable[[#This Row],[Rating]]&gt;3.5,"Average","Poor")))</f>
        <v>Good</v>
      </c>
    </row>
    <row r="2168" spans="1:13" x14ac:dyDescent="0.35">
      <c r="A2168" t="s">
        <v>1036</v>
      </c>
      <c r="B2168" s="9" t="s">
        <v>1100</v>
      </c>
      <c r="C2168" t="s">
        <v>978</v>
      </c>
      <c r="D2168" t="s">
        <v>11</v>
      </c>
      <c r="E2168" t="s">
        <v>12</v>
      </c>
      <c r="F2168">
        <v>4.4000000000000004</v>
      </c>
      <c r="G2168">
        <v>27999</v>
      </c>
      <c r="H2168">
        <v>27999</v>
      </c>
      <c r="I2168">
        <f>FlipkartTable[[#This Row],[Original Price]]-FlipkartTable[[#This Row],[Selling Price]]</f>
        <v>0</v>
      </c>
      <c r="J2168" s="4">
        <f>(FlipkartTable[[#This Row],[Original Price]]-FlipkartTable[[#This Row],[Selling Price]])/FlipkartTable[[#This Row],[Original Price]]</f>
        <v>0</v>
      </c>
      <c r="K2168">
        <f>(FlipkartTable[[#This Row],[Rating]]/FlipkartTable[[#This Row],[Selling Price]])*1000</f>
        <v>0.15714846958819959</v>
      </c>
      <c r="L2168" t="str">
        <f>IF(FlipkartTable[[#This Row],[Selling Price]]&lt;15000,"Budget",IF(FlipkartTable[[#This Row],[Selling Price]]&lt;50000,"Mid Range","Premium"))</f>
        <v>Mid Range</v>
      </c>
      <c r="M2168" t="str">
        <f>IF(FlipkartTable[[#This Row],[Rating]]&gt;4.5,"Excellent",IF(FlipkartTable[[#This Row],[Rating]]&gt;4,"Good",IF(FlipkartTable[[#This Row],[Rating]]&gt;3.5,"Average","Poor")))</f>
        <v>Good</v>
      </c>
    </row>
    <row r="2169" spans="1:13" x14ac:dyDescent="0.35">
      <c r="A2169" t="s">
        <v>1036</v>
      </c>
      <c r="B2169" s="9" t="s">
        <v>1100</v>
      </c>
      <c r="C2169" t="s">
        <v>1094</v>
      </c>
      <c r="D2169" t="s">
        <v>11</v>
      </c>
      <c r="E2169" t="s">
        <v>12</v>
      </c>
      <c r="F2169">
        <v>4.4000000000000004</v>
      </c>
      <c r="G2169">
        <v>27999</v>
      </c>
      <c r="H2169">
        <v>27999</v>
      </c>
      <c r="I2169">
        <f>FlipkartTable[[#This Row],[Original Price]]-FlipkartTable[[#This Row],[Selling Price]]</f>
        <v>0</v>
      </c>
      <c r="J2169" s="4">
        <f>(FlipkartTable[[#This Row],[Original Price]]-FlipkartTable[[#This Row],[Selling Price]])/FlipkartTable[[#This Row],[Original Price]]</f>
        <v>0</v>
      </c>
      <c r="K2169">
        <f>(FlipkartTable[[#This Row],[Rating]]/FlipkartTable[[#This Row],[Selling Price]])*1000</f>
        <v>0.15714846958819959</v>
      </c>
      <c r="L2169" t="str">
        <f>IF(FlipkartTable[[#This Row],[Selling Price]]&lt;15000,"Budget",IF(FlipkartTable[[#This Row],[Selling Price]]&lt;50000,"Mid Range","Premium"))</f>
        <v>Mid Range</v>
      </c>
      <c r="M2169" t="str">
        <f>IF(FlipkartTable[[#This Row],[Rating]]&gt;4.5,"Excellent",IF(FlipkartTable[[#This Row],[Rating]]&gt;4,"Good",IF(FlipkartTable[[#This Row],[Rating]]&gt;3.5,"Average","Poor")))</f>
        <v>Good</v>
      </c>
    </row>
    <row r="2170" spans="1:13" x14ac:dyDescent="0.35">
      <c r="A2170" t="s">
        <v>1036</v>
      </c>
      <c r="B2170" s="9" t="s">
        <v>1101</v>
      </c>
      <c r="C2170" t="s">
        <v>19</v>
      </c>
      <c r="D2170" t="s">
        <v>11</v>
      </c>
      <c r="E2170" t="s">
        <v>12</v>
      </c>
      <c r="F2170">
        <v>4.3</v>
      </c>
      <c r="G2170">
        <v>18999</v>
      </c>
      <c r="H2170">
        <v>18999</v>
      </c>
      <c r="I2170">
        <f>FlipkartTable[[#This Row],[Original Price]]-FlipkartTable[[#This Row],[Selling Price]]</f>
        <v>0</v>
      </c>
      <c r="J2170" s="4">
        <f>(FlipkartTable[[#This Row],[Original Price]]-FlipkartTable[[#This Row],[Selling Price]])/FlipkartTable[[#This Row],[Original Price]]</f>
        <v>0</v>
      </c>
      <c r="K2170">
        <f>(FlipkartTable[[#This Row],[Rating]]/FlipkartTable[[#This Row],[Selling Price]])*1000</f>
        <v>0.22632770145797146</v>
      </c>
      <c r="L2170" t="str">
        <f>IF(FlipkartTable[[#This Row],[Selling Price]]&lt;15000,"Budget",IF(FlipkartTable[[#This Row],[Selling Price]]&lt;50000,"Mid Range","Premium"))</f>
        <v>Mid Range</v>
      </c>
      <c r="M2170" t="str">
        <f>IF(FlipkartTable[[#This Row],[Rating]]&gt;4.5,"Excellent",IF(FlipkartTable[[#This Row],[Rating]]&gt;4,"Good",IF(FlipkartTable[[#This Row],[Rating]]&gt;3.5,"Average","Poor")))</f>
        <v>Good</v>
      </c>
    </row>
    <row r="2171" spans="1:13" x14ac:dyDescent="0.35">
      <c r="A2171" t="s">
        <v>1036</v>
      </c>
      <c r="B2171" s="9" t="s">
        <v>1099</v>
      </c>
      <c r="C2171" t="s">
        <v>152</v>
      </c>
      <c r="D2171" t="s">
        <v>11</v>
      </c>
      <c r="E2171" t="s">
        <v>12</v>
      </c>
      <c r="F2171">
        <v>4.0999999999999996</v>
      </c>
      <c r="G2171">
        <v>14999</v>
      </c>
      <c r="H2171">
        <v>14999</v>
      </c>
      <c r="I2171">
        <f>FlipkartTable[[#This Row],[Original Price]]-FlipkartTable[[#This Row],[Selling Price]]</f>
        <v>0</v>
      </c>
      <c r="J2171" s="4">
        <f>(FlipkartTable[[#This Row],[Original Price]]-FlipkartTable[[#This Row],[Selling Price]])/FlipkartTable[[#This Row],[Original Price]]</f>
        <v>0</v>
      </c>
      <c r="K2171">
        <f>(FlipkartTable[[#This Row],[Rating]]/FlipkartTable[[#This Row],[Selling Price]])*1000</f>
        <v>0.27335155677045131</v>
      </c>
      <c r="L2171" t="str">
        <f>IF(FlipkartTable[[#This Row],[Selling Price]]&lt;15000,"Budget",IF(FlipkartTable[[#This Row],[Selling Price]]&lt;50000,"Mid Range","Premium"))</f>
        <v>Budget</v>
      </c>
      <c r="M2171" t="str">
        <f>IF(FlipkartTable[[#This Row],[Rating]]&gt;4.5,"Excellent",IF(FlipkartTable[[#This Row],[Rating]]&gt;4,"Good",IF(FlipkartTable[[#This Row],[Rating]]&gt;3.5,"Average","Poor")))</f>
        <v>Good</v>
      </c>
    </row>
    <row r="2172" spans="1:13" x14ac:dyDescent="0.35">
      <c r="A2172" t="s">
        <v>1036</v>
      </c>
      <c r="B2172" s="9" t="s">
        <v>1102</v>
      </c>
      <c r="C2172" t="s">
        <v>19</v>
      </c>
      <c r="D2172" t="s">
        <v>263</v>
      </c>
      <c r="E2172" t="s">
        <v>124</v>
      </c>
      <c r="F2172">
        <v>2.4</v>
      </c>
      <c r="G2172">
        <v>14939</v>
      </c>
      <c r="H2172">
        <v>14939</v>
      </c>
      <c r="I2172">
        <f>FlipkartTable[[#This Row],[Original Price]]-FlipkartTable[[#This Row],[Selling Price]]</f>
        <v>0</v>
      </c>
      <c r="J2172" s="4">
        <f>(FlipkartTable[[#This Row],[Original Price]]-FlipkartTable[[#This Row],[Selling Price]])/FlipkartTable[[#This Row],[Original Price]]</f>
        <v>0</v>
      </c>
      <c r="K2172">
        <f>(FlipkartTable[[#This Row],[Rating]]/FlipkartTable[[#This Row],[Selling Price]])*1000</f>
        <v>0.16065332351563022</v>
      </c>
      <c r="L2172" t="str">
        <f>IF(FlipkartTable[[#This Row],[Selling Price]]&lt;15000,"Budget",IF(FlipkartTable[[#This Row],[Selling Price]]&lt;50000,"Mid Range","Premium"))</f>
        <v>Budget</v>
      </c>
      <c r="M2172" t="str">
        <f>IF(FlipkartTable[[#This Row],[Rating]]&gt;4.5,"Excellent",IF(FlipkartTable[[#This Row],[Rating]]&gt;4,"Good",IF(FlipkartTable[[#This Row],[Rating]]&gt;3.5,"Average","Poor")))</f>
        <v>Poor</v>
      </c>
    </row>
    <row r="2173" spans="1:13" x14ac:dyDescent="0.35">
      <c r="A2173" t="s">
        <v>1036</v>
      </c>
      <c r="B2173" s="9" t="s">
        <v>1054</v>
      </c>
      <c r="C2173" t="s">
        <v>1097</v>
      </c>
      <c r="D2173" t="s">
        <v>11</v>
      </c>
      <c r="E2173" t="s">
        <v>12</v>
      </c>
      <c r="F2173">
        <v>4.3</v>
      </c>
      <c r="G2173">
        <v>23999</v>
      </c>
      <c r="H2173">
        <v>23999</v>
      </c>
      <c r="I2173">
        <f>FlipkartTable[[#This Row],[Original Price]]-FlipkartTable[[#This Row],[Selling Price]]</f>
        <v>0</v>
      </c>
      <c r="J2173" s="4">
        <f>(FlipkartTable[[#This Row],[Original Price]]-FlipkartTable[[#This Row],[Selling Price]])/FlipkartTable[[#This Row],[Original Price]]</f>
        <v>0</v>
      </c>
      <c r="K2173">
        <f>(FlipkartTable[[#This Row],[Rating]]/FlipkartTable[[#This Row],[Selling Price]])*1000</f>
        <v>0.17917413225551065</v>
      </c>
      <c r="L2173" t="str">
        <f>IF(FlipkartTable[[#This Row],[Selling Price]]&lt;15000,"Budget",IF(FlipkartTable[[#This Row],[Selling Price]]&lt;50000,"Mid Range","Premium"))</f>
        <v>Mid Range</v>
      </c>
      <c r="M2173" t="str">
        <f>IF(FlipkartTable[[#This Row],[Rating]]&gt;4.5,"Excellent",IF(FlipkartTable[[#This Row],[Rating]]&gt;4,"Good",IF(FlipkartTable[[#This Row],[Rating]]&gt;3.5,"Average","Poor")))</f>
        <v>Good</v>
      </c>
    </row>
    <row r="2174" spans="1:13" x14ac:dyDescent="0.35">
      <c r="A2174" t="s">
        <v>1036</v>
      </c>
      <c r="B2174" s="9" t="s">
        <v>1103</v>
      </c>
      <c r="C2174" t="s">
        <v>1104</v>
      </c>
      <c r="D2174" t="s">
        <v>11</v>
      </c>
      <c r="E2174" t="s">
        <v>12</v>
      </c>
      <c r="F2174">
        <v>4.3</v>
      </c>
      <c r="G2174">
        <v>12999</v>
      </c>
      <c r="H2174">
        <v>15999</v>
      </c>
      <c r="I2174">
        <f>FlipkartTable[[#This Row],[Original Price]]-FlipkartTable[[#This Row],[Selling Price]]</f>
        <v>3000</v>
      </c>
      <c r="J2174" s="4">
        <f>(FlipkartTable[[#This Row],[Original Price]]-FlipkartTable[[#This Row],[Selling Price]])/FlipkartTable[[#This Row],[Original Price]]</f>
        <v>0.18751171948246764</v>
      </c>
      <c r="K2174">
        <f>(FlipkartTable[[#This Row],[Rating]]/FlipkartTable[[#This Row],[Selling Price]])*1000</f>
        <v>0.33079467651357791</v>
      </c>
      <c r="L2174" t="str">
        <f>IF(FlipkartTable[[#This Row],[Selling Price]]&lt;15000,"Budget",IF(FlipkartTable[[#This Row],[Selling Price]]&lt;50000,"Mid Range","Premium"))</f>
        <v>Budget</v>
      </c>
      <c r="M2174" t="str">
        <f>IF(FlipkartTable[[#This Row],[Rating]]&gt;4.5,"Excellent",IF(FlipkartTable[[#This Row],[Rating]]&gt;4,"Good",IF(FlipkartTable[[#This Row],[Rating]]&gt;3.5,"Average","Poor")))</f>
        <v>Good</v>
      </c>
    </row>
    <row r="2175" spans="1:13" x14ac:dyDescent="0.35">
      <c r="A2175" t="s">
        <v>1036</v>
      </c>
      <c r="B2175" s="9" t="s">
        <v>1105</v>
      </c>
      <c r="C2175" t="s">
        <v>19</v>
      </c>
      <c r="D2175" t="s">
        <v>134</v>
      </c>
      <c r="E2175" t="s">
        <v>124</v>
      </c>
      <c r="F2175">
        <v>4.4000000000000004</v>
      </c>
      <c r="G2175">
        <v>9999</v>
      </c>
      <c r="H2175">
        <v>9999</v>
      </c>
      <c r="I2175">
        <f>FlipkartTable[[#This Row],[Original Price]]-FlipkartTable[[#This Row],[Selling Price]]</f>
        <v>0</v>
      </c>
      <c r="J2175" s="4">
        <f>(FlipkartTable[[#This Row],[Original Price]]-FlipkartTable[[#This Row],[Selling Price]])/FlipkartTable[[#This Row],[Original Price]]</f>
        <v>0</v>
      </c>
      <c r="K2175">
        <f>(FlipkartTable[[#This Row],[Rating]]/FlipkartTable[[#This Row],[Selling Price]])*1000</f>
        <v>0.44004400440044006</v>
      </c>
      <c r="L2175" t="str">
        <f>IF(FlipkartTable[[#This Row],[Selling Price]]&lt;15000,"Budget",IF(FlipkartTable[[#This Row],[Selling Price]]&lt;50000,"Mid Range","Premium"))</f>
        <v>Budget</v>
      </c>
      <c r="M2175" t="str">
        <f>IF(FlipkartTable[[#This Row],[Rating]]&gt;4.5,"Excellent",IF(FlipkartTable[[#This Row],[Rating]]&gt;4,"Good",IF(FlipkartTable[[#This Row],[Rating]]&gt;3.5,"Average","Poor")))</f>
        <v>Good</v>
      </c>
    </row>
    <row r="2176" spans="1:13" x14ac:dyDescent="0.35">
      <c r="A2176" t="s">
        <v>1036</v>
      </c>
      <c r="B2176" s="9" t="s">
        <v>1066</v>
      </c>
      <c r="C2176" t="s">
        <v>1106</v>
      </c>
      <c r="D2176" t="s">
        <v>11</v>
      </c>
      <c r="E2176" t="s">
        <v>15</v>
      </c>
      <c r="F2176">
        <v>4.2</v>
      </c>
      <c r="G2176">
        <v>14999</v>
      </c>
      <c r="H2176">
        <v>22999</v>
      </c>
      <c r="I2176">
        <f>FlipkartTable[[#This Row],[Original Price]]-FlipkartTable[[#This Row],[Selling Price]]</f>
        <v>8000</v>
      </c>
      <c r="J2176" s="4">
        <f>(FlipkartTable[[#This Row],[Original Price]]-FlipkartTable[[#This Row],[Selling Price]])/FlipkartTable[[#This Row],[Original Price]]</f>
        <v>0.34784121048741251</v>
      </c>
      <c r="K2176">
        <f>(FlipkartTable[[#This Row],[Rating]]/FlipkartTable[[#This Row],[Selling Price]])*1000</f>
        <v>0.28001866791119412</v>
      </c>
      <c r="L2176" t="str">
        <f>IF(FlipkartTable[[#This Row],[Selling Price]]&lt;15000,"Budget",IF(FlipkartTable[[#This Row],[Selling Price]]&lt;50000,"Mid Range","Premium"))</f>
        <v>Budget</v>
      </c>
      <c r="M2176" t="str">
        <f>IF(FlipkartTable[[#This Row],[Rating]]&gt;4.5,"Excellent",IF(FlipkartTable[[#This Row],[Rating]]&gt;4,"Good",IF(FlipkartTable[[#This Row],[Rating]]&gt;3.5,"Average","Poor")))</f>
        <v>Good</v>
      </c>
    </row>
    <row r="2177" spans="1:13" x14ac:dyDescent="0.35">
      <c r="A2177" t="s">
        <v>1036</v>
      </c>
      <c r="B2177" s="9" t="s">
        <v>1066</v>
      </c>
      <c r="C2177" t="s">
        <v>1106</v>
      </c>
      <c r="D2177" t="s">
        <v>11</v>
      </c>
      <c r="E2177" t="s">
        <v>15</v>
      </c>
      <c r="F2177">
        <v>4.2</v>
      </c>
      <c r="G2177">
        <v>14999</v>
      </c>
      <c r="H2177">
        <v>22999</v>
      </c>
      <c r="I2177">
        <f>FlipkartTable[[#This Row],[Original Price]]-FlipkartTable[[#This Row],[Selling Price]]</f>
        <v>8000</v>
      </c>
      <c r="J2177" s="4">
        <f>(FlipkartTable[[#This Row],[Original Price]]-FlipkartTable[[#This Row],[Selling Price]])/FlipkartTable[[#This Row],[Original Price]]</f>
        <v>0.34784121048741251</v>
      </c>
      <c r="K2177">
        <f>(FlipkartTable[[#This Row],[Rating]]/FlipkartTable[[#This Row],[Selling Price]])*1000</f>
        <v>0.28001866791119412</v>
      </c>
      <c r="L2177" t="str">
        <f>IF(FlipkartTable[[#This Row],[Selling Price]]&lt;15000,"Budget",IF(FlipkartTable[[#This Row],[Selling Price]]&lt;50000,"Mid Range","Premium"))</f>
        <v>Budget</v>
      </c>
      <c r="M2177" t="str">
        <f>IF(FlipkartTable[[#This Row],[Rating]]&gt;4.5,"Excellent",IF(FlipkartTable[[#This Row],[Rating]]&gt;4,"Good",IF(FlipkartTable[[#This Row],[Rating]]&gt;3.5,"Average","Poor")))</f>
        <v>Good</v>
      </c>
    </row>
    <row r="2178" spans="1:13" x14ac:dyDescent="0.35">
      <c r="A2178" t="s">
        <v>1036</v>
      </c>
      <c r="B2178" s="9" t="s">
        <v>1107</v>
      </c>
      <c r="C2178" t="s">
        <v>978</v>
      </c>
      <c r="D2178" t="s">
        <v>20</v>
      </c>
      <c r="E2178" t="s">
        <v>21</v>
      </c>
      <c r="F2178">
        <v>4.0999999999999996</v>
      </c>
      <c r="G2178">
        <v>12999</v>
      </c>
      <c r="H2178">
        <v>12999</v>
      </c>
      <c r="I2178">
        <f>FlipkartTable[[#This Row],[Original Price]]-FlipkartTable[[#This Row],[Selling Price]]</f>
        <v>0</v>
      </c>
      <c r="J2178" s="4">
        <f>(FlipkartTable[[#This Row],[Original Price]]-FlipkartTable[[#This Row],[Selling Price]])/FlipkartTable[[#This Row],[Original Price]]</f>
        <v>0</v>
      </c>
      <c r="K2178">
        <f>(FlipkartTable[[#This Row],[Rating]]/FlipkartTable[[#This Row],[Selling Price]])*1000</f>
        <v>0.31540887760596964</v>
      </c>
      <c r="L2178" t="str">
        <f>IF(FlipkartTable[[#This Row],[Selling Price]]&lt;15000,"Budget",IF(FlipkartTable[[#This Row],[Selling Price]]&lt;50000,"Mid Range","Premium"))</f>
        <v>Budget</v>
      </c>
      <c r="M2178" t="str">
        <f>IF(FlipkartTable[[#This Row],[Rating]]&gt;4.5,"Excellent",IF(FlipkartTable[[#This Row],[Rating]]&gt;4,"Good",IF(FlipkartTable[[#This Row],[Rating]]&gt;3.5,"Average","Poor")))</f>
        <v>Good</v>
      </c>
    </row>
    <row r="2179" spans="1:13" x14ac:dyDescent="0.35">
      <c r="A2179" t="s">
        <v>1036</v>
      </c>
      <c r="B2179" s="9" t="s">
        <v>1108</v>
      </c>
      <c r="C2179" t="s">
        <v>19</v>
      </c>
      <c r="D2179" t="s">
        <v>263</v>
      </c>
      <c r="E2179" t="s">
        <v>124</v>
      </c>
      <c r="F2179">
        <v>3.8</v>
      </c>
      <c r="G2179">
        <v>15990</v>
      </c>
      <c r="H2179">
        <v>15990</v>
      </c>
      <c r="I2179">
        <f>FlipkartTable[[#This Row],[Original Price]]-FlipkartTable[[#This Row],[Selling Price]]</f>
        <v>0</v>
      </c>
      <c r="J2179" s="4">
        <f>(FlipkartTable[[#This Row],[Original Price]]-FlipkartTable[[#This Row],[Selling Price]])/FlipkartTable[[#This Row],[Original Price]]</f>
        <v>0</v>
      </c>
      <c r="K2179">
        <f>(FlipkartTable[[#This Row],[Rating]]/FlipkartTable[[#This Row],[Selling Price]])*1000</f>
        <v>0.23764853033145716</v>
      </c>
      <c r="L2179" t="str">
        <f>IF(FlipkartTable[[#This Row],[Selling Price]]&lt;15000,"Budget",IF(FlipkartTable[[#This Row],[Selling Price]]&lt;50000,"Mid Range","Premium"))</f>
        <v>Mid Range</v>
      </c>
      <c r="M2179" t="str">
        <f>IF(FlipkartTable[[#This Row],[Rating]]&gt;4.5,"Excellent",IF(FlipkartTable[[#This Row],[Rating]]&gt;4,"Good",IF(FlipkartTable[[#This Row],[Rating]]&gt;3.5,"Average","Poor")))</f>
        <v>Average</v>
      </c>
    </row>
    <row r="2180" spans="1:13" x14ac:dyDescent="0.35">
      <c r="A2180" t="s">
        <v>1036</v>
      </c>
      <c r="B2180" s="9" t="s">
        <v>1109</v>
      </c>
      <c r="C2180" t="s">
        <v>1064</v>
      </c>
      <c r="D2180" t="s">
        <v>14</v>
      </c>
      <c r="E2180" t="s">
        <v>12</v>
      </c>
      <c r="F2180">
        <v>4.3</v>
      </c>
      <c r="G2180">
        <v>11829</v>
      </c>
      <c r="H2180">
        <v>11829</v>
      </c>
      <c r="I2180">
        <f>FlipkartTable[[#This Row],[Original Price]]-FlipkartTable[[#This Row],[Selling Price]]</f>
        <v>0</v>
      </c>
      <c r="J2180" s="4">
        <f>(FlipkartTable[[#This Row],[Original Price]]-FlipkartTable[[#This Row],[Selling Price]])/FlipkartTable[[#This Row],[Original Price]]</f>
        <v>0</v>
      </c>
      <c r="K2180">
        <f>(FlipkartTable[[#This Row],[Rating]]/FlipkartTable[[#This Row],[Selling Price]])*1000</f>
        <v>0.36351339927297316</v>
      </c>
      <c r="L2180" t="str">
        <f>IF(FlipkartTable[[#This Row],[Selling Price]]&lt;15000,"Budget",IF(FlipkartTable[[#This Row],[Selling Price]]&lt;50000,"Mid Range","Premium"))</f>
        <v>Budget</v>
      </c>
      <c r="M2180" t="str">
        <f>IF(FlipkartTable[[#This Row],[Rating]]&gt;4.5,"Excellent",IF(FlipkartTable[[#This Row],[Rating]]&gt;4,"Good",IF(FlipkartTable[[#This Row],[Rating]]&gt;3.5,"Average","Poor")))</f>
        <v>Good</v>
      </c>
    </row>
    <row r="2181" spans="1:13" x14ac:dyDescent="0.35">
      <c r="A2181" t="s">
        <v>1036</v>
      </c>
      <c r="B2181" s="9" t="s">
        <v>1110</v>
      </c>
      <c r="C2181" t="s">
        <v>152</v>
      </c>
      <c r="D2181" t="s">
        <v>35</v>
      </c>
      <c r="E2181" t="s">
        <v>124</v>
      </c>
      <c r="F2181">
        <v>4</v>
      </c>
      <c r="G2181">
        <v>5999</v>
      </c>
      <c r="H2181">
        <v>5999</v>
      </c>
      <c r="I2181">
        <f>FlipkartTable[[#This Row],[Original Price]]-FlipkartTable[[#This Row],[Selling Price]]</f>
        <v>0</v>
      </c>
      <c r="J2181" s="4">
        <f>(FlipkartTable[[#This Row],[Original Price]]-FlipkartTable[[#This Row],[Selling Price]])/FlipkartTable[[#This Row],[Original Price]]</f>
        <v>0</v>
      </c>
      <c r="K2181">
        <f>(FlipkartTable[[#This Row],[Rating]]/FlipkartTable[[#This Row],[Selling Price]])*1000</f>
        <v>0.66677779629938327</v>
      </c>
      <c r="L2181" t="str">
        <f>IF(FlipkartTable[[#This Row],[Selling Price]]&lt;15000,"Budget",IF(FlipkartTable[[#This Row],[Selling Price]]&lt;50000,"Mid Range","Premium"))</f>
        <v>Budget</v>
      </c>
      <c r="M2181" t="str">
        <f>IF(FlipkartTable[[#This Row],[Rating]]&gt;4.5,"Excellent",IF(FlipkartTable[[#This Row],[Rating]]&gt;4,"Good",IF(FlipkartTable[[#This Row],[Rating]]&gt;3.5,"Average","Poor")))</f>
        <v>Average</v>
      </c>
    </row>
    <row r="2182" spans="1:13" x14ac:dyDescent="0.35">
      <c r="A2182" t="s">
        <v>1036</v>
      </c>
      <c r="B2182" s="9" t="s">
        <v>1111</v>
      </c>
      <c r="C2182" t="s">
        <v>791</v>
      </c>
      <c r="D2182" t="s">
        <v>11</v>
      </c>
      <c r="E2182" t="s">
        <v>12</v>
      </c>
      <c r="F2182">
        <v>4.3</v>
      </c>
      <c r="G2182">
        <v>15999</v>
      </c>
      <c r="H2182">
        <v>15999</v>
      </c>
      <c r="I2182">
        <f>FlipkartTable[[#This Row],[Original Price]]-FlipkartTable[[#This Row],[Selling Price]]</f>
        <v>0</v>
      </c>
      <c r="J2182" s="4">
        <f>(FlipkartTable[[#This Row],[Original Price]]-FlipkartTable[[#This Row],[Selling Price]])/FlipkartTable[[#This Row],[Original Price]]</f>
        <v>0</v>
      </c>
      <c r="K2182">
        <f>(FlipkartTable[[#This Row],[Rating]]/FlipkartTable[[#This Row],[Selling Price]])*1000</f>
        <v>0.26876679792487029</v>
      </c>
      <c r="L2182" t="str">
        <f>IF(FlipkartTable[[#This Row],[Selling Price]]&lt;15000,"Budget",IF(FlipkartTable[[#This Row],[Selling Price]]&lt;50000,"Mid Range","Premium"))</f>
        <v>Mid Range</v>
      </c>
      <c r="M2182" t="str">
        <f>IF(FlipkartTable[[#This Row],[Rating]]&gt;4.5,"Excellent",IF(FlipkartTable[[#This Row],[Rating]]&gt;4,"Good",IF(FlipkartTable[[#This Row],[Rating]]&gt;3.5,"Average","Poor")))</f>
        <v>Good</v>
      </c>
    </row>
    <row r="2183" spans="1:13" x14ac:dyDescent="0.35">
      <c r="A2183" t="s">
        <v>1036</v>
      </c>
      <c r="B2183" s="9" t="s">
        <v>1112</v>
      </c>
      <c r="C2183" t="s">
        <v>152</v>
      </c>
      <c r="D2183" t="s">
        <v>35</v>
      </c>
      <c r="E2183" t="s">
        <v>124</v>
      </c>
      <c r="F2183">
        <v>3.9</v>
      </c>
      <c r="G2183">
        <v>6999</v>
      </c>
      <c r="H2183">
        <v>6999</v>
      </c>
      <c r="I2183">
        <f>FlipkartTable[[#This Row],[Original Price]]-FlipkartTable[[#This Row],[Selling Price]]</f>
        <v>0</v>
      </c>
      <c r="J2183" s="4">
        <f>(FlipkartTable[[#This Row],[Original Price]]-FlipkartTable[[#This Row],[Selling Price]])/FlipkartTable[[#This Row],[Original Price]]</f>
        <v>0</v>
      </c>
      <c r="K2183">
        <f>(FlipkartTable[[#This Row],[Rating]]/FlipkartTable[[#This Row],[Selling Price]])*1000</f>
        <v>0.55722246035147871</v>
      </c>
      <c r="L2183" t="str">
        <f>IF(FlipkartTable[[#This Row],[Selling Price]]&lt;15000,"Budget",IF(FlipkartTable[[#This Row],[Selling Price]]&lt;50000,"Mid Range","Premium"))</f>
        <v>Budget</v>
      </c>
      <c r="M2183" t="str">
        <f>IF(FlipkartTable[[#This Row],[Rating]]&gt;4.5,"Excellent",IF(FlipkartTable[[#This Row],[Rating]]&gt;4,"Good",IF(FlipkartTable[[#This Row],[Rating]]&gt;3.5,"Average","Poor")))</f>
        <v>Average</v>
      </c>
    </row>
    <row r="2184" spans="1:13" x14ac:dyDescent="0.35">
      <c r="A2184" t="s">
        <v>1036</v>
      </c>
      <c r="B2184" s="9" t="s">
        <v>1037</v>
      </c>
      <c r="C2184" t="s">
        <v>1047</v>
      </c>
      <c r="D2184" t="s">
        <v>35</v>
      </c>
      <c r="E2184" t="s">
        <v>21</v>
      </c>
      <c r="F2184">
        <v>4.0999999999999996</v>
      </c>
      <c r="G2184">
        <v>6999</v>
      </c>
      <c r="H2184">
        <v>9999</v>
      </c>
      <c r="I2184">
        <f>FlipkartTable[[#This Row],[Original Price]]-FlipkartTable[[#This Row],[Selling Price]]</f>
        <v>3000</v>
      </c>
      <c r="J2184" s="4">
        <f>(FlipkartTable[[#This Row],[Original Price]]-FlipkartTable[[#This Row],[Selling Price]])/FlipkartTable[[#This Row],[Original Price]]</f>
        <v>0.30003000300030003</v>
      </c>
      <c r="K2184">
        <f>(FlipkartTable[[#This Row],[Rating]]/FlipkartTable[[#This Row],[Selling Price]])*1000</f>
        <v>0.58579797113873411</v>
      </c>
      <c r="L2184" t="str">
        <f>IF(FlipkartTable[[#This Row],[Selling Price]]&lt;15000,"Budget",IF(FlipkartTable[[#This Row],[Selling Price]]&lt;50000,"Mid Range","Premium"))</f>
        <v>Budget</v>
      </c>
      <c r="M2184" t="str">
        <f>IF(FlipkartTable[[#This Row],[Rating]]&gt;4.5,"Excellent",IF(FlipkartTable[[#This Row],[Rating]]&gt;4,"Good",IF(FlipkartTable[[#This Row],[Rating]]&gt;3.5,"Average","Poor")))</f>
        <v>Good</v>
      </c>
    </row>
    <row r="2185" spans="1:13" x14ac:dyDescent="0.35">
      <c r="A2185" t="s">
        <v>1036</v>
      </c>
      <c r="B2185" s="9" t="s">
        <v>1113</v>
      </c>
      <c r="C2185" t="s">
        <v>19</v>
      </c>
      <c r="D2185" t="s">
        <v>20</v>
      </c>
      <c r="E2185" t="s">
        <v>21</v>
      </c>
      <c r="F2185">
        <v>4.4000000000000004</v>
      </c>
      <c r="G2185">
        <v>24999</v>
      </c>
      <c r="H2185">
        <v>24999</v>
      </c>
      <c r="I2185">
        <f>FlipkartTable[[#This Row],[Original Price]]-FlipkartTable[[#This Row],[Selling Price]]</f>
        <v>0</v>
      </c>
      <c r="J2185" s="4">
        <f>(FlipkartTable[[#This Row],[Original Price]]-FlipkartTable[[#This Row],[Selling Price]])/FlipkartTable[[#This Row],[Original Price]]</f>
        <v>0</v>
      </c>
      <c r="K2185">
        <f>(FlipkartTable[[#This Row],[Rating]]/FlipkartTable[[#This Row],[Selling Price]])*1000</f>
        <v>0.17600704028161127</v>
      </c>
      <c r="L2185" t="str">
        <f>IF(FlipkartTable[[#This Row],[Selling Price]]&lt;15000,"Budget",IF(FlipkartTable[[#This Row],[Selling Price]]&lt;50000,"Mid Range","Premium"))</f>
        <v>Mid Range</v>
      </c>
      <c r="M2185" t="str">
        <f>IF(FlipkartTable[[#This Row],[Rating]]&gt;4.5,"Excellent",IF(FlipkartTable[[#This Row],[Rating]]&gt;4,"Good",IF(FlipkartTable[[#This Row],[Rating]]&gt;3.5,"Average","Poor")))</f>
        <v>Good</v>
      </c>
    </row>
    <row r="2186" spans="1:13" x14ac:dyDescent="0.35">
      <c r="A2186" t="s">
        <v>1036</v>
      </c>
      <c r="B2186" s="9" t="s">
        <v>1113</v>
      </c>
      <c r="C2186" t="s">
        <v>152</v>
      </c>
      <c r="D2186" t="s">
        <v>20</v>
      </c>
      <c r="E2186" t="s">
        <v>21</v>
      </c>
      <c r="F2186">
        <v>4.4000000000000004</v>
      </c>
      <c r="G2186">
        <v>24999</v>
      </c>
      <c r="H2186">
        <v>24999</v>
      </c>
      <c r="I2186">
        <f>FlipkartTable[[#This Row],[Original Price]]-FlipkartTable[[#This Row],[Selling Price]]</f>
        <v>0</v>
      </c>
      <c r="J2186" s="4">
        <f>(FlipkartTable[[#This Row],[Original Price]]-FlipkartTable[[#This Row],[Selling Price]])/FlipkartTable[[#This Row],[Original Price]]</f>
        <v>0</v>
      </c>
      <c r="K2186">
        <f>(FlipkartTable[[#This Row],[Rating]]/FlipkartTable[[#This Row],[Selling Price]])*1000</f>
        <v>0.17600704028161127</v>
      </c>
      <c r="L2186" t="str">
        <f>IF(FlipkartTable[[#This Row],[Selling Price]]&lt;15000,"Budget",IF(FlipkartTable[[#This Row],[Selling Price]]&lt;50000,"Mid Range","Premium"))</f>
        <v>Mid Range</v>
      </c>
      <c r="M2186" t="str">
        <f>IF(FlipkartTable[[#This Row],[Rating]]&gt;4.5,"Excellent",IF(FlipkartTable[[#This Row],[Rating]]&gt;4,"Good",IF(FlipkartTable[[#This Row],[Rating]]&gt;3.5,"Average","Poor")))</f>
        <v>Good</v>
      </c>
    </row>
    <row r="2187" spans="1:13" x14ac:dyDescent="0.35">
      <c r="A2187" t="s">
        <v>1036</v>
      </c>
      <c r="B2187" s="9" t="s">
        <v>1103</v>
      </c>
      <c r="C2187" t="s">
        <v>1114</v>
      </c>
      <c r="D2187" t="s">
        <v>11</v>
      </c>
      <c r="E2187" t="s">
        <v>12</v>
      </c>
      <c r="F2187">
        <v>4.3</v>
      </c>
      <c r="G2187">
        <v>12999</v>
      </c>
      <c r="H2187">
        <v>15999</v>
      </c>
      <c r="I2187">
        <f>FlipkartTable[[#This Row],[Original Price]]-FlipkartTable[[#This Row],[Selling Price]]</f>
        <v>3000</v>
      </c>
      <c r="J2187" s="4">
        <f>(FlipkartTable[[#This Row],[Original Price]]-FlipkartTable[[#This Row],[Selling Price]])/FlipkartTable[[#This Row],[Original Price]]</f>
        <v>0.18751171948246764</v>
      </c>
      <c r="K2187">
        <f>(FlipkartTable[[#This Row],[Rating]]/FlipkartTable[[#This Row],[Selling Price]])*1000</f>
        <v>0.33079467651357791</v>
      </c>
      <c r="L2187" t="str">
        <f>IF(FlipkartTable[[#This Row],[Selling Price]]&lt;15000,"Budget",IF(FlipkartTable[[#This Row],[Selling Price]]&lt;50000,"Mid Range","Premium"))</f>
        <v>Budget</v>
      </c>
      <c r="M2187" t="str">
        <f>IF(FlipkartTable[[#This Row],[Rating]]&gt;4.5,"Excellent",IF(FlipkartTable[[#This Row],[Rating]]&gt;4,"Good",IF(FlipkartTable[[#This Row],[Rating]]&gt;3.5,"Average","Poor")))</f>
        <v>Good</v>
      </c>
    </row>
    <row r="2188" spans="1:13" x14ac:dyDescent="0.35">
      <c r="A2188" t="s">
        <v>1036</v>
      </c>
      <c r="B2188" s="9" t="s">
        <v>1090</v>
      </c>
      <c r="C2188" t="s">
        <v>19</v>
      </c>
      <c r="D2188" t="s">
        <v>134</v>
      </c>
      <c r="E2188" t="s">
        <v>27</v>
      </c>
      <c r="F2188">
        <v>4.2</v>
      </c>
      <c r="G2188">
        <v>9999</v>
      </c>
      <c r="H2188">
        <v>9999</v>
      </c>
      <c r="I2188">
        <f>FlipkartTable[[#This Row],[Original Price]]-FlipkartTable[[#This Row],[Selling Price]]</f>
        <v>0</v>
      </c>
      <c r="J2188" s="4">
        <f>(FlipkartTable[[#This Row],[Original Price]]-FlipkartTable[[#This Row],[Selling Price]])/FlipkartTable[[#This Row],[Original Price]]</f>
        <v>0</v>
      </c>
      <c r="K2188">
        <f>(FlipkartTable[[#This Row],[Rating]]/FlipkartTable[[#This Row],[Selling Price]])*1000</f>
        <v>0.42004200420042004</v>
      </c>
      <c r="L2188" t="str">
        <f>IF(FlipkartTable[[#This Row],[Selling Price]]&lt;15000,"Budget",IF(FlipkartTable[[#This Row],[Selling Price]]&lt;50000,"Mid Range","Premium"))</f>
        <v>Budget</v>
      </c>
      <c r="M2188" t="str">
        <f>IF(FlipkartTable[[#This Row],[Rating]]&gt;4.5,"Excellent",IF(FlipkartTable[[#This Row],[Rating]]&gt;4,"Good",IF(FlipkartTable[[#This Row],[Rating]]&gt;3.5,"Average","Poor")))</f>
        <v>Good</v>
      </c>
    </row>
    <row r="2189" spans="1:13" x14ac:dyDescent="0.35">
      <c r="A2189" t="s">
        <v>1036</v>
      </c>
      <c r="B2189" s="9" t="s">
        <v>1080</v>
      </c>
      <c r="C2189" t="s">
        <v>1115</v>
      </c>
      <c r="D2189" t="s">
        <v>11</v>
      </c>
      <c r="E2189" t="s">
        <v>12</v>
      </c>
      <c r="F2189">
        <v>4.2</v>
      </c>
      <c r="G2189">
        <v>8999</v>
      </c>
      <c r="H2189">
        <v>12999</v>
      </c>
      <c r="I2189">
        <f>FlipkartTable[[#This Row],[Original Price]]-FlipkartTable[[#This Row],[Selling Price]]</f>
        <v>4000</v>
      </c>
      <c r="J2189" s="4">
        <f>(FlipkartTable[[#This Row],[Original Price]]-FlipkartTable[[#This Row],[Selling Price]])/FlipkartTable[[#This Row],[Original Price]]</f>
        <v>0.30771597815216556</v>
      </c>
      <c r="K2189">
        <f>(FlipkartTable[[#This Row],[Rating]]/FlipkartTable[[#This Row],[Selling Price]])*1000</f>
        <v>0.46671852428047561</v>
      </c>
      <c r="L2189" t="str">
        <f>IF(FlipkartTable[[#This Row],[Selling Price]]&lt;15000,"Budget",IF(FlipkartTable[[#This Row],[Selling Price]]&lt;50000,"Mid Range","Premium"))</f>
        <v>Budget</v>
      </c>
      <c r="M2189" t="str">
        <f>IF(FlipkartTable[[#This Row],[Rating]]&gt;4.5,"Excellent",IF(FlipkartTable[[#This Row],[Rating]]&gt;4,"Good",IF(FlipkartTable[[#This Row],[Rating]]&gt;3.5,"Average","Poor")))</f>
        <v>Good</v>
      </c>
    </row>
    <row r="2190" spans="1:13" x14ac:dyDescent="0.35">
      <c r="A2190" t="s">
        <v>1036</v>
      </c>
      <c r="B2190" s="9" t="s">
        <v>1085</v>
      </c>
      <c r="C2190" t="s">
        <v>1116</v>
      </c>
      <c r="D2190" t="s">
        <v>11</v>
      </c>
      <c r="E2190" t="s">
        <v>12</v>
      </c>
      <c r="F2190">
        <v>4.0999999999999996</v>
      </c>
      <c r="G2190">
        <v>7999</v>
      </c>
      <c r="H2190">
        <v>9999</v>
      </c>
      <c r="I2190">
        <f>FlipkartTable[[#This Row],[Original Price]]-FlipkartTable[[#This Row],[Selling Price]]</f>
        <v>2000</v>
      </c>
      <c r="J2190" s="4">
        <f>(FlipkartTable[[#This Row],[Original Price]]-FlipkartTable[[#This Row],[Selling Price]])/FlipkartTable[[#This Row],[Original Price]]</f>
        <v>0.20002000200020001</v>
      </c>
      <c r="K2190">
        <f>(FlipkartTable[[#This Row],[Rating]]/FlipkartTable[[#This Row],[Selling Price]])*1000</f>
        <v>0.51256407050881359</v>
      </c>
      <c r="L2190" t="str">
        <f>IF(FlipkartTable[[#This Row],[Selling Price]]&lt;15000,"Budget",IF(FlipkartTable[[#This Row],[Selling Price]]&lt;50000,"Mid Range","Premium"))</f>
        <v>Budget</v>
      </c>
      <c r="M2190" t="str">
        <f>IF(FlipkartTable[[#This Row],[Rating]]&gt;4.5,"Excellent",IF(FlipkartTable[[#This Row],[Rating]]&gt;4,"Good",IF(FlipkartTable[[#This Row],[Rating]]&gt;3.5,"Average","Poor")))</f>
        <v>Good</v>
      </c>
    </row>
    <row r="2191" spans="1:13" x14ac:dyDescent="0.35">
      <c r="A2191" t="s">
        <v>1036</v>
      </c>
      <c r="B2191" s="9" t="s">
        <v>1072</v>
      </c>
      <c r="C2191" t="s">
        <v>1117</v>
      </c>
      <c r="D2191" t="s">
        <v>11</v>
      </c>
      <c r="E2191" t="s">
        <v>12</v>
      </c>
      <c r="F2191">
        <v>4.0999999999999996</v>
      </c>
      <c r="G2191">
        <v>11999</v>
      </c>
      <c r="H2191">
        <v>15999</v>
      </c>
      <c r="I2191">
        <f>FlipkartTable[[#This Row],[Original Price]]-FlipkartTable[[#This Row],[Selling Price]]</f>
        <v>4000</v>
      </c>
      <c r="J2191" s="4">
        <f>(FlipkartTable[[#This Row],[Original Price]]-FlipkartTable[[#This Row],[Selling Price]])/FlipkartTable[[#This Row],[Original Price]]</f>
        <v>0.25001562597662352</v>
      </c>
      <c r="K2191">
        <f>(FlipkartTable[[#This Row],[Rating]]/FlipkartTable[[#This Row],[Selling Price]])*1000</f>
        <v>0.34169514126177181</v>
      </c>
      <c r="L2191" t="str">
        <f>IF(FlipkartTable[[#This Row],[Selling Price]]&lt;15000,"Budget",IF(FlipkartTable[[#This Row],[Selling Price]]&lt;50000,"Mid Range","Premium"))</f>
        <v>Budget</v>
      </c>
      <c r="M2191" t="str">
        <f>IF(FlipkartTable[[#This Row],[Rating]]&gt;4.5,"Excellent",IF(FlipkartTable[[#This Row],[Rating]]&gt;4,"Good",IF(FlipkartTable[[#This Row],[Rating]]&gt;3.5,"Average","Poor")))</f>
        <v>Good</v>
      </c>
    </row>
    <row r="2192" spans="1:13" x14ac:dyDescent="0.35">
      <c r="A2192" t="s">
        <v>1036</v>
      </c>
      <c r="B2192" s="9" t="s">
        <v>1062</v>
      </c>
      <c r="C2192" t="s">
        <v>82</v>
      </c>
      <c r="D2192" t="s">
        <v>35</v>
      </c>
      <c r="E2192" t="s">
        <v>124</v>
      </c>
      <c r="F2192">
        <v>4.2</v>
      </c>
      <c r="G2192">
        <v>6999</v>
      </c>
      <c r="H2192">
        <v>6999</v>
      </c>
      <c r="I2192">
        <f>FlipkartTable[[#This Row],[Original Price]]-FlipkartTable[[#This Row],[Selling Price]]</f>
        <v>0</v>
      </c>
      <c r="J2192" s="4">
        <f>(FlipkartTable[[#This Row],[Original Price]]-FlipkartTable[[#This Row],[Selling Price]])/FlipkartTable[[#This Row],[Original Price]]</f>
        <v>0</v>
      </c>
      <c r="K2192">
        <f>(FlipkartTable[[#This Row],[Rating]]/FlipkartTable[[#This Row],[Selling Price]])*1000</f>
        <v>0.60008572653236181</v>
      </c>
      <c r="L2192" t="str">
        <f>IF(FlipkartTable[[#This Row],[Selling Price]]&lt;15000,"Budget",IF(FlipkartTable[[#This Row],[Selling Price]]&lt;50000,"Mid Range","Premium"))</f>
        <v>Budget</v>
      </c>
      <c r="M2192" t="str">
        <f>IF(FlipkartTable[[#This Row],[Rating]]&gt;4.5,"Excellent",IF(FlipkartTable[[#This Row],[Rating]]&gt;4,"Good",IF(FlipkartTable[[#This Row],[Rating]]&gt;3.5,"Average","Poor")))</f>
        <v>Good</v>
      </c>
    </row>
    <row r="2193" spans="1:13" x14ac:dyDescent="0.35">
      <c r="A2193" t="s">
        <v>1036</v>
      </c>
      <c r="B2193" s="9" t="s">
        <v>1062</v>
      </c>
      <c r="C2193" t="s">
        <v>978</v>
      </c>
      <c r="D2193" t="s">
        <v>35</v>
      </c>
      <c r="E2193" t="s">
        <v>124</v>
      </c>
      <c r="F2193">
        <v>4.2</v>
      </c>
      <c r="G2193">
        <v>6999</v>
      </c>
      <c r="H2193">
        <v>6999</v>
      </c>
      <c r="I2193">
        <f>FlipkartTable[[#This Row],[Original Price]]-FlipkartTable[[#This Row],[Selling Price]]</f>
        <v>0</v>
      </c>
      <c r="J2193" s="4">
        <f>(FlipkartTable[[#This Row],[Original Price]]-FlipkartTable[[#This Row],[Selling Price]])/FlipkartTable[[#This Row],[Original Price]]</f>
        <v>0</v>
      </c>
      <c r="K2193">
        <f>(FlipkartTable[[#This Row],[Rating]]/FlipkartTable[[#This Row],[Selling Price]])*1000</f>
        <v>0.60008572653236181</v>
      </c>
      <c r="L2193" t="str">
        <f>IF(FlipkartTable[[#This Row],[Selling Price]]&lt;15000,"Budget",IF(FlipkartTable[[#This Row],[Selling Price]]&lt;50000,"Mid Range","Premium"))</f>
        <v>Budget</v>
      </c>
      <c r="M2193" t="str">
        <f>IF(FlipkartTable[[#This Row],[Rating]]&gt;4.5,"Excellent",IF(FlipkartTable[[#This Row],[Rating]]&gt;4,"Good",IF(FlipkartTable[[#This Row],[Rating]]&gt;3.5,"Average","Poor")))</f>
        <v>Good</v>
      </c>
    </row>
    <row r="2194" spans="1:13" x14ac:dyDescent="0.35">
      <c r="A2194" t="s">
        <v>1036</v>
      </c>
      <c r="B2194" s="9" t="s">
        <v>1070</v>
      </c>
      <c r="C2194" t="s">
        <v>1118</v>
      </c>
      <c r="D2194" t="s">
        <v>20</v>
      </c>
      <c r="E2194" t="s">
        <v>124</v>
      </c>
      <c r="F2194">
        <v>4.2</v>
      </c>
      <c r="G2194">
        <v>5450</v>
      </c>
      <c r="H2194">
        <v>5450</v>
      </c>
      <c r="I2194">
        <f>FlipkartTable[[#This Row],[Original Price]]-FlipkartTable[[#This Row],[Selling Price]]</f>
        <v>0</v>
      </c>
      <c r="J2194" s="4">
        <f>(FlipkartTable[[#This Row],[Original Price]]-FlipkartTable[[#This Row],[Selling Price]])/FlipkartTable[[#This Row],[Original Price]]</f>
        <v>0</v>
      </c>
      <c r="K2194">
        <f>(FlipkartTable[[#This Row],[Rating]]/FlipkartTable[[#This Row],[Selling Price]])*1000</f>
        <v>0.77064220183486243</v>
      </c>
      <c r="L2194" t="str">
        <f>IF(FlipkartTable[[#This Row],[Selling Price]]&lt;15000,"Budget",IF(FlipkartTable[[#This Row],[Selling Price]]&lt;50000,"Mid Range","Premium"))</f>
        <v>Budget</v>
      </c>
      <c r="M2194" t="str">
        <f>IF(FlipkartTable[[#This Row],[Rating]]&gt;4.5,"Excellent",IF(FlipkartTable[[#This Row],[Rating]]&gt;4,"Good",IF(FlipkartTable[[#This Row],[Rating]]&gt;3.5,"Average","Poor")))</f>
        <v>Good</v>
      </c>
    </row>
    <row r="2195" spans="1:13" x14ac:dyDescent="0.35">
      <c r="A2195" t="s">
        <v>1036</v>
      </c>
      <c r="B2195" s="9" t="s">
        <v>1119</v>
      </c>
      <c r="C2195" t="s">
        <v>1118</v>
      </c>
      <c r="D2195" t="s">
        <v>20</v>
      </c>
      <c r="E2195" t="s">
        <v>21</v>
      </c>
      <c r="F2195">
        <v>3.7</v>
      </c>
      <c r="G2195">
        <v>10999</v>
      </c>
      <c r="H2195">
        <v>10999</v>
      </c>
      <c r="I2195">
        <f>FlipkartTable[[#This Row],[Original Price]]-FlipkartTable[[#This Row],[Selling Price]]</f>
        <v>0</v>
      </c>
      <c r="J2195" s="4">
        <f>(FlipkartTable[[#This Row],[Original Price]]-FlipkartTable[[#This Row],[Selling Price]])/FlipkartTable[[#This Row],[Original Price]]</f>
        <v>0</v>
      </c>
      <c r="K2195">
        <f>(FlipkartTable[[#This Row],[Rating]]/FlipkartTable[[#This Row],[Selling Price]])*1000</f>
        <v>0.33639421765615057</v>
      </c>
      <c r="L2195" t="str">
        <f>IF(FlipkartTable[[#This Row],[Selling Price]]&lt;15000,"Budget",IF(FlipkartTable[[#This Row],[Selling Price]]&lt;50000,"Mid Range","Premium"))</f>
        <v>Budget</v>
      </c>
      <c r="M2195" t="str">
        <f>IF(FlipkartTable[[#This Row],[Rating]]&gt;4.5,"Excellent",IF(FlipkartTable[[#This Row],[Rating]]&gt;4,"Good",IF(FlipkartTable[[#This Row],[Rating]]&gt;3.5,"Average","Poor")))</f>
        <v>Average</v>
      </c>
    </row>
    <row r="2196" spans="1:13" x14ac:dyDescent="0.35">
      <c r="A2196" t="s">
        <v>1036</v>
      </c>
      <c r="B2196" s="9" t="s">
        <v>1095</v>
      </c>
      <c r="C2196" t="s">
        <v>19</v>
      </c>
      <c r="D2196" t="s">
        <v>35</v>
      </c>
      <c r="E2196" t="s">
        <v>21</v>
      </c>
      <c r="F2196">
        <v>4.2</v>
      </c>
      <c r="G2196">
        <v>24999</v>
      </c>
      <c r="H2196">
        <v>24999</v>
      </c>
      <c r="I2196">
        <f>FlipkartTable[[#This Row],[Original Price]]-FlipkartTable[[#This Row],[Selling Price]]</f>
        <v>0</v>
      </c>
      <c r="J2196" s="4">
        <f>(FlipkartTable[[#This Row],[Original Price]]-FlipkartTable[[#This Row],[Selling Price]])/FlipkartTable[[#This Row],[Original Price]]</f>
        <v>0</v>
      </c>
      <c r="K2196">
        <f>(FlipkartTable[[#This Row],[Rating]]/FlipkartTable[[#This Row],[Selling Price]])*1000</f>
        <v>0.16800672026881078</v>
      </c>
      <c r="L2196" t="str">
        <f>IF(FlipkartTable[[#This Row],[Selling Price]]&lt;15000,"Budget",IF(FlipkartTable[[#This Row],[Selling Price]]&lt;50000,"Mid Range","Premium"))</f>
        <v>Mid Range</v>
      </c>
      <c r="M2196" t="str">
        <f>IF(FlipkartTable[[#This Row],[Rating]]&gt;4.5,"Excellent",IF(FlipkartTable[[#This Row],[Rating]]&gt;4,"Good",IF(FlipkartTable[[#This Row],[Rating]]&gt;3.5,"Average","Poor")))</f>
        <v>Good</v>
      </c>
    </row>
    <row r="2197" spans="1:13" x14ac:dyDescent="0.35">
      <c r="A2197" t="s">
        <v>1036</v>
      </c>
      <c r="B2197" s="9" t="s">
        <v>1095</v>
      </c>
      <c r="C2197" t="s">
        <v>1120</v>
      </c>
      <c r="D2197" t="s">
        <v>35</v>
      </c>
      <c r="E2197" t="s">
        <v>124</v>
      </c>
      <c r="F2197">
        <v>4.2</v>
      </c>
      <c r="G2197">
        <v>23999</v>
      </c>
      <c r="H2197">
        <v>23999</v>
      </c>
      <c r="I2197">
        <f>FlipkartTable[[#This Row],[Original Price]]-FlipkartTable[[#This Row],[Selling Price]]</f>
        <v>0</v>
      </c>
      <c r="J2197" s="4">
        <f>(FlipkartTable[[#This Row],[Original Price]]-FlipkartTable[[#This Row],[Selling Price]])/FlipkartTable[[#This Row],[Original Price]]</f>
        <v>0</v>
      </c>
      <c r="K2197">
        <f>(FlipkartTable[[#This Row],[Rating]]/FlipkartTable[[#This Row],[Selling Price]])*1000</f>
        <v>0.17500729197049877</v>
      </c>
      <c r="L2197" t="str">
        <f>IF(FlipkartTable[[#This Row],[Selling Price]]&lt;15000,"Budget",IF(FlipkartTable[[#This Row],[Selling Price]]&lt;50000,"Mid Range","Premium"))</f>
        <v>Mid Range</v>
      </c>
      <c r="M2197" t="str">
        <f>IF(FlipkartTable[[#This Row],[Rating]]&gt;4.5,"Excellent",IF(FlipkartTable[[#This Row],[Rating]]&gt;4,"Good",IF(FlipkartTable[[#This Row],[Rating]]&gt;3.5,"Average","Poor")))</f>
        <v>Good</v>
      </c>
    </row>
    <row r="2198" spans="1:13" x14ac:dyDescent="0.35">
      <c r="A2198" t="s">
        <v>1036</v>
      </c>
      <c r="B2198" s="9" t="s">
        <v>1054</v>
      </c>
      <c r="C2198" t="s">
        <v>1055</v>
      </c>
      <c r="D2198" t="s">
        <v>14</v>
      </c>
      <c r="E2198" t="s">
        <v>12</v>
      </c>
      <c r="F2198">
        <v>4.3</v>
      </c>
      <c r="G2198">
        <v>24999</v>
      </c>
      <c r="H2198">
        <v>24999</v>
      </c>
      <c r="I2198">
        <f>FlipkartTable[[#This Row],[Original Price]]-FlipkartTable[[#This Row],[Selling Price]]</f>
        <v>0</v>
      </c>
      <c r="J2198" s="4">
        <f>(FlipkartTable[[#This Row],[Original Price]]-FlipkartTable[[#This Row],[Selling Price]])/FlipkartTable[[#This Row],[Original Price]]</f>
        <v>0</v>
      </c>
      <c r="K2198">
        <f>(FlipkartTable[[#This Row],[Rating]]/FlipkartTable[[#This Row],[Selling Price]])*1000</f>
        <v>0.17200688027521099</v>
      </c>
      <c r="L2198" t="str">
        <f>IF(FlipkartTable[[#This Row],[Selling Price]]&lt;15000,"Budget",IF(FlipkartTable[[#This Row],[Selling Price]]&lt;50000,"Mid Range","Premium"))</f>
        <v>Mid Range</v>
      </c>
      <c r="M2198" t="str">
        <f>IF(FlipkartTable[[#This Row],[Rating]]&gt;4.5,"Excellent",IF(FlipkartTable[[#This Row],[Rating]]&gt;4,"Good",IF(FlipkartTable[[#This Row],[Rating]]&gt;3.5,"Average","Poor")))</f>
        <v>Good</v>
      </c>
    </row>
    <row r="2199" spans="1:13" x14ac:dyDescent="0.35">
      <c r="A2199" t="s">
        <v>1036</v>
      </c>
      <c r="B2199" s="9" t="s">
        <v>1121</v>
      </c>
      <c r="C2199" t="s">
        <v>1055</v>
      </c>
      <c r="D2199" t="s">
        <v>14</v>
      </c>
      <c r="E2199" t="s">
        <v>12</v>
      </c>
      <c r="F2199">
        <v>4.0999999999999996</v>
      </c>
      <c r="G2199">
        <v>14999</v>
      </c>
      <c r="H2199">
        <v>44999</v>
      </c>
      <c r="I2199">
        <f>FlipkartTable[[#This Row],[Original Price]]-FlipkartTable[[#This Row],[Selling Price]]</f>
        <v>30000</v>
      </c>
      <c r="J2199" s="4">
        <f>(FlipkartTable[[#This Row],[Original Price]]-FlipkartTable[[#This Row],[Selling Price]])/FlipkartTable[[#This Row],[Original Price]]</f>
        <v>0.66668148181070686</v>
      </c>
      <c r="K2199">
        <f>(FlipkartTable[[#This Row],[Rating]]/FlipkartTable[[#This Row],[Selling Price]])*1000</f>
        <v>0.27335155677045131</v>
      </c>
      <c r="L2199" t="str">
        <f>IF(FlipkartTable[[#This Row],[Selling Price]]&lt;15000,"Budget",IF(FlipkartTable[[#This Row],[Selling Price]]&lt;50000,"Mid Range","Premium"))</f>
        <v>Budget</v>
      </c>
      <c r="M2199" t="str">
        <f>IF(FlipkartTable[[#This Row],[Rating]]&gt;4.5,"Excellent",IF(FlipkartTable[[#This Row],[Rating]]&gt;4,"Good",IF(FlipkartTable[[#This Row],[Rating]]&gt;3.5,"Average","Poor")))</f>
        <v>Good</v>
      </c>
    </row>
    <row r="2200" spans="1:13" x14ac:dyDescent="0.35">
      <c r="A2200" t="s">
        <v>1036</v>
      </c>
      <c r="B2200" s="9" t="s">
        <v>1063</v>
      </c>
      <c r="C2200" t="s">
        <v>1064</v>
      </c>
      <c r="D2200" t="s">
        <v>20</v>
      </c>
      <c r="E2200" t="s">
        <v>21</v>
      </c>
      <c r="F2200">
        <v>4.2</v>
      </c>
      <c r="G2200">
        <v>13999</v>
      </c>
      <c r="H2200">
        <v>13999</v>
      </c>
      <c r="I2200">
        <f>FlipkartTable[[#This Row],[Original Price]]-FlipkartTable[[#This Row],[Selling Price]]</f>
        <v>0</v>
      </c>
      <c r="J2200" s="4">
        <f>(FlipkartTable[[#This Row],[Original Price]]-FlipkartTable[[#This Row],[Selling Price]])/FlipkartTable[[#This Row],[Original Price]]</f>
        <v>0</v>
      </c>
      <c r="K2200">
        <f>(FlipkartTable[[#This Row],[Rating]]/FlipkartTable[[#This Row],[Selling Price]])*1000</f>
        <v>0.30002143010215016</v>
      </c>
      <c r="L2200" t="str">
        <f>IF(FlipkartTable[[#This Row],[Selling Price]]&lt;15000,"Budget",IF(FlipkartTable[[#This Row],[Selling Price]]&lt;50000,"Mid Range","Premium"))</f>
        <v>Budget</v>
      </c>
      <c r="M2200" t="str">
        <f>IF(FlipkartTable[[#This Row],[Rating]]&gt;4.5,"Excellent",IF(FlipkartTable[[#This Row],[Rating]]&gt;4,"Good",IF(FlipkartTable[[#This Row],[Rating]]&gt;3.5,"Average","Poor")))</f>
        <v>Good</v>
      </c>
    </row>
    <row r="2201" spans="1:13" x14ac:dyDescent="0.35">
      <c r="A2201" t="s">
        <v>1036</v>
      </c>
      <c r="B2201" s="9" t="s">
        <v>1093</v>
      </c>
      <c r="C2201" t="s">
        <v>978</v>
      </c>
      <c r="D2201" t="s">
        <v>11</v>
      </c>
      <c r="E2201" t="s">
        <v>21</v>
      </c>
      <c r="F2201">
        <v>4.0999999999999996</v>
      </c>
      <c r="G2201">
        <v>8390</v>
      </c>
      <c r="H2201">
        <v>14999</v>
      </c>
      <c r="I2201">
        <f>FlipkartTable[[#This Row],[Original Price]]-FlipkartTable[[#This Row],[Selling Price]]</f>
        <v>6609</v>
      </c>
      <c r="J2201" s="4">
        <f>(FlipkartTable[[#This Row],[Original Price]]-FlipkartTable[[#This Row],[Selling Price]])/FlipkartTable[[#This Row],[Original Price]]</f>
        <v>0.44062937529168611</v>
      </c>
      <c r="K2201">
        <f>(FlipkartTable[[#This Row],[Rating]]/FlipkartTable[[#This Row],[Selling Price]])*1000</f>
        <v>0.48867699642431467</v>
      </c>
      <c r="L2201" t="str">
        <f>IF(FlipkartTable[[#This Row],[Selling Price]]&lt;15000,"Budget",IF(FlipkartTable[[#This Row],[Selling Price]]&lt;50000,"Mid Range","Premium"))</f>
        <v>Budget</v>
      </c>
      <c r="M2201" t="str">
        <f>IF(FlipkartTable[[#This Row],[Rating]]&gt;4.5,"Excellent",IF(FlipkartTable[[#This Row],[Rating]]&gt;4,"Good",IF(FlipkartTable[[#This Row],[Rating]]&gt;3.5,"Average","Poor")))</f>
        <v>Good</v>
      </c>
    </row>
    <row r="2202" spans="1:13" x14ac:dyDescent="0.35">
      <c r="A2202" t="s">
        <v>1036</v>
      </c>
      <c r="B2202" s="9" t="s">
        <v>1107</v>
      </c>
      <c r="C2202" t="s">
        <v>1064</v>
      </c>
      <c r="D2202" t="s">
        <v>20</v>
      </c>
      <c r="E2202" t="s">
        <v>21</v>
      </c>
      <c r="F2202">
        <v>4.0999999999999996</v>
      </c>
      <c r="G2202">
        <v>12999</v>
      </c>
      <c r="H2202">
        <v>12999</v>
      </c>
      <c r="I2202">
        <f>FlipkartTable[[#This Row],[Original Price]]-FlipkartTable[[#This Row],[Selling Price]]</f>
        <v>0</v>
      </c>
      <c r="J2202" s="4">
        <f>(FlipkartTable[[#This Row],[Original Price]]-FlipkartTable[[#This Row],[Selling Price]])/FlipkartTable[[#This Row],[Original Price]]</f>
        <v>0</v>
      </c>
      <c r="K2202">
        <f>(FlipkartTable[[#This Row],[Rating]]/FlipkartTable[[#This Row],[Selling Price]])*1000</f>
        <v>0.31540887760596964</v>
      </c>
      <c r="L2202" t="str">
        <f>IF(FlipkartTable[[#This Row],[Selling Price]]&lt;15000,"Budget",IF(FlipkartTable[[#This Row],[Selling Price]]&lt;50000,"Mid Range","Premium"))</f>
        <v>Budget</v>
      </c>
      <c r="M2202" t="str">
        <f>IF(FlipkartTable[[#This Row],[Rating]]&gt;4.5,"Excellent",IF(FlipkartTable[[#This Row],[Rating]]&gt;4,"Good",IF(FlipkartTable[[#This Row],[Rating]]&gt;3.5,"Average","Poor")))</f>
        <v>Good</v>
      </c>
    </row>
    <row r="2203" spans="1:13" x14ac:dyDescent="0.35">
      <c r="A2203" t="s">
        <v>1036</v>
      </c>
      <c r="B2203" s="9" t="s">
        <v>1054</v>
      </c>
      <c r="C2203" t="s">
        <v>1055</v>
      </c>
      <c r="D2203" t="s">
        <v>11</v>
      </c>
      <c r="E2203" t="s">
        <v>12</v>
      </c>
      <c r="F2203">
        <v>4.3</v>
      </c>
      <c r="G2203">
        <v>23999</v>
      </c>
      <c r="H2203">
        <v>23999</v>
      </c>
      <c r="I2203">
        <f>FlipkartTable[[#This Row],[Original Price]]-FlipkartTable[[#This Row],[Selling Price]]</f>
        <v>0</v>
      </c>
      <c r="J2203" s="4">
        <f>(FlipkartTable[[#This Row],[Original Price]]-FlipkartTable[[#This Row],[Selling Price]])/FlipkartTable[[#This Row],[Original Price]]</f>
        <v>0</v>
      </c>
      <c r="K2203">
        <f>(FlipkartTable[[#This Row],[Rating]]/FlipkartTable[[#This Row],[Selling Price]])*1000</f>
        <v>0.17917413225551065</v>
      </c>
      <c r="L2203" t="str">
        <f>IF(FlipkartTable[[#This Row],[Selling Price]]&lt;15000,"Budget",IF(FlipkartTable[[#This Row],[Selling Price]]&lt;50000,"Mid Range","Premium"))</f>
        <v>Mid Range</v>
      </c>
      <c r="M2203" t="str">
        <f>IF(FlipkartTable[[#This Row],[Rating]]&gt;4.5,"Excellent",IF(FlipkartTable[[#This Row],[Rating]]&gt;4,"Good",IF(FlipkartTable[[#This Row],[Rating]]&gt;3.5,"Average","Poor")))</f>
        <v>Good</v>
      </c>
    </row>
    <row r="2204" spans="1:13" x14ac:dyDescent="0.35">
      <c r="A2204" t="s">
        <v>1036</v>
      </c>
      <c r="B2204" s="9" t="s">
        <v>1112</v>
      </c>
      <c r="C2204" t="s">
        <v>19</v>
      </c>
      <c r="D2204" t="s">
        <v>35</v>
      </c>
      <c r="E2204" t="s">
        <v>124</v>
      </c>
      <c r="F2204">
        <v>3.9</v>
      </c>
      <c r="G2204">
        <v>6399</v>
      </c>
      <c r="H2204">
        <v>6399</v>
      </c>
      <c r="I2204">
        <f>FlipkartTable[[#This Row],[Original Price]]-FlipkartTable[[#This Row],[Selling Price]]</f>
        <v>0</v>
      </c>
      <c r="J2204" s="4">
        <f>(FlipkartTable[[#This Row],[Original Price]]-FlipkartTable[[#This Row],[Selling Price]])/FlipkartTable[[#This Row],[Original Price]]</f>
        <v>0</v>
      </c>
      <c r="K2204">
        <f>(FlipkartTable[[#This Row],[Rating]]/FlipkartTable[[#This Row],[Selling Price]])*1000</f>
        <v>0.60947022972339426</v>
      </c>
      <c r="L2204" t="str">
        <f>IF(FlipkartTable[[#This Row],[Selling Price]]&lt;15000,"Budget",IF(FlipkartTable[[#This Row],[Selling Price]]&lt;50000,"Mid Range","Premium"))</f>
        <v>Budget</v>
      </c>
      <c r="M2204" t="str">
        <f>IF(FlipkartTable[[#This Row],[Rating]]&gt;4.5,"Excellent",IF(FlipkartTable[[#This Row],[Rating]]&gt;4,"Good",IF(FlipkartTable[[#This Row],[Rating]]&gt;3.5,"Average","Poor")))</f>
        <v>Average</v>
      </c>
    </row>
    <row r="2205" spans="1:13" x14ac:dyDescent="0.35">
      <c r="A2205" t="s">
        <v>1036</v>
      </c>
      <c r="B2205" s="9" t="s">
        <v>1065</v>
      </c>
      <c r="C2205" t="s">
        <v>141</v>
      </c>
      <c r="D2205" t="s">
        <v>20</v>
      </c>
      <c r="E2205" t="s">
        <v>21</v>
      </c>
      <c r="F2205">
        <v>3.9</v>
      </c>
      <c r="G2205">
        <v>14999</v>
      </c>
      <c r="H2205">
        <v>14999</v>
      </c>
      <c r="I2205">
        <f>FlipkartTable[[#This Row],[Original Price]]-FlipkartTable[[#This Row],[Selling Price]]</f>
        <v>0</v>
      </c>
      <c r="J2205" s="4">
        <f>(FlipkartTable[[#This Row],[Original Price]]-FlipkartTable[[#This Row],[Selling Price]])/FlipkartTable[[#This Row],[Original Price]]</f>
        <v>0</v>
      </c>
      <c r="K2205">
        <f>(FlipkartTable[[#This Row],[Rating]]/FlipkartTable[[#This Row],[Selling Price]])*1000</f>
        <v>0.26001733448896591</v>
      </c>
      <c r="L2205" t="str">
        <f>IF(FlipkartTable[[#This Row],[Selling Price]]&lt;15000,"Budget",IF(FlipkartTable[[#This Row],[Selling Price]]&lt;50000,"Mid Range","Premium"))</f>
        <v>Budget</v>
      </c>
      <c r="M2205" t="str">
        <f>IF(FlipkartTable[[#This Row],[Rating]]&gt;4.5,"Excellent",IF(FlipkartTable[[#This Row],[Rating]]&gt;4,"Good",IF(FlipkartTable[[#This Row],[Rating]]&gt;3.5,"Average","Poor")))</f>
        <v>Average</v>
      </c>
    </row>
    <row r="2206" spans="1:13" x14ac:dyDescent="0.35">
      <c r="A2206" t="s">
        <v>1036</v>
      </c>
      <c r="B2206" s="9" t="s">
        <v>1065</v>
      </c>
      <c r="C2206" t="s">
        <v>170</v>
      </c>
      <c r="D2206" t="s">
        <v>20</v>
      </c>
      <c r="E2206" t="s">
        <v>21</v>
      </c>
      <c r="F2206">
        <v>3.9</v>
      </c>
      <c r="G2206">
        <v>14999</v>
      </c>
      <c r="H2206">
        <v>14999</v>
      </c>
      <c r="I2206">
        <f>FlipkartTable[[#This Row],[Original Price]]-FlipkartTable[[#This Row],[Selling Price]]</f>
        <v>0</v>
      </c>
      <c r="J2206" s="4">
        <f>(FlipkartTable[[#This Row],[Original Price]]-FlipkartTable[[#This Row],[Selling Price]])/FlipkartTable[[#This Row],[Original Price]]</f>
        <v>0</v>
      </c>
      <c r="K2206">
        <f>(FlipkartTable[[#This Row],[Rating]]/FlipkartTable[[#This Row],[Selling Price]])*1000</f>
        <v>0.26001733448896591</v>
      </c>
      <c r="L2206" t="str">
        <f>IF(FlipkartTable[[#This Row],[Selling Price]]&lt;15000,"Budget",IF(FlipkartTable[[#This Row],[Selling Price]]&lt;50000,"Mid Range","Premium"))</f>
        <v>Budget</v>
      </c>
      <c r="M2206" t="str">
        <f>IF(FlipkartTable[[#This Row],[Rating]]&gt;4.5,"Excellent",IF(FlipkartTable[[#This Row],[Rating]]&gt;4,"Good",IF(FlipkartTable[[#This Row],[Rating]]&gt;3.5,"Average","Poor")))</f>
        <v>Average</v>
      </c>
    </row>
    <row r="2207" spans="1:13" x14ac:dyDescent="0.35">
      <c r="A2207" t="s">
        <v>1036</v>
      </c>
      <c r="B2207" s="9" t="s">
        <v>1065</v>
      </c>
      <c r="C2207" t="s">
        <v>116</v>
      </c>
      <c r="D2207" t="s">
        <v>20</v>
      </c>
      <c r="E2207" t="s">
        <v>21</v>
      </c>
      <c r="F2207">
        <v>3.9</v>
      </c>
      <c r="G2207">
        <v>14999</v>
      </c>
      <c r="H2207">
        <v>14999</v>
      </c>
      <c r="I2207">
        <f>FlipkartTable[[#This Row],[Original Price]]-FlipkartTable[[#This Row],[Selling Price]]</f>
        <v>0</v>
      </c>
      <c r="J2207" s="4">
        <f>(FlipkartTable[[#This Row],[Original Price]]-FlipkartTable[[#This Row],[Selling Price]])/FlipkartTable[[#This Row],[Original Price]]</f>
        <v>0</v>
      </c>
      <c r="K2207">
        <f>(FlipkartTable[[#This Row],[Rating]]/FlipkartTable[[#This Row],[Selling Price]])*1000</f>
        <v>0.26001733448896591</v>
      </c>
      <c r="L2207" t="str">
        <f>IF(FlipkartTable[[#This Row],[Selling Price]]&lt;15000,"Budget",IF(FlipkartTable[[#This Row],[Selling Price]]&lt;50000,"Mid Range","Premium"))</f>
        <v>Budget</v>
      </c>
      <c r="M2207" t="str">
        <f>IF(FlipkartTable[[#This Row],[Rating]]&gt;4.5,"Excellent",IF(FlipkartTable[[#This Row],[Rating]]&gt;4,"Good",IF(FlipkartTable[[#This Row],[Rating]]&gt;3.5,"Average","Poor")))</f>
        <v>Average</v>
      </c>
    </row>
    <row r="2208" spans="1:13" x14ac:dyDescent="0.35">
      <c r="A2208" t="s">
        <v>1036</v>
      </c>
      <c r="B2208" s="9" t="s">
        <v>1110</v>
      </c>
      <c r="C2208" t="s">
        <v>152</v>
      </c>
      <c r="D2208" t="s">
        <v>20</v>
      </c>
      <c r="E2208" t="s">
        <v>21</v>
      </c>
      <c r="F2208">
        <v>4</v>
      </c>
      <c r="G2208">
        <v>6999</v>
      </c>
      <c r="H2208">
        <v>6999</v>
      </c>
      <c r="I2208">
        <f>FlipkartTable[[#This Row],[Original Price]]-FlipkartTable[[#This Row],[Selling Price]]</f>
        <v>0</v>
      </c>
      <c r="J2208" s="4">
        <f>(FlipkartTable[[#This Row],[Original Price]]-FlipkartTable[[#This Row],[Selling Price]])/FlipkartTable[[#This Row],[Original Price]]</f>
        <v>0</v>
      </c>
      <c r="K2208">
        <f>(FlipkartTable[[#This Row],[Rating]]/FlipkartTable[[#This Row],[Selling Price]])*1000</f>
        <v>0.57151021574510652</v>
      </c>
      <c r="L2208" t="str">
        <f>IF(FlipkartTable[[#This Row],[Selling Price]]&lt;15000,"Budget",IF(FlipkartTable[[#This Row],[Selling Price]]&lt;50000,"Mid Range","Premium"))</f>
        <v>Budget</v>
      </c>
      <c r="M2208" t="str">
        <f>IF(FlipkartTable[[#This Row],[Rating]]&gt;4.5,"Excellent",IF(FlipkartTable[[#This Row],[Rating]]&gt;4,"Good",IF(FlipkartTable[[#This Row],[Rating]]&gt;3.5,"Average","Poor")))</f>
        <v>Average</v>
      </c>
    </row>
    <row r="2209" spans="1:13" x14ac:dyDescent="0.35">
      <c r="A2209" t="s">
        <v>1036</v>
      </c>
      <c r="B2209" s="9" t="s">
        <v>1065</v>
      </c>
      <c r="C2209" t="s">
        <v>141</v>
      </c>
      <c r="D2209" t="s">
        <v>11</v>
      </c>
      <c r="E2209" t="s">
        <v>12</v>
      </c>
      <c r="F2209">
        <v>3.9</v>
      </c>
      <c r="G2209">
        <v>9999</v>
      </c>
      <c r="H2209">
        <v>9999</v>
      </c>
      <c r="I2209">
        <f>FlipkartTable[[#This Row],[Original Price]]-FlipkartTable[[#This Row],[Selling Price]]</f>
        <v>0</v>
      </c>
      <c r="J2209" s="4">
        <f>(FlipkartTable[[#This Row],[Original Price]]-FlipkartTable[[#This Row],[Selling Price]])/FlipkartTable[[#This Row],[Original Price]]</f>
        <v>0</v>
      </c>
      <c r="K2209">
        <f>(FlipkartTable[[#This Row],[Rating]]/FlipkartTable[[#This Row],[Selling Price]])*1000</f>
        <v>0.39003900390038998</v>
      </c>
      <c r="L2209" t="str">
        <f>IF(FlipkartTable[[#This Row],[Selling Price]]&lt;15000,"Budget",IF(FlipkartTable[[#This Row],[Selling Price]]&lt;50000,"Mid Range","Premium"))</f>
        <v>Budget</v>
      </c>
      <c r="M2209" t="str">
        <f>IF(FlipkartTable[[#This Row],[Rating]]&gt;4.5,"Excellent",IF(FlipkartTable[[#This Row],[Rating]]&gt;4,"Good",IF(FlipkartTable[[#This Row],[Rating]]&gt;3.5,"Average","Poor")))</f>
        <v>Average</v>
      </c>
    </row>
    <row r="2210" spans="1:13" x14ac:dyDescent="0.35">
      <c r="A2210" t="s">
        <v>1036</v>
      </c>
      <c r="B2210" s="9" t="s">
        <v>1083</v>
      </c>
      <c r="C2210" t="s">
        <v>405</v>
      </c>
      <c r="D2210" t="s">
        <v>11</v>
      </c>
      <c r="E2210" t="s">
        <v>15</v>
      </c>
      <c r="F2210">
        <v>4.2</v>
      </c>
      <c r="G2210">
        <v>10999</v>
      </c>
      <c r="H2210">
        <v>16999</v>
      </c>
      <c r="I2210">
        <f>FlipkartTable[[#This Row],[Original Price]]-FlipkartTable[[#This Row],[Selling Price]]</f>
        <v>6000</v>
      </c>
      <c r="J2210" s="4">
        <f>(FlipkartTable[[#This Row],[Original Price]]-FlipkartTable[[#This Row],[Selling Price]])/FlipkartTable[[#This Row],[Original Price]]</f>
        <v>0.35296193893758454</v>
      </c>
      <c r="K2210">
        <f>(FlipkartTable[[#This Row],[Rating]]/FlipkartTable[[#This Row],[Selling Price]])*1000</f>
        <v>0.38185289571779252</v>
      </c>
      <c r="L2210" t="str">
        <f>IF(FlipkartTable[[#This Row],[Selling Price]]&lt;15000,"Budget",IF(FlipkartTable[[#This Row],[Selling Price]]&lt;50000,"Mid Range","Premium"))</f>
        <v>Budget</v>
      </c>
      <c r="M2210" t="str">
        <f>IF(FlipkartTable[[#This Row],[Rating]]&gt;4.5,"Excellent",IF(FlipkartTable[[#This Row],[Rating]]&gt;4,"Good",IF(FlipkartTable[[#This Row],[Rating]]&gt;3.5,"Average","Poor")))</f>
        <v>Good</v>
      </c>
    </row>
    <row r="2211" spans="1:13" x14ac:dyDescent="0.35">
      <c r="A2211" t="s">
        <v>1036</v>
      </c>
      <c r="B2211" s="9" t="s">
        <v>1110</v>
      </c>
      <c r="C2211" t="s">
        <v>19</v>
      </c>
      <c r="D2211" t="s">
        <v>35</v>
      </c>
      <c r="E2211" t="s">
        <v>124</v>
      </c>
      <c r="F2211">
        <v>4</v>
      </c>
      <c r="G2211">
        <v>6999</v>
      </c>
      <c r="H2211">
        <v>13499</v>
      </c>
      <c r="I2211">
        <f>FlipkartTable[[#This Row],[Original Price]]-FlipkartTable[[#This Row],[Selling Price]]</f>
        <v>6500</v>
      </c>
      <c r="J2211" s="4">
        <f>(FlipkartTable[[#This Row],[Original Price]]-FlipkartTable[[#This Row],[Selling Price]])/FlipkartTable[[#This Row],[Original Price]]</f>
        <v>0.48151714941847545</v>
      </c>
      <c r="K2211">
        <f>(FlipkartTable[[#This Row],[Rating]]/FlipkartTable[[#This Row],[Selling Price]])*1000</f>
        <v>0.57151021574510652</v>
      </c>
      <c r="L2211" t="str">
        <f>IF(FlipkartTable[[#This Row],[Selling Price]]&lt;15000,"Budget",IF(FlipkartTable[[#This Row],[Selling Price]]&lt;50000,"Mid Range","Premium"))</f>
        <v>Budget</v>
      </c>
      <c r="M2211" t="str">
        <f>IF(FlipkartTable[[#This Row],[Rating]]&gt;4.5,"Excellent",IF(FlipkartTable[[#This Row],[Rating]]&gt;4,"Good",IF(FlipkartTable[[#This Row],[Rating]]&gt;3.5,"Average","Poor")))</f>
        <v>Average</v>
      </c>
    </row>
    <row r="2212" spans="1:13" x14ac:dyDescent="0.35">
      <c r="A2212" t="s">
        <v>1036</v>
      </c>
      <c r="B2212" s="9" t="s">
        <v>1065</v>
      </c>
      <c r="C2212" t="s">
        <v>170</v>
      </c>
      <c r="D2212" t="s">
        <v>11</v>
      </c>
      <c r="E2212" t="s">
        <v>12</v>
      </c>
      <c r="F2212">
        <v>3.9</v>
      </c>
      <c r="G2212">
        <v>10910</v>
      </c>
      <c r="H2212">
        <v>10910</v>
      </c>
      <c r="I2212">
        <f>FlipkartTable[[#This Row],[Original Price]]-FlipkartTable[[#This Row],[Selling Price]]</f>
        <v>0</v>
      </c>
      <c r="J2212" s="4">
        <f>(FlipkartTable[[#This Row],[Original Price]]-FlipkartTable[[#This Row],[Selling Price]])/FlipkartTable[[#This Row],[Original Price]]</f>
        <v>0</v>
      </c>
      <c r="K2212">
        <f>(FlipkartTable[[#This Row],[Rating]]/FlipkartTable[[#This Row],[Selling Price]])*1000</f>
        <v>0.3574702108157653</v>
      </c>
      <c r="L2212" t="str">
        <f>IF(FlipkartTable[[#This Row],[Selling Price]]&lt;15000,"Budget",IF(FlipkartTable[[#This Row],[Selling Price]]&lt;50000,"Mid Range","Premium"))</f>
        <v>Budget</v>
      </c>
      <c r="M2212" t="str">
        <f>IF(FlipkartTable[[#This Row],[Rating]]&gt;4.5,"Excellent",IF(FlipkartTable[[#This Row],[Rating]]&gt;4,"Good",IF(FlipkartTable[[#This Row],[Rating]]&gt;3.5,"Average","Poor")))</f>
        <v>Average</v>
      </c>
    </row>
    <row r="2213" spans="1:13" x14ac:dyDescent="0.35">
      <c r="A2213" t="s">
        <v>975</v>
      </c>
      <c r="B2213" s="9" t="s">
        <v>1022</v>
      </c>
      <c r="C2213" t="s">
        <v>19</v>
      </c>
      <c r="D2213" t="s">
        <v>20</v>
      </c>
      <c r="E2213" t="s">
        <v>21</v>
      </c>
      <c r="F2213">
        <v>4.2</v>
      </c>
      <c r="G2213">
        <v>9999</v>
      </c>
      <c r="H2213">
        <v>9999</v>
      </c>
      <c r="I2213">
        <f>FlipkartTable[[#This Row],[Original Price]]-FlipkartTable[[#This Row],[Selling Price]]</f>
        <v>0</v>
      </c>
      <c r="J2213" s="4">
        <f>(FlipkartTable[[#This Row],[Original Price]]-FlipkartTable[[#This Row],[Selling Price]])/FlipkartTable[[#This Row],[Original Price]]</f>
        <v>0</v>
      </c>
      <c r="K2213">
        <f>(FlipkartTable[[#This Row],[Rating]]/FlipkartTable[[#This Row],[Selling Price]])*1000</f>
        <v>0.42004200420042004</v>
      </c>
      <c r="L2213" t="str">
        <f>IF(FlipkartTable[[#This Row],[Selling Price]]&lt;15000,"Budget",IF(FlipkartTable[[#This Row],[Selling Price]]&lt;50000,"Mid Range","Premium"))</f>
        <v>Budget</v>
      </c>
      <c r="M2213" t="str">
        <f>IF(FlipkartTable[[#This Row],[Rating]]&gt;4.5,"Excellent",IF(FlipkartTable[[#This Row],[Rating]]&gt;4,"Good",IF(FlipkartTable[[#This Row],[Rating]]&gt;3.5,"Average","Poor")))</f>
        <v>Good</v>
      </c>
    </row>
    <row r="2214" spans="1:13" x14ac:dyDescent="0.35">
      <c r="A2214" t="s">
        <v>975</v>
      </c>
      <c r="B2214" s="9" t="s">
        <v>1022</v>
      </c>
      <c r="C2214" t="s">
        <v>22</v>
      </c>
      <c r="D2214" t="s">
        <v>20</v>
      </c>
      <c r="E2214" t="s">
        <v>21</v>
      </c>
      <c r="F2214">
        <v>4.2</v>
      </c>
      <c r="G2214">
        <v>9999</v>
      </c>
      <c r="H2214">
        <v>9999</v>
      </c>
      <c r="I2214">
        <f>FlipkartTable[[#This Row],[Original Price]]-FlipkartTable[[#This Row],[Selling Price]]</f>
        <v>0</v>
      </c>
      <c r="J2214" s="4">
        <f>(FlipkartTable[[#This Row],[Original Price]]-FlipkartTable[[#This Row],[Selling Price]])/FlipkartTable[[#This Row],[Original Price]]</f>
        <v>0</v>
      </c>
      <c r="K2214">
        <f>(FlipkartTable[[#This Row],[Rating]]/FlipkartTable[[#This Row],[Selling Price]])*1000</f>
        <v>0.42004200420042004</v>
      </c>
      <c r="L2214" t="str">
        <f>IF(FlipkartTable[[#This Row],[Selling Price]]&lt;15000,"Budget",IF(FlipkartTable[[#This Row],[Selling Price]]&lt;50000,"Mid Range","Premium"))</f>
        <v>Budget</v>
      </c>
      <c r="M2214" t="str">
        <f>IF(FlipkartTable[[#This Row],[Rating]]&gt;4.5,"Excellent",IF(FlipkartTable[[#This Row],[Rating]]&gt;4,"Good",IF(FlipkartTable[[#This Row],[Rating]]&gt;3.5,"Average","Poor")))</f>
        <v>Good</v>
      </c>
    </row>
    <row r="2215" spans="1:13" x14ac:dyDescent="0.35">
      <c r="A2215" t="s">
        <v>1122</v>
      </c>
      <c r="B2215" s="9" t="s">
        <v>1123</v>
      </c>
      <c r="C2215" t="s">
        <v>1124</v>
      </c>
      <c r="D2215" t="s">
        <v>27</v>
      </c>
      <c r="E2215" t="s">
        <v>15</v>
      </c>
      <c r="F2215">
        <v>4.4000000000000004</v>
      </c>
      <c r="G2215">
        <v>20999</v>
      </c>
      <c r="H2215">
        <v>25999</v>
      </c>
      <c r="I2215">
        <f>FlipkartTable[[#This Row],[Original Price]]-FlipkartTable[[#This Row],[Selling Price]]</f>
        <v>5000</v>
      </c>
      <c r="J2215" s="4">
        <f>(FlipkartTable[[#This Row],[Original Price]]-FlipkartTable[[#This Row],[Selling Price]])/FlipkartTable[[#This Row],[Original Price]]</f>
        <v>0.19231508904188624</v>
      </c>
      <c r="K2215">
        <f>(FlipkartTable[[#This Row],[Rating]]/FlipkartTable[[#This Row],[Selling Price]])*1000</f>
        <v>0.20953378732320588</v>
      </c>
      <c r="L2215" t="str">
        <f>IF(FlipkartTable[[#This Row],[Selling Price]]&lt;15000,"Budget",IF(FlipkartTable[[#This Row],[Selling Price]]&lt;50000,"Mid Range","Premium"))</f>
        <v>Mid Range</v>
      </c>
      <c r="M2215" t="str">
        <f>IF(FlipkartTable[[#This Row],[Rating]]&gt;4.5,"Excellent",IF(FlipkartTable[[#This Row],[Rating]]&gt;4,"Good",IF(FlipkartTable[[#This Row],[Rating]]&gt;3.5,"Average","Poor")))</f>
        <v>Good</v>
      </c>
    </row>
    <row r="2216" spans="1:13" x14ac:dyDescent="0.35">
      <c r="A2216" t="s">
        <v>1122</v>
      </c>
      <c r="B2216" s="9" t="s">
        <v>1123</v>
      </c>
      <c r="C2216" t="s">
        <v>1125</v>
      </c>
      <c r="D2216" t="s">
        <v>27</v>
      </c>
      <c r="E2216" t="s">
        <v>15</v>
      </c>
      <c r="F2216">
        <v>4.4000000000000004</v>
      </c>
      <c r="G2216">
        <v>20999</v>
      </c>
      <c r="H2216">
        <v>25999</v>
      </c>
      <c r="I2216">
        <f>FlipkartTable[[#This Row],[Original Price]]-FlipkartTable[[#This Row],[Selling Price]]</f>
        <v>5000</v>
      </c>
      <c r="J2216" s="4">
        <f>(FlipkartTable[[#This Row],[Original Price]]-FlipkartTable[[#This Row],[Selling Price]])/FlipkartTable[[#This Row],[Original Price]]</f>
        <v>0.19231508904188624</v>
      </c>
      <c r="K2216">
        <f>(FlipkartTable[[#This Row],[Rating]]/FlipkartTable[[#This Row],[Selling Price]])*1000</f>
        <v>0.20953378732320588</v>
      </c>
      <c r="L2216" t="str">
        <f>IF(FlipkartTable[[#This Row],[Selling Price]]&lt;15000,"Budget",IF(FlipkartTable[[#This Row],[Selling Price]]&lt;50000,"Mid Range","Premium"))</f>
        <v>Mid Range</v>
      </c>
      <c r="M2216" t="str">
        <f>IF(FlipkartTable[[#This Row],[Rating]]&gt;4.5,"Excellent",IF(FlipkartTable[[#This Row],[Rating]]&gt;4,"Good",IF(FlipkartTable[[#This Row],[Rating]]&gt;3.5,"Average","Poor")))</f>
        <v>Good</v>
      </c>
    </row>
    <row r="2217" spans="1:13" x14ac:dyDescent="0.35">
      <c r="A2217" t="s">
        <v>1122</v>
      </c>
      <c r="B2217" s="9" t="s">
        <v>1123</v>
      </c>
      <c r="C2217" t="s">
        <v>1124</v>
      </c>
      <c r="D2217" t="s">
        <v>14</v>
      </c>
      <c r="E2217" t="s">
        <v>15</v>
      </c>
      <c r="F2217">
        <v>4.4000000000000004</v>
      </c>
      <c r="G2217">
        <v>18999</v>
      </c>
      <c r="H2217">
        <v>23999</v>
      </c>
      <c r="I2217">
        <f>FlipkartTable[[#This Row],[Original Price]]-FlipkartTable[[#This Row],[Selling Price]]</f>
        <v>5000</v>
      </c>
      <c r="J2217" s="4">
        <f>(FlipkartTable[[#This Row],[Original Price]]-FlipkartTable[[#This Row],[Selling Price]])/FlipkartTable[[#This Row],[Original Price]]</f>
        <v>0.20834201425059379</v>
      </c>
      <c r="K2217">
        <f>(FlipkartTable[[#This Row],[Rating]]/FlipkartTable[[#This Row],[Selling Price]])*1000</f>
        <v>0.23159113637559872</v>
      </c>
      <c r="L2217" t="str">
        <f>IF(FlipkartTable[[#This Row],[Selling Price]]&lt;15000,"Budget",IF(FlipkartTable[[#This Row],[Selling Price]]&lt;50000,"Mid Range","Premium"))</f>
        <v>Mid Range</v>
      </c>
      <c r="M2217" t="str">
        <f>IF(FlipkartTable[[#This Row],[Rating]]&gt;4.5,"Excellent",IF(FlipkartTable[[#This Row],[Rating]]&gt;4,"Good",IF(FlipkartTable[[#This Row],[Rating]]&gt;3.5,"Average","Poor")))</f>
        <v>Good</v>
      </c>
    </row>
    <row r="2218" spans="1:13" x14ac:dyDescent="0.35">
      <c r="A2218" t="s">
        <v>1122</v>
      </c>
      <c r="B2218" s="9" t="s">
        <v>1123</v>
      </c>
      <c r="C2218" t="s">
        <v>1125</v>
      </c>
      <c r="D2218" t="s">
        <v>14</v>
      </c>
      <c r="E2218" t="s">
        <v>15</v>
      </c>
      <c r="F2218">
        <v>4.4000000000000004</v>
      </c>
      <c r="G2218">
        <v>18999</v>
      </c>
      <c r="H2218">
        <v>23999</v>
      </c>
      <c r="I2218">
        <f>FlipkartTable[[#This Row],[Original Price]]-FlipkartTable[[#This Row],[Selling Price]]</f>
        <v>5000</v>
      </c>
      <c r="J2218" s="4">
        <f>(FlipkartTable[[#This Row],[Original Price]]-FlipkartTable[[#This Row],[Selling Price]])/FlipkartTable[[#This Row],[Original Price]]</f>
        <v>0.20834201425059379</v>
      </c>
      <c r="K2218">
        <f>(FlipkartTable[[#This Row],[Rating]]/FlipkartTable[[#This Row],[Selling Price]])*1000</f>
        <v>0.23159113637559872</v>
      </c>
      <c r="L2218" t="str">
        <f>IF(FlipkartTable[[#This Row],[Selling Price]]&lt;15000,"Budget",IF(FlipkartTable[[#This Row],[Selling Price]]&lt;50000,"Mid Range","Premium"))</f>
        <v>Mid Range</v>
      </c>
      <c r="M2218" t="str">
        <f>IF(FlipkartTable[[#This Row],[Rating]]&gt;4.5,"Excellent",IF(FlipkartTable[[#This Row],[Rating]]&gt;4,"Good",IF(FlipkartTable[[#This Row],[Rating]]&gt;3.5,"Average","Poor")))</f>
        <v>Good</v>
      </c>
    </row>
    <row r="2219" spans="1:13" x14ac:dyDescent="0.35">
      <c r="A2219" t="s">
        <v>1122</v>
      </c>
      <c r="B2219" s="9" t="s">
        <v>1126</v>
      </c>
      <c r="C2219" t="s">
        <v>345</v>
      </c>
      <c r="D2219" t="s">
        <v>14</v>
      </c>
      <c r="E2219" t="s">
        <v>15</v>
      </c>
      <c r="F2219">
        <v>4.2</v>
      </c>
      <c r="G2219">
        <v>16499</v>
      </c>
      <c r="H2219">
        <v>17999</v>
      </c>
      <c r="I2219">
        <f>FlipkartTable[[#This Row],[Original Price]]-FlipkartTable[[#This Row],[Selling Price]]</f>
        <v>1500</v>
      </c>
      <c r="J2219" s="4">
        <f>(FlipkartTable[[#This Row],[Original Price]]-FlipkartTable[[#This Row],[Selling Price]])/FlipkartTable[[#This Row],[Original Price]]</f>
        <v>8.3337963220178904E-2</v>
      </c>
      <c r="K2219">
        <f>(FlipkartTable[[#This Row],[Rating]]/FlipkartTable[[#This Row],[Selling Price]])*1000</f>
        <v>0.25456088247772596</v>
      </c>
      <c r="L2219" t="str">
        <f>IF(FlipkartTable[[#This Row],[Selling Price]]&lt;15000,"Budget",IF(FlipkartTable[[#This Row],[Selling Price]]&lt;50000,"Mid Range","Premium"))</f>
        <v>Mid Range</v>
      </c>
      <c r="M2219" t="str">
        <f>IF(FlipkartTable[[#This Row],[Rating]]&gt;4.5,"Excellent",IF(FlipkartTable[[#This Row],[Rating]]&gt;4,"Good",IF(FlipkartTable[[#This Row],[Rating]]&gt;3.5,"Average","Poor")))</f>
        <v>Good</v>
      </c>
    </row>
    <row r="2220" spans="1:13" x14ac:dyDescent="0.35">
      <c r="A2220" t="s">
        <v>1122</v>
      </c>
      <c r="B2220" s="9" t="s">
        <v>1126</v>
      </c>
      <c r="C2220" t="s">
        <v>329</v>
      </c>
      <c r="D2220" t="s">
        <v>14</v>
      </c>
      <c r="E2220" t="s">
        <v>15</v>
      </c>
      <c r="F2220">
        <v>4.2</v>
      </c>
      <c r="G2220">
        <v>16499</v>
      </c>
      <c r="H2220">
        <v>17999</v>
      </c>
      <c r="I2220">
        <f>FlipkartTable[[#This Row],[Original Price]]-FlipkartTable[[#This Row],[Selling Price]]</f>
        <v>1500</v>
      </c>
      <c r="J2220" s="4">
        <f>(FlipkartTable[[#This Row],[Original Price]]-FlipkartTable[[#This Row],[Selling Price]])/FlipkartTable[[#This Row],[Original Price]]</f>
        <v>8.3337963220178904E-2</v>
      </c>
      <c r="K2220">
        <f>(FlipkartTable[[#This Row],[Rating]]/FlipkartTable[[#This Row],[Selling Price]])*1000</f>
        <v>0.25456088247772596</v>
      </c>
      <c r="L2220" t="str">
        <f>IF(FlipkartTable[[#This Row],[Selling Price]]&lt;15000,"Budget",IF(FlipkartTable[[#This Row],[Selling Price]]&lt;50000,"Mid Range","Premium"))</f>
        <v>Mid Range</v>
      </c>
      <c r="M2220" t="str">
        <f>IF(FlipkartTable[[#This Row],[Rating]]&gt;4.5,"Excellent",IF(FlipkartTable[[#This Row],[Rating]]&gt;4,"Good",IF(FlipkartTable[[#This Row],[Rating]]&gt;3.5,"Average","Poor")))</f>
        <v>Good</v>
      </c>
    </row>
    <row r="2221" spans="1:13" x14ac:dyDescent="0.35">
      <c r="A2221" t="s">
        <v>1122</v>
      </c>
      <c r="B2221" s="9" t="s">
        <v>520</v>
      </c>
      <c r="C2221" t="s">
        <v>345</v>
      </c>
      <c r="D2221" t="s">
        <v>14</v>
      </c>
      <c r="E2221" t="s">
        <v>12</v>
      </c>
      <c r="F2221">
        <v>4.3</v>
      </c>
      <c r="G2221">
        <v>11999</v>
      </c>
      <c r="H2221">
        <v>12999</v>
      </c>
      <c r="I2221">
        <f>FlipkartTable[[#This Row],[Original Price]]-FlipkartTable[[#This Row],[Selling Price]]</f>
        <v>1000</v>
      </c>
      <c r="J2221" s="4">
        <f>(FlipkartTable[[#This Row],[Original Price]]-FlipkartTable[[#This Row],[Selling Price]])/FlipkartTable[[#This Row],[Original Price]]</f>
        <v>7.692899453804139E-2</v>
      </c>
      <c r="K2221">
        <f>(FlipkartTable[[#This Row],[Rating]]/FlipkartTable[[#This Row],[Selling Price]])*1000</f>
        <v>0.35836319693307778</v>
      </c>
      <c r="L2221" t="str">
        <f>IF(FlipkartTable[[#This Row],[Selling Price]]&lt;15000,"Budget",IF(FlipkartTable[[#This Row],[Selling Price]]&lt;50000,"Mid Range","Premium"))</f>
        <v>Budget</v>
      </c>
      <c r="M2221" t="str">
        <f>IF(FlipkartTable[[#This Row],[Rating]]&gt;4.5,"Excellent",IF(FlipkartTable[[#This Row],[Rating]]&gt;4,"Good",IF(FlipkartTable[[#This Row],[Rating]]&gt;3.5,"Average","Poor")))</f>
        <v>Good</v>
      </c>
    </row>
    <row r="2222" spans="1:13" x14ac:dyDescent="0.35">
      <c r="A2222" t="s">
        <v>1122</v>
      </c>
      <c r="B2222" s="9" t="s">
        <v>520</v>
      </c>
      <c r="C2222" t="s">
        <v>1127</v>
      </c>
      <c r="D2222" t="s">
        <v>14</v>
      </c>
      <c r="E2222" t="s">
        <v>12</v>
      </c>
      <c r="F2222">
        <v>4.3</v>
      </c>
      <c r="G2222">
        <v>11999</v>
      </c>
      <c r="H2222">
        <v>12999</v>
      </c>
      <c r="I2222">
        <f>FlipkartTable[[#This Row],[Original Price]]-FlipkartTable[[#This Row],[Selling Price]]</f>
        <v>1000</v>
      </c>
      <c r="J2222" s="4">
        <f>(FlipkartTable[[#This Row],[Original Price]]-FlipkartTable[[#This Row],[Selling Price]])/FlipkartTable[[#This Row],[Original Price]]</f>
        <v>7.692899453804139E-2</v>
      </c>
      <c r="K2222">
        <f>(FlipkartTable[[#This Row],[Rating]]/FlipkartTable[[#This Row],[Selling Price]])*1000</f>
        <v>0.35836319693307778</v>
      </c>
      <c r="L2222" t="str">
        <f>IF(FlipkartTable[[#This Row],[Selling Price]]&lt;15000,"Budget",IF(FlipkartTable[[#This Row],[Selling Price]]&lt;50000,"Mid Range","Premium"))</f>
        <v>Budget</v>
      </c>
      <c r="M2222" t="str">
        <f>IF(FlipkartTable[[#This Row],[Rating]]&gt;4.5,"Excellent",IF(FlipkartTable[[#This Row],[Rating]]&gt;4,"Good",IF(FlipkartTable[[#This Row],[Rating]]&gt;3.5,"Average","Poor")))</f>
        <v>Good</v>
      </c>
    </row>
    <row r="2223" spans="1:13" x14ac:dyDescent="0.35">
      <c r="A2223" t="s">
        <v>1122</v>
      </c>
      <c r="B2223" s="9" t="s">
        <v>520</v>
      </c>
      <c r="C2223" t="s">
        <v>329</v>
      </c>
      <c r="D2223" t="s">
        <v>14</v>
      </c>
      <c r="E2223" t="s">
        <v>12</v>
      </c>
      <c r="F2223">
        <v>4.3</v>
      </c>
      <c r="G2223">
        <v>11999</v>
      </c>
      <c r="H2223">
        <v>12999</v>
      </c>
      <c r="I2223">
        <f>FlipkartTable[[#This Row],[Original Price]]-FlipkartTable[[#This Row],[Selling Price]]</f>
        <v>1000</v>
      </c>
      <c r="J2223" s="4">
        <f>(FlipkartTable[[#This Row],[Original Price]]-FlipkartTable[[#This Row],[Selling Price]])/FlipkartTable[[#This Row],[Original Price]]</f>
        <v>7.692899453804139E-2</v>
      </c>
      <c r="K2223">
        <f>(FlipkartTable[[#This Row],[Rating]]/FlipkartTable[[#This Row],[Selling Price]])*1000</f>
        <v>0.35836319693307778</v>
      </c>
      <c r="L2223" t="str">
        <f>IF(FlipkartTable[[#This Row],[Selling Price]]&lt;15000,"Budget",IF(FlipkartTable[[#This Row],[Selling Price]]&lt;50000,"Mid Range","Premium"))</f>
        <v>Budget</v>
      </c>
      <c r="M2223" t="str">
        <f>IF(FlipkartTable[[#This Row],[Rating]]&gt;4.5,"Excellent",IF(FlipkartTable[[#This Row],[Rating]]&gt;4,"Good",IF(FlipkartTable[[#This Row],[Rating]]&gt;3.5,"Average","Poor")))</f>
        <v>Good</v>
      </c>
    </row>
    <row r="2224" spans="1:13" x14ac:dyDescent="0.35">
      <c r="A2224" t="s">
        <v>1122</v>
      </c>
      <c r="B2224" s="9" t="s">
        <v>1128</v>
      </c>
      <c r="C2224" t="s">
        <v>141</v>
      </c>
      <c r="D2224" t="s">
        <v>11</v>
      </c>
      <c r="E2224" t="s">
        <v>12</v>
      </c>
      <c r="F2224">
        <v>4.3</v>
      </c>
      <c r="G2224">
        <v>9999</v>
      </c>
      <c r="H2224">
        <v>11999</v>
      </c>
      <c r="I2224">
        <f>FlipkartTable[[#This Row],[Original Price]]-FlipkartTable[[#This Row],[Selling Price]]</f>
        <v>2000</v>
      </c>
      <c r="J2224" s="4">
        <f>(FlipkartTable[[#This Row],[Original Price]]-FlipkartTable[[#This Row],[Selling Price]])/FlipkartTable[[#This Row],[Original Price]]</f>
        <v>0.16668055671305942</v>
      </c>
      <c r="K2224">
        <f>(FlipkartTable[[#This Row],[Rating]]/FlipkartTable[[#This Row],[Selling Price]])*1000</f>
        <v>0.43004300430043002</v>
      </c>
      <c r="L2224" t="str">
        <f>IF(FlipkartTable[[#This Row],[Selling Price]]&lt;15000,"Budget",IF(FlipkartTable[[#This Row],[Selling Price]]&lt;50000,"Mid Range","Premium"))</f>
        <v>Budget</v>
      </c>
      <c r="M2224" t="str">
        <f>IF(FlipkartTable[[#This Row],[Rating]]&gt;4.5,"Excellent",IF(FlipkartTable[[#This Row],[Rating]]&gt;4,"Good",IF(FlipkartTable[[#This Row],[Rating]]&gt;3.5,"Average","Poor")))</f>
        <v>Good</v>
      </c>
    </row>
    <row r="2225" spans="1:13" x14ac:dyDescent="0.35">
      <c r="A2225" t="s">
        <v>1122</v>
      </c>
      <c r="B2225" s="9" t="s">
        <v>1128</v>
      </c>
      <c r="C2225" t="s">
        <v>1129</v>
      </c>
      <c r="D2225" t="s">
        <v>11</v>
      </c>
      <c r="E2225" t="s">
        <v>12</v>
      </c>
      <c r="F2225">
        <v>4.3</v>
      </c>
      <c r="G2225">
        <v>9999</v>
      </c>
      <c r="H2225">
        <v>11999</v>
      </c>
      <c r="I2225">
        <f>FlipkartTable[[#This Row],[Original Price]]-FlipkartTable[[#This Row],[Selling Price]]</f>
        <v>2000</v>
      </c>
      <c r="J2225" s="4">
        <f>(FlipkartTable[[#This Row],[Original Price]]-FlipkartTable[[#This Row],[Selling Price]])/FlipkartTable[[#This Row],[Original Price]]</f>
        <v>0.16668055671305942</v>
      </c>
      <c r="K2225">
        <f>(FlipkartTable[[#This Row],[Rating]]/FlipkartTable[[#This Row],[Selling Price]])*1000</f>
        <v>0.43004300430043002</v>
      </c>
      <c r="L2225" t="str">
        <f>IF(FlipkartTable[[#This Row],[Selling Price]]&lt;15000,"Budget",IF(FlipkartTable[[#This Row],[Selling Price]]&lt;50000,"Mid Range","Premium"))</f>
        <v>Budget</v>
      </c>
      <c r="M2225" t="str">
        <f>IF(FlipkartTable[[#This Row],[Rating]]&gt;4.5,"Excellent",IF(FlipkartTable[[#This Row],[Rating]]&gt;4,"Good",IF(FlipkartTable[[#This Row],[Rating]]&gt;3.5,"Average","Poor")))</f>
        <v>Good</v>
      </c>
    </row>
    <row r="2226" spans="1:13" x14ac:dyDescent="0.35">
      <c r="A2226" t="s">
        <v>1122</v>
      </c>
      <c r="B2226" s="9" t="s">
        <v>520</v>
      </c>
      <c r="C2226" t="s">
        <v>345</v>
      </c>
      <c r="D2226" t="s">
        <v>11</v>
      </c>
      <c r="E2226" t="s">
        <v>12</v>
      </c>
      <c r="F2226">
        <v>4.3</v>
      </c>
      <c r="G2226">
        <v>10999</v>
      </c>
      <c r="H2226">
        <v>11999</v>
      </c>
      <c r="I2226">
        <f>FlipkartTable[[#This Row],[Original Price]]-FlipkartTable[[#This Row],[Selling Price]]</f>
        <v>1000</v>
      </c>
      <c r="J2226" s="4">
        <f>(FlipkartTable[[#This Row],[Original Price]]-FlipkartTable[[#This Row],[Selling Price]])/FlipkartTable[[#This Row],[Original Price]]</f>
        <v>8.3340278356529712E-2</v>
      </c>
      <c r="K2226">
        <f>(FlipkartTable[[#This Row],[Rating]]/FlipkartTable[[#This Row],[Selling Price]])*1000</f>
        <v>0.39094463133012086</v>
      </c>
      <c r="L2226" t="str">
        <f>IF(FlipkartTable[[#This Row],[Selling Price]]&lt;15000,"Budget",IF(FlipkartTable[[#This Row],[Selling Price]]&lt;50000,"Mid Range","Premium"))</f>
        <v>Budget</v>
      </c>
      <c r="M2226" t="str">
        <f>IF(FlipkartTable[[#This Row],[Rating]]&gt;4.5,"Excellent",IF(FlipkartTable[[#This Row],[Rating]]&gt;4,"Good",IF(FlipkartTable[[#This Row],[Rating]]&gt;3.5,"Average","Poor")))</f>
        <v>Good</v>
      </c>
    </row>
    <row r="2227" spans="1:13" x14ac:dyDescent="0.35">
      <c r="A2227" t="s">
        <v>1122</v>
      </c>
      <c r="B2227" s="9" t="s">
        <v>520</v>
      </c>
      <c r="C2227" t="s">
        <v>1127</v>
      </c>
      <c r="D2227" t="s">
        <v>11</v>
      </c>
      <c r="E2227" t="s">
        <v>12</v>
      </c>
      <c r="F2227">
        <v>4.3</v>
      </c>
      <c r="G2227">
        <v>10999</v>
      </c>
      <c r="H2227">
        <v>11999</v>
      </c>
      <c r="I2227">
        <f>FlipkartTable[[#This Row],[Original Price]]-FlipkartTable[[#This Row],[Selling Price]]</f>
        <v>1000</v>
      </c>
      <c r="J2227" s="4">
        <f>(FlipkartTable[[#This Row],[Original Price]]-FlipkartTable[[#This Row],[Selling Price]])/FlipkartTable[[#This Row],[Original Price]]</f>
        <v>8.3340278356529712E-2</v>
      </c>
      <c r="K2227">
        <f>(FlipkartTable[[#This Row],[Rating]]/FlipkartTable[[#This Row],[Selling Price]])*1000</f>
        <v>0.39094463133012086</v>
      </c>
      <c r="L2227" t="str">
        <f>IF(FlipkartTable[[#This Row],[Selling Price]]&lt;15000,"Budget",IF(FlipkartTable[[#This Row],[Selling Price]]&lt;50000,"Mid Range","Premium"))</f>
        <v>Budget</v>
      </c>
      <c r="M2227" t="str">
        <f>IF(FlipkartTable[[#This Row],[Rating]]&gt;4.5,"Excellent",IF(FlipkartTable[[#This Row],[Rating]]&gt;4,"Good",IF(FlipkartTable[[#This Row],[Rating]]&gt;3.5,"Average","Poor")))</f>
        <v>Good</v>
      </c>
    </row>
    <row r="2228" spans="1:13" x14ac:dyDescent="0.35">
      <c r="A2228" t="s">
        <v>1122</v>
      </c>
      <c r="B2228" s="9" t="s">
        <v>520</v>
      </c>
      <c r="C2228" t="s">
        <v>329</v>
      </c>
      <c r="D2228" t="s">
        <v>11</v>
      </c>
      <c r="E2228" t="s">
        <v>12</v>
      </c>
      <c r="F2228">
        <v>4.3</v>
      </c>
      <c r="G2228">
        <v>10999</v>
      </c>
      <c r="H2228">
        <v>11999</v>
      </c>
      <c r="I2228">
        <f>FlipkartTable[[#This Row],[Original Price]]-FlipkartTable[[#This Row],[Selling Price]]</f>
        <v>1000</v>
      </c>
      <c r="J2228" s="4">
        <f>(FlipkartTable[[#This Row],[Original Price]]-FlipkartTable[[#This Row],[Selling Price]])/FlipkartTable[[#This Row],[Original Price]]</f>
        <v>8.3340278356529712E-2</v>
      </c>
      <c r="K2228">
        <f>(FlipkartTable[[#This Row],[Rating]]/FlipkartTable[[#This Row],[Selling Price]])*1000</f>
        <v>0.39094463133012086</v>
      </c>
      <c r="L2228" t="str">
        <f>IF(FlipkartTable[[#This Row],[Selling Price]]&lt;15000,"Budget",IF(FlipkartTable[[#This Row],[Selling Price]]&lt;50000,"Mid Range","Premium"))</f>
        <v>Budget</v>
      </c>
      <c r="M2228" t="str">
        <f>IF(FlipkartTable[[#This Row],[Rating]]&gt;4.5,"Excellent",IF(FlipkartTable[[#This Row],[Rating]]&gt;4,"Good",IF(FlipkartTable[[#This Row],[Rating]]&gt;3.5,"Average","Poor")))</f>
        <v>Good</v>
      </c>
    </row>
    <row r="2229" spans="1:13" x14ac:dyDescent="0.35">
      <c r="A2229" t="s">
        <v>1122</v>
      </c>
      <c r="B2229" s="9" t="s">
        <v>388</v>
      </c>
      <c r="C2229" t="s">
        <v>705</v>
      </c>
      <c r="D2229" t="s">
        <v>11</v>
      </c>
      <c r="E2229" t="s">
        <v>12</v>
      </c>
      <c r="F2229">
        <v>4.3</v>
      </c>
      <c r="G2229">
        <v>8999</v>
      </c>
      <c r="H2229">
        <v>10999</v>
      </c>
      <c r="I2229">
        <f>FlipkartTable[[#This Row],[Original Price]]-FlipkartTable[[#This Row],[Selling Price]]</f>
        <v>2000</v>
      </c>
      <c r="J2229" s="4">
        <f>(FlipkartTable[[#This Row],[Original Price]]-FlipkartTable[[#This Row],[Selling Price]])/FlipkartTable[[#This Row],[Original Price]]</f>
        <v>0.18183471224656786</v>
      </c>
      <c r="K2229">
        <f>(FlipkartTable[[#This Row],[Rating]]/FlipkartTable[[#This Row],[Selling Price]])*1000</f>
        <v>0.47783087009667735</v>
      </c>
      <c r="L2229" t="str">
        <f>IF(FlipkartTable[[#This Row],[Selling Price]]&lt;15000,"Budget",IF(FlipkartTable[[#This Row],[Selling Price]]&lt;50000,"Mid Range","Premium"))</f>
        <v>Budget</v>
      </c>
      <c r="M2229" t="str">
        <f>IF(FlipkartTable[[#This Row],[Rating]]&gt;4.5,"Excellent",IF(FlipkartTable[[#This Row],[Rating]]&gt;4,"Good",IF(FlipkartTable[[#This Row],[Rating]]&gt;3.5,"Average","Poor")))</f>
        <v>Good</v>
      </c>
    </row>
    <row r="2230" spans="1:13" x14ac:dyDescent="0.35">
      <c r="A2230" t="s">
        <v>1122</v>
      </c>
      <c r="B2230" s="9" t="s">
        <v>388</v>
      </c>
      <c r="C2230" t="s">
        <v>1130</v>
      </c>
      <c r="D2230" t="s">
        <v>11</v>
      </c>
      <c r="E2230" t="s">
        <v>12</v>
      </c>
      <c r="F2230">
        <v>4.3</v>
      </c>
      <c r="G2230">
        <v>8999</v>
      </c>
      <c r="H2230">
        <v>10999</v>
      </c>
      <c r="I2230">
        <f>FlipkartTable[[#This Row],[Original Price]]-FlipkartTable[[#This Row],[Selling Price]]</f>
        <v>2000</v>
      </c>
      <c r="J2230" s="4">
        <f>(FlipkartTable[[#This Row],[Original Price]]-FlipkartTable[[#This Row],[Selling Price]])/FlipkartTable[[#This Row],[Original Price]]</f>
        <v>0.18183471224656786</v>
      </c>
      <c r="K2230">
        <f>(FlipkartTable[[#This Row],[Rating]]/FlipkartTable[[#This Row],[Selling Price]])*1000</f>
        <v>0.47783087009667735</v>
      </c>
      <c r="L2230" t="str">
        <f>IF(FlipkartTable[[#This Row],[Selling Price]]&lt;15000,"Budget",IF(FlipkartTable[[#This Row],[Selling Price]]&lt;50000,"Mid Range","Premium"))</f>
        <v>Budget</v>
      </c>
      <c r="M2230" t="str">
        <f>IF(FlipkartTable[[#This Row],[Rating]]&gt;4.5,"Excellent",IF(FlipkartTable[[#This Row],[Rating]]&gt;4,"Good",IF(FlipkartTable[[#This Row],[Rating]]&gt;3.5,"Average","Poor")))</f>
        <v>Good</v>
      </c>
    </row>
    <row r="2231" spans="1:13" x14ac:dyDescent="0.35">
      <c r="A2231" t="s">
        <v>1122</v>
      </c>
      <c r="B2231" s="9" t="s">
        <v>388</v>
      </c>
      <c r="C2231" t="s">
        <v>37</v>
      </c>
      <c r="D2231" t="s">
        <v>11</v>
      </c>
      <c r="E2231" t="s">
        <v>12</v>
      </c>
      <c r="F2231">
        <v>4.3</v>
      </c>
      <c r="G2231">
        <v>8999</v>
      </c>
      <c r="H2231">
        <v>10999</v>
      </c>
      <c r="I2231">
        <f>FlipkartTable[[#This Row],[Original Price]]-FlipkartTable[[#This Row],[Selling Price]]</f>
        <v>2000</v>
      </c>
      <c r="J2231" s="4">
        <f>(FlipkartTable[[#This Row],[Original Price]]-FlipkartTable[[#This Row],[Selling Price]])/FlipkartTable[[#This Row],[Original Price]]</f>
        <v>0.18183471224656786</v>
      </c>
      <c r="K2231">
        <f>(FlipkartTable[[#This Row],[Rating]]/FlipkartTable[[#This Row],[Selling Price]])*1000</f>
        <v>0.47783087009667735</v>
      </c>
      <c r="L2231" t="str">
        <f>IF(FlipkartTable[[#This Row],[Selling Price]]&lt;15000,"Budget",IF(FlipkartTable[[#This Row],[Selling Price]]&lt;50000,"Mid Range","Premium"))</f>
        <v>Budget</v>
      </c>
      <c r="M2231" t="str">
        <f>IF(FlipkartTable[[#This Row],[Rating]]&gt;4.5,"Excellent",IF(FlipkartTable[[#This Row],[Rating]]&gt;4,"Good",IF(FlipkartTable[[#This Row],[Rating]]&gt;3.5,"Average","Poor")))</f>
        <v>Good</v>
      </c>
    </row>
    <row r="2232" spans="1:13" x14ac:dyDescent="0.35">
      <c r="A2232" t="s">
        <v>1122</v>
      </c>
      <c r="B2232" s="9" t="s">
        <v>388</v>
      </c>
      <c r="C2232" t="s">
        <v>705</v>
      </c>
      <c r="D2232" t="s">
        <v>20</v>
      </c>
      <c r="E2232" t="s">
        <v>21</v>
      </c>
      <c r="F2232">
        <v>4.3</v>
      </c>
      <c r="G2232">
        <v>7999</v>
      </c>
      <c r="H2232">
        <v>9999</v>
      </c>
      <c r="I2232">
        <f>FlipkartTable[[#This Row],[Original Price]]-FlipkartTable[[#This Row],[Selling Price]]</f>
        <v>2000</v>
      </c>
      <c r="J2232" s="4">
        <f>(FlipkartTable[[#This Row],[Original Price]]-FlipkartTable[[#This Row],[Selling Price]])/FlipkartTable[[#This Row],[Original Price]]</f>
        <v>0.20002000200020001</v>
      </c>
      <c r="K2232">
        <f>(FlipkartTable[[#This Row],[Rating]]/FlipkartTable[[#This Row],[Selling Price]])*1000</f>
        <v>0.53756719589948743</v>
      </c>
      <c r="L2232" t="str">
        <f>IF(FlipkartTable[[#This Row],[Selling Price]]&lt;15000,"Budget",IF(FlipkartTable[[#This Row],[Selling Price]]&lt;50000,"Mid Range","Premium"))</f>
        <v>Budget</v>
      </c>
      <c r="M2232" t="str">
        <f>IF(FlipkartTable[[#This Row],[Rating]]&gt;4.5,"Excellent",IF(FlipkartTable[[#This Row],[Rating]]&gt;4,"Good",IF(FlipkartTable[[#This Row],[Rating]]&gt;3.5,"Average","Poor")))</f>
        <v>Good</v>
      </c>
    </row>
    <row r="2233" spans="1:13" x14ac:dyDescent="0.35">
      <c r="A2233" t="s">
        <v>1122</v>
      </c>
      <c r="B2233" s="9" t="s">
        <v>388</v>
      </c>
      <c r="C2233" t="s">
        <v>1130</v>
      </c>
      <c r="D2233" t="s">
        <v>20</v>
      </c>
      <c r="E2233" t="s">
        <v>21</v>
      </c>
      <c r="F2233">
        <v>4.3</v>
      </c>
      <c r="G2233">
        <v>7999</v>
      </c>
      <c r="H2233">
        <v>9999</v>
      </c>
      <c r="I2233">
        <f>FlipkartTable[[#This Row],[Original Price]]-FlipkartTable[[#This Row],[Selling Price]]</f>
        <v>2000</v>
      </c>
      <c r="J2233" s="4">
        <f>(FlipkartTable[[#This Row],[Original Price]]-FlipkartTable[[#This Row],[Selling Price]])/FlipkartTable[[#This Row],[Original Price]]</f>
        <v>0.20002000200020001</v>
      </c>
      <c r="K2233">
        <f>(FlipkartTable[[#This Row],[Rating]]/FlipkartTable[[#This Row],[Selling Price]])*1000</f>
        <v>0.53756719589948743</v>
      </c>
      <c r="L2233" t="str">
        <f>IF(FlipkartTable[[#This Row],[Selling Price]]&lt;15000,"Budget",IF(FlipkartTable[[#This Row],[Selling Price]]&lt;50000,"Mid Range","Premium"))</f>
        <v>Budget</v>
      </c>
      <c r="M2233" t="str">
        <f>IF(FlipkartTable[[#This Row],[Rating]]&gt;4.5,"Excellent",IF(FlipkartTable[[#This Row],[Rating]]&gt;4,"Good",IF(FlipkartTable[[#This Row],[Rating]]&gt;3.5,"Average","Poor")))</f>
        <v>Good</v>
      </c>
    </row>
    <row r="2234" spans="1:13" x14ac:dyDescent="0.35">
      <c r="A2234" t="s">
        <v>1122</v>
      </c>
      <c r="B2234" s="9" t="s">
        <v>388</v>
      </c>
      <c r="C2234" t="s">
        <v>37</v>
      </c>
      <c r="D2234" t="s">
        <v>20</v>
      </c>
      <c r="E2234" t="s">
        <v>21</v>
      </c>
      <c r="F2234">
        <v>4.3</v>
      </c>
      <c r="G2234">
        <v>7999</v>
      </c>
      <c r="H2234">
        <v>9999</v>
      </c>
      <c r="I2234">
        <f>FlipkartTable[[#This Row],[Original Price]]-FlipkartTable[[#This Row],[Selling Price]]</f>
        <v>2000</v>
      </c>
      <c r="J2234" s="4">
        <f>(FlipkartTable[[#This Row],[Original Price]]-FlipkartTable[[#This Row],[Selling Price]])/FlipkartTable[[#This Row],[Original Price]]</f>
        <v>0.20002000200020001</v>
      </c>
      <c r="K2234">
        <f>(FlipkartTable[[#This Row],[Rating]]/FlipkartTable[[#This Row],[Selling Price]])*1000</f>
        <v>0.53756719589948743</v>
      </c>
      <c r="L2234" t="str">
        <f>IF(FlipkartTable[[#This Row],[Selling Price]]&lt;15000,"Budget",IF(FlipkartTable[[#This Row],[Selling Price]]&lt;50000,"Mid Range","Premium"))</f>
        <v>Budget</v>
      </c>
      <c r="M2234" t="str">
        <f>IF(FlipkartTable[[#This Row],[Rating]]&gt;4.5,"Excellent",IF(FlipkartTable[[#This Row],[Rating]]&gt;4,"Good",IF(FlipkartTable[[#This Row],[Rating]]&gt;3.5,"Average","Poor")))</f>
        <v>Good</v>
      </c>
    </row>
    <row r="2235" spans="1:13" x14ac:dyDescent="0.35">
      <c r="A2235" t="s">
        <v>1131</v>
      </c>
      <c r="B2235" s="9" t="s">
        <v>1132</v>
      </c>
      <c r="C2235" t="s">
        <v>1133</v>
      </c>
      <c r="D2235" t="s">
        <v>14</v>
      </c>
      <c r="E2235" t="s">
        <v>15</v>
      </c>
      <c r="F2235">
        <v>4.3</v>
      </c>
      <c r="G2235">
        <v>13400</v>
      </c>
      <c r="H2235">
        <v>13400</v>
      </c>
      <c r="I2235">
        <f>FlipkartTable[[#This Row],[Original Price]]-FlipkartTable[[#This Row],[Selling Price]]</f>
        <v>0</v>
      </c>
      <c r="J2235" s="4">
        <f>(FlipkartTable[[#This Row],[Original Price]]-FlipkartTable[[#This Row],[Selling Price]])/FlipkartTable[[#This Row],[Original Price]]</f>
        <v>0</v>
      </c>
      <c r="K2235">
        <f>(FlipkartTable[[#This Row],[Rating]]/FlipkartTable[[#This Row],[Selling Price]])*1000</f>
        <v>0.32089552238805968</v>
      </c>
      <c r="L2235" t="str">
        <f>IF(FlipkartTable[[#This Row],[Selling Price]]&lt;15000,"Budget",IF(FlipkartTable[[#This Row],[Selling Price]]&lt;50000,"Mid Range","Premium"))</f>
        <v>Budget</v>
      </c>
      <c r="M2235" t="str">
        <f>IF(FlipkartTable[[#This Row],[Rating]]&gt;4.5,"Excellent",IF(FlipkartTable[[#This Row],[Rating]]&gt;4,"Good",IF(FlipkartTable[[#This Row],[Rating]]&gt;3.5,"Average","Poor")))</f>
        <v>Good</v>
      </c>
    </row>
    <row r="2236" spans="1:13" x14ac:dyDescent="0.35">
      <c r="A2236" t="s">
        <v>1131</v>
      </c>
      <c r="B2236" s="9" t="s">
        <v>1134</v>
      </c>
      <c r="C2236" t="s">
        <v>79</v>
      </c>
      <c r="D2236" t="s">
        <v>27</v>
      </c>
      <c r="E2236" t="s">
        <v>64</v>
      </c>
      <c r="F2236">
        <v>4.4000000000000004</v>
      </c>
      <c r="G2236">
        <v>49990</v>
      </c>
      <c r="H2236">
        <v>54990</v>
      </c>
      <c r="I2236">
        <f>FlipkartTable[[#This Row],[Original Price]]-FlipkartTable[[#This Row],[Selling Price]]</f>
        <v>5000</v>
      </c>
      <c r="J2236" s="4">
        <f>(FlipkartTable[[#This Row],[Original Price]]-FlipkartTable[[#This Row],[Selling Price]])/FlipkartTable[[#This Row],[Original Price]]</f>
        <v>9.092562284051646E-2</v>
      </c>
      <c r="K2236">
        <f>(FlipkartTable[[#This Row],[Rating]]/FlipkartTable[[#This Row],[Selling Price]])*1000</f>
        <v>8.8017603520704146E-2</v>
      </c>
      <c r="L2236" t="str">
        <f>IF(FlipkartTable[[#This Row],[Selling Price]]&lt;15000,"Budget",IF(FlipkartTable[[#This Row],[Selling Price]]&lt;50000,"Mid Range","Premium"))</f>
        <v>Mid Range</v>
      </c>
      <c r="M2236" t="str">
        <f>IF(FlipkartTable[[#This Row],[Rating]]&gt;4.5,"Excellent",IF(FlipkartTable[[#This Row],[Rating]]&gt;4,"Good",IF(FlipkartTable[[#This Row],[Rating]]&gt;3.5,"Average","Poor")))</f>
        <v>Good</v>
      </c>
    </row>
    <row r="2237" spans="1:13" x14ac:dyDescent="0.35">
      <c r="A2237" t="s">
        <v>1131</v>
      </c>
      <c r="B2237" s="9" t="s">
        <v>1132</v>
      </c>
      <c r="C2237" t="s">
        <v>1135</v>
      </c>
      <c r="D2237" t="s">
        <v>35</v>
      </c>
      <c r="E2237" t="s">
        <v>21</v>
      </c>
      <c r="F2237">
        <v>4.2</v>
      </c>
      <c r="G2237">
        <v>49990</v>
      </c>
      <c r="H2237">
        <v>54990</v>
      </c>
      <c r="I2237">
        <f>FlipkartTable[[#This Row],[Original Price]]-FlipkartTable[[#This Row],[Selling Price]]</f>
        <v>5000</v>
      </c>
      <c r="J2237" s="4">
        <f>(FlipkartTable[[#This Row],[Original Price]]-FlipkartTable[[#This Row],[Selling Price]])/FlipkartTable[[#This Row],[Original Price]]</f>
        <v>9.092562284051646E-2</v>
      </c>
      <c r="K2237">
        <f>(FlipkartTable[[#This Row],[Rating]]/FlipkartTable[[#This Row],[Selling Price]])*1000</f>
        <v>8.4016803360672132E-2</v>
      </c>
      <c r="L2237" t="str">
        <f>IF(FlipkartTable[[#This Row],[Selling Price]]&lt;15000,"Budget",IF(FlipkartTable[[#This Row],[Selling Price]]&lt;50000,"Mid Range","Premium"))</f>
        <v>Mid Range</v>
      </c>
      <c r="M2237" t="str">
        <f>IF(FlipkartTable[[#This Row],[Rating]]&gt;4.5,"Excellent",IF(FlipkartTable[[#This Row],[Rating]]&gt;4,"Good",IF(FlipkartTable[[#This Row],[Rating]]&gt;3.5,"Average","Poor")))</f>
        <v>Good</v>
      </c>
    </row>
    <row r="2238" spans="1:13" x14ac:dyDescent="0.35">
      <c r="A2238" t="s">
        <v>1131</v>
      </c>
      <c r="B2238" s="9" t="s">
        <v>1138</v>
      </c>
      <c r="C2238" t="s">
        <v>149</v>
      </c>
      <c r="D2238" t="s">
        <v>20</v>
      </c>
      <c r="E2238" t="s">
        <v>12</v>
      </c>
      <c r="F2238">
        <v>4.4000000000000004</v>
      </c>
      <c r="G2238">
        <v>39990</v>
      </c>
      <c r="H2238">
        <v>46990</v>
      </c>
      <c r="I2238">
        <f>FlipkartTable[[#This Row],[Original Price]]-FlipkartTable[[#This Row],[Selling Price]]</f>
        <v>7000</v>
      </c>
      <c r="J2238" s="4">
        <f>(FlipkartTable[[#This Row],[Original Price]]-FlipkartTable[[#This Row],[Selling Price]])/FlipkartTable[[#This Row],[Original Price]]</f>
        <v>0.14896786550329857</v>
      </c>
      <c r="K2238">
        <f>(FlipkartTable[[#This Row],[Rating]]/FlipkartTable[[#This Row],[Selling Price]])*1000</f>
        <v>0.11002750687671919</v>
      </c>
      <c r="L2238" t="str">
        <f>IF(FlipkartTable[[#This Row],[Selling Price]]&lt;15000,"Budget",IF(FlipkartTable[[#This Row],[Selling Price]]&lt;50000,"Mid Range","Premium"))</f>
        <v>Mid Range</v>
      </c>
      <c r="M2238" t="str">
        <f>IF(FlipkartTable[[#This Row],[Rating]]&gt;4.5,"Excellent",IF(FlipkartTable[[#This Row],[Rating]]&gt;4,"Good",IF(FlipkartTable[[#This Row],[Rating]]&gt;3.5,"Average","Poor")))</f>
        <v>Good</v>
      </c>
    </row>
    <row r="2239" spans="1:13" x14ac:dyDescent="0.35">
      <c r="A2239" t="s">
        <v>1131</v>
      </c>
      <c r="B2239" s="9" t="s">
        <v>1138</v>
      </c>
      <c r="C2239" t="s">
        <v>1139</v>
      </c>
      <c r="D2239" t="s">
        <v>14</v>
      </c>
      <c r="E2239" t="s">
        <v>12</v>
      </c>
      <c r="F2239">
        <v>4.4000000000000004</v>
      </c>
      <c r="G2239">
        <v>37990</v>
      </c>
      <c r="H2239">
        <v>44990</v>
      </c>
      <c r="I2239">
        <f>FlipkartTable[[#This Row],[Original Price]]-FlipkartTable[[#This Row],[Selling Price]]</f>
        <v>7000</v>
      </c>
      <c r="J2239" s="4">
        <f>(FlipkartTable[[#This Row],[Original Price]]-FlipkartTable[[#This Row],[Selling Price]])/FlipkartTable[[#This Row],[Original Price]]</f>
        <v>0.15559013114025338</v>
      </c>
      <c r="K2239">
        <f>(FlipkartTable[[#This Row],[Rating]]/FlipkartTable[[#This Row],[Selling Price]])*1000</f>
        <v>0.11581995261911029</v>
      </c>
      <c r="L2239" t="str">
        <f>IF(FlipkartTable[[#This Row],[Selling Price]]&lt;15000,"Budget",IF(FlipkartTable[[#This Row],[Selling Price]]&lt;50000,"Mid Range","Premium"))</f>
        <v>Mid Range</v>
      </c>
      <c r="M2239" t="str">
        <f>IF(FlipkartTable[[#This Row],[Rating]]&gt;4.5,"Excellent",IF(FlipkartTable[[#This Row],[Rating]]&gt;4,"Good",IF(FlipkartTable[[#This Row],[Rating]]&gt;3.5,"Average","Poor")))</f>
        <v>Good</v>
      </c>
    </row>
    <row r="2240" spans="1:13" x14ac:dyDescent="0.35">
      <c r="A2240" t="s">
        <v>1131</v>
      </c>
      <c r="B2240" s="9" t="s">
        <v>1140</v>
      </c>
      <c r="C2240" t="s">
        <v>1137</v>
      </c>
      <c r="D2240" t="s">
        <v>20</v>
      </c>
      <c r="E2240" t="s">
        <v>12</v>
      </c>
      <c r="F2240">
        <v>4.4000000000000004</v>
      </c>
      <c r="G2240">
        <v>36990</v>
      </c>
      <c r="H2240">
        <v>36990</v>
      </c>
      <c r="I2240">
        <f>FlipkartTable[[#This Row],[Original Price]]-FlipkartTable[[#This Row],[Selling Price]]</f>
        <v>0</v>
      </c>
      <c r="J2240" s="4">
        <f>(FlipkartTable[[#This Row],[Original Price]]-FlipkartTable[[#This Row],[Selling Price]])/FlipkartTable[[#This Row],[Original Price]]</f>
        <v>0</v>
      </c>
      <c r="K2240">
        <f>(FlipkartTable[[#This Row],[Rating]]/FlipkartTable[[#This Row],[Selling Price]])*1000</f>
        <v>0.11895106785617734</v>
      </c>
      <c r="L2240" t="str">
        <f>IF(FlipkartTable[[#This Row],[Selling Price]]&lt;15000,"Budget",IF(FlipkartTable[[#This Row],[Selling Price]]&lt;50000,"Mid Range","Premium"))</f>
        <v>Mid Range</v>
      </c>
      <c r="M2240" t="str">
        <f>IF(FlipkartTable[[#This Row],[Rating]]&gt;4.5,"Excellent",IF(FlipkartTable[[#This Row],[Rating]]&gt;4,"Good",IF(FlipkartTable[[#This Row],[Rating]]&gt;3.5,"Average","Poor")))</f>
        <v>Good</v>
      </c>
    </row>
    <row r="2241" spans="1:13" x14ac:dyDescent="0.35">
      <c r="A2241" t="s">
        <v>1131</v>
      </c>
      <c r="B2241" s="9" t="s">
        <v>1134</v>
      </c>
      <c r="C2241" t="s">
        <v>1141</v>
      </c>
      <c r="D2241" t="s">
        <v>35</v>
      </c>
      <c r="E2241" t="s">
        <v>21</v>
      </c>
      <c r="F2241">
        <v>4.3</v>
      </c>
      <c r="G2241">
        <v>34990</v>
      </c>
      <c r="H2241">
        <v>39990</v>
      </c>
      <c r="I2241">
        <f>FlipkartTable[[#This Row],[Original Price]]-FlipkartTable[[#This Row],[Selling Price]]</f>
        <v>5000</v>
      </c>
      <c r="J2241" s="4">
        <f>(FlipkartTable[[#This Row],[Original Price]]-FlipkartTable[[#This Row],[Selling Price]])/FlipkartTable[[#This Row],[Original Price]]</f>
        <v>0.12503125781445362</v>
      </c>
      <c r="K2241">
        <f>(FlipkartTable[[#This Row],[Rating]]/FlipkartTable[[#This Row],[Selling Price]])*1000</f>
        <v>0.12289225492998</v>
      </c>
      <c r="L2241" t="str">
        <f>IF(FlipkartTable[[#This Row],[Selling Price]]&lt;15000,"Budget",IF(FlipkartTable[[#This Row],[Selling Price]]&lt;50000,"Mid Range","Premium"))</f>
        <v>Mid Range</v>
      </c>
      <c r="M2241" t="str">
        <f>IF(FlipkartTable[[#This Row],[Rating]]&gt;4.5,"Excellent",IF(FlipkartTable[[#This Row],[Rating]]&gt;4,"Good",IF(FlipkartTable[[#This Row],[Rating]]&gt;3.5,"Average","Poor")))</f>
        <v>Good</v>
      </c>
    </row>
    <row r="2242" spans="1:13" x14ac:dyDescent="0.35">
      <c r="A2242" t="s">
        <v>1131</v>
      </c>
      <c r="B2242" s="9" t="s">
        <v>1134</v>
      </c>
      <c r="C2242" t="s">
        <v>1141</v>
      </c>
      <c r="D2242" t="s">
        <v>14</v>
      </c>
      <c r="E2242" t="s">
        <v>15</v>
      </c>
      <c r="F2242">
        <v>4.3</v>
      </c>
      <c r="G2242">
        <v>32990</v>
      </c>
      <c r="H2242">
        <v>32990</v>
      </c>
      <c r="I2242">
        <f>FlipkartTable[[#This Row],[Original Price]]-FlipkartTable[[#This Row],[Selling Price]]</f>
        <v>0</v>
      </c>
      <c r="J2242" s="4">
        <f>(FlipkartTable[[#This Row],[Original Price]]-FlipkartTable[[#This Row],[Selling Price]])/FlipkartTable[[#This Row],[Original Price]]</f>
        <v>0</v>
      </c>
      <c r="K2242">
        <f>(FlipkartTable[[#This Row],[Rating]]/FlipkartTable[[#This Row],[Selling Price]])*1000</f>
        <v>0.13034252803879962</v>
      </c>
      <c r="L2242" t="str">
        <f>IF(FlipkartTable[[#This Row],[Selling Price]]&lt;15000,"Budget",IF(FlipkartTable[[#This Row],[Selling Price]]&lt;50000,"Mid Range","Premium"))</f>
        <v>Mid Range</v>
      </c>
      <c r="M2242" t="str">
        <f>IF(FlipkartTable[[#This Row],[Rating]]&gt;4.5,"Excellent",IF(FlipkartTable[[#This Row],[Rating]]&gt;4,"Good",IF(FlipkartTable[[#This Row],[Rating]]&gt;3.5,"Average","Poor")))</f>
        <v>Good</v>
      </c>
    </row>
    <row r="2243" spans="1:13" x14ac:dyDescent="0.35">
      <c r="A2243" t="s">
        <v>1131</v>
      </c>
      <c r="B2243" s="9" t="s">
        <v>1142</v>
      </c>
      <c r="C2243" t="s">
        <v>171</v>
      </c>
      <c r="D2243" t="s">
        <v>20</v>
      </c>
      <c r="E2243" t="s">
        <v>21</v>
      </c>
      <c r="F2243">
        <v>4.4000000000000004</v>
      </c>
      <c r="G2243">
        <v>32990</v>
      </c>
      <c r="H2243">
        <v>32990</v>
      </c>
      <c r="I2243">
        <f>FlipkartTable[[#This Row],[Original Price]]-FlipkartTable[[#This Row],[Selling Price]]</f>
        <v>0</v>
      </c>
      <c r="J2243" s="4">
        <f>(FlipkartTable[[#This Row],[Original Price]]-FlipkartTable[[#This Row],[Selling Price]])/FlipkartTable[[#This Row],[Original Price]]</f>
        <v>0</v>
      </c>
      <c r="K2243">
        <f>(FlipkartTable[[#This Row],[Rating]]/FlipkartTable[[#This Row],[Selling Price]])*1000</f>
        <v>0.13337374962109733</v>
      </c>
      <c r="L2243" t="str">
        <f>IF(FlipkartTable[[#This Row],[Selling Price]]&lt;15000,"Budget",IF(FlipkartTable[[#This Row],[Selling Price]]&lt;50000,"Mid Range","Premium"))</f>
        <v>Mid Range</v>
      </c>
      <c r="M2243" t="str">
        <f>IF(FlipkartTable[[#This Row],[Rating]]&gt;4.5,"Excellent",IF(FlipkartTable[[#This Row],[Rating]]&gt;4,"Good",IF(FlipkartTable[[#This Row],[Rating]]&gt;3.5,"Average","Poor")))</f>
        <v>Good</v>
      </c>
    </row>
    <row r="2244" spans="1:13" x14ac:dyDescent="0.35">
      <c r="A2244" t="s">
        <v>1131</v>
      </c>
      <c r="B2244" s="9" t="s">
        <v>1142</v>
      </c>
      <c r="C2244" t="s">
        <v>700</v>
      </c>
      <c r="D2244" t="s">
        <v>11</v>
      </c>
      <c r="E2244" t="s">
        <v>12</v>
      </c>
      <c r="F2244">
        <v>4.4000000000000004</v>
      </c>
      <c r="G2244">
        <v>32990</v>
      </c>
      <c r="H2244">
        <v>35990</v>
      </c>
      <c r="I2244">
        <f>FlipkartTable[[#This Row],[Original Price]]-FlipkartTable[[#This Row],[Selling Price]]</f>
        <v>3000</v>
      </c>
      <c r="J2244" s="4">
        <f>(FlipkartTable[[#This Row],[Original Price]]-FlipkartTable[[#This Row],[Selling Price]])/FlipkartTable[[#This Row],[Original Price]]</f>
        <v>8.3356487913309255E-2</v>
      </c>
      <c r="K2244">
        <f>(FlipkartTable[[#This Row],[Rating]]/FlipkartTable[[#This Row],[Selling Price]])*1000</f>
        <v>0.13337374962109733</v>
      </c>
      <c r="L2244" t="str">
        <f>IF(FlipkartTable[[#This Row],[Selling Price]]&lt;15000,"Budget",IF(FlipkartTable[[#This Row],[Selling Price]]&lt;50000,"Mid Range","Premium"))</f>
        <v>Mid Range</v>
      </c>
      <c r="M2244" t="str">
        <f>IF(FlipkartTable[[#This Row],[Rating]]&gt;4.5,"Excellent",IF(FlipkartTable[[#This Row],[Rating]]&gt;4,"Good",IF(FlipkartTable[[#This Row],[Rating]]&gt;3.5,"Average","Poor")))</f>
        <v>Good</v>
      </c>
    </row>
    <row r="2245" spans="1:13" x14ac:dyDescent="0.35">
      <c r="A2245" t="s">
        <v>1131</v>
      </c>
      <c r="B2245" s="9" t="s">
        <v>1143</v>
      </c>
      <c r="C2245" t="s">
        <v>1133</v>
      </c>
      <c r="D2245" t="s">
        <v>14</v>
      </c>
      <c r="E2245" t="s">
        <v>15</v>
      </c>
      <c r="F2245">
        <v>4.3</v>
      </c>
      <c r="G2245">
        <v>29990</v>
      </c>
      <c r="H2245">
        <v>34990</v>
      </c>
      <c r="I2245">
        <f>FlipkartTable[[#This Row],[Original Price]]-FlipkartTable[[#This Row],[Selling Price]]</f>
        <v>5000</v>
      </c>
      <c r="J2245" s="4">
        <f>(FlipkartTable[[#This Row],[Original Price]]-FlipkartTable[[#This Row],[Selling Price]])/FlipkartTable[[#This Row],[Original Price]]</f>
        <v>0.14289797084881395</v>
      </c>
      <c r="K2245">
        <f>(FlipkartTable[[#This Row],[Rating]]/FlipkartTable[[#This Row],[Selling Price]])*1000</f>
        <v>0.14338112704234743</v>
      </c>
      <c r="L2245" t="str">
        <f>IF(FlipkartTable[[#This Row],[Selling Price]]&lt;15000,"Budget",IF(FlipkartTable[[#This Row],[Selling Price]]&lt;50000,"Mid Range","Premium"))</f>
        <v>Mid Range</v>
      </c>
      <c r="M2245" t="str">
        <f>IF(FlipkartTable[[#This Row],[Rating]]&gt;4.5,"Excellent",IF(FlipkartTable[[#This Row],[Rating]]&gt;4,"Good",IF(FlipkartTable[[#This Row],[Rating]]&gt;3.5,"Average","Poor")))</f>
        <v>Good</v>
      </c>
    </row>
    <row r="2246" spans="1:13" x14ac:dyDescent="0.35">
      <c r="A2246" t="s">
        <v>1131</v>
      </c>
      <c r="B2246" s="9" t="s">
        <v>1136</v>
      </c>
      <c r="C2246" t="s">
        <v>1144</v>
      </c>
      <c r="D2246" t="s">
        <v>20</v>
      </c>
      <c r="E2246" t="s">
        <v>12</v>
      </c>
      <c r="F2246">
        <v>4.4000000000000004</v>
      </c>
      <c r="G2246">
        <v>29990</v>
      </c>
      <c r="H2246">
        <v>32990</v>
      </c>
      <c r="I2246">
        <f>FlipkartTable[[#This Row],[Original Price]]-FlipkartTable[[#This Row],[Selling Price]]</f>
        <v>3000</v>
      </c>
      <c r="J2246" s="4">
        <f>(FlipkartTable[[#This Row],[Original Price]]-FlipkartTable[[#This Row],[Selling Price]])/FlipkartTable[[#This Row],[Original Price]]</f>
        <v>9.0936647468929974E-2</v>
      </c>
      <c r="K2246">
        <f>(FlipkartTable[[#This Row],[Rating]]/FlipkartTable[[#This Row],[Selling Price]])*1000</f>
        <v>0.14671557185728576</v>
      </c>
      <c r="L2246" t="str">
        <f>IF(FlipkartTable[[#This Row],[Selling Price]]&lt;15000,"Budget",IF(FlipkartTable[[#This Row],[Selling Price]]&lt;50000,"Mid Range","Premium"))</f>
        <v>Mid Range</v>
      </c>
      <c r="M2246" t="str">
        <f>IF(FlipkartTable[[#This Row],[Rating]]&gt;4.5,"Excellent",IF(FlipkartTable[[#This Row],[Rating]]&gt;4,"Good",IF(FlipkartTable[[#This Row],[Rating]]&gt;3.5,"Average","Poor")))</f>
        <v>Good</v>
      </c>
    </row>
    <row r="2247" spans="1:13" x14ac:dyDescent="0.35">
      <c r="A2247" t="s">
        <v>1131</v>
      </c>
      <c r="B2247" s="9" t="s">
        <v>1145</v>
      </c>
      <c r="C2247" t="s">
        <v>1146</v>
      </c>
      <c r="D2247" t="s">
        <v>20</v>
      </c>
      <c r="E2247" t="s">
        <v>12</v>
      </c>
      <c r="F2247">
        <v>4.4000000000000004</v>
      </c>
      <c r="G2247">
        <v>28990</v>
      </c>
      <c r="H2247">
        <v>28990</v>
      </c>
      <c r="I2247">
        <f>FlipkartTable[[#This Row],[Original Price]]-FlipkartTable[[#This Row],[Selling Price]]</f>
        <v>0</v>
      </c>
      <c r="J2247" s="4">
        <f>(FlipkartTable[[#This Row],[Original Price]]-FlipkartTable[[#This Row],[Selling Price]])/FlipkartTable[[#This Row],[Original Price]]</f>
        <v>0</v>
      </c>
      <c r="K2247">
        <f>(FlipkartTable[[#This Row],[Rating]]/FlipkartTable[[#This Row],[Selling Price]])*1000</f>
        <v>0.15177647464642979</v>
      </c>
      <c r="L2247" t="str">
        <f>IF(FlipkartTable[[#This Row],[Selling Price]]&lt;15000,"Budget",IF(FlipkartTable[[#This Row],[Selling Price]]&lt;50000,"Mid Range","Premium"))</f>
        <v>Mid Range</v>
      </c>
      <c r="M2247" t="str">
        <f>IF(FlipkartTable[[#This Row],[Rating]]&gt;4.5,"Excellent",IF(FlipkartTable[[#This Row],[Rating]]&gt;4,"Good",IF(FlipkartTable[[#This Row],[Rating]]&gt;3.5,"Average","Poor")))</f>
        <v>Good</v>
      </c>
    </row>
    <row r="2248" spans="1:13" x14ac:dyDescent="0.35">
      <c r="A2248" t="s">
        <v>1131</v>
      </c>
      <c r="B2248" s="9" t="s">
        <v>1147</v>
      </c>
      <c r="C2248" t="s">
        <v>1148</v>
      </c>
      <c r="D2248" t="s">
        <v>14</v>
      </c>
      <c r="E2248" t="s">
        <v>12</v>
      </c>
      <c r="F2248">
        <v>4.4000000000000004</v>
      </c>
      <c r="G2248">
        <v>28499</v>
      </c>
      <c r="H2248">
        <v>34990</v>
      </c>
      <c r="I2248">
        <f>FlipkartTable[[#This Row],[Original Price]]-FlipkartTable[[#This Row],[Selling Price]]</f>
        <v>6491</v>
      </c>
      <c r="J2248" s="4">
        <f>(FlipkartTable[[#This Row],[Original Price]]-FlipkartTable[[#This Row],[Selling Price]])/FlipkartTable[[#This Row],[Original Price]]</f>
        <v>0.18551014575593028</v>
      </c>
      <c r="K2248">
        <f>(FlipkartTable[[#This Row],[Rating]]/FlipkartTable[[#This Row],[Selling Price]])*1000</f>
        <v>0.15439138215375978</v>
      </c>
      <c r="L2248" t="str">
        <f>IF(FlipkartTable[[#This Row],[Selling Price]]&lt;15000,"Budget",IF(FlipkartTable[[#This Row],[Selling Price]]&lt;50000,"Mid Range","Premium"))</f>
        <v>Mid Range</v>
      </c>
      <c r="M2248" t="str">
        <f>IF(FlipkartTable[[#This Row],[Rating]]&gt;4.5,"Excellent",IF(FlipkartTable[[#This Row],[Rating]]&gt;4,"Good",IF(FlipkartTable[[#This Row],[Rating]]&gt;3.5,"Average","Poor")))</f>
        <v>Good</v>
      </c>
    </row>
    <row r="2249" spans="1:13" x14ac:dyDescent="0.35">
      <c r="A2249" t="s">
        <v>1131</v>
      </c>
      <c r="B2249" s="9" t="s">
        <v>1149</v>
      </c>
      <c r="C2249" t="s">
        <v>700</v>
      </c>
      <c r="D2249" t="s">
        <v>20</v>
      </c>
      <c r="E2249" t="s">
        <v>12</v>
      </c>
      <c r="F2249">
        <v>4.4000000000000004</v>
      </c>
      <c r="G2249">
        <v>27990</v>
      </c>
      <c r="H2249">
        <v>27990</v>
      </c>
      <c r="I2249">
        <f>FlipkartTable[[#This Row],[Original Price]]-FlipkartTable[[#This Row],[Selling Price]]</f>
        <v>0</v>
      </c>
      <c r="J2249" s="4">
        <f>(FlipkartTable[[#This Row],[Original Price]]-FlipkartTable[[#This Row],[Selling Price]])/FlipkartTable[[#This Row],[Original Price]]</f>
        <v>0</v>
      </c>
      <c r="K2249">
        <f>(FlipkartTable[[#This Row],[Rating]]/FlipkartTable[[#This Row],[Selling Price]])*1000</f>
        <v>0.15719899964272957</v>
      </c>
      <c r="L2249" t="str">
        <f>IF(FlipkartTable[[#This Row],[Selling Price]]&lt;15000,"Budget",IF(FlipkartTable[[#This Row],[Selling Price]]&lt;50000,"Mid Range","Premium"))</f>
        <v>Mid Range</v>
      </c>
      <c r="M2249" t="str">
        <f>IF(FlipkartTable[[#This Row],[Rating]]&gt;4.5,"Excellent",IF(FlipkartTable[[#This Row],[Rating]]&gt;4,"Good",IF(FlipkartTable[[#This Row],[Rating]]&gt;3.5,"Average","Poor")))</f>
        <v>Good</v>
      </c>
    </row>
    <row r="2250" spans="1:13" x14ac:dyDescent="0.35">
      <c r="A2250" t="s">
        <v>1131</v>
      </c>
      <c r="B2250" s="9" t="s">
        <v>1150</v>
      </c>
      <c r="C2250" t="s">
        <v>1151</v>
      </c>
      <c r="D2250" t="s">
        <v>20</v>
      </c>
      <c r="E2250" t="s">
        <v>124</v>
      </c>
      <c r="F2250">
        <v>4.3</v>
      </c>
      <c r="G2250">
        <v>23990</v>
      </c>
      <c r="H2250">
        <v>23990</v>
      </c>
      <c r="I2250">
        <f>FlipkartTable[[#This Row],[Original Price]]-FlipkartTable[[#This Row],[Selling Price]]</f>
        <v>0</v>
      </c>
      <c r="J2250" s="4">
        <f>(FlipkartTable[[#This Row],[Original Price]]-FlipkartTable[[#This Row],[Selling Price]])/FlipkartTable[[#This Row],[Original Price]]</f>
        <v>0</v>
      </c>
      <c r="K2250">
        <f>(FlipkartTable[[#This Row],[Rating]]/FlipkartTable[[#This Row],[Selling Price]])*1000</f>
        <v>0.17924135056273446</v>
      </c>
      <c r="L2250" t="str">
        <f>IF(FlipkartTable[[#This Row],[Selling Price]]&lt;15000,"Budget",IF(FlipkartTable[[#This Row],[Selling Price]]&lt;50000,"Mid Range","Premium"))</f>
        <v>Mid Range</v>
      </c>
      <c r="M2250" t="str">
        <f>IF(FlipkartTable[[#This Row],[Rating]]&gt;4.5,"Excellent",IF(FlipkartTable[[#This Row],[Rating]]&gt;4,"Good",IF(FlipkartTable[[#This Row],[Rating]]&gt;3.5,"Average","Poor")))</f>
        <v>Good</v>
      </c>
    </row>
    <row r="2251" spans="1:13" x14ac:dyDescent="0.35">
      <c r="A2251" t="s">
        <v>1131</v>
      </c>
      <c r="B2251" s="9" t="s">
        <v>1132</v>
      </c>
      <c r="C2251" t="s">
        <v>1133</v>
      </c>
      <c r="D2251" t="s">
        <v>11</v>
      </c>
      <c r="E2251" t="s">
        <v>12</v>
      </c>
      <c r="F2251">
        <v>4.4000000000000004</v>
      </c>
      <c r="G2251">
        <v>23990</v>
      </c>
      <c r="H2251">
        <v>23990</v>
      </c>
      <c r="I2251">
        <f>FlipkartTable[[#This Row],[Original Price]]-FlipkartTable[[#This Row],[Selling Price]]</f>
        <v>0</v>
      </c>
      <c r="J2251" s="4">
        <f>(FlipkartTable[[#This Row],[Original Price]]-FlipkartTable[[#This Row],[Selling Price]])/FlipkartTable[[#This Row],[Original Price]]</f>
        <v>0</v>
      </c>
      <c r="K2251">
        <f>(FlipkartTable[[#This Row],[Rating]]/FlipkartTable[[#This Row],[Selling Price]])*1000</f>
        <v>0.18340975406419344</v>
      </c>
      <c r="L2251" t="str">
        <f>IF(FlipkartTable[[#This Row],[Selling Price]]&lt;15000,"Budget",IF(FlipkartTable[[#This Row],[Selling Price]]&lt;50000,"Mid Range","Premium"))</f>
        <v>Mid Range</v>
      </c>
      <c r="M2251" t="str">
        <f>IF(FlipkartTable[[#This Row],[Rating]]&gt;4.5,"Excellent",IF(FlipkartTable[[#This Row],[Rating]]&gt;4,"Good",IF(FlipkartTable[[#This Row],[Rating]]&gt;3.5,"Average","Poor")))</f>
        <v>Good</v>
      </c>
    </row>
    <row r="2252" spans="1:13" x14ac:dyDescent="0.35">
      <c r="A2252" t="s">
        <v>1131</v>
      </c>
      <c r="B2252" s="9" t="s">
        <v>1147</v>
      </c>
      <c r="C2252" t="s">
        <v>126</v>
      </c>
      <c r="D2252" t="s">
        <v>11</v>
      </c>
      <c r="E2252" t="s">
        <v>21</v>
      </c>
      <c r="F2252">
        <v>4.4000000000000004</v>
      </c>
      <c r="G2252">
        <v>22990</v>
      </c>
      <c r="H2252">
        <v>27990</v>
      </c>
      <c r="I2252">
        <f>FlipkartTable[[#This Row],[Original Price]]-FlipkartTable[[#This Row],[Selling Price]]</f>
        <v>5000</v>
      </c>
      <c r="J2252" s="4">
        <f>(FlipkartTable[[#This Row],[Original Price]]-FlipkartTable[[#This Row],[Selling Price]])/FlipkartTable[[#This Row],[Original Price]]</f>
        <v>0.17863522686673813</v>
      </c>
      <c r="K2252">
        <f>(FlipkartTable[[#This Row],[Rating]]/FlipkartTable[[#This Row],[Selling Price]])*1000</f>
        <v>0.19138755980861244</v>
      </c>
      <c r="L2252" t="str">
        <f>IF(FlipkartTable[[#This Row],[Selling Price]]&lt;15000,"Budget",IF(FlipkartTable[[#This Row],[Selling Price]]&lt;50000,"Mid Range","Premium"))</f>
        <v>Mid Range</v>
      </c>
      <c r="M2252" t="str">
        <f>IF(FlipkartTable[[#This Row],[Rating]]&gt;4.5,"Excellent",IF(FlipkartTable[[#This Row],[Rating]]&gt;4,"Good",IF(FlipkartTable[[#This Row],[Rating]]&gt;3.5,"Average","Poor")))</f>
        <v>Good</v>
      </c>
    </row>
    <row r="2253" spans="1:13" x14ac:dyDescent="0.35">
      <c r="A2253" t="s">
        <v>1131</v>
      </c>
      <c r="B2253" s="9" t="s">
        <v>1152</v>
      </c>
      <c r="C2253" t="s">
        <v>126</v>
      </c>
      <c r="D2253" t="s">
        <v>11</v>
      </c>
      <c r="E2253" t="s">
        <v>21</v>
      </c>
      <c r="F2253">
        <v>4.4000000000000004</v>
      </c>
      <c r="G2253">
        <v>22654</v>
      </c>
      <c r="H2253">
        <v>22654</v>
      </c>
      <c r="I2253">
        <f>FlipkartTable[[#This Row],[Original Price]]-FlipkartTable[[#This Row],[Selling Price]]</f>
        <v>0</v>
      </c>
      <c r="J2253" s="4">
        <f>(FlipkartTable[[#This Row],[Original Price]]-FlipkartTable[[#This Row],[Selling Price]])/FlipkartTable[[#This Row],[Original Price]]</f>
        <v>0</v>
      </c>
      <c r="K2253">
        <f>(FlipkartTable[[#This Row],[Rating]]/FlipkartTable[[#This Row],[Selling Price]])*1000</f>
        <v>0.19422618522115301</v>
      </c>
      <c r="L2253" t="str">
        <f>IF(FlipkartTable[[#This Row],[Selling Price]]&lt;15000,"Budget",IF(FlipkartTable[[#This Row],[Selling Price]]&lt;50000,"Mid Range","Premium"))</f>
        <v>Mid Range</v>
      </c>
      <c r="M2253" t="str">
        <f>IF(FlipkartTable[[#This Row],[Rating]]&gt;4.5,"Excellent",IF(FlipkartTable[[#This Row],[Rating]]&gt;4,"Good",IF(FlipkartTable[[#This Row],[Rating]]&gt;3.5,"Average","Poor")))</f>
        <v>Good</v>
      </c>
    </row>
    <row r="2254" spans="1:13" x14ac:dyDescent="0.35">
      <c r="A2254" t="s">
        <v>1131</v>
      </c>
      <c r="B2254" s="9" t="s">
        <v>1153</v>
      </c>
      <c r="C2254" t="s">
        <v>1154</v>
      </c>
      <c r="D2254" t="s">
        <v>27</v>
      </c>
      <c r="E2254" t="s">
        <v>15</v>
      </c>
      <c r="F2254">
        <v>4.4000000000000004</v>
      </c>
      <c r="G2254">
        <v>21990</v>
      </c>
      <c r="H2254">
        <v>21990</v>
      </c>
      <c r="I2254">
        <f>FlipkartTable[[#This Row],[Original Price]]-FlipkartTable[[#This Row],[Selling Price]]</f>
        <v>0</v>
      </c>
      <c r="J2254" s="4">
        <f>(FlipkartTable[[#This Row],[Original Price]]-FlipkartTable[[#This Row],[Selling Price]])/FlipkartTable[[#This Row],[Original Price]]</f>
        <v>0</v>
      </c>
      <c r="K2254">
        <f>(FlipkartTable[[#This Row],[Rating]]/FlipkartTable[[#This Row],[Selling Price]])*1000</f>
        <v>0.20009095043201458</v>
      </c>
      <c r="L2254" t="str">
        <f>IF(FlipkartTable[[#This Row],[Selling Price]]&lt;15000,"Budget",IF(FlipkartTable[[#This Row],[Selling Price]]&lt;50000,"Mid Range","Premium"))</f>
        <v>Mid Range</v>
      </c>
      <c r="M2254" t="str">
        <f>IF(FlipkartTable[[#This Row],[Rating]]&gt;4.5,"Excellent",IF(FlipkartTable[[#This Row],[Rating]]&gt;4,"Good",IF(FlipkartTable[[#This Row],[Rating]]&gt;3.5,"Average","Poor")))</f>
        <v>Good</v>
      </c>
    </row>
    <row r="2255" spans="1:13" x14ac:dyDescent="0.35">
      <c r="A2255" t="s">
        <v>1131</v>
      </c>
      <c r="B2255" s="9" t="s">
        <v>1153</v>
      </c>
      <c r="C2255" t="s">
        <v>1154</v>
      </c>
      <c r="D2255" t="s">
        <v>11</v>
      </c>
      <c r="E2255" t="s">
        <v>15</v>
      </c>
      <c r="F2255">
        <v>4.4000000000000004</v>
      </c>
      <c r="G2255">
        <v>21099</v>
      </c>
      <c r="H2255">
        <v>32990</v>
      </c>
      <c r="I2255">
        <f>FlipkartTable[[#This Row],[Original Price]]-FlipkartTable[[#This Row],[Selling Price]]</f>
        <v>11891</v>
      </c>
      <c r="J2255" s="4">
        <f>(FlipkartTable[[#This Row],[Original Price]]-FlipkartTable[[#This Row],[Selling Price]])/FlipkartTable[[#This Row],[Original Price]]</f>
        <v>0.36044255835101546</v>
      </c>
      <c r="K2255">
        <f>(FlipkartTable[[#This Row],[Rating]]/FlipkartTable[[#This Row],[Selling Price]])*1000</f>
        <v>0.20854068913218637</v>
      </c>
      <c r="L2255" t="str">
        <f>IF(FlipkartTable[[#This Row],[Selling Price]]&lt;15000,"Budget",IF(FlipkartTable[[#This Row],[Selling Price]]&lt;50000,"Mid Range","Premium"))</f>
        <v>Mid Range</v>
      </c>
      <c r="M2255" t="str">
        <f>IF(FlipkartTable[[#This Row],[Rating]]&gt;4.5,"Excellent",IF(FlipkartTable[[#This Row],[Rating]]&gt;4,"Good",IF(FlipkartTable[[#This Row],[Rating]]&gt;3.5,"Average","Poor")))</f>
        <v>Good</v>
      </c>
    </row>
    <row r="2256" spans="1:13" x14ac:dyDescent="0.35">
      <c r="A2256" t="s">
        <v>1131</v>
      </c>
      <c r="B2256" s="9" t="s">
        <v>1140</v>
      </c>
      <c r="C2256" t="s">
        <v>1144</v>
      </c>
      <c r="D2256" t="s">
        <v>11</v>
      </c>
      <c r="E2256" t="s">
        <v>15</v>
      </c>
      <c r="F2256">
        <v>4.4000000000000004</v>
      </c>
      <c r="G2256">
        <v>20600</v>
      </c>
      <c r="H2256">
        <v>20600</v>
      </c>
      <c r="I2256">
        <f>FlipkartTable[[#This Row],[Original Price]]-FlipkartTable[[#This Row],[Selling Price]]</f>
        <v>0</v>
      </c>
      <c r="J2256" s="4">
        <f>(FlipkartTable[[#This Row],[Original Price]]-FlipkartTable[[#This Row],[Selling Price]])/FlipkartTable[[#This Row],[Original Price]]</f>
        <v>0</v>
      </c>
      <c r="K2256">
        <f>(FlipkartTable[[#This Row],[Rating]]/FlipkartTable[[#This Row],[Selling Price]])*1000</f>
        <v>0.21359223300970875</v>
      </c>
      <c r="L2256" t="str">
        <f>IF(FlipkartTable[[#This Row],[Selling Price]]&lt;15000,"Budget",IF(FlipkartTable[[#This Row],[Selling Price]]&lt;50000,"Mid Range","Premium"))</f>
        <v>Mid Range</v>
      </c>
      <c r="M2256" t="str">
        <f>IF(FlipkartTable[[#This Row],[Rating]]&gt;4.5,"Excellent",IF(FlipkartTable[[#This Row],[Rating]]&gt;4,"Good",IF(FlipkartTable[[#This Row],[Rating]]&gt;3.5,"Average","Poor")))</f>
        <v>Good</v>
      </c>
    </row>
    <row r="2257" spans="1:13" x14ac:dyDescent="0.35">
      <c r="A2257" t="s">
        <v>1131</v>
      </c>
      <c r="B2257" s="9" t="s">
        <v>1155</v>
      </c>
      <c r="C2257" t="s">
        <v>1069</v>
      </c>
      <c r="D2257" t="s">
        <v>14</v>
      </c>
      <c r="E2257" t="s">
        <v>12</v>
      </c>
      <c r="F2257">
        <v>4.5</v>
      </c>
      <c r="G2257">
        <v>19990</v>
      </c>
      <c r="H2257">
        <v>24990</v>
      </c>
      <c r="I2257">
        <f>FlipkartTable[[#This Row],[Original Price]]-FlipkartTable[[#This Row],[Selling Price]]</f>
        <v>5000</v>
      </c>
      <c r="J2257" s="4">
        <f>(FlipkartTable[[#This Row],[Original Price]]-FlipkartTable[[#This Row],[Selling Price]])/FlipkartTable[[#This Row],[Original Price]]</f>
        <v>0.20008003201280511</v>
      </c>
      <c r="K2257">
        <f>(FlipkartTable[[#This Row],[Rating]]/FlipkartTable[[#This Row],[Selling Price]])*1000</f>
        <v>0.22511255627813909</v>
      </c>
      <c r="L2257" t="str">
        <f>IF(FlipkartTable[[#This Row],[Selling Price]]&lt;15000,"Budget",IF(FlipkartTable[[#This Row],[Selling Price]]&lt;50000,"Mid Range","Premium"))</f>
        <v>Mid Range</v>
      </c>
      <c r="M2257" t="str">
        <f>IF(FlipkartTable[[#This Row],[Rating]]&gt;4.5,"Excellent",IF(FlipkartTable[[#This Row],[Rating]]&gt;4,"Good",IF(FlipkartTable[[#This Row],[Rating]]&gt;3.5,"Average","Poor")))</f>
        <v>Good</v>
      </c>
    </row>
    <row r="2258" spans="1:13" x14ac:dyDescent="0.35">
      <c r="A2258" t="s">
        <v>1131</v>
      </c>
      <c r="B2258" s="9" t="s">
        <v>1153</v>
      </c>
      <c r="C2258" t="s">
        <v>1156</v>
      </c>
      <c r="D2258" t="s">
        <v>11</v>
      </c>
      <c r="E2258" t="s">
        <v>12</v>
      </c>
      <c r="F2258">
        <v>4.4000000000000004</v>
      </c>
      <c r="G2258">
        <v>19990</v>
      </c>
      <c r="H2258">
        <v>24990</v>
      </c>
      <c r="I2258">
        <f>FlipkartTable[[#This Row],[Original Price]]-FlipkartTable[[#This Row],[Selling Price]]</f>
        <v>5000</v>
      </c>
      <c r="J2258" s="4">
        <f>(FlipkartTable[[#This Row],[Original Price]]-FlipkartTable[[#This Row],[Selling Price]])/FlipkartTable[[#This Row],[Original Price]]</f>
        <v>0.20008003201280511</v>
      </c>
      <c r="K2258">
        <f>(FlipkartTable[[#This Row],[Rating]]/FlipkartTable[[#This Row],[Selling Price]])*1000</f>
        <v>0.22011005502751377</v>
      </c>
      <c r="L2258" t="str">
        <f>IF(FlipkartTable[[#This Row],[Selling Price]]&lt;15000,"Budget",IF(FlipkartTable[[#This Row],[Selling Price]]&lt;50000,"Mid Range","Premium"))</f>
        <v>Mid Range</v>
      </c>
      <c r="M2258" t="str">
        <f>IF(FlipkartTable[[#This Row],[Rating]]&gt;4.5,"Excellent",IF(FlipkartTable[[#This Row],[Rating]]&gt;4,"Good",IF(FlipkartTable[[#This Row],[Rating]]&gt;3.5,"Average","Poor")))</f>
        <v>Good</v>
      </c>
    </row>
    <row r="2259" spans="1:13" x14ac:dyDescent="0.35">
      <c r="A2259" t="s">
        <v>1131</v>
      </c>
      <c r="B2259" s="9" t="s">
        <v>1150</v>
      </c>
      <c r="C2259" t="s">
        <v>1157</v>
      </c>
      <c r="D2259" t="s">
        <v>11</v>
      </c>
      <c r="E2259" t="s">
        <v>21</v>
      </c>
      <c r="F2259">
        <v>4.4000000000000004</v>
      </c>
      <c r="G2259">
        <v>19490</v>
      </c>
      <c r="H2259">
        <v>22990</v>
      </c>
      <c r="I2259">
        <f>FlipkartTable[[#This Row],[Original Price]]-FlipkartTable[[#This Row],[Selling Price]]</f>
        <v>3500</v>
      </c>
      <c r="J2259" s="4">
        <f>(FlipkartTable[[#This Row],[Original Price]]-FlipkartTable[[#This Row],[Selling Price]])/FlipkartTable[[#This Row],[Original Price]]</f>
        <v>0.15224010439321445</v>
      </c>
      <c r="K2259">
        <f>(FlipkartTable[[#This Row],[Rating]]/FlipkartTable[[#This Row],[Selling Price]])*1000</f>
        <v>0.22575679835813239</v>
      </c>
      <c r="L2259" t="str">
        <f>IF(FlipkartTable[[#This Row],[Selling Price]]&lt;15000,"Budget",IF(FlipkartTable[[#This Row],[Selling Price]]&lt;50000,"Mid Range","Premium"))</f>
        <v>Mid Range</v>
      </c>
      <c r="M2259" t="str">
        <f>IF(FlipkartTable[[#This Row],[Rating]]&gt;4.5,"Excellent",IF(FlipkartTable[[#This Row],[Rating]]&gt;4,"Good",IF(FlipkartTable[[#This Row],[Rating]]&gt;3.5,"Average","Poor")))</f>
        <v>Good</v>
      </c>
    </row>
    <row r="2260" spans="1:13" x14ac:dyDescent="0.35">
      <c r="A2260" t="s">
        <v>1131</v>
      </c>
      <c r="B2260" s="9" t="s">
        <v>1158</v>
      </c>
      <c r="C2260" t="s">
        <v>1135</v>
      </c>
      <c r="D2260" t="s">
        <v>11</v>
      </c>
      <c r="E2260" t="s">
        <v>21</v>
      </c>
      <c r="F2260">
        <v>4.4000000000000004</v>
      </c>
      <c r="G2260">
        <v>19490</v>
      </c>
      <c r="H2260">
        <v>22990</v>
      </c>
      <c r="I2260">
        <f>FlipkartTable[[#This Row],[Original Price]]-FlipkartTable[[#This Row],[Selling Price]]</f>
        <v>3500</v>
      </c>
      <c r="J2260" s="4">
        <f>(FlipkartTable[[#This Row],[Original Price]]-FlipkartTable[[#This Row],[Selling Price]])/FlipkartTable[[#This Row],[Original Price]]</f>
        <v>0.15224010439321445</v>
      </c>
      <c r="K2260">
        <f>(FlipkartTable[[#This Row],[Rating]]/FlipkartTable[[#This Row],[Selling Price]])*1000</f>
        <v>0.22575679835813239</v>
      </c>
      <c r="L2260" t="str">
        <f>IF(FlipkartTable[[#This Row],[Selling Price]]&lt;15000,"Budget",IF(FlipkartTable[[#This Row],[Selling Price]]&lt;50000,"Mid Range","Premium"))</f>
        <v>Mid Range</v>
      </c>
      <c r="M2260" t="str">
        <f>IF(FlipkartTable[[#This Row],[Rating]]&gt;4.5,"Excellent",IF(FlipkartTable[[#This Row],[Rating]]&gt;4,"Good",IF(FlipkartTable[[#This Row],[Rating]]&gt;3.5,"Average","Poor")))</f>
        <v>Good</v>
      </c>
    </row>
    <row r="2261" spans="1:13" x14ac:dyDescent="0.35">
      <c r="A2261" t="s">
        <v>1131</v>
      </c>
      <c r="B2261" s="9" t="s">
        <v>1155</v>
      </c>
      <c r="C2261" t="s">
        <v>1159</v>
      </c>
      <c r="D2261" t="s">
        <v>20</v>
      </c>
      <c r="E2261" t="s">
        <v>124</v>
      </c>
      <c r="F2261">
        <v>4.3</v>
      </c>
      <c r="G2261">
        <v>18990</v>
      </c>
      <c r="H2261">
        <v>18990</v>
      </c>
      <c r="I2261">
        <f>FlipkartTable[[#This Row],[Original Price]]-FlipkartTable[[#This Row],[Selling Price]]</f>
        <v>0</v>
      </c>
      <c r="J2261" s="4">
        <f>(FlipkartTable[[#This Row],[Original Price]]-FlipkartTable[[#This Row],[Selling Price]])/FlipkartTable[[#This Row],[Original Price]]</f>
        <v>0</v>
      </c>
      <c r="K2261">
        <f>(FlipkartTable[[#This Row],[Rating]]/FlipkartTable[[#This Row],[Selling Price]])*1000</f>
        <v>0.22643496577145866</v>
      </c>
      <c r="L2261" t="str">
        <f>IF(FlipkartTable[[#This Row],[Selling Price]]&lt;15000,"Budget",IF(FlipkartTable[[#This Row],[Selling Price]]&lt;50000,"Mid Range","Premium"))</f>
        <v>Mid Range</v>
      </c>
      <c r="M2261" t="str">
        <f>IF(FlipkartTable[[#This Row],[Rating]]&gt;4.5,"Excellent",IF(FlipkartTable[[#This Row],[Rating]]&gt;4,"Good",IF(FlipkartTable[[#This Row],[Rating]]&gt;3.5,"Average","Poor")))</f>
        <v>Good</v>
      </c>
    </row>
    <row r="2262" spans="1:13" x14ac:dyDescent="0.35">
      <c r="A2262" t="s">
        <v>1131</v>
      </c>
      <c r="B2262" s="9" t="s">
        <v>1132</v>
      </c>
      <c r="C2262" t="s">
        <v>1135</v>
      </c>
      <c r="D2262" t="s">
        <v>20</v>
      </c>
      <c r="E2262" t="s">
        <v>124</v>
      </c>
      <c r="F2262">
        <v>4.3</v>
      </c>
      <c r="G2262">
        <v>18990</v>
      </c>
      <c r="H2262">
        <v>20990</v>
      </c>
      <c r="I2262">
        <f>FlipkartTable[[#This Row],[Original Price]]-FlipkartTable[[#This Row],[Selling Price]]</f>
        <v>2000</v>
      </c>
      <c r="J2262" s="4">
        <f>(FlipkartTable[[#This Row],[Original Price]]-FlipkartTable[[#This Row],[Selling Price]])/FlipkartTable[[#This Row],[Original Price]]</f>
        <v>9.5283468318246786E-2</v>
      </c>
      <c r="K2262">
        <f>(FlipkartTable[[#This Row],[Rating]]/FlipkartTable[[#This Row],[Selling Price]])*1000</f>
        <v>0.22643496577145866</v>
      </c>
      <c r="L2262" t="str">
        <f>IF(FlipkartTable[[#This Row],[Selling Price]]&lt;15000,"Budget",IF(FlipkartTable[[#This Row],[Selling Price]]&lt;50000,"Mid Range","Premium"))</f>
        <v>Mid Range</v>
      </c>
      <c r="M2262" t="str">
        <f>IF(FlipkartTable[[#This Row],[Rating]]&gt;4.5,"Excellent",IF(FlipkartTable[[#This Row],[Rating]]&gt;4,"Good",IF(FlipkartTable[[#This Row],[Rating]]&gt;3.5,"Average","Poor")))</f>
        <v>Good</v>
      </c>
    </row>
    <row r="2263" spans="1:13" x14ac:dyDescent="0.35">
      <c r="A2263" t="s">
        <v>1131</v>
      </c>
      <c r="B2263" s="9" t="s">
        <v>1160</v>
      </c>
      <c r="C2263" t="s">
        <v>1161</v>
      </c>
      <c r="D2263" t="s">
        <v>20</v>
      </c>
      <c r="E2263" t="s">
        <v>21</v>
      </c>
      <c r="F2263">
        <v>4.3</v>
      </c>
      <c r="G2263">
        <v>17999</v>
      </c>
      <c r="H2263">
        <v>17999</v>
      </c>
      <c r="I2263">
        <f>FlipkartTable[[#This Row],[Original Price]]-FlipkartTable[[#This Row],[Selling Price]]</f>
        <v>0</v>
      </c>
      <c r="J2263" s="4">
        <f>(FlipkartTable[[#This Row],[Original Price]]-FlipkartTable[[#This Row],[Selling Price]])/FlipkartTable[[#This Row],[Original Price]]</f>
        <v>0</v>
      </c>
      <c r="K2263">
        <f>(FlipkartTable[[#This Row],[Rating]]/FlipkartTable[[#This Row],[Selling Price]])*1000</f>
        <v>0.23890216123117949</v>
      </c>
      <c r="L2263" t="str">
        <f>IF(FlipkartTable[[#This Row],[Selling Price]]&lt;15000,"Budget",IF(FlipkartTable[[#This Row],[Selling Price]]&lt;50000,"Mid Range","Premium"))</f>
        <v>Mid Range</v>
      </c>
      <c r="M2263" t="str">
        <f>IF(FlipkartTable[[#This Row],[Rating]]&gt;4.5,"Excellent",IF(FlipkartTable[[#This Row],[Rating]]&gt;4,"Good",IF(FlipkartTable[[#This Row],[Rating]]&gt;3.5,"Average","Poor")))</f>
        <v>Good</v>
      </c>
    </row>
    <row r="2264" spans="1:13" x14ac:dyDescent="0.35">
      <c r="A2264" t="s">
        <v>1131</v>
      </c>
      <c r="B2264" s="9" t="s">
        <v>1162</v>
      </c>
      <c r="C2264" t="s">
        <v>1163</v>
      </c>
      <c r="D2264" t="s">
        <v>11</v>
      </c>
      <c r="E2264" t="s">
        <v>12</v>
      </c>
      <c r="F2264">
        <v>4.4000000000000004</v>
      </c>
      <c r="G2264">
        <v>16990</v>
      </c>
      <c r="H2264">
        <v>20990</v>
      </c>
      <c r="I2264">
        <f>FlipkartTable[[#This Row],[Original Price]]-FlipkartTable[[#This Row],[Selling Price]]</f>
        <v>4000</v>
      </c>
      <c r="J2264" s="4">
        <f>(FlipkartTable[[#This Row],[Original Price]]-FlipkartTable[[#This Row],[Selling Price]])/FlipkartTable[[#This Row],[Original Price]]</f>
        <v>0.19056693663649357</v>
      </c>
      <c r="K2264">
        <f>(FlipkartTable[[#This Row],[Rating]]/FlipkartTable[[#This Row],[Selling Price]])*1000</f>
        <v>0.25897586815773987</v>
      </c>
      <c r="L2264" t="str">
        <f>IF(FlipkartTable[[#This Row],[Selling Price]]&lt;15000,"Budget",IF(FlipkartTable[[#This Row],[Selling Price]]&lt;50000,"Mid Range","Premium"))</f>
        <v>Mid Range</v>
      </c>
      <c r="M2264" t="str">
        <f>IF(FlipkartTable[[#This Row],[Rating]]&gt;4.5,"Excellent",IF(FlipkartTable[[#This Row],[Rating]]&gt;4,"Good",IF(FlipkartTable[[#This Row],[Rating]]&gt;3.5,"Average","Poor")))</f>
        <v>Good</v>
      </c>
    </row>
    <row r="2265" spans="1:13" x14ac:dyDescent="0.35">
      <c r="A2265" t="s">
        <v>1131</v>
      </c>
      <c r="B2265" s="9" t="s">
        <v>1164</v>
      </c>
      <c r="C2265" t="s">
        <v>1165</v>
      </c>
      <c r="D2265" t="s">
        <v>14</v>
      </c>
      <c r="E2265" t="s">
        <v>12</v>
      </c>
      <c r="F2265">
        <v>4.5</v>
      </c>
      <c r="G2265">
        <v>16989</v>
      </c>
      <c r="H2265">
        <v>16989</v>
      </c>
      <c r="I2265">
        <f>FlipkartTable[[#This Row],[Original Price]]-FlipkartTable[[#This Row],[Selling Price]]</f>
        <v>0</v>
      </c>
      <c r="J2265" s="4">
        <f>(FlipkartTable[[#This Row],[Original Price]]-FlipkartTable[[#This Row],[Selling Price]])/FlipkartTable[[#This Row],[Original Price]]</f>
        <v>0</v>
      </c>
      <c r="K2265">
        <f>(FlipkartTable[[#This Row],[Rating]]/FlipkartTable[[#This Row],[Selling Price]])*1000</f>
        <v>0.26487727352993112</v>
      </c>
      <c r="L2265" t="str">
        <f>IF(FlipkartTable[[#This Row],[Selling Price]]&lt;15000,"Budget",IF(FlipkartTable[[#This Row],[Selling Price]]&lt;50000,"Mid Range","Premium"))</f>
        <v>Mid Range</v>
      </c>
      <c r="M2265" t="str">
        <f>IF(FlipkartTable[[#This Row],[Rating]]&gt;4.5,"Excellent",IF(FlipkartTable[[#This Row],[Rating]]&gt;4,"Good",IF(FlipkartTable[[#This Row],[Rating]]&gt;3.5,"Average","Poor")))</f>
        <v>Good</v>
      </c>
    </row>
    <row r="2266" spans="1:13" x14ac:dyDescent="0.35">
      <c r="A2266" t="s">
        <v>1131</v>
      </c>
      <c r="B2266" s="9" t="s">
        <v>1166</v>
      </c>
      <c r="C2266" t="s">
        <v>68</v>
      </c>
      <c r="D2266" t="s">
        <v>11</v>
      </c>
      <c r="E2266" t="s">
        <v>12</v>
      </c>
      <c r="F2266">
        <v>4.4000000000000004</v>
      </c>
      <c r="G2266">
        <v>16490</v>
      </c>
      <c r="H2266">
        <v>16490</v>
      </c>
      <c r="I2266">
        <f>FlipkartTable[[#This Row],[Original Price]]-FlipkartTable[[#This Row],[Selling Price]]</f>
        <v>0</v>
      </c>
      <c r="J2266" s="4">
        <f>(FlipkartTable[[#This Row],[Original Price]]-FlipkartTable[[#This Row],[Selling Price]])/FlipkartTable[[#This Row],[Original Price]]</f>
        <v>0</v>
      </c>
      <c r="K2266">
        <f>(FlipkartTable[[#This Row],[Rating]]/FlipkartTable[[#This Row],[Selling Price]])*1000</f>
        <v>0.26682838083687088</v>
      </c>
      <c r="L2266" t="str">
        <f>IF(FlipkartTable[[#This Row],[Selling Price]]&lt;15000,"Budget",IF(FlipkartTable[[#This Row],[Selling Price]]&lt;50000,"Mid Range","Premium"))</f>
        <v>Mid Range</v>
      </c>
      <c r="M2266" t="str">
        <f>IF(FlipkartTable[[#This Row],[Rating]]&gt;4.5,"Excellent",IF(FlipkartTable[[#This Row],[Rating]]&gt;4,"Good",IF(FlipkartTable[[#This Row],[Rating]]&gt;3.5,"Average","Poor")))</f>
        <v>Good</v>
      </c>
    </row>
    <row r="2267" spans="1:13" x14ac:dyDescent="0.35">
      <c r="A2267" t="s">
        <v>1131</v>
      </c>
      <c r="B2267" s="9" t="s">
        <v>1149</v>
      </c>
      <c r="C2267" t="s">
        <v>171</v>
      </c>
      <c r="D2267" t="s">
        <v>14</v>
      </c>
      <c r="E2267" t="s">
        <v>15</v>
      </c>
      <c r="F2267">
        <v>4.5</v>
      </c>
      <c r="G2267">
        <v>15990</v>
      </c>
      <c r="H2267">
        <v>15990</v>
      </c>
      <c r="I2267">
        <f>FlipkartTable[[#This Row],[Original Price]]-FlipkartTable[[#This Row],[Selling Price]]</f>
        <v>0</v>
      </c>
      <c r="J2267" s="4">
        <f>(FlipkartTable[[#This Row],[Original Price]]-FlipkartTable[[#This Row],[Selling Price]])/FlipkartTable[[#This Row],[Original Price]]</f>
        <v>0</v>
      </c>
      <c r="K2267">
        <f>(FlipkartTable[[#This Row],[Rating]]/FlipkartTable[[#This Row],[Selling Price]])*1000</f>
        <v>0.28142589118198874</v>
      </c>
      <c r="L2267" t="str">
        <f>IF(FlipkartTable[[#This Row],[Selling Price]]&lt;15000,"Budget",IF(FlipkartTable[[#This Row],[Selling Price]]&lt;50000,"Mid Range","Premium"))</f>
        <v>Mid Range</v>
      </c>
      <c r="M2267" t="str">
        <f>IF(FlipkartTable[[#This Row],[Rating]]&gt;4.5,"Excellent",IF(FlipkartTable[[#This Row],[Rating]]&gt;4,"Good",IF(FlipkartTable[[#This Row],[Rating]]&gt;3.5,"Average","Poor")))</f>
        <v>Good</v>
      </c>
    </row>
    <row r="2268" spans="1:13" x14ac:dyDescent="0.35">
      <c r="A2268" t="s">
        <v>1131</v>
      </c>
      <c r="B2268" s="9" t="s">
        <v>1149</v>
      </c>
      <c r="C2268" t="s">
        <v>171</v>
      </c>
      <c r="D2268" t="s">
        <v>11</v>
      </c>
      <c r="E2268" t="s">
        <v>12</v>
      </c>
      <c r="F2268">
        <v>4.5</v>
      </c>
      <c r="G2268">
        <v>15990</v>
      </c>
      <c r="H2268">
        <v>15990</v>
      </c>
      <c r="I2268">
        <f>FlipkartTable[[#This Row],[Original Price]]-FlipkartTable[[#This Row],[Selling Price]]</f>
        <v>0</v>
      </c>
      <c r="J2268" s="4">
        <f>(FlipkartTable[[#This Row],[Original Price]]-FlipkartTable[[#This Row],[Selling Price]])/FlipkartTable[[#This Row],[Original Price]]</f>
        <v>0</v>
      </c>
      <c r="K2268">
        <f>(FlipkartTable[[#This Row],[Rating]]/FlipkartTable[[#This Row],[Selling Price]])*1000</f>
        <v>0.28142589118198874</v>
      </c>
      <c r="L2268" t="str">
        <f>IF(FlipkartTable[[#This Row],[Selling Price]]&lt;15000,"Budget",IF(FlipkartTable[[#This Row],[Selling Price]]&lt;50000,"Mid Range","Premium"))</f>
        <v>Mid Range</v>
      </c>
      <c r="M2268" t="str">
        <f>IF(FlipkartTable[[#This Row],[Rating]]&gt;4.5,"Excellent",IF(FlipkartTable[[#This Row],[Rating]]&gt;4,"Good",IF(FlipkartTable[[#This Row],[Rating]]&gt;3.5,"Average","Poor")))</f>
        <v>Good</v>
      </c>
    </row>
    <row r="2269" spans="1:13" x14ac:dyDescent="0.35">
      <c r="A2269" t="s">
        <v>1131</v>
      </c>
      <c r="B2269" s="9" t="s">
        <v>1149</v>
      </c>
      <c r="C2269" t="s">
        <v>700</v>
      </c>
      <c r="D2269" t="s">
        <v>63</v>
      </c>
      <c r="E2269" t="s">
        <v>64</v>
      </c>
      <c r="F2269">
        <v>4.4000000000000004</v>
      </c>
      <c r="G2269">
        <v>15900</v>
      </c>
      <c r="H2269">
        <v>15900</v>
      </c>
      <c r="I2269">
        <f>FlipkartTable[[#This Row],[Original Price]]-FlipkartTable[[#This Row],[Selling Price]]</f>
        <v>0</v>
      </c>
      <c r="J2269" s="4">
        <f>(FlipkartTable[[#This Row],[Original Price]]-FlipkartTable[[#This Row],[Selling Price]])/FlipkartTable[[#This Row],[Original Price]]</f>
        <v>0</v>
      </c>
      <c r="K2269">
        <f>(FlipkartTable[[#This Row],[Rating]]/FlipkartTable[[#This Row],[Selling Price]])*1000</f>
        <v>0.27672955974842772</v>
      </c>
      <c r="L2269" t="str">
        <f>IF(FlipkartTable[[#This Row],[Selling Price]]&lt;15000,"Budget",IF(FlipkartTable[[#This Row],[Selling Price]]&lt;50000,"Mid Range","Premium"))</f>
        <v>Mid Range</v>
      </c>
      <c r="M2269" t="str">
        <f>IF(FlipkartTable[[#This Row],[Rating]]&gt;4.5,"Excellent",IF(FlipkartTable[[#This Row],[Rating]]&gt;4,"Good",IF(FlipkartTable[[#This Row],[Rating]]&gt;3.5,"Average","Poor")))</f>
        <v>Good</v>
      </c>
    </row>
    <row r="2270" spans="1:13" x14ac:dyDescent="0.35">
      <c r="A2270" t="s">
        <v>1131</v>
      </c>
      <c r="B2270" s="9" t="s">
        <v>1167</v>
      </c>
      <c r="C2270" t="s">
        <v>1168</v>
      </c>
      <c r="D2270" t="s">
        <v>63</v>
      </c>
      <c r="E2270" t="s">
        <v>64</v>
      </c>
      <c r="F2270">
        <v>4.4000000000000004</v>
      </c>
      <c r="G2270">
        <v>15490</v>
      </c>
      <c r="H2270">
        <v>19490</v>
      </c>
      <c r="I2270">
        <f>FlipkartTable[[#This Row],[Original Price]]-FlipkartTable[[#This Row],[Selling Price]]</f>
        <v>4000</v>
      </c>
      <c r="J2270" s="4">
        <f>(FlipkartTable[[#This Row],[Original Price]]-FlipkartTable[[#This Row],[Selling Price]])/FlipkartTable[[#This Row],[Original Price]]</f>
        <v>0.20523345305284763</v>
      </c>
      <c r="K2270">
        <f>(FlipkartTable[[#This Row],[Rating]]/FlipkartTable[[#This Row],[Selling Price]])*1000</f>
        <v>0.28405422853453843</v>
      </c>
      <c r="L2270" t="str">
        <f>IF(FlipkartTable[[#This Row],[Selling Price]]&lt;15000,"Budget",IF(FlipkartTable[[#This Row],[Selling Price]]&lt;50000,"Mid Range","Premium"))</f>
        <v>Mid Range</v>
      </c>
      <c r="M2270" t="str">
        <f>IF(FlipkartTable[[#This Row],[Rating]]&gt;4.5,"Excellent",IF(FlipkartTable[[#This Row],[Rating]]&gt;4,"Good",IF(FlipkartTable[[#This Row],[Rating]]&gt;3.5,"Average","Poor")))</f>
        <v>Good</v>
      </c>
    </row>
    <row r="2271" spans="1:13" x14ac:dyDescent="0.35">
      <c r="A2271" t="s">
        <v>1131</v>
      </c>
      <c r="B2271" s="9" t="s">
        <v>1169</v>
      </c>
      <c r="C2271" t="s">
        <v>1170</v>
      </c>
      <c r="D2271" t="s">
        <v>27</v>
      </c>
      <c r="E2271" t="s">
        <v>64</v>
      </c>
      <c r="F2271">
        <v>4.5</v>
      </c>
      <c r="G2271">
        <v>15490</v>
      </c>
      <c r="H2271">
        <v>19490</v>
      </c>
      <c r="I2271">
        <f>FlipkartTable[[#This Row],[Original Price]]-FlipkartTable[[#This Row],[Selling Price]]</f>
        <v>4000</v>
      </c>
      <c r="J2271" s="4">
        <f>(FlipkartTable[[#This Row],[Original Price]]-FlipkartTable[[#This Row],[Selling Price]])/FlipkartTable[[#This Row],[Original Price]]</f>
        <v>0.20523345305284763</v>
      </c>
      <c r="K2271">
        <f>(FlipkartTable[[#This Row],[Rating]]/FlipkartTable[[#This Row],[Selling Price]])*1000</f>
        <v>0.2905100064557779</v>
      </c>
      <c r="L2271" t="str">
        <f>IF(FlipkartTable[[#This Row],[Selling Price]]&lt;15000,"Budget",IF(FlipkartTable[[#This Row],[Selling Price]]&lt;50000,"Mid Range","Premium"))</f>
        <v>Mid Range</v>
      </c>
      <c r="M2271" t="str">
        <f>IF(FlipkartTable[[#This Row],[Rating]]&gt;4.5,"Excellent",IF(FlipkartTable[[#This Row],[Rating]]&gt;4,"Good",IF(FlipkartTable[[#This Row],[Rating]]&gt;3.5,"Average","Poor")))</f>
        <v>Good</v>
      </c>
    </row>
    <row r="2272" spans="1:13" x14ac:dyDescent="0.35">
      <c r="A2272" t="s">
        <v>1131</v>
      </c>
      <c r="B2272" s="9" t="s">
        <v>1169</v>
      </c>
      <c r="C2272" t="s">
        <v>1170</v>
      </c>
      <c r="D2272" t="s">
        <v>63</v>
      </c>
      <c r="E2272" t="s">
        <v>64</v>
      </c>
      <c r="F2272">
        <v>4.4000000000000004</v>
      </c>
      <c r="G2272">
        <v>14990</v>
      </c>
      <c r="H2272">
        <v>14990</v>
      </c>
      <c r="I2272">
        <f>FlipkartTable[[#This Row],[Original Price]]-FlipkartTable[[#This Row],[Selling Price]]</f>
        <v>0</v>
      </c>
      <c r="J2272" s="4">
        <f>(FlipkartTable[[#This Row],[Original Price]]-FlipkartTable[[#This Row],[Selling Price]])/FlipkartTable[[#This Row],[Original Price]]</f>
        <v>0</v>
      </c>
      <c r="K2272">
        <f>(FlipkartTable[[#This Row],[Rating]]/FlipkartTable[[#This Row],[Selling Price]])*1000</f>
        <v>0.29352901934623082</v>
      </c>
      <c r="L2272" t="str">
        <f>IF(FlipkartTable[[#This Row],[Selling Price]]&lt;15000,"Budget",IF(FlipkartTable[[#This Row],[Selling Price]]&lt;50000,"Mid Range","Premium"))</f>
        <v>Budget</v>
      </c>
      <c r="M2272" t="str">
        <f>IF(FlipkartTable[[#This Row],[Rating]]&gt;4.5,"Excellent",IF(FlipkartTable[[#This Row],[Rating]]&gt;4,"Good",IF(FlipkartTable[[#This Row],[Rating]]&gt;3.5,"Average","Poor")))</f>
        <v>Good</v>
      </c>
    </row>
    <row r="2273" spans="1:13" x14ac:dyDescent="0.35">
      <c r="A2273" t="s">
        <v>1131</v>
      </c>
      <c r="B2273" s="9" t="s">
        <v>1169</v>
      </c>
      <c r="C2273" t="s">
        <v>1171</v>
      </c>
      <c r="D2273" t="s">
        <v>63</v>
      </c>
      <c r="E2273" t="s">
        <v>64</v>
      </c>
      <c r="F2273">
        <v>4.4000000000000004</v>
      </c>
      <c r="G2273">
        <v>14990</v>
      </c>
      <c r="H2273">
        <v>14990</v>
      </c>
      <c r="I2273">
        <f>FlipkartTable[[#This Row],[Original Price]]-FlipkartTable[[#This Row],[Selling Price]]</f>
        <v>0</v>
      </c>
      <c r="J2273" s="4">
        <f>(FlipkartTable[[#This Row],[Original Price]]-FlipkartTable[[#This Row],[Selling Price]])/FlipkartTable[[#This Row],[Original Price]]</f>
        <v>0</v>
      </c>
      <c r="K2273">
        <f>(FlipkartTable[[#This Row],[Rating]]/FlipkartTable[[#This Row],[Selling Price]])*1000</f>
        <v>0.29352901934623082</v>
      </c>
      <c r="L2273" t="str">
        <f>IF(FlipkartTable[[#This Row],[Selling Price]]&lt;15000,"Budget",IF(FlipkartTable[[#This Row],[Selling Price]]&lt;50000,"Mid Range","Premium"))</f>
        <v>Budget</v>
      </c>
      <c r="M2273" t="str">
        <f>IF(FlipkartTable[[#This Row],[Rating]]&gt;4.5,"Excellent",IF(FlipkartTable[[#This Row],[Rating]]&gt;4,"Good",IF(FlipkartTable[[#This Row],[Rating]]&gt;3.5,"Average","Poor")))</f>
        <v>Good</v>
      </c>
    </row>
    <row r="2274" spans="1:13" x14ac:dyDescent="0.35">
      <c r="A2274" t="s">
        <v>1131</v>
      </c>
      <c r="B2274" s="9" t="s">
        <v>1169</v>
      </c>
      <c r="C2274" t="s">
        <v>399</v>
      </c>
      <c r="D2274" t="s">
        <v>27</v>
      </c>
      <c r="E2274" t="s">
        <v>64</v>
      </c>
      <c r="F2274">
        <v>4.3</v>
      </c>
      <c r="G2274">
        <v>14990</v>
      </c>
      <c r="H2274">
        <v>14990</v>
      </c>
      <c r="I2274">
        <f>FlipkartTable[[#This Row],[Original Price]]-FlipkartTable[[#This Row],[Selling Price]]</f>
        <v>0</v>
      </c>
      <c r="J2274" s="4">
        <f>(FlipkartTable[[#This Row],[Original Price]]-FlipkartTable[[#This Row],[Selling Price]])/FlipkartTable[[#This Row],[Original Price]]</f>
        <v>0</v>
      </c>
      <c r="K2274">
        <f>(FlipkartTable[[#This Row],[Rating]]/FlipkartTable[[#This Row],[Selling Price]])*1000</f>
        <v>0.28685790527018012</v>
      </c>
      <c r="L2274" t="str">
        <f>IF(FlipkartTable[[#This Row],[Selling Price]]&lt;15000,"Budget",IF(FlipkartTable[[#This Row],[Selling Price]]&lt;50000,"Mid Range","Premium"))</f>
        <v>Budget</v>
      </c>
      <c r="M2274" t="str">
        <f>IF(FlipkartTable[[#This Row],[Rating]]&gt;4.5,"Excellent",IF(FlipkartTable[[#This Row],[Rating]]&gt;4,"Good",IF(FlipkartTable[[#This Row],[Rating]]&gt;3.5,"Average","Poor")))</f>
        <v>Good</v>
      </c>
    </row>
    <row r="2275" spans="1:13" x14ac:dyDescent="0.35">
      <c r="A2275" t="s">
        <v>1131</v>
      </c>
      <c r="B2275" s="9" t="s">
        <v>1169</v>
      </c>
      <c r="C2275" t="s">
        <v>1171</v>
      </c>
      <c r="D2275" t="s">
        <v>27</v>
      </c>
      <c r="E2275" t="s">
        <v>64</v>
      </c>
      <c r="F2275">
        <v>4.3</v>
      </c>
      <c r="G2275">
        <v>14990</v>
      </c>
      <c r="H2275">
        <v>14990</v>
      </c>
      <c r="I2275">
        <f>FlipkartTable[[#This Row],[Original Price]]-FlipkartTable[[#This Row],[Selling Price]]</f>
        <v>0</v>
      </c>
      <c r="J2275" s="4">
        <f>(FlipkartTable[[#This Row],[Original Price]]-FlipkartTable[[#This Row],[Selling Price]])/FlipkartTable[[#This Row],[Original Price]]</f>
        <v>0</v>
      </c>
      <c r="K2275">
        <f>(FlipkartTable[[#This Row],[Rating]]/FlipkartTable[[#This Row],[Selling Price]])*1000</f>
        <v>0.28685790527018012</v>
      </c>
      <c r="L2275" t="str">
        <f>IF(FlipkartTable[[#This Row],[Selling Price]]&lt;15000,"Budget",IF(FlipkartTable[[#This Row],[Selling Price]]&lt;50000,"Mid Range","Premium"))</f>
        <v>Budget</v>
      </c>
      <c r="M2275" t="str">
        <f>IF(FlipkartTable[[#This Row],[Rating]]&gt;4.5,"Excellent",IF(FlipkartTable[[#This Row],[Rating]]&gt;4,"Good",IF(FlipkartTable[[#This Row],[Rating]]&gt;3.5,"Average","Poor")))</f>
        <v>Good</v>
      </c>
    </row>
    <row r="2276" spans="1:13" x14ac:dyDescent="0.35">
      <c r="A2276" t="s">
        <v>1131</v>
      </c>
      <c r="B2276" s="9" t="s">
        <v>1172</v>
      </c>
      <c r="C2276" t="s">
        <v>810</v>
      </c>
      <c r="D2276" t="s">
        <v>27</v>
      </c>
      <c r="E2276" t="s">
        <v>15</v>
      </c>
      <c r="F2276">
        <v>4.4000000000000004</v>
      </c>
      <c r="G2276">
        <v>14990</v>
      </c>
      <c r="H2276">
        <v>14990</v>
      </c>
      <c r="I2276">
        <f>FlipkartTable[[#This Row],[Original Price]]-FlipkartTable[[#This Row],[Selling Price]]</f>
        <v>0</v>
      </c>
      <c r="J2276" s="4">
        <f>(FlipkartTable[[#This Row],[Original Price]]-FlipkartTable[[#This Row],[Selling Price]])/FlipkartTable[[#This Row],[Original Price]]</f>
        <v>0</v>
      </c>
      <c r="K2276">
        <f>(FlipkartTable[[#This Row],[Rating]]/FlipkartTable[[#This Row],[Selling Price]])*1000</f>
        <v>0.29352901934623082</v>
      </c>
      <c r="L2276" t="str">
        <f>IF(FlipkartTable[[#This Row],[Selling Price]]&lt;15000,"Budget",IF(FlipkartTable[[#This Row],[Selling Price]]&lt;50000,"Mid Range","Premium"))</f>
        <v>Budget</v>
      </c>
      <c r="M2276" t="str">
        <f>IF(FlipkartTable[[#This Row],[Rating]]&gt;4.5,"Excellent",IF(FlipkartTable[[#This Row],[Rating]]&gt;4,"Good",IF(FlipkartTable[[#This Row],[Rating]]&gt;3.5,"Average","Poor")))</f>
        <v>Good</v>
      </c>
    </row>
    <row r="2277" spans="1:13" x14ac:dyDescent="0.35">
      <c r="A2277" t="s">
        <v>1131</v>
      </c>
      <c r="B2277" s="9" t="s">
        <v>1164</v>
      </c>
      <c r="C2277" t="s">
        <v>1173</v>
      </c>
      <c r="D2277" t="s">
        <v>27</v>
      </c>
      <c r="E2277" t="s">
        <v>15</v>
      </c>
      <c r="F2277">
        <v>4.3</v>
      </c>
      <c r="G2277">
        <v>14500</v>
      </c>
      <c r="H2277">
        <v>14500</v>
      </c>
      <c r="I2277">
        <f>FlipkartTable[[#This Row],[Original Price]]-FlipkartTable[[#This Row],[Selling Price]]</f>
        <v>0</v>
      </c>
      <c r="J2277" s="4">
        <f>(FlipkartTable[[#This Row],[Original Price]]-FlipkartTable[[#This Row],[Selling Price]])/FlipkartTable[[#This Row],[Original Price]]</f>
        <v>0</v>
      </c>
      <c r="K2277">
        <f>(FlipkartTable[[#This Row],[Rating]]/FlipkartTable[[#This Row],[Selling Price]])*1000</f>
        <v>0.29655172413793102</v>
      </c>
      <c r="L2277" t="str">
        <f>IF(FlipkartTable[[#This Row],[Selling Price]]&lt;15000,"Budget",IF(FlipkartTable[[#This Row],[Selling Price]]&lt;50000,"Mid Range","Premium"))</f>
        <v>Budget</v>
      </c>
      <c r="M2277" t="str">
        <f>IF(FlipkartTable[[#This Row],[Rating]]&gt;4.5,"Excellent",IF(FlipkartTable[[#This Row],[Rating]]&gt;4,"Good",IF(FlipkartTable[[#This Row],[Rating]]&gt;3.5,"Average","Poor")))</f>
        <v>Good</v>
      </c>
    </row>
    <row r="2278" spans="1:13" x14ac:dyDescent="0.35">
      <c r="A2278" t="s">
        <v>1131</v>
      </c>
      <c r="B2278" s="9" t="s">
        <v>1158</v>
      </c>
      <c r="C2278" t="s">
        <v>1133</v>
      </c>
      <c r="D2278" t="s">
        <v>27</v>
      </c>
      <c r="E2278" t="s">
        <v>64</v>
      </c>
      <c r="F2278">
        <v>4.3</v>
      </c>
      <c r="G2278">
        <v>13995</v>
      </c>
      <c r="H2278">
        <v>13995</v>
      </c>
      <c r="I2278">
        <f>FlipkartTable[[#This Row],[Original Price]]-FlipkartTable[[#This Row],[Selling Price]]</f>
        <v>0</v>
      </c>
      <c r="J2278" s="4">
        <f>(FlipkartTable[[#This Row],[Original Price]]-FlipkartTable[[#This Row],[Selling Price]])/FlipkartTable[[#This Row],[Original Price]]</f>
        <v>0</v>
      </c>
      <c r="K2278">
        <f>(FlipkartTable[[#This Row],[Rating]]/FlipkartTable[[#This Row],[Selling Price]])*1000</f>
        <v>0.3072525902107896</v>
      </c>
      <c r="L2278" t="str">
        <f>IF(FlipkartTable[[#This Row],[Selling Price]]&lt;15000,"Budget",IF(FlipkartTable[[#This Row],[Selling Price]]&lt;50000,"Mid Range","Premium"))</f>
        <v>Budget</v>
      </c>
      <c r="M2278" t="str">
        <f>IF(FlipkartTable[[#This Row],[Rating]]&gt;4.5,"Excellent",IF(FlipkartTable[[#This Row],[Rating]]&gt;4,"Good",IF(FlipkartTable[[#This Row],[Rating]]&gt;3.5,"Average","Poor")))</f>
        <v>Good</v>
      </c>
    </row>
    <row r="2279" spans="1:13" x14ac:dyDescent="0.35">
      <c r="A2279" t="s">
        <v>1131</v>
      </c>
      <c r="B2279" s="9" t="s">
        <v>1174</v>
      </c>
      <c r="C2279" t="s">
        <v>183</v>
      </c>
      <c r="D2279" t="s">
        <v>27</v>
      </c>
      <c r="E2279" t="s">
        <v>64</v>
      </c>
      <c r="F2279">
        <v>4.3</v>
      </c>
      <c r="G2279">
        <v>13990</v>
      </c>
      <c r="H2279">
        <v>13990</v>
      </c>
      <c r="I2279">
        <f>FlipkartTable[[#This Row],[Original Price]]-FlipkartTable[[#This Row],[Selling Price]]</f>
        <v>0</v>
      </c>
      <c r="J2279" s="4">
        <f>(FlipkartTable[[#This Row],[Original Price]]-FlipkartTable[[#This Row],[Selling Price]])/FlipkartTable[[#This Row],[Original Price]]</f>
        <v>0</v>
      </c>
      <c r="K2279">
        <f>(FlipkartTable[[#This Row],[Rating]]/FlipkartTable[[#This Row],[Selling Price]])*1000</f>
        <v>0.30736240171551105</v>
      </c>
      <c r="L2279" t="str">
        <f>IF(FlipkartTable[[#This Row],[Selling Price]]&lt;15000,"Budget",IF(FlipkartTable[[#This Row],[Selling Price]]&lt;50000,"Mid Range","Premium"))</f>
        <v>Budget</v>
      </c>
      <c r="M2279" t="str">
        <f>IF(FlipkartTable[[#This Row],[Rating]]&gt;4.5,"Excellent",IF(FlipkartTable[[#This Row],[Rating]]&gt;4,"Good",IF(FlipkartTable[[#This Row],[Rating]]&gt;3.5,"Average","Poor")))</f>
        <v>Good</v>
      </c>
    </row>
    <row r="2280" spans="1:13" x14ac:dyDescent="0.35">
      <c r="A2280" t="s">
        <v>1131</v>
      </c>
      <c r="B2280" s="9" t="s">
        <v>1175</v>
      </c>
      <c r="C2280" t="s">
        <v>1176</v>
      </c>
      <c r="D2280" t="s">
        <v>27</v>
      </c>
      <c r="E2280" t="s">
        <v>15</v>
      </c>
      <c r="F2280">
        <v>4.4000000000000004</v>
      </c>
      <c r="G2280">
        <v>13990</v>
      </c>
      <c r="H2280">
        <v>18990</v>
      </c>
      <c r="I2280">
        <f>FlipkartTable[[#This Row],[Original Price]]-FlipkartTable[[#This Row],[Selling Price]]</f>
        <v>5000</v>
      </c>
      <c r="J2280" s="4">
        <f>(FlipkartTable[[#This Row],[Original Price]]-FlipkartTable[[#This Row],[Selling Price]])/FlipkartTable[[#This Row],[Original Price]]</f>
        <v>0.2632964718272775</v>
      </c>
      <c r="K2280">
        <f>(FlipkartTable[[#This Row],[Rating]]/FlipkartTable[[#This Row],[Selling Price]])*1000</f>
        <v>0.31451036454610443</v>
      </c>
      <c r="L2280" t="str">
        <f>IF(FlipkartTable[[#This Row],[Selling Price]]&lt;15000,"Budget",IF(FlipkartTable[[#This Row],[Selling Price]]&lt;50000,"Mid Range","Premium"))</f>
        <v>Budget</v>
      </c>
      <c r="M2280" t="str">
        <f>IF(FlipkartTable[[#This Row],[Rating]]&gt;4.5,"Excellent",IF(FlipkartTable[[#This Row],[Rating]]&gt;4,"Good",IF(FlipkartTable[[#This Row],[Rating]]&gt;3.5,"Average","Poor")))</f>
        <v>Good</v>
      </c>
    </row>
    <row r="2281" spans="1:13" x14ac:dyDescent="0.35">
      <c r="A2281" t="s">
        <v>1131</v>
      </c>
      <c r="B2281" s="9" t="s">
        <v>1166</v>
      </c>
      <c r="C2281" t="s">
        <v>68</v>
      </c>
      <c r="D2281" t="s">
        <v>27</v>
      </c>
      <c r="E2281" t="s">
        <v>15</v>
      </c>
      <c r="F2281">
        <v>4.3</v>
      </c>
      <c r="G2281">
        <v>13990</v>
      </c>
      <c r="H2281">
        <v>16990</v>
      </c>
      <c r="I2281">
        <f>FlipkartTable[[#This Row],[Original Price]]-FlipkartTable[[#This Row],[Selling Price]]</f>
        <v>3000</v>
      </c>
      <c r="J2281" s="4">
        <f>(FlipkartTable[[#This Row],[Original Price]]-FlipkartTable[[#This Row],[Selling Price]])/FlipkartTable[[#This Row],[Original Price]]</f>
        <v>0.17657445556209536</v>
      </c>
      <c r="K2281">
        <f>(FlipkartTable[[#This Row],[Rating]]/FlipkartTable[[#This Row],[Selling Price]])*1000</f>
        <v>0.30736240171551105</v>
      </c>
      <c r="L2281" t="str">
        <f>IF(FlipkartTable[[#This Row],[Selling Price]]&lt;15000,"Budget",IF(FlipkartTable[[#This Row],[Selling Price]]&lt;50000,"Mid Range","Premium"))</f>
        <v>Budget</v>
      </c>
      <c r="M2281" t="str">
        <f>IF(FlipkartTable[[#This Row],[Rating]]&gt;4.5,"Excellent",IF(FlipkartTable[[#This Row],[Rating]]&gt;4,"Good",IF(FlipkartTable[[#This Row],[Rating]]&gt;3.5,"Average","Poor")))</f>
        <v>Good</v>
      </c>
    </row>
    <row r="2282" spans="1:13" x14ac:dyDescent="0.35">
      <c r="A2282" t="s">
        <v>1131</v>
      </c>
      <c r="B2282" s="9" t="s">
        <v>1152</v>
      </c>
      <c r="C2282" t="s">
        <v>1148</v>
      </c>
      <c r="D2282" t="s">
        <v>27</v>
      </c>
      <c r="E2282" t="s">
        <v>15</v>
      </c>
      <c r="F2282">
        <v>4.3</v>
      </c>
      <c r="G2282">
        <v>13890</v>
      </c>
      <c r="H2282">
        <v>13990</v>
      </c>
      <c r="I2282">
        <f>FlipkartTable[[#This Row],[Original Price]]-FlipkartTable[[#This Row],[Selling Price]]</f>
        <v>100</v>
      </c>
      <c r="J2282" s="4">
        <f>(FlipkartTable[[#This Row],[Original Price]]-FlipkartTable[[#This Row],[Selling Price]])/FlipkartTable[[#This Row],[Original Price]]</f>
        <v>7.1479628305932807E-3</v>
      </c>
      <c r="K2282">
        <f>(FlipkartTable[[#This Row],[Rating]]/FlipkartTable[[#This Row],[Selling Price]])*1000</f>
        <v>0.30957523398128151</v>
      </c>
      <c r="L2282" t="str">
        <f>IF(FlipkartTable[[#This Row],[Selling Price]]&lt;15000,"Budget",IF(FlipkartTable[[#This Row],[Selling Price]]&lt;50000,"Mid Range","Premium"))</f>
        <v>Budget</v>
      </c>
      <c r="M2282" t="str">
        <f>IF(FlipkartTable[[#This Row],[Rating]]&gt;4.5,"Excellent",IF(FlipkartTable[[#This Row],[Rating]]&gt;4,"Good",IF(FlipkartTable[[#This Row],[Rating]]&gt;3.5,"Average","Poor")))</f>
        <v>Good</v>
      </c>
    </row>
    <row r="2283" spans="1:13" x14ac:dyDescent="0.35">
      <c r="A2283" t="s">
        <v>1131</v>
      </c>
      <c r="B2283" s="9" t="s">
        <v>1152</v>
      </c>
      <c r="C2283" t="s">
        <v>126</v>
      </c>
      <c r="D2283" t="s">
        <v>27</v>
      </c>
      <c r="E2283" t="s">
        <v>15</v>
      </c>
      <c r="F2283">
        <v>4.4000000000000004</v>
      </c>
      <c r="G2283">
        <v>13890</v>
      </c>
      <c r="H2283">
        <v>13990</v>
      </c>
      <c r="I2283">
        <f>FlipkartTable[[#This Row],[Original Price]]-FlipkartTable[[#This Row],[Selling Price]]</f>
        <v>100</v>
      </c>
      <c r="J2283" s="4">
        <f>(FlipkartTable[[#This Row],[Original Price]]-FlipkartTable[[#This Row],[Selling Price]])/FlipkartTable[[#This Row],[Original Price]]</f>
        <v>7.1479628305932807E-3</v>
      </c>
      <c r="K2283">
        <f>(FlipkartTable[[#This Row],[Rating]]/FlipkartTable[[#This Row],[Selling Price]])*1000</f>
        <v>0.31677465802735782</v>
      </c>
      <c r="L2283" t="str">
        <f>IF(FlipkartTable[[#This Row],[Selling Price]]&lt;15000,"Budget",IF(FlipkartTable[[#This Row],[Selling Price]]&lt;50000,"Mid Range","Premium"))</f>
        <v>Budget</v>
      </c>
      <c r="M2283" t="str">
        <f>IF(FlipkartTable[[#This Row],[Rating]]&gt;4.5,"Excellent",IF(FlipkartTable[[#This Row],[Rating]]&gt;4,"Good",IF(FlipkartTable[[#This Row],[Rating]]&gt;3.5,"Average","Poor")))</f>
        <v>Good</v>
      </c>
    </row>
    <row r="2284" spans="1:13" x14ac:dyDescent="0.35">
      <c r="A2284" t="s">
        <v>1131</v>
      </c>
      <c r="B2284" s="9" t="s">
        <v>1160</v>
      </c>
      <c r="C2284" t="s">
        <v>1177</v>
      </c>
      <c r="D2284" t="s">
        <v>27</v>
      </c>
      <c r="E2284" t="s">
        <v>15</v>
      </c>
      <c r="F2284">
        <v>4.3</v>
      </c>
      <c r="G2284">
        <v>12900</v>
      </c>
      <c r="H2284">
        <v>12900</v>
      </c>
      <c r="I2284">
        <f>FlipkartTable[[#This Row],[Original Price]]-FlipkartTable[[#This Row],[Selling Price]]</f>
        <v>0</v>
      </c>
      <c r="J2284" s="4">
        <f>(FlipkartTable[[#This Row],[Original Price]]-FlipkartTable[[#This Row],[Selling Price]])/FlipkartTable[[#This Row],[Original Price]]</f>
        <v>0</v>
      </c>
      <c r="K2284">
        <f>(FlipkartTable[[#This Row],[Rating]]/FlipkartTable[[#This Row],[Selling Price]])*1000</f>
        <v>0.33333333333333331</v>
      </c>
      <c r="L2284" t="str">
        <f>IF(FlipkartTable[[#This Row],[Selling Price]]&lt;15000,"Budget",IF(FlipkartTable[[#This Row],[Selling Price]]&lt;50000,"Mid Range","Premium"))</f>
        <v>Budget</v>
      </c>
      <c r="M2284" t="str">
        <f>IF(FlipkartTable[[#This Row],[Rating]]&gt;4.5,"Excellent",IF(FlipkartTable[[#This Row],[Rating]]&gt;4,"Good",IF(FlipkartTable[[#This Row],[Rating]]&gt;3.5,"Average","Poor")))</f>
        <v>Good</v>
      </c>
    </row>
    <row r="2285" spans="1:13" x14ac:dyDescent="0.35">
      <c r="A2285" t="s">
        <v>1131</v>
      </c>
      <c r="B2285" s="9" t="s">
        <v>1167</v>
      </c>
      <c r="C2285" t="s">
        <v>1168</v>
      </c>
      <c r="D2285" t="s">
        <v>27</v>
      </c>
      <c r="E2285" t="s">
        <v>15</v>
      </c>
      <c r="F2285">
        <v>4.3</v>
      </c>
      <c r="G2285">
        <v>11990</v>
      </c>
      <c r="H2285">
        <v>15490</v>
      </c>
      <c r="I2285">
        <f>FlipkartTable[[#This Row],[Original Price]]-FlipkartTable[[#This Row],[Selling Price]]</f>
        <v>3500</v>
      </c>
      <c r="J2285" s="4">
        <f>(FlipkartTable[[#This Row],[Original Price]]-FlipkartTable[[#This Row],[Selling Price]])/FlipkartTable[[#This Row],[Original Price]]</f>
        <v>0.22595222724338282</v>
      </c>
      <c r="K2285">
        <f>(FlipkartTable[[#This Row],[Rating]]/FlipkartTable[[#This Row],[Selling Price]])*1000</f>
        <v>0.35863219349457881</v>
      </c>
      <c r="L2285" t="str">
        <f>IF(FlipkartTable[[#This Row],[Selling Price]]&lt;15000,"Budget",IF(FlipkartTable[[#This Row],[Selling Price]]&lt;50000,"Mid Range","Premium"))</f>
        <v>Budget</v>
      </c>
      <c r="M2285" t="str">
        <f>IF(FlipkartTable[[#This Row],[Rating]]&gt;4.5,"Excellent",IF(FlipkartTable[[#This Row],[Rating]]&gt;4,"Good",IF(FlipkartTable[[#This Row],[Rating]]&gt;3.5,"Average","Poor")))</f>
        <v>Good</v>
      </c>
    </row>
    <row r="2286" spans="1:13" x14ac:dyDescent="0.35">
      <c r="A2286" t="s">
        <v>1131</v>
      </c>
      <c r="B2286" s="9" t="s">
        <v>1178</v>
      </c>
      <c r="C2286" t="s">
        <v>1179</v>
      </c>
      <c r="D2286" t="s">
        <v>11</v>
      </c>
      <c r="E2286" t="s">
        <v>15</v>
      </c>
      <c r="F2286">
        <v>4.3</v>
      </c>
      <c r="G2286">
        <v>10990</v>
      </c>
      <c r="H2286">
        <v>10990</v>
      </c>
      <c r="I2286">
        <f>FlipkartTable[[#This Row],[Original Price]]-FlipkartTable[[#This Row],[Selling Price]]</f>
        <v>0</v>
      </c>
      <c r="J2286" s="4">
        <f>(FlipkartTable[[#This Row],[Original Price]]-FlipkartTable[[#This Row],[Selling Price]])/FlipkartTable[[#This Row],[Original Price]]</f>
        <v>0</v>
      </c>
      <c r="K2286">
        <f>(FlipkartTable[[#This Row],[Rating]]/FlipkartTable[[#This Row],[Selling Price]])*1000</f>
        <v>0.39126478616924476</v>
      </c>
      <c r="L2286" t="str">
        <f>IF(FlipkartTable[[#This Row],[Selling Price]]&lt;15000,"Budget",IF(FlipkartTable[[#This Row],[Selling Price]]&lt;50000,"Mid Range","Premium"))</f>
        <v>Budget</v>
      </c>
      <c r="M2286" t="str">
        <f>IF(FlipkartTable[[#This Row],[Rating]]&gt;4.5,"Excellent",IF(FlipkartTable[[#This Row],[Rating]]&gt;4,"Good",IF(FlipkartTable[[#This Row],[Rating]]&gt;3.5,"Average","Poor")))</f>
        <v>Good</v>
      </c>
    </row>
    <row r="2287" spans="1:13" x14ac:dyDescent="0.35">
      <c r="A2287" t="s">
        <v>1131</v>
      </c>
      <c r="B2287" s="9" t="s">
        <v>1166</v>
      </c>
      <c r="C2287" t="s">
        <v>1180</v>
      </c>
      <c r="D2287" t="s">
        <v>20</v>
      </c>
      <c r="E2287" t="s">
        <v>12</v>
      </c>
      <c r="F2287">
        <v>4.4000000000000004</v>
      </c>
      <c r="G2287">
        <v>8205</v>
      </c>
      <c r="H2287">
        <v>8205</v>
      </c>
      <c r="I2287">
        <f>FlipkartTable[[#This Row],[Original Price]]-FlipkartTable[[#This Row],[Selling Price]]</f>
        <v>0</v>
      </c>
      <c r="J2287" s="4">
        <f>(FlipkartTable[[#This Row],[Original Price]]-FlipkartTable[[#This Row],[Selling Price]])/FlipkartTable[[#This Row],[Original Price]]</f>
        <v>0</v>
      </c>
      <c r="K2287">
        <f>(FlipkartTable[[#This Row],[Rating]]/FlipkartTable[[#This Row],[Selling Price]])*1000</f>
        <v>0.53625837903717244</v>
      </c>
      <c r="L2287" t="str">
        <f>IF(FlipkartTable[[#This Row],[Selling Price]]&lt;15000,"Budget",IF(FlipkartTable[[#This Row],[Selling Price]]&lt;50000,"Mid Range","Premium"))</f>
        <v>Budget</v>
      </c>
      <c r="M2287" t="str">
        <f>IF(FlipkartTable[[#This Row],[Rating]]&gt;4.5,"Excellent",IF(FlipkartTable[[#This Row],[Rating]]&gt;4,"Good",IF(FlipkartTable[[#This Row],[Rating]]&gt;3.5,"Average","Poor")))</f>
        <v>Good</v>
      </c>
    </row>
    <row r="2288" spans="1:13" x14ac:dyDescent="0.35">
      <c r="A2288" t="s">
        <v>1181</v>
      </c>
      <c r="B2288" s="9" t="s">
        <v>1182</v>
      </c>
      <c r="C2288" t="s">
        <v>1183</v>
      </c>
      <c r="D2288" t="s">
        <v>27</v>
      </c>
      <c r="E2288" t="s">
        <v>64</v>
      </c>
      <c r="F2288">
        <v>4.2</v>
      </c>
      <c r="G2288">
        <v>54999</v>
      </c>
      <c r="H2288">
        <v>59999</v>
      </c>
      <c r="I2288">
        <f>FlipkartTable[[#This Row],[Original Price]]-FlipkartTable[[#This Row],[Selling Price]]</f>
        <v>5000</v>
      </c>
      <c r="J2288" s="4">
        <f>(FlipkartTable[[#This Row],[Original Price]]-FlipkartTable[[#This Row],[Selling Price]])/FlipkartTable[[#This Row],[Original Price]]</f>
        <v>8.3334722245370751E-2</v>
      </c>
      <c r="K2288">
        <f>(FlipkartTable[[#This Row],[Rating]]/FlipkartTable[[#This Row],[Selling Price]])*1000</f>
        <v>7.6365024818633082E-2</v>
      </c>
      <c r="L2288" t="str">
        <f>IF(FlipkartTable[[#This Row],[Selling Price]]&lt;15000,"Budget",IF(FlipkartTable[[#This Row],[Selling Price]]&lt;50000,"Mid Range","Premium"))</f>
        <v>Premium</v>
      </c>
      <c r="M2288" t="str">
        <f>IF(FlipkartTable[[#This Row],[Rating]]&gt;4.5,"Excellent",IF(FlipkartTable[[#This Row],[Rating]]&gt;4,"Good",IF(FlipkartTable[[#This Row],[Rating]]&gt;3.5,"Average","Poor")))</f>
        <v>Good</v>
      </c>
    </row>
    <row r="2289" spans="1:13" x14ac:dyDescent="0.35">
      <c r="A2289" t="s">
        <v>1181</v>
      </c>
      <c r="B2289" s="9" t="s">
        <v>1182</v>
      </c>
      <c r="C2289" t="s">
        <v>1184</v>
      </c>
      <c r="D2289" t="s">
        <v>27</v>
      </c>
      <c r="E2289" t="s">
        <v>64</v>
      </c>
      <c r="F2289">
        <v>4.2</v>
      </c>
      <c r="G2289">
        <v>45871</v>
      </c>
      <c r="H2289">
        <v>45871</v>
      </c>
      <c r="I2289">
        <f>FlipkartTable[[#This Row],[Original Price]]-FlipkartTable[[#This Row],[Selling Price]]</f>
        <v>0</v>
      </c>
      <c r="J2289" s="4">
        <f>(FlipkartTable[[#This Row],[Original Price]]-FlipkartTable[[#This Row],[Selling Price]])/FlipkartTable[[#This Row],[Original Price]]</f>
        <v>0</v>
      </c>
      <c r="K2289">
        <f>(FlipkartTable[[#This Row],[Rating]]/FlipkartTable[[#This Row],[Selling Price]])*1000</f>
        <v>9.1561117045627957E-2</v>
      </c>
      <c r="L2289" t="str">
        <f>IF(FlipkartTable[[#This Row],[Selling Price]]&lt;15000,"Budget",IF(FlipkartTable[[#This Row],[Selling Price]]&lt;50000,"Mid Range","Premium"))</f>
        <v>Mid Range</v>
      </c>
      <c r="M2289" t="str">
        <f>IF(FlipkartTable[[#This Row],[Rating]]&gt;4.5,"Excellent",IF(FlipkartTable[[#This Row],[Rating]]&gt;4,"Good",IF(FlipkartTable[[#This Row],[Rating]]&gt;3.5,"Average","Poor")))</f>
        <v>Good</v>
      </c>
    </row>
    <row r="2290" spans="1:13" x14ac:dyDescent="0.35">
      <c r="A2290" t="s">
        <v>1181</v>
      </c>
      <c r="B2290" s="9" t="s">
        <v>1185</v>
      </c>
      <c r="C2290" t="s">
        <v>1186</v>
      </c>
      <c r="D2290" t="s">
        <v>27</v>
      </c>
      <c r="E2290" t="s">
        <v>15</v>
      </c>
      <c r="F2290">
        <v>4.3</v>
      </c>
      <c r="G2290">
        <v>24890</v>
      </c>
      <c r="H2290">
        <v>24988</v>
      </c>
      <c r="I2290">
        <f>FlipkartTable[[#This Row],[Original Price]]-FlipkartTable[[#This Row],[Selling Price]]</f>
        <v>98</v>
      </c>
      <c r="J2290" s="4">
        <f>(FlipkartTable[[#This Row],[Original Price]]-FlipkartTable[[#This Row],[Selling Price]])/FlipkartTable[[#This Row],[Original Price]]</f>
        <v>3.9218825036017287E-3</v>
      </c>
      <c r="K2290">
        <f>(FlipkartTable[[#This Row],[Rating]]/FlipkartTable[[#This Row],[Selling Price]])*1000</f>
        <v>0.17276014463640016</v>
      </c>
      <c r="L2290" t="str">
        <f>IF(FlipkartTable[[#This Row],[Selling Price]]&lt;15000,"Budget",IF(FlipkartTable[[#This Row],[Selling Price]]&lt;50000,"Mid Range","Premium"))</f>
        <v>Mid Range</v>
      </c>
      <c r="M2290" t="str">
        <f>IF(FlipkartTable[[#This Row],[Rating]]&gt;4.5,"Excellent",IF(FlipkartTable[[#This Row],[Rating]]&gt;4,"Good",IF(FlipkartTable[[#This Row],[Rating]]&gt;3.5,"Average","Poor")))</f>
        <v>Good</v>
      </c>
    </row>
    <row r="2291" spans="1:13" x14ac:dyDescent="0.35">
      <c r="A2291" t="s">
        <v>1181</v>
      </c>
      <c r="B2291" s="9" t="s">
        <v>1185</v>
      </c>
      <c r="C2291" t="s">
        <v>1186</v>
      </c>
      <c r="D2291" t="s">
        <v>14</v>
      </c>
      <c r="E2291" t="s">
        <v>15</v>
      </c>
      <c r="F2291">
        <v>4.3</v>
      </c>
      <c r="G2291">
        <v>22650</v>
      </c>
      <c r="H2291">
        <v>24198</v>
      </c>
      <c r="I2291">
        <f>FlipkartTable[[#This Row],[Original Price]]-FlipkartTable[[#This Row],[Selling Price]]</f>
        <v>1548</v>
      </c>
      <c r="J2291" s="4">
        <f>(FlipkartTable[[#This Row],[Original Price]]-FlipkartTable[[#This Row],[Selling Price]])/FlipkartTable[[#This Row],[Original Price]]</f>
        <v>6.3972229109843792E-2</v>
      </c>
      <c r="K2291">
        <f>(FlipkartTable[[#This Row],[Rating]]/FlipkartTable[[#This Row],[Selling Price]])*1000</f>
        <v>0.18984547461368653</v>
      </c>
      <c r="L2291" t="str">
        <f>IF(FlipkartTable[[#This Row],[Selling Price]]&lt;15000,"Budget",IF(FlipkartTable[[#This Row],[Selling Price]]&lt;50000,"Mid Range","Premium"))</f>
        <v>Mid Range</v>
      </c>
      <c r="M2291" t="str">
        <f>IF(FlipkartTable[[#This Row],[Rating]]&gt;4.5,"Excellent",IF(FlipkartTable[[#This Row],[Rating]]&gt;4,"Good",IF(FlipkartTable[[#This Row],[Rating]]&gt;3.5,"Average","Poor")))</f>
        <v>Good</v>
      </c>
    </row>
    <row r="2292" spans="1:13" x14ac:dyDescent="0.35">
      <c r="A2292" t="s">
        <v>1181</v>
      </c>
      <c r="B2292" s="9" t="s">
        <v>1185</v>
      </c>
      <c r="C2292" t="s">
        <v>68</v>
      </c>
      <c r="D2292" t="s">
        <v>14</v>
      </c>
      <c r="E2292" t="s">
        <v>15</v>
      </c>
      <c r="F2292">
        <v>4.3</v>
      </c>
      <c r="G2292">
        <v>22950</v>
      </c>
      <c r="H2292">
        <v>24198</v>
      </c>
      <c r="I2292">
        <f>FlipkartTable[[#This Row],[Original Price]]-FlipkartTable[[#This Row],[Selling Price]]</f>
        <v>1248</v>
      </c>
      <c r="J2292" s="4">
        <f>(FlipkartTable[[#This Row],[Original Price]]-FlipkartTable[[#This Row],[Selling Price]])/FlipkartTable[[#This Row],[Original Price]]</f>
        <v>5.1574510290106623E-2</v>
      </c>
      <c r="K2292">
        <f>(FlipkartTable[[#This Row],[Rating]]/FlipkartTable[[#This Row],[Selling Price]])*1000</f>
        <v>0.18736383442265794</v>
      </c>
      <c r="L2292" t="str">
        <f>IF(FlipkartTable[[#This Row],[Selling Price]]&lt;15000,"Budget",IF(FlipkartTable[[#This Row],[Selling Price]]&lt;50000,"Mid Range","Premium"))</f>
        <v>Mid Range</v>
      </c>
      <c r="M2292" t="str">
        <f>IF(FlipkartTable[[#This Row],[Rating]]&gt;4.5,"Excellent",IF(FlipkartTable[[#This Row],[Rating]]&gt;4,"Good",IF(FlipkartTable[[#This Row],[Rating]]&gt;3.5,"Average","Poor")))</f>
        <v>Good</v>
      </c>
    </row>
    <row r="2293" spans="1:13" x14ac:dyDescent="0.35">
      <c r="A2293" t="s">
        <v>1181</v>
      </c>
      <c r="B2293" s="9" t="s">
        <v>1185</v>
      </c>
      <c r="C2293" t="s">
        <v>1187</v>
      </c>
      <c r="D2293" t="s">
        <v>27</v>
      </c>
      <c r="E2293" t="s">
        <v>15</v>
      </c>
      <c r="F2293">
        <v>4.3</v>
      </c>
      <c r="G2293">
        <v>26989</v>
      </c>
      <c r="H2293">
        <v>26989</v>
      </c>
      <c r="I2293">
        <f>FlipkartTable[[#This Row],[Original Price]]-FlipkartTable[[#This Row],[Selling Price]]</f>
        <v>0</v>
      </c>
      <c r="J2293" s="4">
        <f>(FlipkartTable[[#This Row],[Original Price]]-FlipkartTable[[#This Row],[Selling Price]])/FlipkartTable[[#This Row],[Original Price]]</f>
        <v>0</v>
      </c>
      <c r="K2293">
        <f>(FlipkartTable[[#This Row],[Rating]]/FlipkartTable[[#This Row],[Selling Price]])*1000</f>
        <v>0.15932416910593206</v>
      </c>
      <c r="L2293" t="str">
        <f>IF(FlipkartTable[[#This Row],[Selling Price]]&lt;15000,"Budget",IF(FlipkartTable[[#This Row],[Selling Price]]&lt;50000,"Mid Range","Premium"))</f>
        <v>Mid Range</v>
      </c>
      <c r="M2293" t="str">
        <f>IF(FlipkartTable[[#This Row],[Rating]]&gt;4.5,"Excellent",IF(FlipkartTable[[#This Row],[Rating]]&gt;4,"Good",IF(FlipkartTable[[#This Row],[Rating]]&gt;3.5,"Average","Poor")))</f>
        <v>Good</v>
      </c>
    </row>
    <row r="2294" spans="1:13" x14ac:dyDescent="0.35">
      <c r="A2294" t="s">
        <v>1181</v>
      </c>
      <c r="B2294" s="9" t="s">
        <v>1188</v>
      </c>
      <c r="C2294" t="s">
        <v>937</v>
      </c>
      <c r="D2294" t="s">
        <v>14</v>
      </c>
      <c r="E2294" t="s">
        <v>15</v>
      </c>
      <c r="F2294">
        <v>4.2</v>
      </c>
      <c r="G2294">
        <v>32999</v>
      </c>
      <c r="H2294">
        <v>39999</v>
      </c>
      <c r="I2294">
        <f>FlipkartTable[[#This Row],[Original Price]]-FlipkartTable[[#This Row],[Selling Price]]</f>
        <v>7000</v>
      </c>
      <c r="J2294" s="4">
        <f>(FlipkartTable[[#This Row],[Original Price]]-FlipkartTable[[#This Row],[Selling Price]])/FlipkartTable[[#This Row],[Original Price]]</f>
        <v>0.17500437510937775</v>
      </c>
      <c r="K2294">
        <f>(FlipkartTable[[#This Row],[Rating]]/FlipkartTable[[#This Row],[Selling Price]])*1000</f>
        <v>0.1272765841389133</v>
      </c>
      <c r="L2294" t="str">
        <f>IF(FlipkartTable[[#This Row],[Selling Price]]&lt;15000,"Budget",IF(FlipkartTable[[#This Row],[Selling Price]]&lt;50000,"Mid Range","Premium"))</f>
        <v>Mid Range</v>
      </c>
      <c r="M2294" t="str">
        <f>IF(FlipkartTable[[#This Row],[Rating]]&gt;4.5,"Excellent",IF(FlipkartTable[[#This Row],[Rating]]&gt;4,"Good",IF(FlipkartTable[[#This Row],[Rating]]&gt;3.5,"Average","Poor")))</f>
        <v>Good</v>
      </c>
    </row>
    <row r="2295" spans="1:13" x14ac:dyDescent="0.35">
      <c r="A2295" t="s">
        <v>1181</v>
      </c>
      <c r="B2295" s="9" t="s">
        <v>1188</v>
      </c>
      <c r="C2295" t="s">
        <v>937</v>
      </c>
      <c r="D2295" t="s">
        <v>27</v>
      </c>
      <c r="E2295" t="s">
        <v>15</v>
      </c>
      <c r="F2295">
        <v>4.4000000000000004</v>
      </c>
      <c r="G2295">
        <v>34999</v>
      </c>
      <c r="H2295">
        <v>42999</v>
      </c>
      <c r="I2295">
        <f>FlipkartTable[[#This Row],[Original Price]]-FlipkartTable[[#This Row],[Selling Price]]</f>
        <v>8000</v>
      </c>
      <c r="J2295" s="4">
        <f>(FlipkartTable[[#This Row],[Original Price]]-FlipkartTable[[#This Row],[Selling Price]])/FlipkartTable[[#This Row],[Original Price]]</f>
        <v>0.18605083839159051</v>
      </c>
      <c r="K2295">
        <f>(FlipkartTable[[#This Row],[Rating]]/FlipkartTable[[#This Row],[Selling Price]])*1000</f>
        <v>0.12571787765364725</v>
      </c>
      <c r="L2295" t="str">
        <f>IF(FlipkartTable[[#This Row],[Selling Price]]&lt;15000,"Budget",IF(FlipkartTable[[#This Row],[Selling Price]]&lt;50000,"Mid Range","Premium"))</f>
        <v>Mid Range</v>
      </c>
      <c r="M2295" t="str">
        <f>IF(FlipkartTable[[#This Row],[Rating]]&gt;4.5,"Excellent",IF(FlipkartTable[[#This Row],[Rating]]&gt;4,"Good",IF(FlipkartTable[[#This Row],[Rating]]&gt;3.5,"Average","Poor")))</f>
        <v>Good</v>
      </c>
    </row>
    <row r="2296" spans="1:13" x14ac:dyDescent="0.35">
      <c r="A2296" t="s">
        <v>1181</v>
      </c>
      <c r="B2296" s="9" t="s">
        <v>1188</v>
      </c>
      <c r="C2296" t="s">
        <v>1189</v>
      </c>
      <c r="D2296" t="s">
        <v>14</v>
      </c>
      <c r="E2296" t="s">
        <v>15</v>
      </c>
      <c r="F2296">
        <v>4.3</v>
      </c>
      <c r="G2296">
        <v>32999</v>
      </c>
      <c r="H2296">
        <v>39999</v>
      </c>
      <c r="I2296">
        <f>FlipkartTable[[#This Row],[Original Price]]-FlipkartTable[[#This Row],[Selling Price]]</f>
        <v>7000</v>
      </c>
      <c r="J2296" s="4">
        <f>(FlipkartTable[[#This Row],[Original Price]]-FlipkartTable[[#This Row],[Selling Price]])/FlipkartTable[[#This Row],[Original Price]]</f>
        <v>0.17500437510937775</v>
      </c>
      <c r="K2296">
        <f>(FlipkartTable[[#This Row],[Rating]]/FlipkartTable[[#This Row],[Selling Price]])*1000</f>
        <v>0.13030697899936361</v>
      </c>
      <c r="L2296" t="str">
        <f>IF(FlipkartTable[[#This Row],[Selling Price]]&lt;15000,"Budget",IF(FlipkartTable[[#This Row],[Selling Price]]&lt;50000,"Mid Range","Premium"))</f>
        <v>Mid Range</v>
      </c>
      <c r="M2296" t="str">
        <f>IF(FlipkartTable[[#This Row],[Rating]]&gt;4.5,"Excellent",IF(FlipkartTable[[#This Row],[Rating]]&gt;4,"Good",IF(FlipkartTable[[#This Row],[Rating]]&gt;3.5,"Average","Poor")))</f>
        <v>Good</v>
      </c>
    </row>
    <row r="2297" spans="1:13" x14ac:dyDescent="0.35">
      <c r="A2297" t="s">
        <v>1181</v>
      </c>
      <c r="B2297" s="9" t="s">
        <v>1190</v>
      </c>
      <c r="C2297" t="s">
        <v>1191</v>
      </c>
      <c r="D2297" t="s">
        <v>27</v>
      </c>
      <c r="E2297" t="s">
        <v>15</v>
      </c>
      <c r="F2297">
        <v>4.2</v>
      </c>
      <c r="G2297">
        <v>23999</v>
      </c>
      <c r="H2297">
        <v>25999</v>
      </c>
      <c r="I2297">
        <f>FlipkartTable[[#This Row],[Original Price]]-FlipkartTable[[#This Row],[Selling Price]]</f>
        <v>2000</v>
      </c>
      <c r="J2297" s="4">
        <f>(FlipkartTable[[#This Row],[Original Price]]-FlipkartTable[[#This Row],[Selling Price]])/FlipkartTable[[#This Row],[Original Price]]</f>
        <v>7.6926035616754485E-2</v>
      </c>
      <c r="K2297">
        <f>(FlipkartTable[[#This Row],[Rating]]/FlipkartTable[[#This Row],[Selling Price]])*1000</f>
        <v>0.17500729197049877</v>
      </c>
      <c r="L2297" t="str">
        <f>IF(FlipkartTable[[#This Row],[Selling Price]]&lt;15000,"Budget",IF(FlipkartTable[[#This Row],[Selling Price]]&lt;50000,"Mid Range","Premium"))</f>
        <v>Mid Range</v>
      </c>
      <c r="M2297" t="str">
        <f>IF(FlipkartTable[[#This Row],[Rating]]&gt;4.5,"Excellent",IF(FlipkartTable[[#This Row],[Rating]]&gt;4,"Good",IF(FlipkartTable[[#This Row],[Rating]]&gt;3.5,"Average","Poor")))</f>
        <v>Good</v>
      </c>
    </row>
    <row r="2298" spans="1:13" x14ac:dyDescent="0.35">
      <c r="A2298" t="s">
        <v>1181</v>
      </c>
      <c r="B2298" s="9" t="s">
        <v>1190</v>
      </c>
      <c r="C2298" t="s">
        <v>1191</v>
      </c>
      <c r="D2298" t="s">
        <v>14</v>
      </c>
      <c r="E2298" t="s">
        <v>15</v>
      </c>
      <c r="F2298">
        <v>4.2</v>
      </c>
      <c r="G2298">
        <v>21999</v>
      </c>
      <c r="H2298">
        <v>24999</v>
      </c>
      <c r="I2298">
        <f>FlipkartTable[[#This Row],[Original Price]]-FlipkartTable[[#This Row],[Selling Price]]</f>
        <v>3000</v>
      </c>
      <c r="J2298" s="4">
        <f>(FlipkartTable[[#This Row],[Original Price]]-FlipkartTable[[#This Row],[Selling Price]])/FlipkartTable[[#This Row],[Original Price]]</f>
        <v>0.12000480019200768</v>
      </c>
      <c r="K2298">
        <f>(FlipkartTable[[#This Row],[Rating]]/FlipkartTable[[#This Row],[Selling Price]])*1000</f>
        <v>0.19091776898949953</v>
      </c>
      <c r="L2298" t="str">
        <f>IF(FlipkartTable[[#This Row],[Selling Price]]&lt;15000,"Budget",IF(FlipkartTable[[#This Row],[Selling Price]]&lt;50000,"Mid Range","Premium"))</f>
        <v>Mid Range</v>
      </c>
      <c r="M2298" t="str">
        <f>IF(FlipkartTable[[#This Row],[Rating]]&gt;4.5,"Excellent",IF(FlipkartTable[[#This Row],[Rating]]&gt;4,"Good",IF(FlipkartTable[[#This Row],[Rating]]&gt;3.5,"Average","Poor")))</f>
        <v>Good</v>
      </c>
    </row>
    <row r="2299" spans="1:13" x14ac:dyDescent="0.35">
      <c r="A2299" t="s">
        <v>1181</v>
      </c>
      <c r="B2299" s="9" t="s">
        <v>1190</v>
      </c>
      <c r="C2299" t="s">
        <v>1192</v>
      </c>
      <c r="D2299" t="s">
        <v>14</v>
      </c>
      <c r="E2299" t="s">
        <v>15</v>
      </c>
      <c r="F2299">
        <v>4.2</v>
      </c>
      <c r="G2299">
        <v>21999</v>
      </c>
      <c r="H2299">
        <v>24999</v>
      </c>
      <c r="I2299">
        <f>FlipkartTable[[#This Row],[Original Price]]-FlipkartTable[[#This Row],[Selling Price]]</f>
        <v>3000</v>
      </c>
      <c r="J2299" s="4">
        <f>(FlipkartTable[[#This Row],[Original Price]]-FlipkartTable[[#This Row],[Selling Price]])/FlipkartTable[[#This Row],[Original Price]]</f>
        <v>0.12000480019200768</v>
      </c>
      <c r="K2299">
        <f>(FlipkartTable[[#This Row],[Rating]]/FlipkartTable[[#This Row],[Selling Price]])*1000</f>
        <v>0.19091776898949953</v>
      </c>
      <c r="L2299" t="str">
        <f>IF(FlipkartTable[[#This Row],[Selling Price]]&lt;15000,"Budget",IF(FlipkartTable[[#This Row],[Selling Price]]&lt;50000,"Mid Range","Premium"))</f>
        <v>Mid Range</v>
      </c>
      <c r="M2299" t="str">
        <f>IF(FlipkartTable[[#This Row],[Rating]]&gt;4.5,"Excellent",IF(FlipkartTable[[#This Row],[Rating]]&gt;4,"Good",IF(FlipkartTable[[#This Row],[Rating]]&gt;3.5,"Average","Poor")))</f>
        <v>Good</v>
      </c>
    </row>
    <row r="2300" spans="1:13" x14ac:dyDescent="0.35">
      <c r="A2300" t="s">
        <v>1181</v>
      </c>
      <c r="B2300" s="9" t="s">
        <v>1190</v>
      </c>
      <c r="C2300" t="s">
        <v>1192</v>
      </c>
      <c r="D2300" t="s">
        <v>27</v>
      </c>
      <c r="E2300" t="s">
        <v>15</v>
      </c>
      <c r="F2300">
        <v>4.3</v>
      </c>
      <c r="G2300">
        <v>23999</v>
      </c>
      <c r="H2300">
        <v>25999</v>
      </c>
      <c r="I2300">
        <f>FlipkartTable[[#This Row],[Original Price]]-FlipkartTable[[#This Row],[Selling Price]]</f>
        <v>2000</v>
      </c>
      <c r="J2300" s="4">
        <f>(FlipkartTable[[#This Row],[Original Price]]-FlipkartTable[[#This Row],[Selling Price]])/FlipkartTable[[#This Row],[Original Price]]</f>
        <v>7.6926035616754485E-2</v>
      </c>
      <c r="K2300">
        <f>(FlipkartTable[[#This Row],[Rating]]/FlipkartTable[[#This Row],[Selling Price]])*1000</f>
        <v>0.17917413225551065</v>
      </c>
      <c r="L2300" t="str">
        <f>IF(FlipkartTable[[#This Row],[Selling Price]]&lt;15000,"Budget",IF(FlipkartTable[[#This Row],[Selling Price]]&lt;50000,"Mid Range","Premium"))</f>
        <v>Mid Range</v>
      </c>
      <c r="M2300" t="str">
        <f>IF(FlipkartTable[[#This Row],[Rating]]&gt;4.5,"Excellent",IF(FlipkartTable[[#This Row],[Rating]]&gt;4,"Good",IF(FlipkartTable[[#This Row],[Rating]]&gt;3.5,"Average","Poor")))</f>
        <v>Good</v>
      </c>
    </row>
    <row r="2301" spans="1:13" x14ac:dyDescent="0.35">
      <c r="A2301" t="s">
        <v>1181</v>
      </c>
      <c r="B2301" s="9" t="s">
        <v>1190</v>
      </c>
      <c r="C2301" t="s">
        <v>1193</v>
      </c>
      <c r="D2301" t="s">
        <v>27</v>
      </c>
      <c r="E2301" t="s">
        <v>15</v>
      </c>
      <c r="F2301">
        <v>4.2</v>
      </c>
      <c r="G2301">
        <v>23999</v>
      </c>
      <c r="H2301">
        <v>25999</v>
      </c>
      <c r="I2301">
        <f>FlipkartTable[[#This Row],[Original Price]]-FlipkartTable[[#This Row],[Selling Price]]</f>
        <v>2000</v>
      </c>
      <c r="J2301" s="4">
        <f>(FlipkartTable[[#This Row],[Original Price]]-FlipkartTable[[#This Row],[Selling Price]])/FlipkartTable[[#This Row],[Original Price]]</f>
        <v>7.6926035616754485E-2</v>
      </c>
      <c r="K2301">
        <f>(FlipkartTable[[#This Row],[Rating]]/FlipkartTable[[#This Row],[Selling Price]])*1000</f>
        <v>0.17500729197049877</v>
      </c>
      <c r="L2301" t="str">
        <f>IF(FlipkartTable[[#This Row],[Selling Price]]&lt;15000,"Budget",IF(FlipkartTable[[#This Row],[Selling Price]]&lt;50000,"Mid Range","Premium"))</f>
        <v>Mid Range</v>
      </c>
      <c r="M2301" t="str">
        <f>IF(FlipkartTable[[#This Row],[Rating]]&gt;4.5,"Excellent",IF(FlipkartTable[[#This Row],[Rating]]&gt;4,"Good",IF(FlipkartTable[[#This Row],[Rating]]&gt;3.5,"Average","Poor")))</f>
        <v>Good</v>
      </c>
    </row>
    <row r="2302" spans="1:13" x14ac:dyDescent="0.35">
      <c r="A2302" t="s">
        <v>1181</v>
      </c>
      <c r="B2302" s="9" t="s">
        <v>1190</v>
      </c>
      <c r="C2302" t="s">
        <v>1193</v>
      </c>
      <c r="D2302" t="s">
        <v>14</v>
      </c>
      <c r="E2302" t="s">
        <v>15</v>
      </c>
      <c r="F2302">
        <v>4.3</v>
      </c>
      <c r="G2302">
        <v>21999</v>
      </c>
      <c r="H2302">
        <v>24999</v>
      </c>
      <c r="I2302">
        <f>FlipkartTable[[#This Row],[Original Price]]-FlipkartTable[[#This Row],[Selling Price]]</f>
        <v>3000</v>
      </c>
      <c r="J2302" s="4">
        <f>(FlipkartTable[[#This Row],[Original Price]]-FlipkartTable[[#This Row],[Selling Price]])/FlipkartTable[[#This Row],[Original Price]]</f>
        <v>0.12000480019200768</v>
      </c>
      <c r="K2302">
        <f>(FlipkartTable[[#This Row],[Rating]]/FlipkartTable[[#This Row],[Selling Price]])*1000</f>
        <v>0.19546343015591616</v>
      </c>
      <c r="L2302" t="str">
        <f>IF(FlipkartTable[[#This Row],[Selling Price]]&lt;15000,"Budget",IF(FlipkartTable[[#This Row],[Selling Price]]&lt;50000,"Mid Range","Premium"))</f>
        <v>Mid Range</v>
      </c>
      <c r="M2302" t="str">
        <f>IF(FlipkartTable[[#This Row],[Rating]]&gt;4.5,"Excellent",IF(FlipkartTable[[#This Row],[Rating]]&gt;4,"Good",IF(FlipkartTable[[#This Row],[Rating]]&gt;3.5,"Average","Poor")))</f>
        <v>Good</v>
      </c>
    </row>
    <row r="2303" spans="1:13" x14ac:dyDescent="0.35">
      <c r="A2303" t="s">
        <v>1181</v>
      </c>
      <c r="B2303" s="9" t="s">
        <v>1194</v>
      </c>
      <c r="C2303" t="s">
        <v>1195</v>
      </c>
      <c r="D2303" t="s">
        <v>27</v>
      </c>
      <c r="E2303" t="s">
        <v>15</v>
      </c>
      <c r="F2303">
        <v>4.4000000000000004</v>
      </c>
      <c r="G2303">
        <v>26824</v>
      </c>
      <c r="H2303">
        <v>26824</v>
      </c>
      <c r="I2303">
        <f>FlipkartTable[[#This Row],[Original Price]]-FlipkartTable[[#This Row],[Selling Price]]</f>
        <v>0</v>
      </c>
      <c r="J2303" s="4">
        <f>(FlipkartTable[[#This Row],[Original Price]]-FlipkartTable[[#This Row],[Selling Price]])/FlipkartTable[[#This Row],[Original Price]]</f>
        <v>0</v>
      </c>
      <c r="K2303">
        <f>(FlipkartTable[[#This Row],[Rating]]/FlipkartTable[[#This Row],[Selling Price]])*1000</f>
        <v>0.16403220996122875</v>
      </c>
      <c r="L2303" t="str">
        <f>IF(FlipkartTable[[#This Row],[Selling Price]]&lt;15000,"Budget",IF(FlipkartTable[[#This Row],[Selling Price]]&lt;50000,"Mid Range","Premium"))</f>
        <v>Mid Range</v>
      </c>
      <c r="M2303" t="str">
        <f>IF(FlipkartTable[[#This Row],[Rating]]&gt;4.5,"Excellent",IF(FlipkartTable[[#This Row],[Rating]]&gt;4,"Good",IF(FlipkartTable[[#This Row],[Rating]]&gt;3.5,"Average","Poor")))</f>
        <v>Good</v>
      </c>
    </row>
    <row r="2304" spans="1:13" x14ac:dyDescent="0.35">
      <c r="A2304" t="s">
        <v>1181</v>
      </c>
      <c r="B2304" s="9" t="s">
        <v>1194</v>
      </c>
      <c r="C2304" t="s">
        <v>1195</v>
      </c>
      <c r="D2304" t="s">
        <v>14</v>
      </c>
      <c r="E2304" t="s">
        <v>15</v>
      </c>
      <c r="F2304">
        <v>4.2</v>
      </c>
      <c r="G2304">
        <v>24744</v>
      </c>
      <c r="H2304">
        <v>25990</v>
      </c>
      <c r="I2304">
        <f>FlipkartTable[[#This Row],[Original Price]]-FlipkartTable[[#This Row],[Selling Price]]</f>
        <v>1246</v>
      </c>
      <c r="J2304" s="4">
        <f>(FlipkartTable[[#This Row],[Original Price]]-FlipkartTable[[#This Row],[Selling Price]])/FlipkartTable[[#This Row],[Original Price]]</f>
        <v>4.7941515967679878E-2</v>
      </c>
      <c r="K2304">
        <f>(FlipkartTable[[#This Row],[Rating]]/FlipkartTable[[#This Row],[Selling Price]])*1000</f>
        <v>0.16973811833171679</v>
      </c>
      <c r="L2304" t="str">
        <f>IF(FlipkartTable[[#This Row],[Selling Price]]&lt;15000,"Budget",IF(FlipkartTable[[#This Row],[Selling Price]]&lt;50000,"Mid Range","Premium"))</f>
        <v>Mid Range</v>
      </c>
      <c r="M2304" t="str">
        <f>IF(FlipkartTable[[#This Row],[Rating]]&gt;4.5,"Excellent",IF(FlipkartTable[[#This Row],[Rating]]&gt;4,"Good",IF(FlipkartTable[[#This Row],[Rating]]&gt;3.5,"Average","Poor")))</f>
        <v>Good</v>
      </c>
    </row>
    <row r="2305" spans="1:13" x14ac:dyDescent="0.35">
      <c r="A2305" t="s">
        <v>1181</v>
      </c>
      <c r="B2305" s="9" t="s">
        <v>1194</v>
      </c>
      <c r="C2305" t="s">
        <v>937</v>
      </c>
      <c r="D2305" t="s">
        <v>27</v>
      </c>
      <c r="E2305" t="s">
        <v>15</v>
      </c>
      <c r="F2305">
        <v>4.2</v>
      </c>
      <c r="G2305">
        <v>26828</v>
      </c>
      <c r="H2305">
        <v>26828</v>
      </c>
      <c r="I2305">
        <f>FlipkartTable[[#This Row],[Original Price]]-FlipkartTable[[#This Row],[Selling Price]]</f>
        <v>0</v>
      </c>
      <c r="J2305" s="4">
        <f>(FlipkartTable[[#This Row],[Original Price]]-FlipkartTable[[#This Row],[Selling Price]])/FlipkartTable[[#This Row],[Original Price]]</f>
        <v>0</v>
      </c>
      <c r="K2305">
        <f>(FlipkartTable[[#This Row],[Rating]]/FlipkartTable[[#This Row],[Selling Price]])*1000</f>
        <v>0.15655285522588339</v>
      </c>
      <c r="L2305" t="str">
        <f>IF(FlipkartTable[[#This Row],[Selling Price]]&lt;15000,"Budget",IF(FlipkartTable[[#This Row],[Selling Price]]&lt;50000,"Mid Range","Premium"))</f>
        <v>Mid Range</v>
      </c>
      <c r="M2305" t="str">
        <f>IF(FlipkartTable[[#This Row],[Rating]]&gt;4.5,"Excellent",IF(FlipkartTable[[#This Row],[Rating]]&gt;4,"Good",IF(FlipkartTable[[#This Row],[Rating]]&gt;3.5,"Average","Poor")))</f>
        <v>Good</v>
      </c>
    </row>
    <row r="2306" spans="1:13" x14ac:dyDescent="0.35">
      <c r="A2306" t="s">
        <v>1181</v>
      </c>
      <c r="B2306" s="9" t="s">
        <v>1194</v>
      </c>
      <c r="C2306" t="s">
        <v>937</v>
      </c>
      <c r="D2306" t="s">
        <v>14</v>
      </c>
      <c r="E2306" t="s">
        <v>15</v>
      </c>
      <c r="F2306">
        <v>4.4000000000000004</v>
      </c>
      <c r="G2306">
        <v>24283</v>
      </c>
      <c r="H2306">
        <v>28700</v>
      </c>
      <c r="I2306">
        <f>FlipkartTable[[#This Row],[Original Price]]-FlipkartTable[[#This Row],[Selling Price]]</f>
        <v>4417</v>
      </c>
      <c r="J2306" s="4">
        <f>(FlipkartTable[[#This Row],[Original Price]]-FlipkartTable[[#This Row],[Selling Price]])/FlipkartTable[[#This Row],[Original Price]]</f>
        <v>0.15390243902439024</v>
      </c>
      <c r="K2306">
        <f>(FlipkartTable[[#This Row],[Rating]]/FlipkartTable[[#This Row],[Selling Price]])*1000</f>
        <v>0.18119672198657499</v>
      </c>
      <c r="L2306" t="str">
        <f>IF(FlipkartTable[[#This Row],[Selling Price]]&lt;15000,"Budget",IF(FlipkartTable[[#This Row],[Selling Price]]&lt;50000,"Mid Range","Premium"))</f>
        <v>Mid Range</v>
      </c>
      <c r="M2306" t="str">
        <f>IF(FlipkartTable[[#This Row],[Rating]]&gt;4.5,"Excellent",IF(FlipkartTable[[#This Row],[Rating]]&gt;4,"Good",IF(FlipkartTable[[#This Row],[Rating]]&gt;3.5,"Average","Poor")))</f>
        <v>Good</v>
      </c>
    </row>
    <row r="2307" spans="1:13" x14ac:dyDescent="0.35">
      <c r="A2307" t="s">
        <v>1181</v>
      </c>
      <c r="B2307" s="9" t="s">
        <v>1194</v>
      </c>
      <c r="C2307" t="s">
        <v>403</v>
      </c>
      <c r="D2307" t="s">
        <v>14</v>
      </c>
      <c r="E2307" t="s">
        <v>15</v>
      </c>
      <c r="F2307">
        <v>4.3</v>
      </c>
      <c r="G2307">
        <v>24338</v>
      </c>
      <c r="H2307">
        <v>25989</v>
      </c>
      <c r="I2307">
        <f>FlipkartTable[[#This Row],[Original Price]]-FlipkartTable[[#This Row],[Selling Price]]</f>
        <v>1651</v>
      </c>
      <c r="J2307" s="4">
        <f>(FlipkartTable[[#This Row],[Original Price]]-FlipkartTable[[#This Row],[Selling Price]])/FlipkartTable[[#This Row],[Original Price]]</f>
        <v>6.3526876755550424E-2</v>
      </c>
      <c r="K2307">
        <f>(FlipkartTable[[#This Row],[Rating]]/FlipkartTable[[#This Row],[Selling Price]])*1000</f>
        <v>0.17667844522968196</v>
      </c>
      <c r="L2307" t="str">
        <f>IF(FlipkartTable[[#This Row],[Selling Price]]&lt;15000,"Budget",IF(FlipkartTable[[#This Row],[Selling Price]]&lt;50000,"Mid Range","Premium"))</f>
        <v>Mid Range</v>
      </c>
      <c r="M2307" t="str">
        <f>IF(FlipkartTable[[#This Row],[Rating]]&gt;4.5,"Excellent",IF(FlipkartTable[[#This Row],[Rating]]&gt;4,"Good",IF(FlipkartTable[[#This Row],[Rating]]&gt;3.5,"Average","Poor")))</f>
        <v>Good</v>
      </c>
    </row>
    <row r="2308" spans="1:13" x14ac:dyDescent="0.35">
      <c r="A2308" t="s">
        <v>1181</v>
      </c>
      <c r="B2308" s="9" t="s">
        <v>1194</v>
      </c>
      <c r="C2308" t="s">
        <v>1196</v>
      </c>
      <c r="D2308" t="s">
        <v>27</v>
      </c>
      <c r="E2308" t="s">
        <v>15</v>
      </c>
      <c r="F2308">
        <v>4.2</v>
      </c>
      <c r="G2308">
        <v>27950</v>
      </c>
      <c r="H2308">
        <v>31983</v>
      </c>
      <c r="I2308">
        <f>FlipkartTable[[#This Row],[Original Price]]-FlipkartTable[[#This Row],[Selling Price]]</f>
        <v>4033</v>
      </c>
      <c r="J2308" s="4">
        <f>(FlipkartTable[[#This Row],[Original Price]]-FlipkartTable[[#This Row],[Selling Price]])/FlipkartTable[[#This Row],[Original Price]]</f>
        <v>0.12609823968983522</v>
      </c>
      <c r="K2308">
        <f>(FlipkartTable[[#This Row],[Rating]]/FlipkartTable[[#This Row],[Selling Price]])*1000</f>
        <v>0.15026833631484793</v>
      </c>
      <c r="L2308" t="str">
        <f>IF(FlipkartTable[[#This Row],[Selling Price]]&lt;15000,"Budget",IF(FlipkartTable[[#This Row],[Selling Price]]&lt;50000,"Mid Range","Premium"))</f>
        <v>Mid Range</v>
      </c>
      <c r="M2308" t="str">
        <f>IF(FlipkartTable[[#This Row],[Rating]]&gt;4.5,"Excellent",IF(FlipkartTable[[#This Row],[Rating]]&gt;4,"Good",IF(FlipkartTable[[#This Row],[Rating]]&gt;3.5,"Average","Poor")))</f>
        <v>Good</v>
      </c>
    </row>
    <row r="2309" spans="1:13" x14ac:dyDescent="0.35">
      <c r="A2309" t="s">
        <v>1181</v>
      </c>
      <c r="B2309" s="9" t="s">
        <v>1194</v>
      </c>
      <c r="C2309" t="s">
        <v>403</v>
      </c>
      <c r="D2309" t="s">
        <v>27</v>
      </c>
      <c r="E2309" t="s">
        <v>15</v>
      </c>
      <c r="F2309">
        <v>4.5</v>
      </c>
      <c r="G2309">
        <v>26758</v>
      </c>
      <c r="H2309">
        <v>26758</v>
      </c>
      <c r="I2309">
        <f>FlipkartTable[[#This Row],[Original Price]]-FlipkartTable[[#This Row],[Selling Price]]</f>
        <v>0</v>
      </c>
      <c r="J2309" s="4">
        <f>(FlipkartTable[[#This Row],[Original Price]]-FlipkartTable[[#This Row],[Selling Price]])/FlipkartTable[[#This Row],[Original Price]]</f>
        <v>0</v>
      </c>
      <c r="K2309">
        <f>(FlipkartTable[[#This Row],[Rating]]/FlipkartTable[[#This Row],[Selling Price]])*1000</f>
        <v>0.16817400403617608</v>
      </c>
      <c r="L2309" t="str">
        <f>IF(FlipkartTable[[#This Row],[Selling Price]]&lt;15000,"Budget",IF(FlipkartTable[[#This Row],[Selling Price]]&lt;50000,"Mid Range","Premium"))</f>
        <v>Mid Range</v>
      </c>
      <c r="M2309" t="str">
        <f>IF(FlipkartTable[[#This Row],[Rating]]&gt;4.5,"Excellent",IF(FlipkartTable[[#This Row],[Rating]]&gt;4,"Good",IF(FlipkartTable[[#This Row],[Rating]]&gt;3.5,"Average","Poor")))</f>
        <v>Good</v>
      </c>
    </row>
    <row r="2310" spans="1:13" x14ac:dyDescent="0.35">
      <c r="A2310" t="s">
        <v>1181</v>
      </c>
      <c r="B2310" s="9" t="s">
        <v>1197</v>
      </c>
      <c r="C2310" t="s">
        <v>1198</v>
      </c>
      <c r="D2310" t="s">
        <v>14</v>
      </c>
      <c r="E2310" t="s">
        <v>15</v>
      </c>
      <c r="F2310">
        <v>4.0999999999999996</v>
      </c>
      <c r="G2310">
        <v>26295</v>
      </c>
      <c r="H2310">
        <v>27395</v>
      </c>
      <c r="I2310">
        <f>FlipkartTable[[#This Row],[Original Price]]-FlipkartTable[[#This Row],[Selling Price]]</f>
        <v>1100</v>
      </c>
      <c r="J2310" s="4">
        <f>(FlipkartTable[[#This Row],[Original Price]]-FlipkartTable[[#This Row],[Selling Price]])/FlipkartTable[[#This Row],[Original Price]]</f>
        <v>4.0153312648293485E-2</v>
      </c>
      <c r="K2310">
        <f>(FlipkartTable[[#This Row],[Rating]]/FlipkartTable[[#This Row],[Selling Price]])*1000</f>
        <v>0.1559231793116562</v>
      </c>
      <c r="L2310" t="str">
        <f>IF(FlipkartTable[[#This Row],[Selling Price]]&lt;15000,"Budget",IF(FlipkartTable[[#This Row],[Selling Price]]&lt;50000,"Mid Range","Premium"))</f>
        <v>Mid Range</v>
      </c>
      <c r="M2310" t="str">
        <f>IF(FlipkartTable[[#This Row],[Rating]]&gt;4.5,"Excellent",IF(FlipkartTable[[#This Row],[Rating]]&gt;4,"Good",IF(FlipkartTable[[#This Row],[Rating]]&gt;3.5,"Average","Poor")))</f>
        <v>Good</v>
      </c>
    </row>
    <row r="2311" spans="1:13" x14ac:dyDescent="0.35">
      <c r="A2311" t="s">
        <v>1181</v>
      </c>
      <c r="B2311" s="9" t="s">
        <v>1197</v>
      </c>
      <c r="C2311" t="s">
        <v>1199</v>
      </c>
      <c r="D2311" t="s">
        <v>14</v>
      </c>
      <c r="E2311" t="s">
        <v>15</v>
      </c>
      <c r="F2311">
        <v>4.0999999999999996</v>
      </c>
      <c r="G2311">
        <v>24492</v>
      </c>
      <c r="H2311">
        <v>27995</v>
      </c>
      <c r="I2311">
        <f>FlipkartTable[[#This Row],[Original Price]]-FlipkartTable[[#This Row],[Selling Price]]</f>
        <v>3503</v>
      </c>
      <c r="J2311" s="4">
        <f>(FlipkartTable[[#This Row],[Original Price]]-FlipkartTable[[#This Row],[Selling Price]])/FlipkartTable[[#This Row],[Original Price]]</f>
        <v>0.1251294874084658</v>
      </c>
      <c r="K2311">
        <f>(FlipkartTable[[#This Row],[Rating]]/FlipkartTable[[#This Row],[Selling Price]])*1000</f>
        <v>0.1674016005226196</v>
      </c>
      <c r="L2311" t="str">
        <f>IF(FlipkartTable[[#This Row],[Selling Price]]&lt;15000,"Budget",IF(FlipkartTable[[#This Row],[Selling Price]]&lt;50000,"Mid Range","Premium"))</f>
        <v>Mid Range</v>
      </c>
      <c r="M2311" t="str">
        <f>IF(FlipkartTable[[#This Row],[Rating]]&gt;4.5,"Excellent",IF(FlipkartTable[[#This Row],[Rating]]&gt;4,"Good",IF(FlipkartTable[[#This Row],[Rating]]&gt;3.5,"Average","Poor")))</f>
        <v>Good</v>
      </c>
    </row>
    <row r="2312" spans="1:13" x14ac:dyDescent="0.35">
      <c r="A2312" t="s">
        <v>1181</v>
      </c>
      <c r="B2312" s="9" t="s">
        <v>1197</v>
      </c>
      <c r="C2312" t="s">
        <v>1196</v>
      </c>
      <c r="D2312" t="s">
        <v>14</v>
      </c>
      <c r="E2312" t="s">
        <v>15</v>
      </c>
      <c r="F2312">
        <v>4.4000000000000004</v>
      </c>
      <c r="G2312">
        <v>26495</v>
      </c>
      <c r="H2312">
        <v>28990</v>
      </c>
      <c r="I2312">
        <f>FlipkartTable[[#This Row],[Original Price]]-FlipkartTable[[#This Row],[Selling Price]]</f>
        <v>2495</v>
      </c>
      <c r="J2312" s="4">
        <f>(FlipkartTable[[#This Row],[Original Price]]-FlipkartTable[[#This Row],[Selling Price]])/FlipkartTable[[#This Row],[Original Price]]</f>
        <v>8.6064160055191449E-2</v>
      </c>
      <c r="K2312">
        <f>(FlipkartTable[[#This Row],[Rating]]/FlipkartTable[[#This Row],[Selling Price]])*1000</f>
        <v>0.16606906963578036</v>
      </c>
      <c r="L2312" t="str">
        <f>IF(FlipkartTable[[#This Row],[Selling Price]]&lt;15000,"Budget",IF(FlipkartTable[[#This Row],[Selling Price]]&lt;50000,"Mid Range","Premium"))</f>
        <v>Mid Range</v>
      </c>
      <c r="M2312" t="str">
        <f>IF(FlipkartTable[[#This Row],[Rating]]&gt;4.5,"Excellent",IF(FlipkartTable[[#This Row],[Rating]]&gt;4,"Good",IF(FlipkartTable[[#This Row],[Rating]]&gt;3.5,"Average","Poor")))</f>
        <v>Good</v>
      </c>
    </row>
    <row r="2313" spans="1:13" x14ac:dyDescent="0.35">
      <c r="A2313" t="s">
        <v>1181</v>
      </c>
      <c r="B2313" s="9" t="s">
        <v>1200</v>
      </c>
      <c r="C2313" t="s">
        <v>1195</v>
      </c>
      <c r="D2313" t="s">
        <v>27</v>
      </c>
      <c r="E2313" t="s">
        <v>15</v>
      </c>
      <c r="F2313">
        <v>4.2</v>
      </c>
      <c r="G2313">
        <v>36290</v>
      </c>
      <c r="H2313">
        <v>37490</v>
      </c>
      <c r="I2313">
        <f>FlipkartTable[[#This Row],[Original Price]]-FlipkartTable[[#This Row],[Selling Price]]</f>
        <v>1200</v>
      </c>
      <c r="J2313" s="4">
        <f>(FlipkartTable[[#This Row],[Original Price]]-FlipkartTable[[#This Row],[Selling Price]])/FlipkartTable[[#This Row],[Original Price]]</f>
        <v>3.2008535609495868E-2</v>
      </c>
      <c r="K2313">
        <f>(FlipkartTable[[#This Row],[Rating]]/FlipkartTable[[#This Row],[Selling Price]])*1000</f>
        <v>0.11573436208321852</v>
      </c>
      <c r="L2313" t="str">
        <f>IF(FlipkartTable[[#This Row],[Selling Price]]&lt;15000,"Budget",IF(FlipkartTable[[#This Row],[Selling Price]]&lt;50000,"Mid Range","Premium"))</f>
        <v>Mid Range</v>
      </c>
      <c r="M2313" t="str">
        <f>IF(FlipkartTable[[#This Row],[Rating]]&gt;4.5,"Excellent",IF(FlipkartTable[[#This Row],[Rating]]&gt;4,"Good",IF(FlipkartTable[[#This Row],[Rating]]&gt;3.5,"Average","Poor")))</f>
        <v>Good</v>
      </c>
    </row>
    <row r="2314" spans="1:13" x14ac:dyDescent="0.35">
      <c r="A2314" t="s">
        <v>1181</v>
      </c>
      <c r="B2314" s="9" t="s">
        <v>1200</v>
      </c>
      <c r="C2314" t="s">
        <v>937</v>
      </c>
      <c r="D2314" t="s">
        <v>27</v>
      </c>
      <c r="E2314" t="s">
        <v>15</v>
      </c>
      <c r="F2314">
        <v>4.4000000000000004</v>
      </c>
      <c r="G2314">
        <v>39999</v>
      </c>
      <c r="H2314">
        <v>39999</v>
      </c>
      <c r="I2314">
        <f>FlipkartTable[[#This Row],[Original Price]]-FlipkartTable[[#This Row],[Selling Price]]</f>
        <v>0</v>
      </c>
      <c r="J2314" s="4">
        <f>(FlipkartTable[[#This Row],[Original Price]]-FlipkartTable[[#This Row],[Selling Price]])/FlipkartTable[[#This Row],[Original Price]]</f>
        <v>0</v>
      </c>
      <c r="K2314">
        <f>(FlipkartTable[[#This Row],[Rating]]/FlipkartTable[[#This Row],[Selling Price]])*1000</f>
        <v>0.11000275006875174</v>
      </c>
      <c r="L2314" t="str">
        <f>IF(FlipkartTable[[#This Row],[Selling Price]]&lt;15000,"Budget",IF(FlipkartTable[[#This Row],[Selling Price]]&lt;50000,"Mid Range","Premium"))</f>
        <v>Mid Range</v>
      </c>
      <c r="M2314" t="str">
        <f>IF(FlipkartTable[[#This Row],[Rating]]&gt;4.5,"Excellent",IF(FlipkartTable[[#This Row],[Rating]]&gt;4,"Good",IF(FlipkartTable[[#This Row],[Rating]]&gt;3.5,"Average","Poor")))</f>
        <v>Good</v>
      </c>
    </row>
    <row r="2315" spans="1:13" x14ac:dyDescent="0.35">
      <c r="A2315" t="s">
        <v>1181</v>
      </c>
      <c r="B2315" s="9" t="s">
        <v>1200</v>
      </c>
      <c r="C2315" t="s">
        <v>937</v>
      </c>
      <c r="D2315" t="s">
        <v>27</v>
      </c>
      <c r="E2315" t="s">
        <v>64</v>
      </c>
      <c r="F2315">
        <v>4.2</v>
      </c>
      <c r="G2315">
        <v>38950</v>
      </c>
      <c r="H2315">
        <v>39990</v>
      </c>
      <c r="I2315">
        <f>FlipkartTable[[#This Row],[Original Price]]-FlipkartTable[[#This Row],[Selling Price]]</f>
        <v>1040</v>
      </c>
      <c r="J2315" s="4">
        <f>(FlipkartTable[[#This Row],[Original Price]]-FlipkartTable[[#This Row],[Selling Price]])/FlipkartTable[[#This Row],[Original Price]]</f>
        <v>2.6006501625406353E-2</v>
      </c>
      <c r="K2315">
        <f>(FlipkartTable[[#This Row],[Rating]]/FlipkartTable[[#This Row],[Selling Price]])*1000</f>
        <v>0.10783055198973043</v>
      </c>
      <c r="L2315" t="str">
        <f>IF(FlipkartTable[[#This Row],[Selling Price]]&lt;15000,"Budget",IF(FlipkartTable[[#This Row],[Selling Price]]&lt;50000,"Mid Range","Premium"))</f>
        <v>Mid Range</v>
      </c>
      <c r="M2315" t="str">
        <f>IF(FlipkartTable[[#This Row],[Rating]]&gt;4.5,"Excellent",IF(FlipkartTable[[#This Row],[Rating]]&gt;4,"Good",IF(FlipkartTable[[#This Row],[Rating]]&gt;3.5,"Average","Poor")))</f>
        <v>Good</v>
      </c>
    </row>
    <row r="2316" spans="1:13" x14ac:dyDescent="0.35">
      <c r="A2316" t="s">
        <v>1181</v>
      </c>
      <c r="B2316" s="9" t="s">
        <v>1200</v>
      </c>
      <c r="C2316" t="s">
        <v>403</v>
      </c>
      <c r="D2316" t="s">
        <v>27</v>
      </c>
      <c r="E2316" t="s">
        <v>64</v>
      </c>
      <c r="F2316">
        <v>4.4000000000000004</v>
      </c>
      <c r="G2316">
        <v>38999</v>
      </c>
      <c r="H2316">
        <v>38999</v>
      </c>
      <c r="I2316">
        <f>FlipkartTable[[#This Row],[Original Price]]-FlipkartTable[[#This Row],[Selling Price]]</f>
        <v>0</v>
      </c>
      <c r="J2316" s="4">
        <f>(FlipkartTable[[#This Row],[Original Price]]-FlipkartTable[[#This Row],[Selling Price]])/FlipkartTable[[#This Row],[Original Price]]</f>
        <v>0</v>
      </c>
      <c r="K2316">
        <f>(FlipkartTable[[#This Row],[Rating]]/FlipkartTable[[#This Row],[Selling Price]])*1000</f>
        <v>0.11282340572835201</v>
      </c>
      <c r="L2316" t="str">
        <f>IF(FlipkartTable[[#This Row],[Selling Price]]&lt;15000,"Budget",IF(FlipkartTable[[#This Row],[Selling Price]]&lt;50000,"Mid Range","Premium"))</f>
        <v>Mid Range</v>
      </c>
      <c r="M2316" t="str">
        <f>IF(FlipkartTable[[#This Row],[Rating]]&gt;4.5,"Excellent",IF(FlipkartTable[[#This Row],[Rating]]&gt;4,"Good",IF(FlipkartTable[[#This Row],[Rating]]&gt;3.5,"Average","Poor")))</f>
        <v>Good</v>
      </c>
    </row>
    <row r="2317" spans="1:13" x14ac:dyDescent="0.35">
      <c r="A2317" t="s">
        <v>1181</v>
      </c>
      <c r="B2317" s="9" t="s">
        <v>1201</v>
      </c>
      <c r="C2317" t="s">
        <v>19</v>
      </c>
      <c r="D2317" t="s">
        <v>14</v>
      </c>
      <c r="E2317" t="s">
        <v>15</v>
      </c>
      <c r="F2317">
        <v>3.8</v>
      </c>
      <c r="G2317">
        <v>14949</v>
      </c>
      <c r="H2317">
        <v>14949</v>
      </c>
      <c r="I2317">
        <f>FlipkartTable[[#This Row],[Original Price]]-FlipkartTable[[#This Row],[Selling Price]]</f>
        <v>0</v>
      </c>
      <c r="J2317" s="4">
        <f>(FlipkartTable[[#This Row],[Original Price]]-FlipkartTable[[#This Row],[Selling Price]])/FlipkartTable[[#This Row],[Original Price]]</f>
        <v>0</v>
      </c>
      <c r="K2317">
        <f>(FlipkartTable[[#This Row],[Rating]]/FlipkartTable[[#This Row],[Selling Price]])*1000</f>
        <v>0.25419760519098267</v>
      </c>
      <c r="L2317" t="str">
        <f>IF(FlipkartTable[[#This Row],[Selling Price]]&lt;15000,"Budget",IF(FlipkartTable[[#This Row],[Selling Price]]&lt;50000,"Mid Range","Premium"))</f>
        <v>Budget</v>
      </c>
      <c r="M2317" t="str">
        <f>IF(FlipkartTable[[#This Row],[Rating]]&gt;4.5,"Excellent",IF(FlipkartTable[[#This Row],[Rating]]&gt;4,"Good",IF(FlipkartTable[[#This Row],[Rating]]&gt;3.5,"Average","Poor")))</f>
        <v>Average</v>
      </c>
    </row>
    <row r="2318" spans="1:13" x14ac:dyDescent="0.35">
      <c r="A2318" t="s">
        <v>1181</v>
      </c>
      <c r="B2318" s="9" t="s">
        <v>1201</v>
      </c>
      <c r="C2318" t="s">
        <v>19</v>
      </c>
      <c r="D2318" t="s">
        <v>11</v>
      </c>
      <c r="E2318" t="s">
        <v>12</v>
      </c>
      <c r="F2318">
        <v>4.3</v>
      </c>
      <c r="G2318">
        <v>11990</v>
      </c>
      <c r="H2318">
        <v>12899</v>
      </c>
      <c r="I2318">
        <f>FlipkartTable[[#This Row],[Original Price]]-FlipkartTable[[#This Row],[Selling Price]]</f>
        <v>909</v>
      </c>
      <c r="J2318" s="4">
        <f>(FlipkartTable[[#This Row],[Original Price]]-FlipkartTable[[#This Row],[Selling Price]])/FlipkartTable[[#This Row],[Original Price]]</f>
        <v>7.0470579114660051E-2</v>
      </c>
      <c r="K2318">
        <f>(FlipkartTable[[#This Row],[Rating]]/FlipkartTable[[#This Row],[Selling Price]])*1000</f>
        <v>0.35863219349457881</v>
      </c>
      <c r="L2318" t="str">
        <f>IF(FlipkartTable[[#This Row],[Selling Price]]&lt;15000,"Budget",IF(FlipkartTable[[#This Row],[Selling Price]]&lt;50000,"Mid Range","Premium"))</f>
        <v>Budget</v>
      </c>
      <c r="M2318" t="str">
        <f>IF(FlipkartTable[[#This Row],[Rating]]&gt;4.5,"Excellent",IF(FlipkartTable[[#This Row],[Rating]]&gt;4,"Good",IF(FlipkartTable[[#This Row],[Rating]]&gt;3.5,"Average","Poor")))</f>
        <v>Good</v>
      </c>
    </row>
    <row r="2319" spans="1:13" x14ac:dyDescent="0.35">
      <c r="A2319" t="s">
        <v>1181</v>
      </c>
      <c r="B2319" s="9" t="s">
        <v>1201</v>
      </c>
      <c r="C2319" t="s">
        <v>116</v>
      </c>
      <c r="D2319" t="s">
        <v>14</v>
      </c>
      <c r="E2319" t="s">
        <v>15</v>
      </c>
      <c r="F2319">
        <v>4.3</v>
      </c>
      <c r="G2319">
        <v>14398</v>
      </c>
      <c r="H2319">
        <v>14398</v>
      </c>
      <c r="I2319">
        <f>FlipkartTable[[#This Row],[Original Price]]-FlipkartTable[[#This Row],[Selling Price]]</f>
        <v>0</v>
      </c>
      <c r="J2319" s="4">
        <f>(FlipkartTable[[#This Row],[Original Price]]-FlipkartTable[[#This Row],[Selling Price]])/FlipkartTable[[#This Row],[Original Price]]</f>
        <v>0</v>
      </c>
      <c r="K2319">
        <f>(FlipkartTable[[#This Row],[Rating]]/FlipkartTable[[#This Row],[Selling Price]])*1000</f>
        <v>0.29865259063758853</v>
      </c>
      <c r="L2319" t="str">
        <f>IF(FlipkartTable[[#This Row],[Selling Price]]&lt;15000,"Budget",IF(FlipkartTable[[#This Row],[Selling Price]]&lt;50000,"Mid Range","Premium"))</f>
        <v>Budget</v>
      </c>
      <c r="M2319" t="str">
        <f>IF(FlipkartTable[[#This Row],[Rating]]&gt;4.5,"Excellent",IF(FlipkartTable[[#This Row],[Rating]]&gt;4,"Good",IF(FlipkartTable[[#This Row],[Rating]]&gt;3.5,"Average","Poor")))</f>
        <v>Good</v>
      </c>
    </row>
    <row r="2320" spans="1:13" x14ac:dyDescent="0.35">
      <c r="A2320" t="s">
        <v>1181</v>
      </c>
      <c r="B2320" s="9" t="s">
        <v>1201</v>
      </c>
      <c r="C2320" t="s">
        <v>116</v>
      </c>
      <c r="D2320" t="s">
        <v>11</v>
      </c>
      <c r="E2320" t="s">
        <v>12</v>
      </c>
      <c r="F2320">
        <v>4.4000000000000004</v>
      </c>
      <c r="G2320">
        <v>12499</v>
      </c>
      <c r="H2320">
        <v>12499</v>
      </c>
      <c r="I2320">
        <f>FlipkartTable[[#This Row],[Original Price]]-FlipkartTable[[#This Row],[Selling Price]]</f>
        <v>0</v>
      </c>
      <c r="J2320" s="4">
        <f>(FlipkartTable[[#This Row],[Original Price]]-FlipkartTable[[#This Row],[Selling Price]])/FlipkartTable[[#This Row],[Original Price]]</f>
        <v>0</v>
      </c>
      <c r="K2320">
        <f>(FlipkartTable[[#This Row],[Rating]]/FlipkartTable[[#This Row],[Selling Price]])*1000</f>
        <v>0.35202816225298028</v>
      </c>
      <c r="L2320" t="str">
        <f>IF(FlipkartTable[[#This Row],[Selling Price]]&lt;15000,"Budget",IF(FlipkartTable[[#This Row],[Selling Price]]&lt;50000,"Mid Range","Premium"))</f>
        <v>Budget</v>
      </c>
      <c r="M2320" t="str">
        <f>IF(FlipkartTable[[#This Row],[Rating]]&gt;4.5,"Excellent",IF(FlipkartTable[[#This Row],[Rating]]&gt;4,"Good",IF(FlipkartTable[[#This Row],[Rating]]&gt;3.5,"Average","Poor")))</f>
        <v>Good</v>
      </c>
    </row>
    <row r="2321" spans="1:13" x14ac:dyDescent="0.35">
      <c r="A2321" t="s">
        <v>1181</v>
      </c>
      <c r="B2321" s="9" t="s">
        <v>1201</v>
      </c>
      <c r="C2321" t="s">
        <v>84</v>
      </c>
      <c r="D2321" t="s">
        <v>14</v>
      </c>
      <c r="E2321" t="s">
        <v>15</v>
      </c>
      <c r="F2321">
        <v>4.4000000000000004</v>
      </c>
      <c r="G2321">
        <v>14443</v>
      </c>
      <c r="H2321">
        <v>14443</v>
      </c>
      <c r="I2321">
        <f>FlipkartTable[[#This Row],[Original Price]]-FlipkartTable[[#This Row],[Selling Price]]</f>
        <v>0</v>
      </c>
      <c r="J2321" s="4">
        <f>(FlipkartTable[[#This Row],[Original Price]]-FlipkartTable[[#This Row],[Selling Price]])/FlipkartTable[[#This Row],[Original Price]]</f>
        <v>0</v>
      </c>
      <c r="K2321">
        <f>(FlipkartTable[[#This Row],[Rating]]/FlipkartTable[[#This Row],[Selling Price]])*1000</f>
        <v>0.30464584920030469</v>
      </c>
      <c r="L2321" t="str">
        <f>IF(FlipkartTable[[#This Row],[Selling Price]]&lt;15000,"Budget",IF(FlipkartTable[[#This Row],[Selling Price]]&lt;50000,"Mid Range","Premium"))</f>
        <v>Budget</v>
      </c>
      <c r="M2321" t="str">
        <f>IF(FlipkartTable[[#This Row],[Rating]]&gt;4.5,"Excellent",IF(FlipkartTable[[#This Row],[Rating]]&gt;4,"Good",IF(FlipkartTable[[#This Row],[Rating]]&gt;3.5,"Average","Poor")))</f>
        <v>Good</v>
      </c>
    </row>
    <row r="2322" spans="1:13" x14ac:dyDescent="0.35">
      <c r="A2322" t="s">
        <v>1181</v>
      </c>
      <c r="B2322" s="9" t="s">
        <v>1201</v>
      </c>
      <c r="C2322" t="s">
        <v>84</v>
      </c>
      <c r="D2322" t="s">
        <v>11</v>
      </c>
      <c r="E2322" t="s">
        <v>12</v>
      </c>
      <c r="F2322">
        <v>4.4000000000000004</v>
      </c>
      <c r="G2322">
        <v>11948</v>
      </c>
      <c r="H2322">
        <v>11948</v>
      </c>
      <c r="I2322">
        <f>FlipkartTable[[#This Row],[Original Price]]-FlipkartTable[[#This Row],[Selling Price]]</f>
        <v>0</v>
      </c>
      <c r="J2322" s="4">
        <f>(FlipkartTable[[#This Row],[Original Price]]-FlipkartTable[[#This Row],[Selling Price]])/FlipkartTable[[#This Row],[Original Price]]</f>
        <v>0</v>
      </c>
      <c r="K2322">
        <f>(FlipkartTable[[#This Row],[Rating]]/FlipkartTable[[#This Row],[Selling Price]])*1000</f>
        <v>0.3682624707063944</v>
      </c>
      <c r="L2322" t="str">
        <f>IF(FlipkartTable[[#This Row],[Selling Price]]&lt;15000,"Budget",IF(FlipkartTable[[#This Row],[Selling Price]]&lt;50000,"Mid Range","Premium"))</f>
        <v>Budget</v>
      </c>
      <c r="M2322" t="str">
        <f>IF(FlipkartTable[[#This Row],[Rating]]&gt;4.5,"Excellent",IF(FlipkartTable[[#This Row],[Rating]]&gt;4,"Good",IF(FlipkartTable[[#This Row],[Rating]]&gt;3.5,"Average","Poor")))</f>
        <v>Good</v>
      </c>
    </row>
    <row r="2323" spans="1:13" x14ac:dyDescent="0.35">
      <c r="A2323" t="s">
        <v>1181</v>
      </c>
      <c r="B2323" s="9" t="s">
        <v>1202</v>
      </c>
      <c r="C2323" t="s">
        <v>1203</v>
      </c>
      <c r="D2323" t="s">
        <v>11</v>
      </c>
      <c r="E2323" t="s">
        <v>12</v>
      </c>
      <c r="F2323">
        <v>4.3</v>
      </c>
      <c r="G2323">
        <v>12990</v>
      </c>
      <c r="H2323">
        <v>14990</v>
      </c>
      <c r="I2323">
        <f>FlipkartTable[[#This Row],[Original Price]]-FlipkartTable[[#This Row],[Selling Price]]</f>
        <v>2000</v>
      </c>
      <c r="J2323" s="4">
        <f>(FlipkartTable[[#This Row],[Original Price]]-FlipkartTable[[#This Row],[Selling Price]])/FlipkartTable[[#This Row],[Original Price]]</f>
        <v>0.13342228152101401</v>
      </c>
      <c r="K2323">
        <f>(FlipkartTable[[#This Row],[Rating]]/FlipkartTable[[#This Row],[Selling Price]])*1000</f>
        <v>0.33102386451116245</v>
      </c>
      <c r="L2323" t="str">
        <f>IF(FlipkartTable[[#This Row],[Selling Price]]&lt;15000,"Budget",IF(FlipkartTable[[#This Row],[Selling Price]]&lt;50000,"Mid Range","Premium"))</f>
        <v>Budget</v>
      </c>
      <c r="M2323" t="str">
        <f>IF(FlipkartTable[[#This Row],[Rating]]&gt;4.5,"Excellent",IF(FlipkartTable[[#This Row],[Rating]]&gt;4,"Good",IF(FlipkartTable[[#This Row],[Rating]]&gt;3.5,"Average","Poor")))</f>
        <v>Good</v>
      </c>
    </row>
    <row r="2324" spans="1:13" x14ac:dyDescent="0.35">
      <c r="A2324" t="s">
        <v>1181</v>
      </c>
      <c r="B2324" s="9" t="s">
        <v>1202</v>
      </c>
      <c r="C2324" t="s">
        <v>1204</v>
      </c>
      <c r="D2324" t="s">
        <v>11</v>
      </c>
      <c r="E2324" t="s">
        <v>12</v>
      </c>
      <c r="F2324">
        <v>4.4000000000000004</v>
      </c>
      <c r="G2324">
        <v>12990</v>
      </c>
      <c r="H2324">
        <v>14990</v>
      </c>
      <c r="I2324">
        <f>FlipkartTable[[#This Row],[Original Price]]-FlipkartTable[[#This Row],[Selling Price]]</f>
        <v>2000</v>
      </c>
      <c r="J2324" s="4">
        <f>(FlipkartTable[[#This Row],[Original Price]]-FlipkartTable[[#This Row],[Selling Price]])/FlipkartTable[[#This Row],[Original Price]]</f>
        <v>0.13342228152101401</v>
      </c>
      <c r="K2324">
        <f>(FlipkartTable[[#This Row],[Rating]]/FlipkartTable[[#This Row],[Selling Price]])*1000</f>
        <v>0.3387220939183988</v>
      </c>
      <c r="L2324" t="str">
        <f>IF(FlipkartTable[[#This Row],[Selling Price]]&lt;15000,"Budget",IF(FlipkartTable[[#This Row],[Selling Price]]&lt;50000,"Mid Range","Premium"))</f>
        <v>Budget</v>
      </c>
      <c r="M2324" t="str">
        <f>IF(FlipkartTable[[#This Row],[Rating]]&gt;4.5,"Excellent",IF(FlipkartTable[[#This Row],[Rating]]&gt;4,"Good",IF(FlipkartTable[[#This Row],[Rating]]&gt;3.5,"Average","Poor")))</f>
        <v>Good</v>
      </c>
    </row>
    <row r="2325" spans="1:13" x14ac:dyDescent="0.35">
      <c r="A2325" t="s">
        <v>1181</v>
      </c>
      <c r="B2325" s="9" t="s">
        <v>1205</v>
      </c>
      <c r="C2325" t="s">
        <v>19</v>
      </c>
      <c r="D2325" t="s">
        <v>11</v>
      </c>
      <c r="E2325" t="s">
        <v>12</v>
      </c>
      <c r="F2325">
        <v>4.4000000000000004</v>
      </c>
      <c r="G2325">
        <v>13990</v>
      </c>
      <c r="H2325">
        <v>13990</v>
      </c>
      <c r="I2325">
        <f>FlipkartTable[[#This Row],[Original Price]]-FlipkartTable[[#This Row],[Selling Price]]</f>
        <v>0</v>
      </c>
      <c r="J2325" s="4">
        <f>(FlipkartTable[[#This Row],[Original Price]]-FlipkartTable[[#This Row],[Selling Price]])/FlipkartTable[[#This Row],[Original Price]]</f>
        <v>0</v>
      </c>
      <c r="K2325">
        <f>(FlipkartTable[[#This Row],[Rating]]/FlipkartTable[[#This Row],[Selling Price]])*1000</f>
        <v>0.31451036454610443</v>
      </c>
      <c r="L2325" t="str">
        <f>IF(FlipkartTable[[#This Row],[Selling Price]]&lt;15000,"Budget",IF(FlipkartTable[[#This Row],[Selling Price]]&lt;50000,"Mid Range","Premium"))</f>
        <v>Budget</v>
      </c>
      <c r="M2325" t="str">
        <f>IF(FlipkartTable[[#This Row],[Rating]]&gt;4.5,"Excellent",IF(FlipkartTable[[#This Row],[Rating]]&gt;4,"Good",IF(FlipkartTable[[#This Row],[Rating]]&gt;3.5,"Average","Poor")))</f>
        <v>Good</v>
      </c>
    </row>
    <row r="2326" spans="1:13" x14ac:dyDescent="0.35">
      <c r="A2326" t="s">
        <v>1181</v>
      </c>
      <c r="B2326" s="9" t="s">
        <v>1206</v>
      </c>
      <c r="C2326" t="s">
        <v>1207</v>
      </c>
      <c r="D2326" t="s">
        <v>35</v>
      </c>
      <c r="E2326" t="s">
        <v>124</v>
      </c>
      <c r="F2326">
        <v>4.3</v>
      </c>
      <c r="G2326">
        <v>7999</v>
      </c>
      <c r="H2326">
        <v>7999</v>
      </c>
      <c r="I2326">
        <f>FlipkartTable[[#This Row],[Original Price]]-FlipkartTable[[#This Row],[Selling Price]]</f>
        <v>0</v>
      </c>
      <c r="J2326" s="4">
        <f>(FlipkartTable[[#This Row],[Original Price]]-FlipkartTable[[#This Row],[Selling Price]])/FlipkartTable[[#This Row],[Original Price]]</f>
        <v>0</v>
      </c>
      <c r="K2326">
        <f>(FlipkartTable[[#This Row],[Rating]]/FlipkartTable[[#This Row],[Selling Price]])*1000</f>
        <v>0.53756719589948743</v>
      </c>
      <c r="L2326" t="str">
        <f>IF(FlipkartTable[[#This Row],[Selling Price]]&lt;15000,"Budget",IF(FlipkartTable[[#This Row],[Selling Price]]&lt;50000,"Mid Range","Premium"))</f>
        <v>Budget</v>
      </c>
      <c r="M2326" t="str">
        <f>IF(FlipkartTable[[#This Row],[Rating]]&gt;4.5,"Excellent",IF(FlipkartTable[[#This Row],[Rating]]&gt;4,"Good",IF(FlipkartTable[[#This Row],[Rating]]&gt;3.5,"Average","Poor")))</f>
        <v>Good</v>
      </c>
    </row>
    <row r="2327" spans="1:13" x14ac:dyDescent="0.35">
      <c r="A2327" t="s">
        <v>1181</v>
      </c>
      <c r="B2327" s="9" t="s">
        <v>1208</v>
      </c>
      <c r="C2327" t="s">
        <v>19</v>
      </c>
      <c r="D2327" t="s">
        <v>20</v>
      </c>
      <c r="E2327" t="s">
        <v>21</v>
      </c>
      <c r="F2327">
        <v>4.4000000000000004</v>
      </c>
      <c r="G2327">
        <v>9900</v>
      </c>
      <c r="H2327">
        <v>9900</v>
      </c>
      <c r="I2327">
        <f>FlipkartTable[[#This Row],[Original Price]]-FlipkartTable[[#This Row],[Selling Price]]</f>
        <v>0</v>
      </c>
      <c r="J2327" s="4">
        <f>(FlipkartTable[[#This Row],[Original Price]]-FlipkartTable[[#This Row],[Selling Price]])/FlipkartTable[[#This Row],[Original Price]]</f>
        <v>0</v>
      </c>
      <c r="K2327">
        <f>(FlipkartTable[[#This Row],[Rating]]/FlipkartTable[[#This Row],[Selling Price]])*1000</f>
        <v>0.44444444444444448</v>
      </c>
      <c r="L2327" t="str">
        <f>IF(FlipkartTable[[#This Row],[Selling Price]]&lt;15000,"Budget",IF(FlipkartTable[[#This Row],[Selling Price]]&lt;50000,"Mid Range","Premium"))</f>
        <v>Budget</v>
      </c>
      <c r="M2327" t="str">
        <f>IF(FlipkartTable[[#This Row],[Rating]]&gt;4.5,"Excellent",IF(FlipkartTable[[#This Row],[Rating]]&gt;4,"Good",IF(FlipkartTable[[#This Row],[Rating]]&gt;3.5,"Average","Poor")))</f>
        <v>Good</v>
      </c>
    </row>
    <row r="2328" spans="1:13" x14ac:dyDescent="0.35">
      <c r="A2328" t="s">
        <v>1181</v>
      </c>
      <c r="B2328" s="9" t="s">
        <v>1208</v>
      </c>
      <c r="C2328" t="s">
        <v>116</v>
      </c>
      <c r="D2328" t="s">
        <v>20</v>
      </c>
      <c r="E2328" t="s">
        <v>21</v>
      </c>
      <c r="F2328">
        <v>4.4000000000000004</v>
      </c>
      <c r="G2328">
        <v>9399</v>
      </c>
      <c r="H2328">
        <v>9399</v>
      </c>
      <c r="I2328">
        <f>FlipkartTable[[#This Row],[Original Price]]-FlipkartTable[[#This Row],[Selling Price]]</f>
        <v>0</v>
      </c>
      <c r="J2328" s="4">
        <f>(FlipkartTable[[#This Row],[Original Price]]-FlipkartTable[[#This Row],[Selling Price]])/FlipkartTable[[#This Row],[Original Price]]</f>
        <v>0</v>
      </c>
      <c r="K2328">
        <f>(FlipkartTable[[#This Row],[Rating]]/FlipkartTable[[#This Row],[Selling Price]])*1000</f>
        <v>0.46813490796893287</v>
      </c>
      <c r="L2328" t="str">
        <f>IF(FlipkartTable[[#This Row],[Selling Price]]&lt;15000,"Budget",IF(FlipkartTable[[#This Row],[Selling Price]]&lt;50000,"Mid Range","Premium"))</f>
        <v>Budget</v>
      </c>
      <c r="M2328" t="str">
        <f>IF(FlipkartTable[[#This Row],[Rating]]&gt;4.5,"Excellent",IF(FlipkartTable[[#This Row],[Rating]]&gt;4,"Good",IF(FlipkartTable[[#This Row],[Rating]]&gt;3.5,"Average","Poor")))</f>
        <v>Good</v>
      </c>
    </row>
    <row r="2329" spans="1:13" x14ac:dyDescent="0.35">
      <c r="A2329" t="s">
        <v>1181</v>
      </c>
      <c r="B2329" s="9" t="s">
        <v>1208</v>
      </c>
      <c r="C2329" t="s">
        <v>116</v>
      </c>
      <c r="D2329" t="s">
        <v>11</v>
      </c>
      <c r="E2329" t="s">
        <v>12</v>
      </c>
      <c r="F2329">
        <v>4.2</v>
      </c>
      <c r="G2329">
        <v>10990</v>
      </c>
      <c r="H2329">
        <v>10990</v>
      </c>
      <c r="I2329">
        <f>FlipkartTable[[#This Row],[Original Price]]-FlipkartTable[[#This Row],[Selling Price]]</f>
        <v>0</v>
      </c>
      <c r="J2329" s="4">
        <f>(FlipkartTable[[#This Row],[Original Price]]-FlipkartTable[[#This Row],[Selling Price]])/FlipkartTable[[#This Row],[Original Price]]</f>
        <v>0</v>
      </c>
      <c r="K2329">
        <f>(FlipkartTable[[#This Row],[Rating]]/FlipkartTable[[#This Row],[Selling Price]])*1000</f>
        <v>0.38216560509554137</v>
      </c>
      <c r="L2329" t="str">
        <f>IF(FlipkartTable[[#This Row],[Selling Price]]&lt;15000,"Budget",IF(FlipkartTable[[#This Row],[Selling Price]]&lt;50000,"Mid Range","Premium"))</f>
        <v>Budget</v>
      </c>
      <c r="M2329" t="str">
        <f>IF(FlipkartTable[[#This Row],[Rating]]&gt;4.5,"Excellent",IF(FlipkartTable[[#This Row],[Rating]]&gt;4,"Good",IF(FlipkartTable[[#This Row],[Rating]]&gt;3.5,"Average","Poor")))</f>
        <v>Good</v>
      </c>
    </row>
    <row r="2330" spans="1:13" x14ac:dyDescent="0.35">
      <c r="A2330" t="s">
        <v>1181</v>
      </c>
      <c r="B2330" s="9" t="s">
        <v>1208</v>
      </c>
      <c r="C2330" t="s">
        <v>1209</v>
      </c>
      <c r="D2330" t="s">
        <v>20</v>
      </c>
      <c r="E2330" t="s">
        <v>21</v>
      </c>
      <c r="F2330">
        <v>4.2</v>
      </c>
      <c r="G2330">
        <v>8990</v>
      </c>
      <c r="H2330">
        <v>8990</v>
      </c>
      <c r="I2330">
        <f>FlipkartTable[[#This Row],[Original Price]]-FlipkartTable[[#This Row],[Selling Price]]</f>
        <v>0</v>
      </c>
      <c r="J2330" s="4">
        <f>(FlipkartTable[[#This Row],[Original Price]]-FlipkartTable[[#This Row],[Selling Price]])/FlipkartTable[[#This Row],[Original Price]]</f>
        <v>0</v>
      </c>
      <c r="K2330">
        <f>(FlipkartTable[[#This Row],[Rating]]/FlipkartTable[[#This Row],[Selling Price]])*1000</f>
        <v>0.46718576195773087</v>
      </c>
      <c r="L2330" t="str">
        <f>IF(FlipkartTable[[#This Row],[Selling Price]]&lt;15000,"Budget",IF(FlipkartTable[[#This Row],[Selling Price]]&lt;50000,"Mid Range","Premium"))</f>
        <v>Budget</v>
      </c>
      <c r="M2330" t="str">
        <f>IF(FlipkartTable[[#This Row],[Rating]]&gt;4.5,"Excellent",IF(FlipkartTable[[#This Row],[Rating]]&gt;4,"Good",IF(FlipkartTable[[#This Row],[Rating]]&gt;3.5,"Average","Poor")))</f>
        <v>Good</v>
      </c>
    </row>
    <row r="2331" spans="1:13" x14ac:dyDescent="0.35">
      <c r="A2331" t="s">
        <v>1181</v>
      </c>
      <c r="B2331" s="9" t="s">
        <v>1210</v>
      </c>
      <c r="C2331" t="s">
        <v>19</v>
      </c>
      <c r="D2331" t="s">
        <v>20</v>
      </c>
      <c r="E2331" t="s">
        <v>12</v>
      </c>
      <c r="F2331">
        <v>4.2</v>
      </c>
      <c r="G2331">
        <v>10450</v>
      </c>
      <c r="H2331">
        <v>10450</v>
      </c>
      <c r="I2331">
        <f>FlipkartTable[[#This Row],[Original Price]]-FlipkartTable[[#This Row],[Selling Price]]</f>
        <v>0</v>
      </c>
      <c r="J2331" s="4">
        <f>(FlipkartTable[[#This Row],[Original Price]]-FlipkartTable[[#This Row],[Selling Price]])/FlipkartTable[[#This Row],[Original Price]]</f>
        <v>0</v>
      </c>
      <c r="K2331">
        <f>(FlipkartTable[[#This Row],[Rating]]/FlipkartTable[[#This Row],[Selling Price]])*1000</f>
        <v>0.40191387559808611</v>
      </c>
      <c r="L2331" t="str">
        <f>IF(FlipkartTable[[#This Row],[Selling Price]]&lt;15000,"Budget",IF(FlipkartTable[[#This Row],[Selling Price]]&lt;50000,"Mid Range","Premium"))</f>
        <v>Budget</v>
      </c>
      <c r="M2331" t="str">
        <f>IF(FlipkartTable[[#This Row],[Rating]]&gt;4.5,"Excellent",IF(FlipkartTable[[#This Row],[Rating]]&gt;4,"Good",IF(FlipkartTable[[#This Row],[Rating]]&gt;3.5,"Average","Poor")))</f>
        <v>Good</v>
      </c>
    </row>
    <row r="2332" spans="1:13" x14ac:dyDescent="0.35">
      <c r="A2332" t="s">
        <v>1181</v>
      </c>
      <c r="B2332" s="9" t="s">
        <v>1211</v>
      </c>
      <c r="C2332" t="s">
        <v>116</v>
      </c>
      <c r="D2332" t="s">
        <v>11</v>
      </c>
      <c r="E2332" t="s">
        <v>12</v>
      </c>
      <c r="F2332">
        <v>4.5</v>
      </c>
      <c r="G2332">
        <v>12349</v>
      </c>
      <c r="H2332">
        <v>12999</v>
      </c>
      <c r="I2332">
        <f>FlipkartTable[[#This Row],[Original Price]]-FlipkartTable[[#This Row],[Selling Price]]</f>
        <v>650</v>
      </c>
      <c r="J2332" s="4">
        <f>(FlipkartTable[[#This Row],[Original Price]]-FlipkartTable[[#This Row],[Selling Price]])/FlipkartTable[[#This Row],[Original Price]]</f>
        <v>5.0003846449726899E-2</v>
      </c>
      <c r="K2332">
        <f>(FlipkartTable[[#This Row],[Rating]]/FlipkartTable[[#This Row],[Selling Price]])*1000</f>
        <v>0.36440197586849138</v>
      </c>
      <c r="L2332" t="str">
        <f>IF(FlipkartTable[[#This Row],[Selling Price]]&lt;15000,"Budget",IF(FlipkartTable[[#This Row],[Selling Price]]&lt;50000,"Mid Range","Premium"))</f>
        <v>Budget</v>
      </c>
      <c r="M2332" t="str">
        <f>IF(FlipkartTable[[#This Row],[Rating]]&gt;4.5,"Excellent",IF(FlipkartTable[[#This Row],[Rating]]&gt;4,"Good",IF(FlipkartTable[[#This Row],[Rating]]&gt;3.5,"Average","Poor")))</f>
        <v>Good</v>
      </c>
    </row>
    <row r="2333" spans="1:13" x14ac:dyDescent="0.35">
      <c r="A2333" t="s">
        <v>1181</v>
      </c>
      <c r="B2333" s="9" t="s">
        <v>1211</v>
      </c>
      <c r="C2333" t="s">
        <v>1209</v>
      </c>
      <c r="D2333" t="s">
        <v>11</v>
      </c>
      <c r="E2333" t="s">
        <v>12</v>
      </c>
      <c r="F2333">
        <v>4.4000000000000004</v>
      </c>
      <c r="G2333">
        <v>11999</v>
      </c>
      <c r="H2333">
        <v>11999</v>
      </c>
      <c r="I2333">
        <f>FlipkartTable[[#This Row],[Original Price]]-FlipkartTable[[#This Row],[Selling Price]]</f>
        <v>0</v>
      </c>
      <c r="J2333" s="4">
        <f>(FlipkartTable[[#This Row],[Original Price]]-FlipkartTable[[#This Row],[Selling Price]])/FlipkartTable[[#This Row],[Original Price]]</f>
        <v>0</v>
      </c>
      <c r="K2333">
        <f>(FlipkartTable[[#This Row],[Rating]]/FlipkartTable[[#This Row],[Selling Price]])*1000</f>
        <v>0.36669722476873073</v>
      </c>
      <c r="L2333" t="str">
        <f>IF(FlipkartTable[[#This Row],[Selling Price]]&lt;15000,"Budget",IF(FlipkartTable[[#This Row],[Selling Price]]&lt;50000,"Mid Range","Premium"))</f>
        <v>Budget</v>
      </c>
      <c r="M2333" t="str">
        <f>IF(FlipkartTable[[#This Row],[Rating]]&gt;4.5,"Excellent",IF(FlipkartTable[[#This Row],[Rating]]&gt;4,"Good",IF(FlipkartTable[[#This Row],[Rating]]&gt;3.5,"Average","Poor")))</f>
        <v>Good</v>
      </c>
    </row>
    <row r="2334" spans="1:13" x14ac:dyDescent="0.35">
      <c r="A2334" t="s">
        <v>1181</v>
      </c>
      <c r="B2334" s="9" t="s">
        <v>1211</v>
      </c>
      <c r="C2334" t="s">
        <v>84</v>
      </c>
      <c r="D2334" t="s">
        <v>20</v>
      </c>
      <c r="E2334" t="s">
        <v>21</v>
      </c>
      <c r="F2334">
        <v>4.5</v>
      </c>
      <c r="G2334">
        <v>9990</v>
      </c>
      <c r="H2334">
        <v>9990</v>
      </c>
      <c r="I2334">
        <f>FlipkartTable[[#This Row],[Original Price]]-FlipkartTable[[#This Row],[Selling Price]]</f>
        <v>0</v>
      </c>
      <c r="J2334" s="4">
        <f>(FlipkartTable[[#This Row],[Original Price]]-FlipkartTable[[#This Row],[Selling Price]])/FlipkartTable[[#This Row],[Original Price]]</f>
        <v>0</v>
      </c>
      <c r="K2334">
        <f>(FlipkartTable[[#This Row],[Rating]]/FlipkartTable[[#This Row],[Selling Price]])*1000</f>
        <v>0.45045045045045046</v>
      </c>
      <c r="L2334" t="str">
        <f>IF(FlipkartTable[[#This Row],[Selling Price]]&lt;15000,"Budget",IF(FlipkartTable[[#This Row],[Selling Price]]&lt;50000,"Mid Range","Premium"))</f>
        <v>Budget</v>
      </c>
      <c r="M2334" t="str">
        <f>IF(FlipkartTable[[#This Row],[Rating]]&gt;4.5,"Excellent",IF(FlipkartTable[[#This Row],[Rating]]&gt;4,"Good",IF(FlipkartTable[[#This Row],[Rating]]&gt;3.5,"Average","Poor")))</f>
        <v>Good</v>
      </c>
    </row>
    <row r="2335" spans="1:13" x14ac:dyDescent="0.35">
      <c r="A2335" t="s">
        <v>1181</v>
      </c>
      <c r="B2335" s="9" t="s">
        <v>1211</v>
      </c>
      <c r="C2335" t="s">
        <v>84</v>
      </c>
      <c r="D2335" t="s">
        <v>11</v>
      </c>
      <c r="E2335" t="s">
        <v>12</v>
      </c>
      <c r="F2335">
        <v>4.4000000000000004</v>
      </c>
      <c r="G2335">
        <v>11999</v>
      </c>
      <c r="H2335">
        <v>12990</v>
      </c>
      <c r="I2335">
        <f>FlipkartTable[[#This Row],[Original Price]]-FlipkartTable[[#This Row],[Selling Price]]</f>
        <v>991</v>
      </c>
      <c r="J2335" s="4">
        <f>(FlipkartTable[[#This Row],[Original Price]]-FlipkartTable[[#This Row],[Selling Price]])/FlipkartTable[[#This Row],[Original Price]]</f>
        <v>7.6289453425712084E-2</v>
      </c>
      <c r="K2335">
        <f>(FlipkartTable[[#This Row],[Rating]]/FlipkartTable[[#This Row],[Selling Price]])*1000</f>
        <v>0.36669722476873073</v>
      </c>
      <c r="L2335" t="str">
        <f>IF(FlipkartTable[[#This Row],[Selling Price]]&lt;15000,"Budget",IF(FlipkartTable[[#This Row],[Selling Price]]&lt;50000,"Mid Range","Premium"))</f>
        <v>Budget</v>
      </c>
      <c r="M2335" t="str">
        <f>IF(FlipkartTable[[#This Row],[Rating]]&gt;4.5,"Excellent",IF(FlipkartTable[[#This Row],[Rating]]&gt;4,"Good",IF(FlipkartTable[[#This Row],[Rating]]&gt;3.5,"Average","Poor")))</f>
        <v>Good</v>
      </c>
    </row>
    <row r="2336" spans="1:13" x14ac:dyDescent="0.35">
      <c r="A2336" t="s">
        <v>1181</v>
      </c>
      <c r="B2336" s="9" t="s">
        <v>1212</v>
      </c>
      <c r="C2336" t="s">
        <v>19</v>
      </c>
      <c r="D2336" t="s">
        <v>35</v>
      </c>
      <c r="E2336" t="s">
        <v>21</v>
      </c>
      <c r="F2336">
        <v>4.3</v>
      </c>
      <c r="G2336">
        <v>7989</v>
      </c>
      <c r="H2336">
        <v>7989</v>
      </c>
      <c r="I2336">
        <f>FlipkartTable[[#This Row],[Original Price]]-FlipkartTable[[#This Row],[Selling Price]]</f>
        <v>0</v>
      </c>
      <c r="J2336" s="4">
        <f>(FlipkartTable[[#This Row],[Original Price]]-FlipkartTable[[#This Row],[Selling Price]])/FlipkartTable[[#This Row],[Original Price]]</f>
        <v>0</v>
      </c>
      <c r="K2336">
        <f>(FlipkartTable[[#This Row],[Rating]]/FlipkartTable[[#This Row],[Selling Price]])*1000</f>
        <v>0.53824008011015145</v>
      </c>
      <c r="L2336" t="str">
        <f>IF(FlipkartTable[[#This Row],[Selling Price]]&lt;15000,"Budget",IF(FlipkartTable[[#This Row],[Selling Price]]&lt;50000,"Mid Range","Premium"))</f>
        <v>Budget</v>
      </c>
      <c r="M2336" t="str">
        <f>IF(FlipkartTable[[#This Row],[Rating]]&gt;4.5,"Excellent",IF(FlipkartTable[[#This Row],[Rating]]&gt;4,"Good",IF(FlipkartTable[[#This Row],[Rating]]&gt;3.5,"Average","Poor")))</f>
        <v>Good</v>
      </c>
    </row>
    <row r="2337" spans="1:13" x14ac:dyDescent="0.35">
      <c r="A2337" t="s">
        <v>1181</v>
      </c>
      <c r="B2337" s="9" t="s">
        <v>1212</v>
      </c>
      <c r="C2337" t="s">
        <v>116</v>
      </c>
      <c r="D2337" t="s">
        <v>35</v>
      </c>
      <c r="E2337" t="s">
        <v>21</v>
      </c>
      <c r="F2337">
        <v>4.3</v>
      </c>
      <c r="G2337">
        <v>7499</v>
      </c>
      <c r="H2337">
        <v>7499</v>
      </c>
      <c r="I2337">
        <f>FlipkartTable[[#This Row],[Original Price]]-FlipkartTable[[#This Row],[Selling Price]]</f>
        <v>0</v>
      </c>
      <c r="J2337" s="4">
        <f>(FlipkartTable[[#This Row],[Original Price]]-FlipkartTable[[#This Row],[Selling Price]])/FlipkartTable[[#This Row],[Original Price]]</f>
        <v>0</v>
      </c>
      <c r="K2337">
        <f>(FlipkartTable[[#This Row],[Rating]]/FlipkartTable[[#This Row],[Selling Price]])*1000</f>
        <v>0.57340978797172948</v>
      </c>
      <c r="L2337" t="str">
        <f>IF(FlipkartTable[[#This Row],[Selling Price]]&lt;15000,"Budget",IF(FlipkartTable[[#This Row],[Selling Price]]&lt;50000,"Mid Range","Premium"))</f>
        <v>Budget</v>
      </c>
      <c r="M2337" t="str">
        <f>IF(FlipkartTable[[#This Row],[Rating]]&gt;4.5,"Excellent",IF(FlipkartTable[[#This Row],[Rating]]&gt;4,"Good",IF(FlipkartTable[[#This Row],[Rating]]&gt;3.5,"Average","Poor")))</f>
        <v>Good</v>
      </c>
    </row>
    <row r="2338" spans="1:13" x14ac:dyDescent="0.35">
      <c r="A2338" t="s">
        <v>1181</v>
      </c>
      <c r="B2338" s="9" t="s">
        <v>1212</v>
      </c>
      <c r="C2338" t="s">
        <v>114</v>
      </c>
      <c r="D2338" t="s">
        <v>35</v>
      </c>
      <c r="E2338" t="s">
        <v>21</v>
      </c>
      <c r="F2338">
        <v>4.3</v>
      </c>
      <c r="G2338">
        <v>7699</v>
      </c>
      <c r="H2338">
        <v>7699</v>
      </c>
      <c r="I2338">
        <f>FlipkartTable[[#This Row],[Original Price]]-FlipkartTable[[#This Row],[Selling Price]]</f>
        <v>0</v>
      </c>
      <c r="J2338" s="4">
        <f>(FlipkartTable[[#This Row],[Original Price]]-FlipkartTable[[#This Row],[Selling Price]])/FlipkartTable[[#This Row],[Original Price]]</f>
        <v>0</v>
      </c>
      <c r="K2338">
        <f>(FlipkartTable[[#This Row],[Rating]]/FlipkartTable[[#This Row],[Selling Price]])*1000</f>
        <v>0.55851409273931674</v>
      </c>
      <c r="L2338" t="str">
        <f>IF(FlipkartTable[[#This Row],[Selling Price]]&lt;15000,"Budget",IF(FlipkartTable[[#This Row],[Selling Price]]&lt;50000,"Mid Range","Premium"))</f>
        <v>Budget</v>
      </c>
      <c r="M2338" t="str">
        <f>IF(FlipkartTable[[#This Row],[Rating]]&gt;4.5,"Excellent",IF(FlipkartTable[[#This Row],[Rating]]&gt;4,"Good",IF(FlipkartTable[[#This Row],[Rating]]&gt;3.5,"Average","Poor")))</f>
        <v>Good</v>
      </c>
    </row>
    <row r="2339" spans="1:13" x14ac:dyDescent="0.35">
      <c r="A2339" t="s">
        <v>1181</v>
      </c>
      <c r="B2339" s="9" t="s">
        <v>1213</v>
      </c>
      <c r="C2339" t="s">
        <v>427</v>
      </c>
      <c r="D2339" t="s">
        <v>35</v>
      </c>
      <c r="E2339" t="s">
        <v>21</v>
      </c>
      <c r="F2339">
        <v>4.5</v>
      </c>
      <c r="G2339">
        <v>9490</v>
      </c>
      <c r="H2339">
        <v>9490</v>
      </c>
      <c r="I2339">
        <f>FlipkartTable[[#This Row],[Original Price]]-FlipkartTable[[#This Row],[Selling Price]]</f>
        <v>0</v>
      </c>
      <c r="J2339" s="4">
        <f>(FlipkartTable[[#This Row],[Original Price]]-FlipkartTable[[#This Row],[Selling Price]])/FlipkartTable[[#This Row],[Original Price]]</f>
        <v>0</v>
      </c>
      <c r="K2339">
        <f>(FlipkartTable[[#This Row],[Rating]]/FlipkartTable[[#This Row],[Selling Price]])*1000</f>
        <v>0.4741833508956797</v>
      </c>
      <c r="L2339" t="str">
        <f>IF(FlipkartTable[[#This Row],[Selling Price]]&lt;15000,"Budget",IF(FlipkartTable[[#This Row],[Selling Price]]&lt;50000,"Mid Range","Premium"))</f>
        <v>Budget</v>
      </c>
      <c r="M2339" t="str">
        <f>IF(FlipkartTable[[#This Row],[Rating]]&gt;4.5,"Excellent",IF(FlipkartTable[[#This Row],[Rating]]&gt;4,"Good",IF(FlipkartTable[[#This Row],[Rating]]&gt;3.5,"Average","Poor")))</f>
        <v>Good</v>
      </c>
    </row>
    <row r="2340" spans="1:13" x14ac:dyDescent="0.35">
      <c r="A2340" t="s">
        <v>1181</v>
      </c>
      <c r="B2340" s="9" t="s">
        <v>1213</v>
      </c>
      <c r="C2340" t="s">
        <v>401</v>
      </c>
      <c r="D2340" t="s">
        <v>35</v>
      </c>
      <c r="E2340" t="s">
        <v>21</v>
      </c>
      <c r="F2340">
        <v>4.3</v>
      </c>
      <c r="G2340">
        <v>9490</v>
      </c>
      <c r="H2340">
        <v>9490</v>
      </c>
      <c r="I2340">
        <f>FlipkartTable[[#This Row],[Original Price]]-FlipkartTable[[#This Row],[Selling Price]]</f>
        <v>0</v>
      </c>
      <c r="J2340" s="4">
        <f>(FlipkartTable[[#This Row],[Original Price]]-FlipkartTable[[#This Row],[Selling Price]])/FlipkartTable[[#This Row],[Original Price]]</f>
        <v>0</v>
      </c>
      <c r="K2340">
        <f>(FlipkartTable[[#This Row],[Rating]]/FlipkartTable[[#This Row],[Selling Price]])*1000</f>
        <v>0.45310853530031608</v>
      </c>
      <c r="L2340" t="str">
        <f>IF(FlipkartTable[[#This Row],[Selling Price]]&lt;15000,"Budget",IF(FlipkartTable[[#This Row],[Selling Price]]&lt;50000,"Mid Range","Premium"))</f>
        <v>Budget</v>
      </c>
      <c r="M2340" t="str">
        <f>IF(FlipkartTable[[#This Row],[Rating]]&gt;4.5,"Excellent",IF(FlipkartTable[[#This Row],[Rating]]&gt;4,"Good",IF(FlipkartTable[[#This Row],[Rating]]&gt;3.5,"Average","Poor")))</f>
        <v>Good</v>
      </c>
    </row>
    <row r="2341" spans="1:13" x14ac:dyDescent="0.35">
      <c r="A2341" t="s">
        <v>1181</v>
      </c>
      <c r="B2341" s="9" t="s">
        <v>1214</v>
      </c>
      <c r="C2341" t="s">
        <v>1215</v>
      </c>
      <c r="D2341" t="s">
        <v>35</v>
      </c>
      <c r="E2341" t="s">
        <v>124</v>
      </c>
      <c r="F2341">
        <v>4.5</v>
      </c>
      <c r="G2341">
        <v>6499</v>
      </c>
      <c r="H2341">
        <v>6499</v>
      </c>
      <c r="I2341">
        <f>FlipkartTable[[#This Row],[Original Price]]-FlipkartTable[[#This Row],[Selling Price]]</f>
        <v>0</v>
      </c>
      <c r="J2341" s="4">
        <f>(FlipkartTable[[#This Row],[Original Price]]-FlipkartTable[[#This Row],[Selling Price]])/FlipkartTable[[#This Row],[Original Price]]</f>
        <v>0</v>
      </c>
      <c r="K2341">
        <f>(FlipkartTable[[#This Row],[Rating]]/FlipkartTable[[#This Row],[Selling Price]])*1000</f>
        <v>0.69241421757193411</v>
      </c>
      <c r="L2341" t="str">
        <f>IF(FlipkartTable[[#This Row],[Selling Price]]&lt;15000,"Budget",IF(FlipkartTable[[#This Row],[Selling Price]]&lt;50000,"Mid Range","Premium"))</f>
        <v>Budget</v>
      </c>
      <c r="M2341" t="str">
        <f>IF(FlipkartTable[[#This Row],[Rating]]&gt;4.5,"Excellent",IF(FlipkartTable[[#This Row],[Rating]]&gt;4,"Good",IF(FlipkartTable[[#This Row],[Rating]]&gt;3.5,"Average","Poor")))</f>
        <v>Good</v>
      </c>
    </row>
    <row r="2342" spans="1:13" x14ac:dyDescent="0.35">
      <c r="A2342" t="s">
        <v>1181</v>
      </c>
      <c r="B2342" s="9" t="s">
        <v>1214</v>
      </c>
      <c r="C2342" t="s">
        <v>1215</v>
      </c>
      <c r="D2342" t="s">
        <v>35</v>
      </c>
      <c r="E2342" t="s">
        <v>21</v>
      </c>
      <c r="F2342">
        <v>4.5</v>
      </c>
      <c r="G2342">
        <v>6999</v>
      </c>
      <c r="H2342">
        <v>6999</v>
      </c>
      <c r="I2342">
        <f>FlipkartTable[[#This Row],[Original Price]]-FlipkartTable[[#This Row],[Selling Price]]</f>
        <v>0</v>
      </c>
      <c r="J2342" s="4">
        <f>(FlipkartTable[[#This Row],[Original Price]]-FlipkartTable[[#This Row],[Selling Price]])/FlipkartTable[[#This Row],[Original Price]]</f>
        <v>0</v>
      </c>
      <c r="K2342">
        <f>(FlipkartTable[[#This Row],[Rating]]/FlipkartTable[[#This Row],[Selling Price]])*1000</f>
        <v>0.64294899271324479</v>
      </c>
      <c r="L2342" t="str">
        <f>IF(FlipkartTable[[#This Row],[Selling Price]]&lt;15000,"Budget",IF(FlipkartTable[[#This Row],[Selling Price]]&lt;50000,"Mid Range","Premium"))</f>
        <v>Budget</v>
      </c>
      <c r="M2342" t="str">
        <f>IF(FlipkartTable[[#This Row],[Rating]]&gt;4.5,"Excellent",IF(FlipkartTable[[#This Row],[Rating]]&gt;4,"Good",IF(FlipkartTable[[#This Row],[Rating]]&gt;3.5,"Average","Poor")))</f>
        <v>Good</v>
      </c>
    </row>
    <row r="2343" spans="1:13" x14ac:dyDescent="0.35">
      <c r="A2343" t="s">
        <v>1181</v>
      </c>
      <c r="B2343" s="9" t="s">
        <v>1216</v>
      </c>
      <c r="C2343" t="s">
        <v>1217</v>
      </c>
      <c r="D2343" t="s">
        <v>11</v>
      </c>
      <c r="E2343" t="s">
        <v>12</v>
      </c>
      <c r="F2343">
        <v>4.3</v>
      </c>
      <c r="G2343">
        <v>10999</v>
      </c>
      <c r="H2343">
        <v>10999</v>
      </c>
      <c r="I2343">
        <f>FlipkartTable[[#This Row],[Original Price]]-FlipkartTable[[#This Row],[Selling Price]]</f>
        <v>0</v>
      </c>
      <c r="J2343" s="4">
        <f>(FlipkartTable[[#This Row],[Original Price]]-FlipkartTable[[#This Row],[Selling Price]])/FlipkartTable[[#This Row],[Original Price]]</f>
        <v>0</v>
      </c>
      <c r="K2343">
        <f>(FlipkartTable[[#This Row],[Rating]]/FlipkartTable[[#This Row],[Selling Price]])*1000</f>
        <v>0.39094463133012086</v>
      </c>
      <c r="L2343" t="str">
        <f>IF(FlipkartTable[[#This Row],[Selling Price]]&lt;15000,"Budget",IF(FlipkartTable[[#This Row],[Selling Price]]&lt;50000,"Mid Range","Premium"))</f>
        <v>Budget</v>
      </c>
      <c r="M2343" t="str">
        <f>IF(FlipkartTable[[#This Row],[Rating]]&gt;4.5,"Excellent",IF(FlipkartTable[[#This Row],[Rating]]&gt;4,"Good",IF(FlipkartTable[[#This Row],[Rating]]&gt;3.5,"Average","Poor")))</f>
        <v>Good</v>
      </c>
    </row>
    <row r="2344" spans="1:13" x14ac:dyDescent="0.35">
      <c r="A2344" t="s">
        <v>1181</v>
      </c>
      <c r="B2344" s="9" t="s">
        <v>1216</v>
      </c>
      <c r="C2344" t="s">
        <v>1218</v>
      </c>
      <c r="D2344" t="s">
        <v>11</v>
      </c>
      <c r="E2344" t="s">
        <v>12</v>
      </c>
      <c r="F2344">
        <v>4.5</v>
      </c>
      <c r="G2344">
        <v>10999</v>
      </c>
      <c r="H2344">
        <v>10999</v>
      </c>
      <c r="I2344">
        <f>FlipkartTable[[#This Row],[Original Price]]-FlipkartTable[[#This Row],[Selling Price]]</f>
        <v>0</v>
      </c>
      <c r="J2344" s="4">
        <f>(FlipkartTable[[#This Row],[Original Price]]-FlipkartTable[[#This Row],[Selling Price]])/FlipkartTable[[#This Row],[Original Price]]</f>
        <v>0</v>
      </c>
      <c r="K2344">
        <f>(FlipkartTable[[#This Row],[Rating]]/FlipkartTable[[#This Row],[Selling Price]])*1000</f>
        <v>0.40912810255477766</v>
      </c>
      <c r="L2344" t="str">
        <f>IF(FlipkartTable[[#This Row],[Selling Price]]&lt;15000,"Budget",IF(FlipkartTable[[#This Row],[Selling Price]]&lt;50000,"Mid Range","Premium"))</f>
        <v>Budget</v>
      </c>
      <c r="M2344" t="str">
        <f>IF(FlipkartTable[[#This Row],[Rating]]&gt;4.5,"Excellent",IF(FlipkartTable[[#This Row],[Rating]]&gt;4,"Good",IF(FlipkartTable[[#This Row],[Rating]]&gt;3.5,"Average","Poor")))</f>
        <v>Good</v>
      </c>
    </row>
    <row r="2345" spans="1:13" x14ac:dyDescent="0.35">
      <c r="A2345" t="s">
        <v>1181</v>
      </c>
      <c r="B2345" s="9" t="s">
        <v>1216</v>
      </c>
      <c r="C2345" t="s">
        <v>1079</v>
      </c>
      <c r="D2345" t="s">
        <v>11</v>
      </c>
      <c r="E2345" t="s">
        <v>12</v>
      </c>
      <c r="F2345">
        <v>4.3</v>
      </c>
      <c r="G2345">
        <v>10999</v>
      </c>
      <c r="H2345">
        <v>10999</v>
      </c>
      <c r="I2345">
        <f>FlipkartTable[[#This Row],[Original Price]]-FlipkartTable[[#This Row],[Selling Price]]</f>
        <v>0</v>
      </c>
      <c r="J2345" s="4">
        <f>(FlipkartTable[[#This Row],[Original Price]]-FlipkartTable[[#This Row],[Selling Price]])/FlipkartTable[[#This Row],[Original Price]]</f>
        <v>0</v>
      </c>
      <c r="K2345">
        <f>(FlipkartTable[[#This Row],[Rating]]/FlipkartTable[[#This Row],[Selling Price]])*1000</f>
        <v>0.39094463133012086</v>
      </c>
      <c r="L2345" t="str">
        <f>IF(FlipkartTable[[#This Row],[Selling Price]]&lt;15000,"Budget",IF(FlipkartTable[[#This Row],[Selling Price]]&lt;50000,"Mid Range","Premium"))</f>
        <v>Budget</v>
      </c>
      <c r="M2345" t="str">
        <f>IF(FlipkartTable[[#This Row],[Rating]]&gt;4.5,"Excellent",IF(FlipkartTable[[#This Row],[Rating]]&gt;4,"Good",IF(FlipkartTable[[#This Row],[Rating]]&gt;3.5,"Average","Poor")))</f>
        <v>Good</v>
      </c>
    </row>
    <row r="2346" spans="1:13" x14ac:dyDescent="0.35">
      <c r="A2346" t="s">
        <v>1181</v>
      </c>
      <c r="B2346" s="9" t="s">
        <v>1219</v>
      </c>
      <c r="C2346" t="s">
        <v>68</v>
      </c>
      <c r="D2346" t="s">
        <v>35</v>
      </c>
      <c r="E2346" t="s">
        <v>21</v>
      </c>
      <c r="F2346">
        <v>4.4000000000000004</v>
      </c>
      <c r="G2346">
        <v>7999</v>
      </c>
      <c r="H2346">
        <v>7999</v>
      </c>
      <c r="I2346">
        <f>FlipkartTable[[#This Row],[Original Price]]-FlipkartTable[[#This Row],[Selling Price]]</f>
        <v>0</v>
      </c>
      <c r="J2346" s="4">
        <f>(FlipkartTable[[#This Row],[Original Price]]-FlipkartTable[[#This Row],[Selling Price]])/FlipkartTable[[#This Row],[Original Price]]</f>
        <v>0</v>
      </c>
      <c r="K2346">
        <f>(FlipkartTable[[#This Row],[Rating]]/FlipkartTable[[#This Row],[Selling Price]])*1000</f>
        <v>0.55006875859482429</v>
      </c>
      <c r="L2346" t="str">
        <f>IF(FlipkartTable[[#This Row],[Selling Price]]&lt;15000,"Budget",IF(FlipkartTable[[#This Row],[Selling Price]]&lt;50000,"Mid Range","Premium"))</f>
        <v>Budget</v>
      </c>
      <c r="M2346" t="str">
        <f>IF(FlipkartTable[[#This Row],[Rating]]&gt;4.5,"Excellent",IF(FlipkartTable[[#This Row],[Rating]]&gt;4,"Good",IF(FlipkartTable[[#This Row],[Rating]]&gt;3.5,"Average","Poor")))</f>
        <v>Good</v>
      </c>
    </row>
    <row r="2347" spans="1:13" x14ac:dyDescent="0.35">
      <c r="A2347" t="s">
        <v>1181</v>
      </c>
      <c r="B2347" s="9" t="s">
        <v>1219</v>
      </c>
      <c r="C2347" t="s">
        <v>1220</v>
      </c>
      <c r="D2347" t="s">
        <v>35</v>
      </c>
      <c r="E2347" t="s">
        <v>21</v>
      </c>
      <c r="F2347">
        <v>4.2</v>
      </c>
      <c r="G2347">
        <v>7999</v>
      </c>
      <c r="H2347">
        <v>7999</v>
      </c>
      <c r="I2347">
        <f>FlipkartTable[[#This Row],[Original Price]]-FlipkartTable[[#This Row],[Selling Price]]</f>
        <v>0</v>
      </c>
      <c r="J2347" s="4">
        <f>(FlipkartTable[[#This Row],[Original Price]]-FlipkartTable[[#This Row],[Selling Price]])/FlipkartTable[[#This Row],[Original Price]]</f>
        <v>0</v>
      </c>
      <c r="K2347">
        <f>(FlipkartTable[[#This Row],[Rating]]/FlipkartTable[[#This Row],[Selling Price]])*1000</f>
        <v>0.52506563320415056</v>
      </c>
      <c r="L2347" t="str">
        <f>IF(FlipkartTable[[#This Row],[Selling Price]]&lt;15000,"Budget",IF(FlipkartTable[[#This Row],[Selling Price]]&lt;50000,"Mid Range","Premium"))</f>
        <v>Budget</v>
      </c>
      <c r="M2347" t="str">
        <f>IF(FlipkartTable[[#This Row],[Rating]]&gt;4.5,"Excellent",IF(FlipkartTable[[#This Row],[Rating]]&gt;4,"Good",IF(FlipkartTable[[#This Row],[Rating]]&gt;3.5,"Average","Poor")))</f>
        <v>Good</v>
      </c>
    </row>
    <row r="2348" spans="1:13" x14ac:dyDescent="0.35">
      <c r="A2348" t="s">
        <v>1181</v>
      </c>
      <c r="B2348" s="9" t="s">
        <v>1221</v>
      </c>
      <c r="C2348" t="s">
        <v>1222</v>
      </c>
      <c r="D2348" t="s">
        <v>20</v>
      </c>
      <c r="E2348" t="s">
        <v>21</v>
      </c>
      <c r="F2348">
        <v>4.4000000000000004</v>
      </c>
      <c r="G2348">
        <v>8299</v>
      </c>
      <c r="H2348">
        <v>8499</v>
      </c>
      <c r="I2348">
        <f>FlipkartTable[[#This Row],[Original Price]]-FlipkartTable[[#This Row],[Selling Price]]</f>
        <v>200</v>
      </c>
      <c r="J2348" s="4">
        <f>(FlipkartTable[[#This Row],[Original Price]]-FlipkartTable[[#This Row],[Selling Price]])/FlipkartTable[[#This Row],[Original Price]]</f>
        <v>2.3532180256500765E-2</v>
      </c>
      <c r="K2348">
        <f>(FlipkartTable[[#This Row],[Rating]]/FlipkartTable[[#This Row],[Selling Price]])*1000</f>
        <v>0.53018435956139298</v>
      </c>
      <c r="L2348" t="str">
        <f>IF(FlipkartTable[[#This Row],[Selling Price]]&lt;15000,"Budget",IF(FlipkartTable[[#This Row],[Selling Price]]&lt;50000,"Mid Range","Premium"))</f>
        <v>Budget</v>
      </c>
      <c r="M2348" t="str">
        <f>IF(FlipkartTable[[#This Row],[Rating]]&gt;4.5,"Excellent",IF(FlipkartTable[[#This Row],[Rating]]&gt;4,"Good",IF(FlipkartTable[[#This Row],[Rating]]&gt;3.5,"Average","Poor")))</f>
        <v>Good</v>
      </c>
    </row>
    <row r="2349" spans="1:13" x14ac:dyDescent="0.35">
      <c r="A2349" t="s">
        <v>1181</v>
      </c>
      <c r="B2349" s="9" t="s">
        <v>1221</v>
      </c>
      <c r="C2349" t="s">
        <v>1222</v>
      </c>
      <c r="D2349" t="s">
        <v>20</v>
      </c>
      <c r="E2349" t="s">
        <v>12</v>
      </c>
      <c r="F2349">
        <v>4.5</v>
      </c>
      <c r="G2349">
        <v>9199</v>
      </c>
      <c r="H2349">
        <v>9290</v>
      </c>
      <c r="I2349">
        <f>FlipkartTable[[#This Row],[Original Price]]-FlipkartTable[[#This Row],[Selling Price]]</f>
        <v>91</v>
      </c>
      <c r="J2349" s="4">
        <f>(FlipkartTable[[#This Row],[Original Price]]-FlipkartTable[[#This Row],[Selling Price]])/FlipkartTable[[#This Row],[Original Price]]</f>
        <v>9.7954790096878366E-3</v>
      </c>
      <c r="K2349">
        <f>(FlipkartTable[[#This Row],[Rating]]/FlipkartTable[[#This Row],[Selling Price]])*1000</f>
        <v>0.48918360691379498</v>
      </c>
      <c r="L2349" t="str">
        <f>IF(FlipkartTable[[#This Row],[Selling Price]]&lt;15000,"Budget",IF(FlipkartTable[[#This Row],[Selling Price]]&lt;50000,"Mid Range","Premium"))</f>
        <v>Budget</v>
      </c>
      <c r="M2349" t="str">
        <f>IF(FlipkartTable[[#This Row],[Rating]]&gt;4.5,"Excellent",IF(FlipkartTable[[#This Row],[Rating]]&gt;4,"Good",IF(FlipkartTable[[#This Row],[Rating]]&gt;3.5,"Average","Poor")))</f>
        <v>Good</v>
      </c>
    </row>
    <row r="2350" spans="1:13" x14ac:dyDescent="0.35">
      <c r="A2350" t="s">
        <v>1181</v>
      </c>
      <c r="B2350" s="9" t="s">
        <v>1221</v>
      </c>
      <c r="C2350" t="s">
        <v>1223</v>
      </c>
      <c r="D2350" t="s">
        <v>20</v>
      </c>
      <c r="E2350" t="s">
        <v>12</v>
      </c>
      <c r="F2350">
        <v>4.4000000000000004</v>
      </c>
      <c r="G2350">
        <v>9499</v>
      </c>
      <c r="H2350">
        <v>9499</v>
      </c>
      <c r="I2350">
        <f>FlipkartTable[[#This Row],[Original Price]]-FlipkartTable[[#This Row],[Selling Price]]</f>
        <v>0</v>
      </c>
      <c r="J2350" s="4">
        <f>(FlipkartTable[[#This Row],[Original Price]]-FlipkartTable[[#This Row],[Selling Price]])/FlipkartTable[[#This Row],[Original Price]]</f>
        <v>0</v>
      </c>
      <c r="K2350">
        <f>(FlipkartTable[[#This Row],[Rating]]/FlipkartTable[[#This Row],[Selling Price]])*1000</f>
        <v>0.46320665333192973</v>
      </c>
      <c r="L2350" t="str">
        <f>IF(FlipkartTable[[#This Row],[Selling Price]]&lt;15000,"Budget",IF(FlipkartTable[[#This Row],[Selling Price]]&lt;50000,"Mid Range","Premium"))</f>
        <v>Budget</v>
      </c>
      <c r="M2350" t="str">
        <f>IF(FlipkartTable[[#This Row],[Rating]]&gt;4.5,"Excellent",IF(FlipkartTable[[#This Row],[Rating]]&gt;4,"Good",IF(FlipkartTable[[#This Row],[Rating]]&gt;3.5,"Average","Poor")))</f>
        <v>Good</v>
      </c>
    </row>
    <row r="2351" spans="1:13" x14ac:dyDescent="0.35">
      <c r="A2351" t="s">
        <v>1181</v>
      </c>
      <c r="B2351" s="9" t="s">
        <v>1221</v>
      </c>
      <c r="C2351" t="s">
        <v>66</v>
      </c>
      <c r="D2351" t="s">
        <v>20</v>
      </c>
      <c r="E2351" t="s">
        <v>21</v>
      </c>
      <c r="F2351">
        <v>4.4000000000000004</v>
      </c>
      <c r="G2351">
        <v>8299</v>
      </c>
      <c r="H2351">
        <v>8999</v>
      </c>
      <c r="I2351">
        <f>FlipkartTable[[#This Row],[Original Price]]-FlipkartTable[[#This Row],[Selling Price]]</f>
        <v>700</v>
      </c>
      <c r="J2351" s="4">
        <f>(FlipkartTable[[#This Row],[Original Price]]-FlipkartTable[[#This Row],[Selling Price]])/FlipkartTable[[#This Row],[Original Price]]</f>
        <v>7.7786420713412602E-2</v>
      </c>
      <c r="K2351">
        <f>(FlipkartTable[[#This Row],[Rating]]/FlipkartTable[[#This Row],[Selling Price]])*1000</f>
        <v>0.53018435956139298</v>
      </c>
      <c r="L2351" t="str">
        <f>IF(FlipkartTable[[#This Row],[Selling Price]]&lt;15000,"Budget",IF(FlipkartTable[[#This Row],[Selling Price]]&lt;50000,"Mid Range","Premium"))</f>
        <v>Budget</v>
      </c>
      <c r="M2351" t="str">
        <f>IF(FlipkartTable[[#This Row],[Rating]]&gt;4.5,"Excellent",IF(FlipkartTable[[#This Row],[Rating]]&gt;4,"Good",IF(FlipkartTable[[#This Row],[Rating]]&gt;3.5,"Average","Poor")))</f>
        <v>Good</v>
      </c>
    </row>
    <row r="2352" spans="1:13" x14ac:dyDescent="0.35">
      <c r="A2352" t="s">
        <v>1181</v>
      </c>
      <c r="B2352" s="9" t="s">
        <v>1221</v>
      </c>
      <c r="C2352" t="s">
        <v>66</v>
      </c>
      <c r="D2352" t="s">
        <v>20</v>
      </c>
      <c r="E2352" t="s">
        <v>12</v>
      </c>
      <c r="F2352">
        <v>4.2</v>
      </c>
      <c r="G2352">
        <v>8561</v>
      </c>
      <c r="H2352">
        <v>8561</v>
      </c>
      <c r="I2352">
        <f>FlipkartTable[[#This Row],[Original Price]]-FlipkartTable[[#This Row],[Selling Price]]</f>
        <v>0</v>
      </c>
      <c r="J2352" s="4">
        <f>(FlipkartTable[[#This Row],[Original Price]]-FlipkartTable[[#This Row],[Selling Price]])/FlipkartTable[[#This Row],[Original Price]]</f>
        <v>0</v>
      </c>
      <c r="K2352">
        <f>(FlipkartTable[[#This Row],[Rating]]/FlipkartTable[[#This Row],[Selling Price]])*1000</f>
        <v>0.49059689288634512</v>
      </c>
      <c r="L2352" t="str">
        <f>IF(FlipkartTable[[#This Row],[Selling Price]]&lt;15000,"Budget",IF(FlipkartTable[[#This Row],[Selling Price]]&lt;50000,"Mid Range","Premium"))</f>
        <v>Budget</v>
      </c>
      <c r="M2352" t="str">
        <f>IF(FlipkartTable[[#This Row],[Rating]]&gt;4.5,"Excellent",IF(FlipkartTable[[#This Row],[Rating]]&gt;4,"Good",IF(FlipkartTable[[#This Row],[Rating]]&gt;3.5,"Average","Poor")))</f>
        <v>Good</v>
      </c>
    </row>
    <row r="2353" spans="1:13" x14ac:dyDescent="0.35">
      <c r="A2353" t="s">
        <v>1181</v>
      </c>
      <c r="B2353" s="9" t="s">
        <v>1221</v>
      </c>
      <c r="C2353" t="s">
        <v>66</v>
      </c>
      <c r="D2353" t="s">
        <v>20</v>
      </c>
      <c r="E2353" t="s">
        <v>12</v>
      </c>
      <c r="F2353">
        <v>4.4000000000000004</v>
      </c>
      <c r="G2353">
        <v>8561</v>
      </c>
      <c r="H2353">
        <v>8561</v>
      </c>
      <c r="I2353">
        <f>FlipkartTable[[#This Row],[Original Price]]-FlipkartTable[[#This Row],[Selling Price]]</f>
        <v>0</v>
      </c>
      <c r="J2353" s="4">
        <f>(FlipkartTable[[#This Row],[Original Price]]-FlipkartTable[[#This Row],[Selling Price]])/FlipkartTable[[#This Row],[Original Price]]</f>
        <v>0</v>
      </c>
      <c r="K2353">
        <f>(FlipkartTable[[#This Row],[Rating]]/FlipkartTable[[#This Row],[Selling Price]])*1000</f>
        <v>0.51395864969045668</v>
      </c>
      <c r="L2353" t="str">
        <f>IF(FlipkartTable[[#This Row],[Selling Price]]&lt;15000,"Budget",IF(FlipkartTable[[#This Row],[Selling Price]]&lt;50000,"Mid Range","Premium"))</f>
        <v>Budget</v>
      </c>
      <c r="M2353" t="str">
        <f>IF(FlipkartTable[[#This Row],[Rating]]&gt;4.5,"Excellent",IF(FlipkartTable[[#This Row],[Rating]]&gt;4,"Good",IF(FlipkartTable[[#This Row],[Rating]]&gt;3.5,"Average","Poor")))</f>
        <v>Good</v>
      </c>
    </row>
    <row r="2354" spans="1:13" x14ac:dyDescent="0.35">
      <c r="A2354" t="s">
        <v>1181</v>
      </c>
      <c r="B2354" s="9" t="s">
        <v>1224</v>
      </c>
      <c r="C2354" t="s">
        <v>411</v>
      </c>
      <c r="D2354" t="s">
        <v>11</v>
      </c>
      <c r="E2354" t="s">
        <v>12</v>
      </c>
      <c r="F2354">
        <v>4.2</v>
      </c>
      <c r="G2354">
        <v>10070</v>
      </c>
      <c r="H2354">
        <v>10129</v>
      </c>
      <c r="I2354">
        <f>FlipkartTable[[#This Row],[Original Price]]-FlipkartTable[[#This Row],[Selling Price]]</f>
        <v>59</v>
      </c>
      <c r="J2354" s="4">
        <f>(FlipkartTable[[#This Row],[Original Price]]-FlipkartTable[[#This Row],[Selling Price]])/FlipkartTable[[#This Row],[Original Price]]</f>
        <v>5.8248593148385822E-3</v>
      </c>
      <c r="K2354">
        <f>(FlipkartTable[[#This Row],[Rating]]/FlipkartTable[[#This Row],[Selling Price]])*1000</f>
        <v>0.41708043694141017</v>
      </c>
      <c r="L2354" t="str">
        <f>IF(FlipkartTable[[#This Row],[Selling Price]]&lt;15000,"Budget",IF(FlipkartTable[[#This Row],[Selling Price]]&lt;50000,"Mid Range","Premium"))</f>
        <v>Budget</v>
      </c>
      <c r="M2354" t="str">
        <f>IF(FlipkartTable[[#This Row],[Rating]]&gt;4.5,"Excellent",IF(FlipkartTable[[#This Row],[Rating]]&gt;4,"Good",IF(FlipkartTable[[#This Row],[Rating]]&gt;3.5,"Average","Poor")))</f>
        <v>Good</v>
      </c>
    </row>
    <row r="2355" spans="1:13" x14ac:dyDescent="0.35">
      <c r="A2355" t="s">
        <v>1181</v>
      </c>
      <c r="B2355" s="9" t="s">
        <v>1224</v>
      </c>
      <c r="C2355" t="s">
        <v>668</v>
      </c>
      <c r="D2355" t="s">
        <v>11</v>
      </c>
      <c r="E2355" t="s">
        <v>15</v>
      </c>
      <c r="F2355">
        <v>4.4000000000000004</v>
      </c>
      <c r="G2355">
        <v>11199</v>
      </c>
      <c r="H2355">
        <v>11990</v>
      </c>
      <c r="I2355">
        <f>FlipkartTable[[#This Row],[Original Price]]-FlipkartTable[[#This Row],[Selling Price]]</f>
        <v>791</v>
      </c>
      <c r="J2355" s="4">
        <f>(FlipkartTable[[#This Row],[Original Price]]-FlipkartTable[[#This Row],[Selling Price]])/FlipkartTable[[#This Row],[Original Price]]</f>
        <v>6.5971643035863226E-2</v>
      </c>
      <c r="K2355">
        <f>(FlipkartTable[[#This Row],[Rating]]/FlipkartTable[[#This Row],[Selling Price]])*1000</f>
        <v>0.39289222251986788</v>
      </c>
      <c r="L2355" t="str">
        <f>IF(FlipkartTable[[#This Row],[Selling Price]]&lt;15000,"Budget",IF(FlipkartTable[[#This Row],[Selling Price]]&lt;50000,"Mid Range","Premium"))</f>
        <v>Budget</v>
      </c>
      <c r="M2355" t="str">
        <f>IF(FlipkartTable[[#This Row],[Rating]]&gt;4.5,"Excellent",IF(FlipkartTable[[#This Row],[Rating]]&gt;4,"Good",IF(FlipkartTable[[#This Row],[Rating]]&gt;3.5,"Average","Poor")))</f>
        <v>Good</v>
      </c>
    </row>
    <row r="2356" spans="1:13" x14ac:dyDescent="0.35">
      <c r="A2356" t="s">
        <v>1181</v>
      </c>
      <c r="B2356" s="9" t="s">
        <v>1224</v>
      </c>
      <c r="C2356" t="s">
        <v>668</v>
      </c>
      <c r="D2356" t="s">
        <v>11</v>
      </c>
      <c r="E2356" t="s">
        <v>12</v>
      </c>
      <c r="F2356">
        <v>4.4000000000000004</v>
      </c>
      <c r="G2356">
        <v>10121</v>
      </c>
      <c r="H2356">
        <v>10121</v>
      </c>
      <c r="I2356">
        <f>FlipkartTable[[#This Row],[Original Price]]-FlipkartTable[[#This Row],[Selling Price]]</f>
        <v>0</v>
      </c>
      <c r="J2356" s="4">
        <f>(FlipkartTable[[#This Row],[Original Price]]-FlipkartTable[[#This Row],[Selling Price]])/FlipkartTable[[#This Row],[Original Price]]</f>
        <v>0</v>
      </c>
      <c r="K2356">
        <f>(FlipkartTable[[#This Row],[Rating]]/FlipkartTable[[#This Row],[Selling Price]])*1000</f>
        <v>0.43473965023219052</v>
      </c>
      <c r="L2356" t="str">
        <f>IF(FlipkartTable[[#This Row],[Selling Price]]&lt;15000,"Budget",IF(FlipkartTable[[#This Row],[Selling Price]]&lt;50000,"Mid Range","Premium"))</f>
        <v>Budget</v>
      </c>
      <c r="M2356" t="str">
        <f>IF(FlipkartTable[[#This Row],[Rating]]&gt;4.5,"Excellent",IF(FlipkartTable[[#This Row],[Rating]]&gt;4,"Good",IF(FlipkartTable[[#This Row],[Rating]]&gt;3.5,"Average","Poor")))</f>
        <v>Good</v>
      </c>
    </row>
    <row r="2357" spans="1:13" x14ac:dyDescent="0.35">
      <c r="A2357" t="s">
        <v>1181</v>
      </c>
      <c r="B2357" s="9" t="s">
        <v>1224</v>
      </c>
      <c r="C2357" t="s">
        <v>1225</v>
      </c>
      <c r="D2357" t="s">
        <v>11</v>
      </c>
      <c r="E2357" t="s">
        <v>12</v>
      </c>
      <c r="F2357">
        <v>4.4000000000000004</v>
      </c>
      <c r="G2357">
        <v>9828</v>
      </c>
      <c r="H2357">
        <v>10760</v>
      </c>
      <c r="I2357">
        <f>FlipkartTable[[#This Row],[Original Price]]-FlipkartTable[[#This Row],[Selling Price]]</f>
        <v>932</v>
      </c>
      <c r="J2357" s="4">
        <f>(FlipkartTable[[#This Row],[Original Price]]-FlipkartTable[[#This Row],[Selling Price]])/FlipkartTable[[#This Row],[Original Price]]</f>
        <v>8.6617100371747219E-2</v>
      </c>
      <c r="K2357">
        <f>(FlipkartTable[[#This Row],[Rating]]/FlipkartTable[[#This Row],[Selling Price]])*1000</f>
        <v>0.4477004477004477</v>
      </c>
      <c r="L2357" t="str">
        <f>IF(FlipkartTable[[#This Row],[Selling Price]]&lt;15000,"Budget",IF(FlipkartTable[[#This Row],[Selling Price]]&lt;50000,"Mid Range","Premium"))</f>
        <v>Budget</v>
      </c>
      <c r="M2357" t="str">
        <f>IF(FlipkartTable[[#This Row],[Rating]]&gt;4.5,"Excellent",IF(FlipkartTable[[#This Row],[Rating]]&gt;4,"Good",IF(FlipkartTable[[#This Row],[Rating]]&gt;3.5,"Average","Poor")))</f>
        <v>Good</v>
      </c>
    </row>
    <row r="2358" spans="1:13" x14ac:dyDescent="0.35">
      <c r="A2358" t="s">
        <v>1181</v>
      </c>
      <c r="B2358" s="9" t="s">
        <v>1226</v>
      </c>
      <c r="C2358" t="s">
        <v>119</v>
      </c>
      <c r="D2358" t="s">
        <v>14</v>
      </c>
      <c r="E2358" t="s">
        <v>15</v>
      </c>
      <c r="F2358">
        <v>4.2</v>
      </c>
      <c r="G2358">
        <v>13499</v>
      </c>
      <c r="H2358">
        <v>16999</v>
      </c>
      <c r="I2358">
        <f>FlipkartTable[[#This Row],[Original Price]]-FlipkartTable[[#This Row],[Selling Price]]</f>
        <v>3500</v>
      </c>
      <c r="J2358" s="4">
        <f>(FlipkartTable[[#This Row],[Original Price]]-FlipkartTable[[#This Row],[Selling Price]])/FlipkartTable[[#This Row],[Original Price]]</f>
        <v>0.20589446438025766</v>
      </c>
      <c r="K2358">
        <f>(FlipkartTable[[#This Row],[Rating]]/FlipkartTable[[#This Row],[Selling Price]])*1000</f>
        <v>0.3111341580857841</v>
      </c>
      <c r="L2358" t="str">
        <f>IF(FlipkartTable[[#This Row],[Selling Price]]&lt;15000,"Budget",IF(FlipkartTable[[#This Row],[Selling Price]]&lt;50000,"Mid Range","Premium"))</f>
        <v>Budget</v>
      </c>
      <c r="M2358" t="str">
        <f>IF(FlipkartTable[[#This Row],[Rating]]&gt;4.5,"Excellent",IF(FlipkartTable[[#This Row],[Rating]]&gt;4,"Good",IF(FlipkartTable[[#This Row],[Rating]]&gt;3.5,"Average","Poor")))</f>
        <v>Good</v>
      </c>
    </row>
    <row r="2359" spans="1:13" x14ac:dyDescent="0.35">
      <c r="A2359" t="s">
        <v>1181</v>
      </c>
      <c r="B2359" s="9" t="s">
        <v>1226</v>
      </c>
      <c r="C2359" t="s">
        <v>119</v>
      </c>
      <c r="D2359" t="s">
        <v>11</v>
      </c>
      <c r="E2359" t="s">
        <v>12</v>
      </c>
      <c r="F2359">
        <v>4.4000000000000004</v>
      </c>
      <c r="G2359">
        <v>11499</v>
      </c>
      <c r="H2359">
        <v>13999</v>
      </c>
      <c r="I2359">
        <f>FlipkartTable[[#This Row],[Original Price]]-FlipkartTable[[#This Row],[Selling Price]]</f>
        <v>2500</v>
      </c>
      <c r="J2359" s="4">
        <f>(FlipkartTable[[#This Row],[Original Price]]-FlipkartTable[[#This Row],[Selling Price]])/FlipkartTable[[#This Row],[Original Price]]</f>
        <v>0.1785841845846132</v>
      </c>
      <c r="K2359">
        <f>(FlipkartTable[[#This Row],[Rating]]/FlipkartTable[[#This Row],[Selling Price]])*1000</f>
        <v>0.38264196886685803</v>
      </c>
      <c r="L2359" t="str">
        <f>IF(FlipkartTable[[#This Row],[Selling Price]]&lt;15000,"Budget",IF(FlipkartTable[[#This Row],[Selling Price]]&lt;50000,"Mid Range","Premium"))</f>
        <v>Budget</v>
      </c>
      <c r="M2359" t="str">
        <f>IF(FlipkartTable[[#This Row],[Rating]]&gt;4.5,"Excellent",IF(FlipkartTable[[#This Row],[Rating]]&gt;4,"Good",IF(FlipkartTable[[#This Row],[Rating]]&gt;3.5,"Average","Poor")))</f>
        <v>Good</v>
      </c>
    </row>
    <row r="2360" spans="1:13" x14ac:dyDescent="0.35">
      <c r="A2360" t="s">
        <v>1181</v>
      </c>
      <c r="B2360" s="9" t="s">
        <v>1226</v>
      </c>
      <c r="C2360" t="s">
        <v>1227</v>
      </c>
      <c r="D2360" t="s">
        <v>11</v>
      </c>
      <c r="E2360" t="s">
        <v>12</v>
      </c>
      <c r="F2360">
        <v>4.2</v>
      </c>
      <c r="G2360">
        <v>11499</v>
      </c>
      <c r="H2360">
        <v>13999</v>
      </c>
      <c r="I2360">
        <f>FlipkartTable[[#This Row],[Original Price]]-FlipkartTable[[#This Row],[Selling Price]]</f>
        <v>2500</v>
      </c>
      <c r="J2360" s="4">
        <f>(FlipkartTable[[#This Row],[Original Price]]-FlipkartTable[[#This Row],[Selling Price]])/FlipkartTable[[#This Row],[Original Price]]</f>
        <v>0.1785841845846132</v>
      </c>
      <c r="K2360">
        <f>(FlipkartTable[[#This Row],[Rating]]/FlipkartTable[[#This Row],[Selling Price]])*1000</f>
        <v>0.36524915210018266</v>
      </c>
      <c r="L2360" t="str">
        <f>IF(FlipkartTable[[#This Row],[Selling Price]]&lt;15000,"Budget",IF(FlipkartTable[[#This Row],[Selling Price]]&lt;50000,"Mid Range","Premium"))</f>
        <v>Budget</v>
      </c>
      <c r="M2360" t="str">
        <f>IF(FlipkartTable[[#This Row],[Rating]]&gt;4.5,"Excellent",IF(FlipkartTable[[#This Row],[Rating]]&gt;4,"Good",IF(FlipkartTable[[#This Row],[Rating]]&gt;3.5,"Average","Poor")))</f>
        <v>Good</v>
      </c>
    </row>
    <row r="2361" spans="1:13" x14ac:dyDescent="0.35">
      <c r="A2361" t="s">
        <v>1181</v>
      </c>
      <c r="B2361" s="9" t="s">
        <v>1226</v>
      </c>
      <c r="C2361" t="s">
        <v>1228</v>
      </c>
      <c r="D2361" t="s">
        <v>14</v>
      </c>
      <c r="E2361" t="s">
        <v>15</v>
      </c>
      <c r="F2361">
        <v>4.0999999999999996</v>
      </c>
      <c r="G2361">
        <v>13499</v>
      </c>
      <c r="H2361">
        <v>16999</v>
      </c>
      <c r="I2361">
        <f>FlipkartTable[[#This Row],[Original Price]]-FlipkartTable[[#This Row],[Selling Price]]</f>
        <v>3500</v>
      </c>
      <c r="J2361" s="4">
        <f>(FlipkartTable[[#This Row],[Original Price]]-FlipkartTable[[#This Row],[Selling Price]])/FlipkartTable[[#This Row],[Original Price]]</f>
        <v>0.20589446438025766</v>
      </c>
      <c r="K2361">
        <f>(FlipkartTable[[#This Row],[Rating]]/FlipkartTable[[#This Row],[Selling Price]])*1000</f>
        <v>0.30372620194088445</v>
      </c>
      <c r="L2361" t="str">
        <f>IF(FlipkartTable[[#This Row],[Selling Price]]&lt;15000,"Budget",IF(FlipkartTable[[#This Row],[Selling Price]]&lt;50000,"Mid Range","Premium"))</f>
        <v>Budget</v>
      </c>
      <c r="M2361" t="str">
        <f>IF(FlipkartTable[[#This Row],[Rating]]&gt;4.5,"Excellent",IF(FlipkartTable[[#This Row],[Rating]]&gt;4,"Good",IF(FlipkartTable[[#This Row],[Rating]]&gt;3.5,"Average","Poor")))</f>
        <v>Good</v>
      </c>
    </row>
    <row r="2362" spans="1:13" x14ac:dyDescent="0.35">
      <c r="A2362" t="s">
        <v>1181</v>
      </c>
      <c r="B2362" s="9" t="s">
        <v>1226</v>
      </c>
      <c r="C2362" t="s">
        <v>1229</v>
      </c>
      <c r="D2362" t="s">
        <v>11</v>
      </c>
      <c r="E2362" t="s">
        <v>12</v>
      </c>
      <c r="F2362">
        <v>4.4000000000000004</v>
      </c>
      <c r="G2362">
        <v>11499</v>
      </c>
      <c r="H2362">
        <v>13999</v>
      </c>
      <c r="I2362">
        <f>FlipkartTable[[#This Row],[Original Price]]-FlipkartTable[[#This Row],[Selling Price]]</f>
        <v>2500</v>
      </c>
      <c r="J2362" s="4">
        <f>(FlipkartTable[[#This Row],[Original Price]]-FlipkartTable[[#This Row],[Selling Price]])/FlipkartTable[[#This Row],[Original Price]]</f>
        <v>0.1785841845846132</v>
      </c>
      <c r="K2362">
        <f>(FlipkartTable[[#This Row],[Rating]]/FlipkartTable[[#This Row],[Selling Price]])*1000</f>
        <v>0.38264196886685803</v>
      </c>
      <c r="L2362" t="str">
        <f>IF(FlipkartTable[[#This Row],[Selling Price]]&lt;15000,"Budget",IF(FlipkartTable[[#This Row],[Selling Price]]&lt;50000,"Mid Range","Premium"))</f>
        <v>Budget</v>
      </c>
      <c r="M2362" t="str">
        <f>IF(FlipkartTable[[#This Row],[Rating]]&gt;4.5,"Excellent",IF(FlipkartTable[[#This Row],[Rating]]&gt;4,"Good",IF(FlipkartTable[[#This Row],[Rating]]&gt;3.5,"Average","Poor")))</f>
        <v>Good</v>
      </c>
    </row>
    <row r="2363" spans="1:13" x14ac:dyDescent="0.35">
      <c r="A2363" t="s">
        <v>1181</v>
      </c>
      <c r="B2363" s="9" t="s">
        <v>1230</v>
      </c>
      <c r="C2363" t="s">
        <v>37</v>
      </c>
      <c r="D2363" t="s">
        <v>11</v>
      </c>
      <c r="E2363" t="s">
        <v>12</v>
      </c>
      <c r="F2363">
        <v>4.4000000000000004</v>
      </c>
      <c r="G2363">
        <v>10499</v>
      </c>
      <c r="H2363">
        <v>11999</v>
      </c>
      <c r="I2363">
        <f>FlipkartTable[[#This Row],[Original Price]]-FlipkartTable[[#This Row],[Selling Price]]</f>
        <v>1500</v>
      </c>
      <c r="J2363" s="4">
        <f>(FlipkartTable[[#This Row],[Original Price]]-FlipkartTable[[#This Row],[Selling Price]])/FlipkartTable[[#This Row],[Original Price]]</f>
        <v>0.12501041753479455</v>
      </c>
      <c r="K2363">
        <f>(FlipkartTable[[#This Row],[Rating]]/FlipkartTable[[#This Row],[Selling Price]])*1000</f>
        <v>0.41908753214591871</v>
      </c>
      <c r="L2363" t="str">
        <f>IF(FlipkartTable[[#This Row],[Selling Price]]&lt;15000,"Budget",IF(FlipkartTable[[#This Row],[Selling Price]]&lt;50000,"Mid Range","Premium"))</f>
        <v>Budget</v>
      </c>
      <c r="M2363" t="str">
        <f>IF(FlipkartTable[[#This Row],[Rating]]&gt;4.5,"Excellent",IF(FlipkartTable[[#This Row],[Rating]]&gt;4,"Good",IF(FlipkartTable[[#This Row],[Rating]]&gt;3.5,"Average","Poor")))</f>
        <v>Good</v>
      </c>
    </row>
    <row r="2364" spans="1:13" x14ac:dyDescent="0.35">
      <c r="A2364" t="s">
        <v>1181</v>
      </c>
      <c r="B2364" s="9" t="s">
        <v>1230</v>
      </c>
      <c r="C2364" t="s">
        <v>410</v>
      </c>
      <c r="D2364" t="s">
        <v>11</v>
      </c>
      <c r="E2364" t="s">
        <v>12</v>
      </c>
      <c r="F2364">
        <v>4.4000000000000004</v>
      </c>
      <c r="G2364">
        <v>10499</v>
      </c>
      <c r="H2364">
        <v>11999</v>
      </c>
      <c r="I2364">
        <f>FlipkartTable[[#This Row],[Original Price]]-FlipkartTable[[#This Row],[Selling Price]]</f>
        <v>1500</v>
      </c>
      <c r="J2364" s="4">
        <f>(FlipkartTable[[#This Row],[Original Price]]-FlipkartTable[[#This Row],[Selling Price]])/FlipkartTable[[#This Row],[Original Price]]</f>
        <v>0.12501041753479455</v>
      </c>
      <c r="K2364">
        <f>(FlipkartTable[[#This Row],[Rating]]/FlipkartTable[[#This Row],[Selling Price]])*1000</f>
        <v>0.41908753214591871</v>
      </c>
      <c r="L2364" t="str">
        <f>IF(FlipkartTable[[#This Row],[Selling Price]]&lt;15000,"Budget",IF(FlipkartTable[[#This Row],[Selling Price]]&lt;50000,"Mid Range","Premium"))</f>
        <v>Budget</v>
      </c>
      <c r="M2364" t="str">
        <f>IF(FlipkartTable[[#This Row],[Rating]]&gt;4.5,"Excellent",IF(FlipkartTable[[#This Row],[Rating]]&gt;4,"Good",IF(FlipkartTable[[#This Row],[Rating]]&gt;3.5,"Average","Poor")))</f>
        <v>Good</v>
      </c>
    </row>
    <row r="2365" spans="1:13" x14ac:dyDescent="0.35">
      <c r="A2365" t="s">
        <v>1181</v>
      </c>
      <c r="B2365" s="9" t="s">
        <v>1230</v>
      </c>
      <c r="C2365" t="s">
        <v>177</v>
      </c>
      <c r="D2365" t="s">
        <v>11</v>
      </c>
      <c r="E2365" t="s">
        <v>12</v>
      </c>
      <c r="F2365">
        <v>4.3</v>
      </c>
      <c r="G2365">
        <v>10499</v>
      </c>
      <c r="H2365">
        <v>11999</v>
      </c>
      <c r="I2365">
        <f>FlipkartTable[[#This Row],[Original Price]]-FlipkartTable[[#This Row],[Selling Price]]</f>
        <v>1500</v>
      </c>
      <c r="J2365" s="4">
        <f>(FlipkartTable[[#This Row],[Original Price]]-FlipkartTable[[#This Row],[Selling Price]])/FlipkartTable[[#This Row],[Original Price]]</f>
        <v>0.12501041753479455</v>
      </c>
      <c r="K2365">
        <f>(FlipkartTable[[#This Row],[Rating]]/FlipkartTable[[#This Row],[Selling Price]])*1000</f>
        <v>0.40956281550623869</v>
      </c>
      <c r="L2365" t="str">
        <f>IF(FlipkartTable[[#This Row],[Selling Price]]&lt;15000,"Budget",IF(FlipkartTable[[#This Row],[Selling Price]]&lt;50000,"Mid Range","Premium"))</f>
        <v>Budget</v>
      </c>
      <c r="M2365" t="str">
        <f>IF(FlipkartTable[[#This Row],[Rating]]&gt;4.5,"Excellent",IF(FlipkartTable[[#This Row],[Rating]]&gt;4,"Good",IF(FlipkartTable[[#This Row],[Rating]]&gt;3.5,"Average","Poor")))</f>
        <v>Good</v>
      </c>
    </row>
    <row r="2366" spans="1:13" x14ac:dyDescent="0.35">
      <c r="A2366" t="s">
        <v>1181</v>
      </c>
      <c r="B2366" s="9" t="s">
        <v>1230</v>
      </c>
      <c r="C2366" t="s">
        <v>1231</v>
      </c>
      <c r="D2366" t="s">
        <v>11</v>
      </c>
      <c r="E2366" t="s">
        <v>15</v>
      </c>
      <c r="F2366">
        <v>4.3</v>
      </c>
      <c r="G2366">
        <v>13999</v>
      </c>
      <c r="H2366">
        <v>13999</v>
      </c>
      <c r="I2366">
        <f>FlipkartTable[[#This Row],[Original Price]]-FlipkartTable[[#This Row],[Selling Price]]</f>
        <v>0</v>
      </c>
      <c r="J2366" s="4">
        <f>(FlipkartTable[[#This Row],[Original Price]]-FlipkartTable[[#This Row],[Selling Price]])/FlipkartTable[[#This Row],[Original Price]]</f>
        <v>0</v>
      </c>
      <c r="K2366">
        <f>(FlipkartTable[[#This Row],[Rating]]/FlipkartTable[[#This Row],[Selling Price]])*1000</f>
        <v>0.30716479748553466</v>
      </c>
      <c r="L2366" t="str">
        <f>IF(FlipkartTable[[#This Row],[Selling Price]]&lt;15000,"Budget",IF(FlipkartTable[[#This Row],[Selling Price]]&lt;50000,"Mid Range","Premium"))</f>
        <v>Budget</v>
      </c>
      <c r="M2366" t="str">
        <f>IF(FlipkartTable[[#This Row],[Rating]]&gt;4.5,"Excellent",IF(FlipkartTable[[#This Row],[Rating]]&gt;4,"Good",IF(FlipkartTable[[#This Row],[Rating]]&gt;3.5,"Average","Poor")))</f>
        <v>Good</v>
      </c>
    </row>
    <row r="2367" spans="1:13" x14ac:dyDescent="0.35">
      <c r="A2367" t="s">
        <v>1181</v>
      </c>
      <c r="B2367" s="9" t="s">
        <v>1232</v>
      </c>
      <c r="C2367" t="s">
        <v>68</v>
      </c>
      <c r="D2367" t="s">
        <v>35</v>
      </c>
      <c r="E2367" t="s">
        <v>21</v>
      </c>
      <c r="F2367">
        <v>4.5</v>
      </c>
      <c r="G2367">
        <v>7589</v>
      </c>
      <c r="H2367">
        <v>7589</v>
      </c>
      <c r="I2367">
        <f>FlipkartTable[[#This Row],[Original Price]]-FlipkartTable[[#This Row],[Selling Price]]</f>
        <v>0</v>
      </c>
      <c r="J2367" s="4">
        <f>(FlipkartTable[[#This Row],[Original Price]]-FlipkartTable[[#This Row],[Selling Price]])/FlipkartTable[[#This Row],[Original Price]]</f>
        <v>0</v>
      </c>
      <c r="K2367">
        <f>(FlipkartTable[[#This Row],[Rating]]/FlipkartTable[[#This Row],[Selling Price]])*1000</f>
        <v>0.59296349980234553</v>
      </c>
      <c r="L2367" t="str">
        <f>IF(FlipkartTable[[#This Row],[Selling Price]]&lt;15000,"Budget",IF(FlipkartTable[[#This Row],[Selling Price]]&lt;50000,"Mid Range","Premium"))</f>
        <v>Budget</v>
      </c>
      <c r="M2367" t="str">
        <f>IF(FlipkartTable[[#This Row],[Rating]]&gt;4.5,"Excellent",IF(FlipkartTable[[#This Row],[Rating]]&gt;4,"Good",IF(FlipkartTable[[#This Row],[Rating]]&gt;3.5,"Average","Poor")))</f>
        <v>Good</v>
      </c>
    </row>
    <row r="2368" spans="1:13" x14ac:dyDescent="0.35">
      <c r="A2368" t="s">
        <v>1181</v>
      </c>
      <c r="B2368" s="9" t="s">
        <v>1232</v>
      </c>
      <c r="C2368" t="s">
        <v>68</v>
      </c>
      <c r="D2368" t="s">
        <v>20</v>
      </c>
      <c r="E2368" t="s">
        <v>21</v>
      </c>
      <c r="F2368">
        <v>4.4000000000000004</v>
      </c>
      <c r="G2368">
        <v>8389</v>
      </c>
      <c r="H2368">
        <v>8389</v>
      </c>
      <c r="I2368">
        <f>FlipkartTable[[#This Row],[Original Price]]-FlipkartTable[[#This Row],[Selling Price]]</f>
        <v>0</v>
      </c>
      <c r="J2368" s="4">
        <f>(FlipkartTable[[#This Row],[Original Price]]-FlipkartTable[[#This Row],[Selling Price]])/FlipkartTable[[#This Row],[Original Price]]</f>
        <v>0</v>
      </c>
      <c r="K2368">
        <f>(FlipkartTable[[#This Row],[Rating]]/FlipkartTable[[#This Row],[Selling Price]])*1000</f>
        <v>0.52449636428656576</v>
      </c>
      <c r="L2368" t="str">
        <f>IF(FlipkartTable[[#This Row],[Selling Price]]&lt;15000,"Budget",IF(FlipkartTable[[#This Row],[Selling Price]]&lt;50000,"Mid Range","Premium"))</f>
        <v>Budget</v>
      </c>
      <c r="M2368" t="str">
        <f>IF(FlipkartTable[[#This Row],[Rating]]&gt;4.5,"Excellent",IF(FlipkartTable[[#This Row],[Rating]]&gt;4,"Good",IF(FlipkartTable[[#This Row],[Rating]]&gt;3.5,"Average","Poor")))</f>
        <v>Good</v>
      </c>
    </row>
    <row r="2369" spans="1:13" x14ac:dyDescent="0.35">
      <c r="A2369" t="s">
        <v>1181</v>
      </c>
      <c r="B2369" s="9" t="s">
        <v>1232</v>
      </c>
      <c r="C2369" t="s">
        <v>1233</v>
      </c>
      <c r="D2369" t="s">
        <v>35</v>
      </c>
      <c r="E2369" t="s">
        <v>21</v>
      </c>
      <c r="F2369">
        <v>4.0999999999999996</v>
      </c>
      <c r="G2369">
        <v>7698</v>
      </c>
      <c r="H2369">
        <v>7698</v>
      </c>
      <c r="I2369">
        <f>FlipkartTable[[#This Row],[Original Price]]-FlipkartTable[[#This Row],[Selling Price]]</f>
        <v>0</v>
      </c>
      <c r="J2369" s="4">
        <f>(FlipkartTable[[#This Row],[Original Price]]-FlipkartTable[[#This Row],[Selling Price]])/FlipkartTable[[#This Row],[Original Price]]</f>
        <v>0</v>
      </c>
      <c r="K2369">
        <f>(FlipkartTable[[#This Row],[Rating]]/FlipkartTable[[#This Row],[Selling Price]])*1000</f>
        <v>0.5326058716549753</v>
      </c>
      <c r="L2369" t="str">
        <f>IF(FlipkartTable[[#This Row],[Selling Price]]&lt;15000,"Budget",IF(FlipkartTable[[#This Row],[Selling Price]]&lt;50000,"Mid Range","Premium"))</f>
        <v>Budget</v>
      </c>
      <c r="M2369" t="str">
        <f>IF(FlipkartTable[[#This Row],[Rating]]&gt;4.5,"Excellent",IF(FlipkartTable[[#This Row],[Rating]]&gt;4,"Good",IF(FlipkartTable[[#This Row],[Rating]]&gt;3.5,"Average","Poor")))</f>
        <v>Good</v>
      </c>
    </row>
    <row r="2370" spans="1:13" x14ac:dyDescent="0.35">
      <c r="A2370" t="s">
        <v>1181</v>
      </c>
      <c r="B2370" s="9" t="s">
        <v>1232</v>
      </c>
      <c r="C2370" t="s">
        <v>1233</v>
      </c>
      <c r="D2370" t="s">
        <v>20</v>
      </c>
      <c r="E2370" t="s">
        <v>21</v>
      </c>
      <c r="F2370">
        <v>4.5</v>
      </c>
      <c r="G2370">
        <v>8498</v>
      </c>
      <c r="H2370">
        <v>8498</v>
      </c>
      <c r="I2370">
        <f>FlipkartTable[[#This Row],[Original Price]]-FlipkartTable[[#This Row],[Selling Price]]</f>
        <v>0</v>
      </c>
      <c r="J2370" s="4">
        <f>(FlipkartTable[[#This Row],[Original Price]]-FlipkartTable[[#This Row],[Selling Price]])/FlipkartTable[[#This Row],[Original Price]]</f>
        <v>0</v>
      </c>
      <c r="K2370">
        <f>(FlipkartTable[[#This Row],[Rating]]/FlipkartTable[[#This Row],[Selling Price]])*1000</f>
        <v>0.52953636149682271</v>
      </c>
      <c r="L2370" t="str">
        <f>IF(FlipkartTable[[#This Row],[Selling Price]]&lt;15000,"Budget",IF(FlipkartTable[[#This Row],[Selling Price]]&lt;50000,"Mid Range","Premium"))</f>
        <v>Budget</v>
      </c>
      <c r="M2370" t="str">
        <f>IF(FlipkartTable[[#This Row],[Rating]]&gt;4.5,"Excellent",IF(FlipkartTable[[#This Row],[Rating]]&gt;4,"Good",IF(FlipkartTable[[#This Row],[Rating]]&gt;3.5,"Average","Poor")))</f>
        <v>Good</v>
      </c>
    </row>
    <row r="2371" spans="1:13" x14ac:dyDescent="0.35">
      <c r="A2371" t="s">
        <v>1181</v>
      </c>
      <c r="B2371" s="9" t="s">
        <v>1232</v>
      </c>
      <c r="C2371" t="s">
        <v>1223</v>
      </c>
      <c r="D2371" t="s">
        <v>20</v>
      </c>
      <c r="E2371" t="s">
        <v>21</v>
      </c>
      <c r="F2371">
        <v>4.0999999999999996</v>
      </c>
      <c r="G2371">
        <v>8498</v>
      </c>
      <c r="H2371">
        <v>8525</v>
      </c>
      <c r="I2371">
        <f>FlipkartTable[[#This Row],[Original Price]]-FlipkartTable[[#This Row],[Selling Price]]</f>
        <v>27</v>
      </c>
      <c r="J2371" s="4">
        <f>(FlipkartTable[[#This Row],[Original Price]]-FlipkartTable[[#This Row],[Selling Price]])/FlipkartTable[[#This Row],[Original Price]]</f>
        <v>3.1671554252199413E-3</v>
      </c>
      <c r="K2371">
        <f>(FlipkartTable[[#This Row],[Rating]]/FlipkartTable[[#This Row],[Selling Price]])*1000</f>
        <v>0.48246646269710514</v>
      </c>
      <c r="L2371" t="str">
        <f>IF(FlipkartTable[[#This Row],[Selling Price]]&lt;15000,"Budget",IF(FlipkartTable[[#This Row],[Selling Price]]&lt;50000,"Mid Range","Premium"))</f>
        <v>Budget</v>
      </c>
      <c r="M2371" t="str">
        <f>IF(FlipkartTable[[#This Row],[Rating]]&gt;4.5,"Excellent",IF(FlipkartTable[[#This Row],[Rating]]&gt;4,"Good",IF(FlipkartTable[[#This Row],[Rating]]&gt;3.5,"Average","Poor")))</f>
        <v>Good</v>
      </c>
    </row>
    <row r="2372" spans="1:13" x14ac:dyDescent="0.35">
      <c r="A2372" t="s">
        <v>1181</v>
      </c>
      <c r="B2372" s="9" t="s">
        <v>1232</v>
      </c>
      <c r="C2372" t="s">
        <v>1234</v>
      </c>
      <c r="D2372" t="s">
        <v>35</v>
      </c>
      <c r="E2372" t="s">
        <v>21</v>
      </c>
      <c r="F2372">
        <v>4.5</v>
      </c>
      <c r="G2372">
        <v>7619</v>
      </c>
      <c r="H2372">
        <v>7619</v>
      </c>
      <c r="I2372">
        <f>FlipkartTable[[#This Row],[Original Price]]-FlipkartTable[[#This Row],[Selling Price]]</f>
        <v>0</v>
      </c>
      <c r="J2372" s="4">
        <f>(FlipkartTable[[#This Row],[Original Price]]-FlipkartTable[[#This Row],[Selling Price]])/FlipkartTable[[#This Row],[Original Price]]</f>
        <v>0</v>
      </c>
      <c r="K2372">
        <f>(FlipkartTable[[#This Row],[Rating]]/FlipkartTable[[#This Row],[Selling Price]])*1000</f>
        <v>0.5906286914293214</v>
      </c>
      <c r="L2372" t="str">
        <f>IF(FlipkartTable[[#This Row],[Selling Price]]&lt;15000,"Budget",IF(FlipkartTable[[#This Row],[Selling Price]]&lt;50000,"Mid Range","Premium"))</f>
        <v>Budget</v>
      </c>
      <c r="M2372" t="str">
        <f>IF(FlipkartTable[[#This Row],[Rating]]&gt;4.5,"Excellent",IF(FlipkartTable[[#This Row],[Rating]]&gt;4,"Good",IF(FlipkartTable[[#This Row],[Rating]]&gt;3.5,"Average","Poor")))</f>
        <v>Good</v>
      </c>
    </row>
    <row r="2373" spans="1:13" x14ac:dyDescent="0.35">
      <c r="A2373" t="s">
        <v>1181</v>
      </c>
      <c r="B2373" s="9" t="s">
        <v>1235</v>
      </c>
      <c r="C2373" t="s">
        <v>68</v>
      </c>
      <c r="D2373" t="s">
        <v>11</v>
      </c>
      <c r="E2373" t="s">
        <v>12</v>
      </c>
      <c r="F2373">
        <v>4.2</v>
      </c>
      <c r="G2373">
        <v>8799</v>
      </c>
      <c r="H2373">
        <v>9999</v>
      </c>
      <c r="I2373">
        <f>FlipkartTable[[#This Row],[Original Price]]-FlipkartTable[[#This Row],[Selling Price]]</f>
        <v>1200</v>
      </c>
      <c r="J2373" s="4">
        <f>(FlipkartTable[[#This Row],[Original Price]]-FlipkartTable[[#This Row],[Selling Price]])/FlipkartTable[[#This Row],[Original Price]]</f>
        <v>0.12001200120012001</v>
      </c>
      <c r="K2373">
        <f>(FlipkartTable[[#This Row],[Rating]]/FlipkartTable[[#This Row],[Selling Price]])*1000</f>
        <v>0.47732696897374705</v>
      </c>
      <c r="L2373" t="str">
        <f>IF(FlipkartTable[[#This Row],[Selling Price]]&lt;15000,"Budget",IF(FlipkartTable[[#This Row],[Selling Price]]&lt;50000,"Mid Range","Premium"))</f>
        <v>Budget</v>
      </c>
      <c r="M2373" t="str">
        <f>IF(FlipkartTable[[#This Row],[Rating]]&gt;4.5,"Excellent",IF(FlipkartTable[[#This Row],[Rating]]&gt;4,"Good",IF(FlipkartTable[[#This Row],[Rating]]&gt;3.5,"Average","Poor")))</f>
        <v>Good</v>
      </c>
    </row>
    <row r="2374" spans="1:13" x14ac:dyDescent="0.35">
      <c r="A2374" t="s">
        <v>1181</v>
      </c>
      <c r="B2374" s="9" t="s">
        <v>1235</v>
      </c>
      <c r="C2374" t="s">
        <v>1233</v>
      </c>
      <c r="D2374" t="s">
        <v>11</v>
      </c>
      <c r="E2374" t="s">
        <v>12</v>
      </c>
      <c r="F2374">
        <v>4.5</v>
      </c>
      <c r="G2374">
        <v>8799</v>
      </c>
      <c r="H2374">
        <v>9999</v>
      </c>
      <c r="I2374">
        <f>FlipkartTable[[#This Row],[Original Price]]-FlipkartTable[[#This Row],[Selling Price]]</f>
        <v>1200</v>
      </c>
      <c r="J2374" s="4">
        <f>(FlipkartTable[[#This Row],[Original Price]]-FlipkartTable[[#This Row],[Selling Price]])/FlipkartTable[[#This Row],[Original Price]]</f>
        <v>0.12001200120012001</v>
      </c>
      <c r="K2374">
        <f>(FlipkartTable[[#This Row],[Rating]]/FlipkartTable[[#This Row],[Selling Price]])*1000</f>
        <v>0.51142175247187183</v>
      </c>
      <c r="L2374" t="str">
        <f>IF(FlipkartTable[[#This Row],[Selling Price]]&lt;15000,"Budget",IF(FlipkartTable[[#This Row],[Selling Price]]&lt;50000,"Mid Range","Premium"))</f>
        <v>Budget</v>
      </c>
      <c r="M2374" t="str">
        <f>IF(FlipkartTable[[#This Row],[Rating]]&gt;4.5,"Excellent",IF(FlipkartTable[[#This Row],[Rating]]&gt;4,"Good",IF(FlipkartTable[[#This Row],[Rating]]&gt;3.5,"Average","Poor")))</f>
        <v>Good</v>
      </c>
    </row>
    <row r="2375" spans="1:13" x14ac:dyDescent="0.35">
      <c r="A2375" t="s">
        <v>1181</v>
      </c>
      <c r="B2375" s="9" t="s">
        <v>1236</v>
      </c>
      <c r="C2375" t="s">
        <v>411</v>
      </c>
      <c r="D2375" t="s">
        <v>14</v>
      </c>
      <c r="E2375" t="s">
        <v>15</v>
      </c>
      <c r="F2375">
        <v>4.0999999999999996</v>
      </c>
      <c r="G2375">
        <v>18429</v>
      </c>
      <c r="H2375">
        <v>18429</v>
      </c>
      <c r="I2375">
        <f>FlipkartTable[[#This Row],[Original Price]]-FlipkartTable[[#This Row],[Selling Price]]</f>
        <v>0</v>
      </c>
      <c r="J2375" s="4">
        <f>(FlipkartTable[[#This Row],[Original Price]]-FlipkartTable[[#This Row],[Selling Price]])/FlipkartTable[[#This Row],[Original Price]]</f>
        <v>0</v>
      </c>
      <c r="K2375">
        <f>(FlipkartTable[[#This Row],[Rating]]/FlipkartTable[[#This Row],[Selling Price]])*1000</f>
        <v>0.2224754463074502</v>
      </c>
      <c r="L2375" t="str">
        <f>IF(FlipkartTable[[#This Row],[Selling Price]]&lt;15000,"Budget",IF(FlipkartTable[[#This Row],[Selling Price]]&lt;50000,"Mid Range","Premium"))</f>
        <v>Mid Range</v>
      </c>
      <c r="M2375" t="str">
        <f>IF(FlipkartTable[[#This Row],[Rating]]&gt;4.5,"Excellent",IF(FlipkartTable[[#This Row],[Rating]]&gt;4,"Good",IF(FlipkartTable[[#This Row],[Rating]]&gt;3.5,"Average","Poor")))</f>
        <v>Good</v>
      </c>
    </row>
    <row r="2376" spans="1:13" x14ac:dyDescent="0.35">
      <c r="A2376" t="s">
        <v>1181</v>
      </c>
      <c r="B2376" s="9" t="s">
        <v>1236</v>
      </c>
      <c r="C2376" t="s">
        <v>411</v>
      </c>
      <c r="D2376" t="s">
        <v>14</v>
      </c>
      <c r="E2376" t="s">
        <v>12</v>
      </c>
      <c r="F2376">
        <v>3.8</v>
      </c>
      <c r="G2376">
        <v>22999</v>
      </c>
      <c r="H2376">
        <v>22999</v>
      </c>
      <c r="I2376">
        <f>FlipkartTable[[#This Row],[Original Price]]-FlipkartTable[[#This Row],[Selling Price]]</f>
        <v>0</v>
      </c>
      <c r="J2376" s="4">
        <f>(FlipkartTable[[#This Row],[Original Price]]-FlipkartTable[[#This Row],[Selling Price]])/FlipkartTable[[#This Row],[Original Price]]</f>
        <v>0</v>
      </c>
      <c r="K2376">
        <f>(FlipkartTable[[#This Row],[Rating]]/FlipkartTable[[#This Row],[Selling Price]])*1000</f>
        <v>0.16522457498152093</v>
      </c>
      <c r="L2376" t="str">
        <f>IF(FlipkartTable[[#This Row],[Selling Price]]&lt;15000,"Budget",IF(FlipkartTable[[#This Row],[Selling Price]]&lt;50000,"Mid Range","Premium"))</f>
        <v>Mid Range</v>
      </c>
      <c r="M2376" t="str">
        <f>IF(FlipkartTable[[#This Row],[Rating]]&gt;4.5,"Excellent",IF(FlipkartTable[[#This Row],[Rating]]&gt;4,"Good",IF(FlipkartTable[[#This Row],[Rating]]&gt;3.5,"Average","Poor")))</f>
        <v>Average</v>
      </c>
    </row>
    <row r="2377" spans="1:13" x14ac:dyDescent="0.35">
      <c r="A2377" t="s">
        <v>1181</v>
      </c>
      <c r="B2377" s="9" t="s">
        <v>1236</v>
      </c>
      <c r="C2377" t="s">
        <v>1237</v>
      </c>
      <c r="D2377" t="s">
        <v>14</v>
      </c>
      <c r="E2377" t="s">
        <v>15</v>
      </c>
      <c r="F2377">
        <v>4.5</v>
      </c>
      <c r="G2377">
        <v>21349</v>
      </c>
      <c r="H2377">
        <v>21349</v>
      </c>
      <c r="I2377">
        <f>FlipkartTable[[#This Row],[Original Price]]-FlipkartTable[[#This Row],[Selling Price]]</f>
        <v>0</v>
      </c>
      <c r="J2377" s="4">
        <f>(FlipkartTable[[#This Row],[Original Price]]-FlipkartTable[[#This Row],[Selling Price]])/FlipkartTable[[#This Row],[Original Price]]</f>
        <v>0</v>
      </c>
      <c r="K2377">
        <f>(FlipkartTable[[#This Row],[Rating]]/FlipkartTable[[#This Row],[Selling Price]])*1000</f>
        <v>0.21078270644995084</v>
      </c>
      <c r="L2377" t="str">
        <f>IF(FlipkartTable[[#This Row],[Selling Price]]&lt;15000,"Budget",IF(FlipkartTable[[#This Row],[Selling Price]]&lt;50000,"Mid Range","Premium"))</f>
        <v>Mid Range</v>
      </c>
      <c r="M2377" t="str">
        <f>IF(FlipkartTable[[#This Row],[Rating]]&gt;4.5,"Excellent",IF(FlipkartTable[[#This Row],[Rating]]&gt;4,"Good",IF(FlipkartTable[[#This Row],[Rating]]&gt;3.5,"Average","Poor")))</f>
        <v>Good</v>
      </c>
    </row>
    <row r="2378" spans="1:13" x14ac:dyDescent="0.35">
      <c r="A2378" t="s">
        <v>1181</v>
      </c>
      <c r="B2378" s="9" t="s">
        <v>1236</v>
      </c>
      <c r="C2378" t="s">
        <v>405</v>
      </c>
      <c r="D2378" t="s">
        <v>14</v>
      </c>
      <c r="E2378" t="s">
        <v>12</v>
      </c>
      <c r="F2378">
        <v>4.5</v>
      </c>
      <c r="G2378">
        <v>20899</v>
      </c>
      <c r="H2378">
        <v>21999</v>
      </c>
      <c r="I2378">
        <f>FlipkartTable[[#This Row],[Original Price]]-FlipkartTable[[#This Row],[Selling Price]]</f>
        <v>1100</v>
      </c>
      <c r="J2378" s="4">
        <f>(FlipkartTable[[#This Row],[Original Price]]-FlipkartTable[[#This Row],[Selling Price]])/FlipkartTable[[#This Row],[Original Price]]</f>
        <v>5.0002272830583207E-2</v>
      </c>
      <c r="K2378">
        <f>(FlipkartTable[[#This Row],[Rating]]/FlipkartTable[[#This Row],[Selling Price]])*1000</f>
        <v>0.21532130723958084</v>
      </c>
      <c r="L2378" t="str">
        <f>IF(FlipkartTable[[#This Row],[Selling Price]]&lt;15000,"Budget",IF(FlipkartTable[[#This Row],[Selling Price]]&lt;50000,"Mid Range","Premium"))</f>
        <v>Mid Range</v>
      </c>
      <c r="M2378" t="str">
        <f>IF(FlipkartTable[[#This Row],[Rating]]&gt;4.5,"Excellent",IF(FlipkartTable[[#This Row],[Rating]]&gt;4,"Good",IF(FlipkartTable[[#This Row],[Rating]]&gt;3.5,"Average","Poor")))</f>
        <v>Good</v>
      </c>
    </row>
    <row r="2379" spans="1:13" x14ac:dyDescent="0.35">
      <c r="A2379" t="s">
        <v>1181</v>
      </c>
      <c r="B2379" s="9" t="s">
        <v>1238</v>
      </c>
      <c r="C2379" t="s">
        <v>411</v>
      </c>
      <c r="D2379" t="s">
        <v>14</v>
      </c>
      <c r="E2379" t="s">
        <v>15</v>
      </c>
      <c r="F2379">
        <v>4.5</v>
      </c>
      <c r="G2379">
        <v>28999</v>
      </c>
      <c r="H2379">
        <v>28999</v>
      </c>
      <c r="I2379">
        <f>FlipkartTable[[#This Row],[Original Price]]-FlipkartTable[[#This Row],[Selling Price]]</f>
        <v>0</v>
      </c>
      <c r="J2379" s="4">
        <f>(FlipkartTable[[#This Row],[Original Price]]-FlipkartTable[[#This Row],[Selling Price]])/FlipkartTable[[#This Row],[Original Price]]</f>
        <v>0</v>
      </c>
      <c r="K2379">
        <f>(FlipkartTable[[#This Row],[Rating]]/FlipkartTable[[#This Row],[Selling Price]])*1000</f>
        <v>0.15517776475050862</v>
      </c>
      <c r="L2379" t="str">
        <f>IF(FlipkartTable[[#This Row],[Selling Price]]&lt;15000,"Budget",IF(FlipkartTable[[#This Row],[Selling Price]]&lt;50000,"Mid Range","Premium"))</f>
        <v>Mid Range</v>
      </c>
      <c r="M2379" t="str">
        <f>IF(FlipkartTable[[#This Row],[Rating]]&gt;4.5,"Excellent",IF(FlipkartTable[[#This Row],[Rating]]&gt;4,"Good",IF(FlipkartTable[[#This Row],[Rating]]&gt;3.5,"Average","Poor")))</f>
        <v>Good</v>
      </c>
    </row>
    <row r="2380" spans="1:13" x14ac:dyDescent="0.35">
      <c r="A2380" t="s">
        <v>1181</v>
      </c>
      <c r="B2380" s="9" t="s">
        <v>1238</v>
      </c>
      <c r="C2380" t="s">
        <v>411</v>
      </c>
      <c r="D2380" t="s">
        <v>27</v>
      </c>
      <c r="E2380" t="s">
        <v>64</v>
      </c>
      <c r="F2380">
        <v>4.4000000000000004</v>
      </c>
      <c r="G2380">
        <v>29999</v>
      </c>
      <c r="H2380">
        <v>29999</v>
      </c>
      <c r="I2380">
        <f>FlipkartTable[[#This Row],[Original Price]]-FlipkartTable[[#This Row],[Selling Price]]</f>
        <v>0</v>
      </c>
      <c r="J2380" s="4">
        <f>(FlipkartTable[[#This Row],[Original Price]]-FlipkartTable[[#This Row],[Selling Price]])/FlipkartTable[[#This Row],[Original Price]]</f>
        <v>0</v>
      </c>
      <c r="K2380">
        <f>(FlipkartTable[[#This Row],[Rating]]/FlipkartTable[[#This Row],[Selling Price]])*1000</f>
        <v>0.14667155571852394</v>
      </c>
      <c r="L2380" t="str">
        <f>IF(FlipkartTable[[#This Row],[Selling Price]]&lt;15000,"Budget",IF(FlipkartTable[[#This Row],[Selling Price]]&lt;50000,"Mid Range","Premium"))</f>
        <v>Mid Range</v>
      </c>
      <c r="M2380" t="str">
        <f>IF(FlipkartTable[[#This Row],[Rating]]&gt;4.5,"Excellent",IF(FlipkartTable[[#This Row],[Rating]]&gt;4,"Good",IF(FlipkartTable[[#This Row],[Rating]]&gt;3.5,"Average","Poor")))</f>
        <v>Good</v>
      </c>
    </row>
    <row r="2381" spans="1:13" x14ac:dyDescent="0.35">
      <c r="A2381" t="s">
        <v>1181</v>
      </c>
      <c r="B2381" s="9" t="s">
        <v>1238</v>
      </c>
      <c r="C2381" t="s">
        <v>171</v>
      </c>
      <c r="D2381" t="s">
        <v>14</v>
      </c>
      <c r="E2381" t="s">
        <v>15</v>
      </c>
      <c r="F2381">
        <v>4.4000000000000004</v>
      </c>
      <c r="G2381">
        <v>28999</v>
      </c>
      <c r="H2381">
        <v>28999</v>
      </c>
      <c r="I2381">
        <f>FlipkartTable[[#This Row],[Original Price]]-FlipkartTable[[#This Row],[Selling Price]]</f>
        <v>0</v>
      </c>
      <c r="J2381" s="4">
        <f>(FlipkartTable[[#This Row],[Original Price]]-FlipkartTable[[#This Row],[Selling Price]])/FlipkartTable[[#This Row],[Original Price]]</f>
        <v>0</v>
      </c>
      <c r="K2381">
        <f>(FlipkartTable[[#This Row],[Rating]]/FlipkartTable[[#This Row],[Selling Price]])*1000</f>
        <v>0.15172936997827513</v>
      </c>
      <c r="L2381" t="str">
        <f>IF(FlipkartTable[[#This Row],[Selling Price]]&lt;15000,"Budget",IF(FlipkartTable[[#This Row],[Selling Price]]&lt;50000,"Mid Range","Premium"))</f>
        <v>Mid Range</v>
      </c>
      <c r="M2381" t="str">
        <f>IF(FlipkartTable[[#This Row],[Rating]]&gt;4.5,"Excellent",IF(FlipkartTable[[#This Row],[Rating]]&gt;4,"Good",IF(FlipkartTable[[#This Row],[Rating]]&gt;3.5,"Average","Poor")))</f>
        <v>Good</v>
      </c>
    </row>
    <row r="2382" spans="1:13" x14ac:dyDescent="0.35">
      <c r="A2382" t="s">
        <v>1181</v>
      </c>
      <c r="B2382" s="9" t="s">
        <v>1239</v>
      </c>
      <c r="C2382" t="s">
        <v>1240</v>
      </c>
      <c r="D2382" t="s">
        <v>14</v>
      </c>
      <c r="E2382" t="s">
        <v>15</v>
      </c>
      <c r="F2382">
        <v>4.4000000000000004</v>
      </c>
      <c r="G2382">
        <v>19799</v>
      </c>
      <c r="H2382">
        <v>19799</v>
      </c>
      <c r="I2382">
        <f>FlipkartTable[[#This Row],[Original Price]]-FlipkartTable[[#This Row],[Selling Price]]</f>
        <v>0</v>
      </c>
      <c r="J2382" s="4">
        <f>(FlipkartTable[[#This Row],[Original Price]]-FlipkartTable[[#This Row],[Selling Price]])/FlipkartTable[[#This Row],[Original Price]]</f>
        <v>0</v>
      </c>
      <c r="K2382">
        <f>(FlipkartTable[[#This Row],[Rating]]/FlipkartTable[[#This Row],[Selling Price]])*1000</f>
        <v>0.22223344613364315</v>
      </c>
      <c r="L2382" t="str">
        <f>IF(FlipkartTable[[#This Row],[Selling Price]]&lt;15000,"Budget",IF(FlipkartTable[[#This Row],[Selling Price]]&lt;50000,"Mid Range","Premium"))</f>
        <v>Mid Range</v>
      </c>
      <c r="M2382" t="str">
        <f>IF(FlipkartTable[[#This Row],[Rating]]&gt;4.5,"Excellent",IF(FlipkartTable[[#This Row],[Rating]]&gt;4,"Good",IF(FlipkartTable[[#This Row],[Rating]]&gt;3.5,"Average","Poor")))</f>
        <v>Good</v>
      </c>
    </row>
    <row r="2383" spans="1:13" x14ac:dyDescent="0.35">
      <c r="A2383" t="s">
        <v>1181</v>
      </c>
      <c r="B2383" s="9" t="s">
        <v>1239</v>
      </c>
      <c r="C2383" t="s">
        <v>1241</v>
      </c>
      <c r="D2383" t="s">
        <v>14</v>
      </c>
      <c r="E2383" t="s">
        <v>15</v>
      </c>
      <c r="F2383">
        <v>4.3</v>
      </c>
      <c r="G2383">
        <v>18887</v>
      </c>
      <c r="H2383">
        <v>19618</v>
      </c>
      <c r="I2383">
        <f>FlipkartTable[[#This Row],[Original Price]]-FlipkartTable[[#This Row],[Selling Price]]</f>
        <v>731</v>
      </c>
      <c r="J2383" s="4">
        <f>(FlipkartTable[[#This Row],[Original Price]]-FlipkartTable[[#This Row],[Selling Price]])/FlipkartTable[[#This Row],[Original Price]]</f>
        <v>3.726169844020797E-2</v>
      </c>
      <c r="K2383">
        <f>(FlipkartTable[[#This Row],[Rating]]/FlipkartTable[[#This Row],[Selling Price]])*1000</f>
        <v>0.22766982580611003</v>
      </c>
      <c r="L2383" t="str">
        <f>IF(FlipkartTable[[#This Row],[Selling Price]]&lt;15000,"Budget",IF(FlipkartTable[[#This Row],[Selling Price]]&lt;50000,"Mid Range","Premium"))</f>
        <v>Mid Range</v>
      </c>
      <c r="M2383" t="str">
        <f>IF(FlipkartTable[[#This Row],[Rating]]&gt;4.5,"Excellent",IF(FlipkartTable[[#This Row],[Rating]]&gt;4,"Good",IF(FlipkartTable[[#This Row],[Rating]]&gt;3.5,"Average","Poor")))</f>
        <v>Good</v>
      </c>
    </row>
    <row r="2384" spans="1:13" x14ac:dyDescent="0.35">
      <c r="A2384" t="s">
        <v>1181</v>
      </c>
      <c r="B2384" s="9" t="s">
        <v>1242</v>
      </c>
      <c r="C2384" t="s">
        <v>1243</v>
      </c>
      <c r="D2384" t="s">
        <v>14</v>
      </c>
      <c r="E2384" t="s">
        <v>15</v>
      </c>
      <c r="F2384">
        <v>4.4000000000000004</v>
      </c>
      <c r="G2384">
        <v>17765</v>
      </c>
      <c r="H2384">
        <v>17765</v>
      </c>
      <c r="I2384">
        <f>FlipkartTable[[#This Row],[Original Price]]-FlipkartTable[[#This Row],[Selling Price]]</f>
        <v>0</v>
      </c>
      <c r="J2384" s="4">
        <f>(FlipkartTable[[#This Row],[Original Price]]-FlipkartTable[[#This Row],[Selling Price]])/FlipkartTable[[#This Row],[Original Price]]</f>
        <v>0</v>
      </c>
      <c r="K2384">
        <f>(FlipkartTable[[#This Row],[Rating]]/FlipkartTable[[#This Row],[Selling Price]])*1000</f>
        <v>0.24767801857585139</v>
      </c>
      <c r="L2384" t="str">
        <f>IF(FlipkartTable[[#This Row],[Selling Price]]&lt;15000,"Budget",IF(FlipkartTable[[#This Row],[Selling Price]]&lt;50000,"Mid Range","Premium"))</f>
        <v>Mid Range</v>
      </c>
      <c r="M2384" t="str">
        <f>IF(FlipkartTable[[#This Row],[Rating]]&gt;4.5,"Excellent",IF(FlipkartTable[[#This Row],[Rating]]&gt;4,"Good",IF(FlipkartTable[[#This Row],[Rating]]&gt;3.5,"Average","Poor")))</f>
        <v>Good</v>
      </c>
    </row>
    <row r="2385" spans="1:13" x14ac:dyDescent="0.35">
      <c r="A2385" t="s">
        <v>1181</v>
      </c>
      <c r="B2385" s="9" t="s">
        <v>1242</v>
      </c>
      <c r="C2385" t="s">
        <v>1165</v>
      </c>
      <c r="D2385" t="s">
        <v>14</v>
      </c>
      <c r="E2385" t="s">
        <v>15</v>
      </c>
      <c r="F2385">
        <v>4.3</v>
      </c>
      <c r="G2385">
        <v>17995</v>
      </c>
      <c r="H2385">
        <v>18950</v>
      </c>
      <c r="I2385">
        <f>FlipkartTable[[#This Row],[Original Price]]-FlipkartTable[[#This Row],[Selling Price]]</f>
        <v>955</v>
      </c>
      <c r="J2385" s="4">
        <f>(FlipkartTable[[#This Row],[Original Price]]-FlipkartTable[[#This Row],[Selling Price]])/FlipkartTable[[#This Row],[Original Price]]</f>
        <v>5.0395778364116094E-2</v>
      </c>
      <c r="K2385">
        <f>(FlipkartTable[[#This Row],[Rating]]/FlipkartTable[[#This Row],[Selling Price]])*1000</f>
        <v>0.23895526535148651</v>
      </c>
      <c r="L2385" t="str">
        <f>IF(FlipkartTable[[#This Row],[Selling Price]]&lt;15000,"Budget",IF(FlipkartTable[[#This Row],[Selling Price]]&lt;50000,"Mid Range","Premium"))</f>
        <v>Mid Range</v>
      </c>
      <c r="M2385" t="str">
        <f>IF(FlipkartTable[[#This Row],[Rating]]&gt;4.5,"Excellent",IF(FlipkartTable[[#This Row],[Rating]]&gt;4,"Good",IF(FlipkartTable[[#This Row],[Rating]]&gt;3.5,"Average","Poor")))</f>
        <v>Good</v>
      </c>
    </row>
    <row r="2386" spans="1:13" x14ac:dyDescent="0.35">
      <c r="A2386" t="s">
        <v>1181</v>
      </c>
      <c r="B2386" s="9" t="s">
        <v>1244</v>
      </c>
      <c r="C2386" t="s">
        <v>19</v>
      </c>
      <c r="D2386" t="s">
        <v>20</v>
      </c>
      <c r="E2386" t="s">
        <v>21</v>
      </c>
      <c r="F2386">
        <v>4.3</v>
      </c>
      <c r="G2386">
        <v>9499</v>
      </c>
      <c r="H2386">
        <v>9499</v>
      </c>
      <c r="I2386">
        <f>FlipkartTable[[#This Row],[Original Price]]-FlipkartTable[[#This Row],[Selling Price]]</f>
        <v>0</v>
      </c>
      <c r="J2386" s="4">
        <f>(FlipkartTable[[#This Row],[Original Price]]-FlipkartTable[[#This Row],[Selling Price]])/FlipkartTable[[#This Row],[Original Price]]</f>
        <v>0</v>
      </c>
      <c r="K2386">
        <f>(FlipkartTable[[#This Row],[Rating]]/FlipkartTable[[#This Row],[Selling Price]])*1000</f>
        <v>0.45267922939256761</v>
      </c>
      <c r="L2386" t="str">
        <f>IF(FlipkartTable[[#This Row],[Selling Price]]&lt;15000,"Budget",IF(FlipkartTable[[#This Row],[Selling Price]]&lt;50000,"Mid Range","Premium"))</f>
        <v>Budget</v>
      </c>
      <c r="M2386" t="str">
        <f>IF(FlipkartTable[[#This Row],[Rating]]&gt;4.5,"Excellent",IF(FlipkartTable[[#This Row],[Rating]]&gt;4,"Good",IF(FlipkartTable[[#This Row],[Rating]]&gt;3.5,"Average","Poor")))</f>
        <v>Good</v>
      </c>
    </row>
    <row r="2387" spans="1:13" x14ac:dyDescent="0.35">
      <c r="A2387" t="s">
        <v>1181</v>
      </c>
      <c r="B2387" s="9" t="s">
        <v>1244</v>
      </c>
      <c r="C2387" t="s">
        <v>19</v>
      </c>
      <c r="D2387" t="s">
        <v>11</v>
      </c>
      <c r="E2387" t="s">
        <v>12</v>
      </c>
      <c r="F2387">
        <v>4.5</v>
      </c>
      <c r="G2387">
        <v>9999</v>
      </c>
      <c r="H2387">
        <v>9999</v>
      </c>
      <c r="I2387">
        <f>FlipkartTable[[#This Row],[Original Price]]-FlipkartTable[[#This Row],[Selling Price]]</f>
        <v>0</v>
      </c>
      <c r="J2387" s="4">
        <f>(FlipkartTable[[#This Row],[Original Price]]-FlipkartTable[[#This Row],[Selling Price]])/FlipkartTable[[#This Row],[Original Price]]</f>
        <v>0</v>
      </c>
      <c r="K2387">
        <f>(FlipkartTable[[#This Row],[Rating]]/FlipkartTable[[#This Row],[Selling Price]])*1000</f>
        <v>0.45004500450045004</v>
      </c>
      <c r="L2387" t="str">
        <f>IF(FlipkartTable[[#This Row],[Selling Price]]&lt;15000,"Budget",IF(FlipkartTable[[#This Row],[Selling Price]]&lt;50000,"Mid Range","Premium"))</f>
        <v>Budget</v>
      </c>
      <c r="M2387" t="str">
        <f>IF(FlipkartTable[[#This Row],[Rating]]&gt;4.5,"Excellent",IF(FlipkartTable[[#This Row],[Rating]]&gt;4,"Good",IF(FlipkartTable[[#This Row],[Rating]]&gt;3.5,"Average","Poor")))</f>
        <v>Good</v>
      </c>
    </row>
    <row r="2388" spans="1:13" x14ac:dyDescent="0.35">
      <c r="A2388" t="s">
        <v>1181</v>
      </c>
      <c r="B2388" s="9" t="s">
        <v>1244</v>
      </c>
      <c r="C2388" t="s">
        <v>116</v>
      </c>
      <c r="D2388" t="s">
        <v>20</v>
      </c>
      <c r="E2388" t="s">
        <v>21</v>
      </c>
      <c r="F2388">
        <v>4.4000000000000004</v>
      </c>
      <c r="G2388">
        <v>8590</v>
      </c>
      <c r="H2388">
        <v>8590</v>
      </c>
      <c r="I2388">
        <f>FlipkartTable[[#This Row],[Original Price]]-FlipkartTable[[#This Row],[Selling Price]]</f>
        <v>0</v>
      </c>
      <c r="J2388" s="4">
        <f>(FlipkartTable[[#This Row],[Original Price]]-FlipkartTable[[#This Row],[Selling Price]])/FlipkartTable[[#This Row],[Original Price]]</f>
        <v>0</v>
      </c>
      <c r="K2388">
        <f>(FlipkartTable[[#This Row],[Rating]]/FlipkartTable[[#This Row],[Selling Price]])*1000</f>
        <v>0.51222351571594882</v>
      </c>
      <c r="L2388" t="str">
        <f>IF(FlipkartTable[[#This Row],[Selling Price]]&lt;15000,"Budget",IF(FlipkartTable[[#This Row],[Selling Price]]&lt;50000,"Mid Range","Premium"))</f>
        <v>Budget</v>
      </c>
      <c r="M2388" t="str">
        <f>IF(FlipkartTable[[#This Row],[Rating]]&gt;4.5,"Excellent",IF(FlipkartTable[[#This Row],[Rating]]&gt;4,"Good",IF(FlipkartTable[[#This Row],[Rating]]&gt;3.5,"Average","Poor")))</f>
        <v>Good</v>
      </c>
    </row>
    <row r="2389" spans="1:13" x14ac:dyDescent="0.35">
      <c r="A2389" t="s">
        <v>1181</v>
      </c>
      <c r="B2389" s="9" t="s">
        <v>1245</v>
      </c>
      <c r="C2389" t="s">
        <v>19</v>
      </c>
      <c r="D2389" t="s">
        <v>20</v>
      </c>
      <c r="E2389" t="s">
        <v>21</v>
      </c>
      <c r="F2389">
        <v>4.2</v>
      </c>
      <c r="G2389">
        <v>9990</v>
      </c>
      <c r="H2389">
        <v>9990</v>
      </c>
      <c r="I2389">
        <f>FlipkartTable[[#This Row],[Original Price]]-FlipkartTable[[#This Row],[Selling Price]]</f>
        <v>0</v>
      </c>
      <c r="J2389" s="4">
        <f>(FlipkartTable[[#This Row],[Original Price]]-FlipkartTable[[#This Row],[Selling Price]])/FlipkartTable[[#This Row],[Original Price]]</f>
        <v>0</v>
      </c>
      <c r="K2389">
        <f>(FlipkartTable[[#This Row],[Rating]]/FlipkartTable[[#This Row],[Selling Price]])*1000</f>
        <v>0.42042042042042044</v>
      </c>
      <c r="L2389" t="str">
        <f>IF(FlipkartTable[[#This Row],[Selling Price]]&lt;15000,"Budget",IF(FlipkartTable[[#This Row],[Selling Price]]&lt;50000,"Mid Range","Premium"))</f>
        <v>Budget</v>
      </c>
      <c r="M2389" t="str">
        <f>IF(FlipkartTable[[#This Row],[Rating]]&gt;4.5,"Excellent",IF(FlipkartTable[[#This Row],[Rating]]&gt;4,"Good",IF(FlipkartTable[[#This Row],[Rating]]&gt;3.5,"Average","Poor")))</f>
        <v>Good</v>
      </c>
    </row>
    <row r="2390" spans="1:13" x14ac:dyDescent="0.35">
      <c r="A2390" t="s">
        <v>1181</v>
      </c>
      <c r="B2390" s="9" t="s">
        <v>1245</v>
      </c>
      <c r="C2390" t="s">
        <v>19</v>
      </c>
      <c r="D2390" t="s">
        <v>11</v>
      </c>
      <c r="E2390" t="s">
        <v>12</v>
      </c>
      <c r="F2390">
        <v>4.3</v>
      </c>
      <c r="G2390">
        <v>10999</v>
      </c>
      <c r="H2390">
        <v>11499</v>
      </c>
      <c r="I2390">
        <f>FlipkartTable[[#This Row],[Original Price]]-FlipkartTable[[#This Row],[Selling Price]]</f>
        <v>500</v>
      </c>
      <c r="J2390" s="4">
        <f>(FlipkartTable[[#This Row],[Original Price]]-FlipkartTable[[#This Row],[Selling Price]])/FlipkartTable[[#This Row],[Original Price]]</f>
        <v>4.3482041916688405E-2</v>
      </c>
      <c r="K2390">
        <f>(FlipkartTable[[#This Row],[Rating]]/FlipkartTable[[#This Row],[Selling Price]])*1000</f>
        <v>0.39094463133012086</v>
      </c>
      <c r="L2390" t="str">
        <f>IF(FlipkartTable[[#This Row],[Selling Price]]&lt;15000,"Budget",IF(FlipkartTable[[#This Row],[Selling Price]]&lt;50000,"Mid Range","Premium"))</f>
        <v>Budget</v>
      </c>
      <c r="M2390" t="str">
        <f>IF(FlipkartTable[[#This Row],[Rating]]&gt;4.5,"Excellent",IF(FlipkartTable[[#This Row],[Rating]]&gt;4,"Good",IF(FlipkartTable[[#This Row],[Rating]]&gt;3.5,"Average","Poor")))</f>
        <v>Good</v>
      </c>
    </row>
    <row r="2391" spans="1:13" x14ac:dyDescent="0.35">
      <c r="A2391" t="s">
        <v>1181</v>
      </c>
      <c r="B2391" s="9" t="s">
        <v>1245</v>
      </c>
      <c r="C2391" t="s">
        <v>116</v>
      </c>
      <c r="D2391" t="s">
        <v>11</v>
      </c>
      <c r="E2391" t="s">
        <v>12</v>
      </c>
      <c r="F2391">
        <v>4.4000000000000004</v>
      </c>
      <c r="G2391">
        <v>11499</v>
      </c>
      <c r="H2391">
        <v>11499</v>
      </c>
      <c r="I2391">
        <f>FlipkartTable[[#This Row],[Original Price]]-FlipkartTable[[#This Row],[Selling Price]]</f>
        <v>0</v>
      </c>
      <c r="J2391" s="4">
        <f>(FlipkartTable[[#This Row],[Original Price]]-FlipkartTable[[#This Row],[Selling Price]])/FlipkartTable[[#This Row],[Original Price]]</f>
        <v>0</v>
      </c>
      <c r="K2391">
        <f>(FlipkartTable[[#This Row],[Rating]]/FlipkartTable[[#This Row],[Selling Price]])*1000</f>
        <v>0.38264196886685803</v>
      </c>
      <c r="L2391" t="str">
        <f>IF(FlipkartTable[[#This Row],[Selling Price]]&lt;15000,"Budget",IF(FlipkartTable[[#This Row],[Selling Price]]&lt;50000,"Mid Range","Premium"))</f>
        <v>Budget</v>
      </c>
      <c r="M2391" t="str">
        <f>IF(FlipkartTable[[#This Row],[Rating]]&gt;4.5,"Excellent",IF(FlipkartTable[[#This Row],[Rating]]&gt;4,"Good",IF(FlipkartTable[[#This Row],[Rating]]&gt;3.5,"Average","Poor")))</f>
        <v>Good</v>
      </c>
    </row>
    <row r="2392" spans="1:13" x14ac:dyDescent="0.35">
      <c r="A2392" t="s">
        <v>1181</v>
      </c>
      <c r="B2392" s="9" t="s">
        <v>1245</v>
      </c>
      <c r="C2392" t="s">
        <v>114</v>
      </c>
      <c r="D2392" t="s">
        <v>20</v>
      </c>
      <c r="E2392" t="s">
        <v>21</v>
      </c>
      <c r="F2392">
        <v>4.4000000000000004</v>
      </c>
      <c r="G2392">
        <v>9998</v>
      </c>
      <c r="H2392">
        <v>9998</v>
      </c>
      <c r="I2392">
        <f>FlipkartTable[[#This Row],[Original Price]]-FlipkartTable[[#This Row],[Selling Price]]</f>
        <v>0</v>
      </c>
      <c r="J2392" s="4">
        <f>(FlipkartTable[[#This Row],[Original Price]]-FlipkartTable[[#This Row],[Selling Price]])/FlipkartTable[[#This Row],[Original Price]]</f>
        <v>0</v>
      </c>
      <c r="K2392">
        <f>(FlipkartTable[[#This Row],[Rating]]/FlipkartTable[[#This Row],[Selling Price]])*1000</f>
        <v>0.44008801760352073</v>
      </c>
      <c r="L2392" t="str">
        <f>IF(FlipkartTable[[#This Row],[Selling Price]]&lt;15000,"Budget",IF(FlipkartTable[[#This Row],[Selling Price]]&lt;50000,"Mid Range","Premium"))</f>
        <v>Budget</v>
      </c>
      <c r="M2392" t="str">
        <f>IF(FlipkartTable[[#This Row],[Rating]]&gt;4.5,"Excellent",IF(FlipkartTable[[#This Row],[Rating]]&gt;4,"Good",IF(FlipkartTable[[#This Row],[Rating]]&gt;3.5,"Average","Poor")))</f>
        <v>Good</v>
      </c>
    </row>
    <row r="2393" spans="1:13" x14ac:dyDescent="0.35">
      <c r="A2393" t="s">
        <v>1181</v>
      </c>
      <c r="B2393" s="9" t="s">
        <v>1246</v>
      </c>
      <c r="C2393" t="s">
        <v>22</v>
      </c>
      <c r="D2393" t="s">
        <v>11</v>
      </c>
      <c r="E2393" t="s">
        <v>12</v>
      </c>
      <c r="F2393">
        <v>4.4000000000000004</v>
      </c>
      <c r="G2393">
        <v>14999</v>
      </c>
      <c r="H2393">
        <v>14999</v>
      </c>
      <c r="I2393">
        <f>FlipkartTable[[#This Row],[Original Price]]-FlipkartTable[[#This Row],[Selling Price]]</f>
        <v>0</v>
      </c>
      <c r="J2393" s="4">
        <f>(FlipkartTable[[#This Row],[Original Price]]-FlipkartTable[[#This Row],[Selling Price]])/FlipkartTable[[#This Row],[Original Price]]</f>
        <v>0</v>
      </c>
      <c r="K2393">
        <f>(FlipkartTable[[#This Row],[Rating]]/FlipkartTable[[#This Row],[Selling Price]])*1000</f>
        <v>0.29335289019267952</v>
      </c>
      <c r="L2393" t="str">
        <f>IF(FlipkartTable[[#This Row],[Selling Price]]&lt;15000,"Budget",IF(FlipkartTable[[#This Row],[Selling Price]]&lt;50000,"Mid Range","Premium"))</f>
        <v>Budget</v>
      </c>
      <c r="M2393" t="str">
        <f>IF(FlipkartTable[[#This Row],[Rating]]&gt;4.5,"Excellent",IF(FlipkartTable[[#This Row],[Rating]]&gt;4,"Good",IF(FlipkartTable[[#This Row],[Rating]]&gt;3.5,"Average","Poor")))</f>
        <v>Good</v>
      </c>
    </row>
    <row r="2394" spans="1:13" x14ac:dyDescent="0.35">
      <c r="A2394" t="s">
        <v>1181</v>
      </c>
      <c r="B2394" s="9" t="s">
        <v>1246</v>
      </c>
      <c r="C2394" t="s">
        <v>116</v>
      </c>
      <c r="D2394" t="s">
        <v>14</v>
      </c>
      <c r="E2394" t="s">
        <v>12</v>
      </c>
      <c r="F2394">
        <v>4.2</v>
      </c>
      <c r="G2394">
        <v>16999</v>
      </c>
      <c r="H2394">
        <v>16999</v>
      </c>
      <c r="I2394">
        <f>FlipkartTable[[#This Row],[Original Price]]-FlipkartTable[[#This Row],[Selling Price]]</f>
        <v>0</v>
      </c>
      <c r="J2394" s="4">
        <f>(FlipkartTable[[#This Row],[Original Price]]-FlipkartTable[[#This Row],[Selling Price]])/FlipkartTable[[#This Row],[Original Price]]</f>
        <v>0</v>
      </c>
      <c r="K2394">
        <f>(FlipkartTable[[#This Row],[Rating]]/FlipkartTable[[#This Row],[Selling Price]])*1000</f>
        <v>0.24707335725630922</v>
      </c>
      <c r="L2394" t="str">
        <f>IF(FlipkartTable[[#This Row],[Selling Price]]&lt;15000,"Budget",IF(FlipkartTable[[#This Row],[Selling Price]]&lt;50000,"Mid Range","Premium"))</f>
        <v>Mid Range</v>
      </c>
      <c r="M2394" t="str">
        <f>IF(FlipkartTable[[#This Row],[Rating]]&gt;4.5,"Excellent",IF(FlipkartTable[[#This Row],[Rating]]&gt;4,"Good",IF(FlipkartTable[[#This Row],[Rating]]&gt;3.5,"Average","Poor")))</f>
        <v>Good</v>
      </c>
    </row>
    <row r="2395" spans="1:13" x14ac:dyDescent="0.35">
      <c r="A2395" t="s">
        <v>1181</v>
      </c>
      <c r="B2395" s="9" t="s">
        <v>1246</v>
      </c>
      <c r="C2395" t="s">
        <v>116</v>
      </c>
      <c r="D2395" t="s">
        <v>11</v>
      </c>
      <c r="E2395" t="s">
        <v>12</v>
      </c>
      <c r="F2395">
        <v>4.5</v>
      </c>
      <c r="G2395">
        <v>14999</v>
      </c>
      <c r="H2395">
        <v>14999</v>
      </c>
      <c r="I2395">
        <f>FlipkartTable[[#This Row],[Original Price]]-FlipkartTable[[#This Row],[Selling Price]]</f>
        <v>0</v>
      </c>
      <c r="J2395" s="4">
        <f>(FlipkartTable[[#This Row],[Original Price]]-FlipkartTable[[#This Row],[Selling Price]])/FlipkartTable[[#This Row],[Original Price]]</f>
        <v>0</v>
      </c>
      <c r="K2395">
        <f>(FlipkartTable[[#This Row],[Rating]]/FlipkartTable[[#This Row],[Selling Price]])*1000</f>
        <v>0.30002000133342221</v>
      </c>
      <c r="L2395" t="str">
        <f>IF(FlipkartTable[[#This Row],[Selling Price]]&lt;15000,"Budget",IF(FlipkartTable[[#This Row],[Selling Price]]&lt;50000,"Mid Range","Premium"))</f>
        <v>Budget</v>
      </c>
      <c r="M2395" t="str">
        <f>IF(FlipkartTable[[#This Row],[Rating]]&gt;4.5,"Excellent",IF(FlipkartTable[[#This Row],[Rating]]&gt;4,"Good",IF(FlipkartTable[[#This Row],[Rating]]&gt;3.5,"Average","Poor")))</f>
        <v>Good</v>
      </c>
    </row>
    <row r="2396" spans="1:13" x14ac:dyDescent="0.35">
      <c r="A2396" t="s">
        <v>1181</v>
      </c>
      <c r="B2396" s="9" t="s">
        <v>1247</v>
      </c>
      <c r="C2396" t="s">
        <v>19</v>
      </c>
      <c r="D2396" t="s">
        <v>14</v>
      </c>
      <c r="E2396" t="s">
        <v>12</v>
      </c>
      <c r="F2396">
        <v>4.0999999999999996</v>
      </c>
      <c r="G2396">
        <v>14999</v>
      </c>
      <c r="H2396">
        <v>14999</v>
      </c>
      <c r="I2396">
        <f>FlipkartTable[[#This Row],[Original Price]]-FlipkartTable[[#This Row],[Selling Price]]</f>
        <v>0</v>
      </c>
      <c r="J2396" s="4">
        <f>(FlipkartTable[[#This Row],[Original Price]]-FlipkartTable[[#This Row],[Selling Price]])/FlipkartTable[[#This Row],[Original Price]]</f>
        <v>0</v>
      </c>
      <c r="K2396">
        <f>(FlipkartTable[[#This Row],[Rating]]/FlipkartTable[[#This Row],[Selling Price]])*1000</f>
        <v>0.27335155677045131</v>
      </c>
      <c r="L2396" t="str">
        <f>IF(FlipkartTable[[#This Row],[Selling Price]]&lt;15000,"Budget",IF(FlipkartTable[[#This Row],[Selling Price]]&lt;50000,"Mid Range","Premium"))</f>
        <v>Budget</v>
      </c>
      <c r="M2396" t="str">
        <f>IF(FlipkartTable[[#This Row],[Rating]]&gt;4.5,"Excellent",IF(FlipkartTable[[#This Row],[Rating]]&gt;4,"Good",IF(FlipkartTable[[#This Row],[Rating]]&gt;3.5,"Average","Poor")))</f>
        <v>Good</v>
      </c>
    </row>
    <row r="2397" spans="1:13" x14ac:dyDescent="0.35">
      <c r="A2397" t="s">
        <v>1181</v>
      </c>
      <c r="B2397" s="9" t="s">
        <v>1247</v>
      </c>
      <c r="C2397" t="s">
        <v>19</v>
      </c>
      <c r="D2397" t="s">
        <v>11</v>
      </c>
      <c r="E2397" t="s">
        <v>12</v>
      </c>
      <c r="F2397">
        <v>4.4000000000000004</v>
      </c>
      <c r="G2397">
        <v>12349</v>
      </c>
      <c r="H2397">
        <v>12349</v>
      </c>
      <c r="I2397">
        <f>FlipkartTable[[#This Row],[Original Price]]-FlipkartTable[[#This Row],[Selling Price]]</f>
        <v>0</v>
      </c>
      <c r="J2397" s="4">
        <f>(FlipkartTable[[#This Row],[Original Price]]-FlipkartTable[[#This Row],[Selling Price]])/FlipkartTable[[#This Row],[Original Price]]</f>
        <v>0</v>
      </c>
      <c r="K2397">
        <f>(FlipkartTable[[#This Row],[Rating]]/FlipkartTable[[#This Row],[Selling Price]])*1000</f>
        <v>0.35630415418252492</v>
      </c>
      <c r="L2397" t="str">
        <f>IF(FlipkartTable[[#This Row],[Selling Price]]&lt;15000,"Budget",IF(FlipkartTable[[#This Row],[Selling Price]]&lt;50000,"Mid Range","Premium"))</f>
        <v>Budget</v>
      </c>
      <c r="M2397" t="str">
        <f>IF(FlipkartTable[[#This Row],[Rating]]&gt;4.5,"Excellent",IF(FlipkartTable[[#This Row],[Rating]]&gt;4,"Good",IF(FlipkartTable[[#This Row],[Rating]]&gt;3.5,"Average","Poor")))</f>
        <v>Good</v>
      </c>
    </row>
    <row r="2398" spans="1:13" x14ac:dyDescent="0.35">
      <c r="A2398" t="s">
        <v>1181</v>
      </c>
      <c r="B2398" s="9" t="s">
        <v>1247</v>
      </c>
      <c r="C2398" t="s">
        <v>22</v>
      </c>
      <c r="D2398" t="s">
        <v>11</v>
      </c>
      <c r="E2398" t="s">
        <v>12</v>
      </c>
      <c r="F2398">
        <v>4.4000000000000004</v>
      </c>
      <c r="G2398">
        <v>12999</v>
      </c>
      <c r="H2398">
        <v>12999</v>
      </c>
      <c r="I2398">
        <f>FlipkartTable[[#This Row],[Original Price]]-FlipkartTable[[#This Row],[Selling Price]]</f>
        <v>0</v>
      </c>
      <c r="J2398" s="4">
        <f>(FlipkartTable[[#This Row],[Original Price]]-FlipkartTable[[#This Row],[Selling Price]])/FlipkartTable[[#This Row],[Original Price]]</f>
        <v>0</v>
      </c>
      <c r="K2398">
        <f>(FlipkartTable[[#This Row],[Rating]]/FlipkartTable[[#This Row],[Selling Price]])*1000</f>
        <v>0.33848757596738216</v>
      </c>
      <c r="L2398" t="str">
        <f>IF(FlipkartTable[[#This Row],[Selling Price]]&lt;15000,"Budget",IF(FlipkartTable[[#This Row],[Selling Price]]&lt;50000,"Mid Range","Premium"))</f>
        <v>Budget</v>
      </c>
      <c r="M2398" t="str">
        <f>IF(FlipkartTable[[#This Row],[Rating]]&gt;4.5,"Excellent",IF(FlipkartTable[[#This Row],[Rating]]&gt;4,"Good",IF(FlipkartTable[[#This Row],[Rating]]&gt;3.5,"Average","Poor")))</f>
        <v>Good</v>
      </c>
    </row>
    <row r="2399" spans="1:13" x14ac:dyDescent="0.35">
      <c r="A2399" t="s">
        <v>1181</v>
      </c>
      <c r="B2399" s="9" t="s">
        <v>1247</v>
      </c>
      <c r="C2399" t="s">
        <v>22</v>
      </c>
      <c r="D2399" t="s">
        <v>14</v>
      </c>
      <c r="E2399" t="s">
        <v>12</v>
      </c>
      <c r="F2399">
        <v>4.5</v>
      </c>
      <c r="G2399">
        <v>14990</v>
      </c>
      <c r="H2399">
        <v>14990</v>
      </c>
      <c r="I2399">
        <f>FlipkartTable[[#This Row],[Original Price]]-FlipkartTable[[#This Row],[Selling Price]]</f>
        <v>0</v>
      </c>
      <c r="J2399" s="4">
        <f>(FlipkartTable[[#This Row],[Original Price]]-FlipkartTable[[#This Row],[Selling Price]])/FlipkartTable[[#This Row],[Original Price]]</f>
        <v>0</v>
      </c>
      <c r="K2399">
        <f>(FlipkartTable[[#This Row],[Rating]]/FlipkartTable[[#This Row],[Selling Price]])*1000</f>
        <v>0.30020013342228152</v>
      </c>
      <c r="L2399" t="str">
        <f>IF(FlipkartTable[[#This Row],[Selling Price]]&lt;15000,"Budget",IF(FlipkartTable[[#This Row],[Selling Price]]&lt;50000,"Mid Range","Premium"))</f>
        <v>Budget</v>
      </c>
      <c r="M2399" t="str">
        <f>IF(FlipkartTable[[#This Row],[Rating]]&gt;4.5,"Excellent",IF(FlipkartTable[[#This Row],[Rating]]&gt;4,"Good",IF(FlipkartTable[[#This Row],[Rating]]&gt;3.5,"Average","Poor")))</f>
        <v>Good</v>
      </c>
    </row>
    <row r="2400" spans="1:13" x14ac:dyDescent="0.35">
      <c r="A2400" t="s">
        <v>1181</v>
      </c>
      <c r="B2400" s="9" t="s">
        <v>1247</v>
      </c>
      <c r="C2400" t="s">
        <v>84</v>
      </c>
      <c r="D2400" t="s">
        <v>14</v>
      </c>
      <c r="E2400" t="s">
        <v>12</v>
      </c>
      <c r="F2400">
        <v>4.5</v>
      </c>
      <c r="G2400">
        <v>17999</v>
      </c>
      <c r="H2400">
        <v>17999</v>
      </c>
      <c r="I2400">
        <f>FlipkartTable[[#This Row],[Original Price]]-FlipkartTable[[#This Row],[Selling Price]]</f>
        <v>0</v>
      </c>
      <c r="J2400" s="4">
        <f>(FlipkartTable[[#This Row],[Original Price]]-FlipkartTable[[#This Row],[Selling Price]])/FlipkartTable[[#This Row],[Original Price]]</f>
        <v>0</v>
      </c>
      <c r="K2400">
        <f>(FlipkartTable[[#This Row],[Rating]]/FlipkartTable[[#This Row],[Selling Price]])*1000</f>
        <v>0.25001388966053667</v>
      </c>
      <c r="L2400" t="str">
        <f>IF(FlipkartTable[[#This Row],[Selling Price]]&lt;15000,"Budget",IF(FlipkartTable[[#This Row],[Selling Price]]&lt;50000,"Mid Range","Premium"))</f>
        <v>Mid Range</v>
      </c>
      <c r="M2400" t="str">
        <f>IF(FlipkartTable[[#This Row],[Rating]]&gt;4.5,"Excellent",IF(FlipkartTable[[#This Row],[Rating]]&gt;4,"Good",IF(FlipkartTable[[#This Row],[Rating]]&gt;3.5,"Average","Poor")))</f>
        <v>Good</v>
      </c>
    </row>
    <row r="2401" spans="1:13" x14ac:dyDescent="0.35">
      <c r="A2401" t="s">
        <v>1181</v>
      </c>
      <c r="B2401" s="9" t="s">
        <v>1247</v>
      </c>
      <c r="C2401" t="s">
        <v>84</v>
      </c>
      <c r="D2401" t="s">
        <v>11</v>
      </c>
      <c r="E2401" t="s">
        <v>12</v>
      </c>
      <c r="F2401">
        <v>4.4000000000000004</v>
      </c>
      <c r="G2401">
        <v>12499</v>
      </c>
      <c r="H2401">
        <v>12499</v>
      </c>
      <c r="I2401">
        <f>FlipkartTable[[#This Row],[Original Price]]-FlipkartTable[[#This Row],[Selling Price]]</f>
        <v>0</v>
      </c>
      <c r="J2401" s="4">
        <f>(FlipkartTable[[#This Row],[Original Price]]-FlipkartTable[[#This Row],[Selling Price]])/FlipkartTable[[#This Row],[Original Price]]</f>
        <v>0</v>
      </c>
      <c r="K2401">
        <f>(FlipkartTable[[#This Row],[Rating]]/FlipkartTable[[#This Row],[Selling Price]])*1000</f>
        <v>0.35202816225298028</v>
      </c>
      <c r="L2401" t="str">
        <f>IF(FlipkartTable[[#This Row],[Selling Price]]&lt;15000,"Budget",IF(FlipkartTable[[#This Row],[Selling Price]]&lt;50000,"Mid Range","Premium"))</f>
        <v>Budget</v>
      </c>
      <c r="M2401" t="str">
        <f>IF(FlipkartTable[[#This Row],[Rating]]&gt;4.5,"Excellent",IF(FlipkartTable[[#This Row],[Rating]]&gt;4,"Good",IF(FlipkartTable[[#This Row],[Rating]]&gt;3.5,"Average","Poor")))</f>
        <v>Good</v>
      </c>
    </row>
    <row r="2402" spans="1:13" x14ac:dyDescent="0.35">
      <c r="A2402" t="s">
        <v>1181</v>
      </c>
      <c r="B2402" s="9" t="s">
        <v>1247</v>
      </c>
      <c r="C2402" t="s">
        <v>114</v>
      </c>
      <c r="D2402" t="s">
        <v>11</v>
      </c>
      <c r="E2402" t="s">
        <v>12</v>
      </c>
      <c r="F2402">
        <v>4.4000000000000004</v>
      </c>
      <c r="G2402">
        <v>12449</v>
      </c>
      <c r="H2402">
        <v>15990</v>
      </c>
      <c r="I2402">
        <f>FlipkartTable[[#This Row],[Original Price]]-FlipkartTable[[#This Row],[Selling Price]]</f>
        <v>3541</v>
      </c>
      <c r="J2402" s="4">
        <f>(FlipkartTable[[#This Row],[Original Price]]-FlipkartTable[[#This Row],[Selling Price]])/FlipkartTable[[#This Row],[Original Price]]</f>
        <v>0.22145090681676047</v>
      </c>
      <c r="K2402">
        <f>(FlipkartTable[[#This Row],[Rating]]/FlipkartTable[[#This Row],[Selling Price]])*1000</f>
        <v>0.35344204353763353</v>
      </c>
      <c r="L2402" t="str">
        <f>IF(FlipkartTable[[#This Row],[Selling Price]]&lt;15000,"Budget",IF(FlipkartTable[[#This Row],[Selling Price]]&lt;50000,"Mid Range","Premium"))</f>
        <v>Budget</v>
      </c>
      <c r="M2402" t="str">
        <f>IF(FlipkartTable[[#This Row],[Rating]]&gt;4.5,"Excellent",IF(FlipkartTable[[#This Row],[Rating]]&gt;4,"Good",IF(FlipkartTable[[#This Row],[Rating]]&gt;3.5,"Average","Poor")))</f>
        <v>Good</v>
      </c>
    </row>
    <row r="2403" spans="1:13" x14ac:dyDescent="0.35">
      <c r="A2403" t="s">
        <v>1181</v>
      </c>
      <c r="B2403" s="9" t="s">
        <v>1247</v>
      </c>
      <c r="C2403" t="s">
        <v>114</v>
      </c>
      <c r="D2403" t="s">
        <v>14</v>
      </c>
      <c r="E2403" t="s">
        <v>12</v>
      </c>
      <c r="F2403">
        <v>4.3</v>
      </c>
      <c r="G2403">
        <v>14999</v>
      </c>
      <c r="H2403">
        <v>14999</v>
      </c>
      <c r="I2403">
        <f>FlipkartTable[[#This Row],[Original Price]]-FlipkartTable[[#This Row],[Selling Price]]</f>
        <v>0</v>
      </c>
      <c r="J2403" s="4">
        <f>(FlipkartTable[[#This Row],[Original Price]]-FlipkartTable[[#This Row],[Selling Price]])/FlipkartTable[[#This Row],[Original Price]]</f>
        <v>0</v>
      </c>
      <c r="K2403">
        <f>(FlipkartTable[[#This Row],[Rating]]/FlipkartTable[[#This Row],[Selling Price]])*1000</f>
        <v>0.28668577905193682</v>
      </c>
      <c r="L2403" t="str">
        <f>IF(FlipkartTable[[#This Row],[Selling Price]]&lt;15000,"Budget",IF(FlipkartTable[[#This Row],[Selling Price]]&lt;50000,"Mid Range","Premium"))</f>
        <v>Budget</v>
      </c>
      <c r="M2403" t="str">
        <f>IF(FlipkartTable[[#This Row],[Rating]]&gt;4.5,"Excellent",IF(FlipkartTable[[#This Row],[Rating]]&gt;4,"Good",IF(FlipkartTable[[#This Row],[Rating]]&gt;3.5,"Average","Poor")))</f>
        <v>Good</v>
      </c>
    </row>
    <row r="2404" spans="1:13" x14ac:dyDescent="0.35">
      <c r="A2404" t="s">
        <v>1181</v>
      </c>
      <c r="B2404" s="9" t="s">
        <v>1248</v>
      </c>
      <c r="C2404" t="s">
        <v>1217</v>
      </c>
      <c r="D2404" t="s">
        <v>11</v>
      </c>
      <c r="E2404" t="s">
        <v>12</v>
      </c>
      <c r="F2404">
        <v>4.3</v>
      </c>
      <c r="G2404">
        <v>11748</v>
      </c>
      <c r="H2404">
        <v>12690</v>
      </c>
      <c r="I2404">
        <f>FlipkartTable[[#This Row],[Original Price]]-FlipkartTable[[#This Row],[Selling Price]]</f>
        <v>942</v>
      </c>
      <c r="J2404" s="4">
        <f>(FlipkartTable[[#This Row],[Original Price]]-FlipkartTable[[#This Row],[Selling Price]])/FlipkartTable[[#This Row],[Original Price]]</f>
        <v>7.4231678486997632E-2</v>
      </c>
      <c r="K2404">
        <f>(FlipkartTable[[#This Row],[Rating]]/FlipkartTable[[#This Row],[Selling Price]])*1000</f>
        <v>0.36601974804221993</v>
      </c>
      <c r="L2404" t="str">
        <f>IF(FlipkartTable[[#This Row],[Selling Price]]&lt;15000,"Budget",IF(FlipkartTable[[#This Row],[Selling Price]]&lt;50000,"Mid Range","Premium"))</f>
        <v>Budget</v>
      </c>
      <c r="M2404" t="str">
        <f>IF(FlipkartTable[[#This Row],[Rating]]&gt;4.5,"Excellent",IF(FlipkartTable[[#This Row],[Rating]]&gt;4,"Good",IF(FlipkartTable[[#This Row],[Rating]]&gt;3.5,"Average","Poor")))</f>
        <v>Good</v>
      </c>
    </row>
    <row r="2405" spans="1:13" x14ac:dyDescent="0.35">
      <c r="A2405" t="s">
        <v>1181</v>
      </c>
      <c r="B2405" s="9" t="s">
        <v>1248</v>
      </c>
      <c r="C2405" t="s">
        <v>1218</v>
      </c>
      <c r="D2405" t="s">
        <v>20</v>
      </c>
      <c r="E2405" t="s">
        <v>21</v>
      </c>
      <c r="F2405">
        <v>4.2</v>
      </c>
      <c r="G2405">
        <v>11900</v>
      </c>
      <c r="H2405">
        <v>11900</v>
      </c>
      <c r="I2405">
        <f>FlipkartTable[[#This Row],[Original Price]]-FlipkartTable[[#This Row],[Selling Price]]</f>
        <v>0</v>
      </c>
      <c r="J2405" s="4">
        <f>(FlipkartTable[[#This Row],[Original Price]]-FlipkartTable[[#This Row],[Selling Price]])/FlipkartTable[[#This Row],[Original Price]]</f>
        <v>0</v>
      </c>
      <c r="K2405">
        <f>(FlipkartTable[[#This Row],[Rating]]/FlipkartTable[[#This Row],[Selling Price]])*1000</f>
        <v>0.35294117647058826</v>
      </c>
      <c r="L2405" t="str">
        <f>IF(FlipkartTable[[#This Row],[Selling Price]]&lt;15000,"Budget",IF(FlipkartTable[[#This Row],[Selling Price]]&lt;50000,"Mid Range","Premium"))</f>
        <v>Budget</v>
      </c>
      <c r="M2405" t="str">
        <f>IF(FlipkartTable[[#This Row],[Rating]]&gt;4.5,"Excellent",IF(FlipkartTable[[#This Row],[Rating]]&gt;4,"Good",IF(FlipkartTable[[#This Row],[Rating]]&gt;3.5,"Average","Poor")))</f>
        <v>Good</v>
      </c>
    </row>
    <row r="2406" spans="1:13" x14ac:dyDescent="0.35">
      <c r="A2406" t="s">
        <v>1181</v>
      </c>
      <c r="B2406" s="9" t="s">
        <v>1248</v>
      </c>
      <c r="C2406" t="s">
        <v>1218</v>
      </c>
      <c r="D2406" t="s">
        <v>11</v>
      </c>
      <c r="E2406" t="s">
        <v>12</v>
      </c>
      <c r="F2406">
        <v>4.0999999999999996</v>
      </c>
      <c r="G2406">
        <v>13399</v>
      </c>
      <c r="H2406">
        <v>14399</v>
      </c>
      <c r="I2406">
        <f>FlipkartTable[[#This Row],[Original Price]]-FlipkartTable[[#This Row],[Selling Price]]</f>
        <v>1000</v>
      </c>
      <c r="J2406" s="4">
        <f>(FlipkartTable[[#This Row],[Original Price]]-FlipkartTable[[#This Row],[Selling Price]])/FlipkartTable[[#This Row],[Original Price]]</f>
        <v>6.9449267310229879E-2</v>
      </c>
      <c r="K2406">
        <f>(FlipkartTable[[#This Row],[Rating]]/FlipkartTable[[#This Row],[Selling Price]])*1000</f>
        <v>0.30599298455108587</v>
      </c>
      <c r="L2406" t="str">
        <f>IF(FlipkartTable[[#This Row],[Selling Price]]&lt;15000,"Budget",IF(FlipkartTable[[#This Row],[Selling Price]]&lt;50000,"Mid Range","Premium"))</f>
        <v>Budget</v>
      </c>
      <c r="M2406" t="str">
        <f>IF(FlipkartTable[[#This Row],[Rating]]&gt;4.5,"Excellent",IF(FlipkartTable[[#This Row],[Rating]]&gt;4,"Good",IF(FlipkartTable[[#This Row],[Rating]]&gt;3.5,"Average","Poor")))</f>
        <v>Good</v>
      </c>
    </row>
    <row r="2407" spans="1:13" x14ac:dyDescent="0.35">
      <c r="A2407" t="s">
        <v>1181</v>
      </c>
      <c r="B2407" s="9" t="s">
        <v>1248</v>
      </c>
      <c r="C2407" t="s">
        <v>1079</v>
      </c>
      <c r="D2407" t="s">
        <v>20</v>
      </c>
      <c r="E2407" t="s">
        <v>21</v>
      </c>
      <c r="F2407">
        <v>4.4000000000000004</v>
      </c>
      <c r="G2407">
        <v>11946</v>
      </c>
      <c r="H2407">
        <v>11946</v>
      </c>
      <c r="I2407">
        <f>FlipkartTable[[#This Row],[Original Price]]-FlipkartTable[[#This Row],[Selling Price]]</f>
        <v>0</v>
      </c>
      <c r="J2407" s="4">
        <f>(FlipkartTable[[#This Row],[Original Price]]-FlipkartTable[[#This Row],[Selling Price]])/FlipkartTable[[#This Row],[Original Price]]</f>
        <v>0</v>
      </c>
      <c r="K2407">
        <f>(FlipkartTable[[#This Row],[Rating]]/FlipkartTable[[#This Row],[Selling Price]])*1000</f>
        <v>0.36832412523020264</v>
      </c>
      <c r="L2407" t="str">
        <f>IF(FlipkartTable[[#This Row],[Selling Price]]&lt;15000,"Budget",IF(FlipkartTable[[#This Row],[Selling Price]]&lt;50000,"Mid Range","Premium"))</f>
        <v>Budget</v>
      </c>
      <c r="M2407" t="str">
        <f>IF(FlipkartTable[[#This Row],[Rating]]&gt;4.5,"Excellent",IF(FlipkartTable[[#This Row],[Rating]]&gt;4,"Good",IF(FlipkartTable[[#This Row],[Rating]]&gt;3.5,"Average","Poor")))</f>
        <v>Good</v>
      </c>
    </row>
    <row r="2408" spans="1:13" x14ac:dyDescent="0.35">
      <c r="A2408" t="s">
        <v>1181</v>
      </c>
      <c r="B2408" s="9" t="s">
        <v>1249</v>
      </c>
      <c r="C2408" t="s">
        <v>22</v>
      </c>
      <c r="D2408" t="s">
        <v>11</v>
      </c>
      <c r="E2408" t="s">
        <v>12</v>
      </c>
      <c r="F2408">
        <v>4.5</v>
      </c>
      <c r="G2408">
        <v>14450</v>
      </c>
      <c r="H2408">
        <v>14899</v>
      </c>
      <c r="I2408">
        <f>FlipkartTable[[#This Row],[Original Price]]-FlipkartTable[[#This Row],[Selling Price]]</f>
        <v>449</v>
      </c>
      <c r="J2408" s="4">
        <f>(FlipkartTable[[#This Row],[Original Price]]-FlipkartTable[[#This Row],[Selling Price]])/FlipkartTable[[#This Row],[Original Price]]</f>
        <v>3.0136250755084235E-2</v>
      </c>
      <c r="K2408">
        <f>(FlipkartTable[[#This Row],[Rating]]/FlipkartTable[[#This Row],[Selling Price]])*1000</f>
        <v>0.31141868512110726</v>
      </c>
      <c r="L2408" t="str">
        <f>IF(FlipkartTable[[#This Row],[Selling Price]]&lt;15000,"Budget",IF(FlipkartTable[[#This Row],[Selling Price]]&lt;50000,"Mid Range","Premium"))</f>
        <v>Budget</v>
      </c>
      <c r="M2408" t="str">
        <f>IF(FlipkartTable[[#This Row],[Rating]]&gt;4.5,"Excellent",IF(FlipkartTable[[#This Row],[Rating]]&gt;4,"Good",IF(FlipkartTable[[#This Row],[Rating]]&gt;3.5,"Average","Poor")))</f>
        <v>Good</v>
      </c>
    </row>
    <row r="2409" spans="1:13" x14ac:dyDescent="0.35">
      <c r="A2409" t="s">
        <v>1181</v>
      </c>
      <c r="B2409" s="9" t="s">
        <v>1249</v>
      </c>
      <c r="C2409" t="s">
        <v>1077</v>
      </c>
      <c r="D2409" t="s">
        <v>14</v>
      </c>
      <c r="E2409" t="s">
        <v>15</v>
      </c>
      <c r="F2409">
        <v>4.5</v>
      </c>
      <c r="G2409">
        <v>15449</v>
      </c>
      <c r="H2409">
        <v>15990</v>
      </c>
      <c r="I2409">
        <f>FlipkartTable[[#This Row],[Original Price]]-FlipkartTable[[#This Row],[Selling Price]]</f>
        <v>541</v>
      </c>
      <c r="J2409" s="4">
        <f>(FlipkartTable[[#This Row],[Original Price]]-FlipkartTable[[#This Row],[Selling Price]])/FlipkartTable[[#This Row],[Original Price]]</f>
        <v>3.3833646028767983E-2</v>
      </c>
      <c r="K2409">
        <f>(FlipkartTable[[#This Row],[Rating]]/FlipkartTable[[#This Row],[Selling Price]])*1000</f>
        <v>0.29128098906078065</v>
      </c>
      <c r="L2409" t="str">
        <f>IF(FlipkartTable[[#This Row],[Selling Price]]&lt;15000,"Budget",IF(FlipkartTable[[#This Row],[Selling Price]]&lt;50000,"Mid Range","Premium"))</f>
        <v>Mid Range</v>
      </c>
      <c r="M2409" t="str">
        <f>IF(FlipkartTable[[#This Row],[Rating]]&gt;4.5,"Excellent",IF(FlipkartTable[[#This Row],[Rating]]&gt;4,"Good",IF(FlipkartTable[[#This Row],[Rating]]&gt;3.5,"Average","Poor")))</f>
        <v>Good</v>
      </c>
    </row>
    <row r="2410" spans="1:13" x14ac:dyDescent="0.35">
      <c r="A2410" t="s">
        <v>1181</v>
      </c>
      <c r="B2410" s="9" t="s">
        <v>1249</v>
      </c>
      <c r="C2410" t="s">
        <v>1250</v>
      </c>
      <c r="D2410" t="s">
        <v>14</v>
      </c>
      <c r="E2410" t="s">
        <v>12</v>
      </c>
      <c r="F2410">
        <v>4.5</v>
      </c>
      <c r="G2410">
        <v>14980</v>
      </c>
      <c r="H2410">
        <v>14990</v>
      </c>
      <c r="I2410">
        <f>FlipkartTable[[#This Row],[Original Price]]-FlipkartTable[[#This Row],[Selling Price]]</f>
        <v>10</v>
      </c>
      <c r="J2410" s="4">
        <f>(FlipkartTable[[#This Row],[Original Price]]-FlipkartTable[[#This Row],[Selling Price]])/FlipkartTable[[#This Row],[Original Price]]</f>
        <v>6.6711140760506999E-4</v>
      </c>
      <c r="K2410">
        <f>(FlipkartTable[[#This Row],[Rating]]/FlipkartTable[[#This Row],[Selling Price]])*1000</f>
        <v>0.30040053404539391</v>
      </c>
      <c r="L2410" t="str">
        <f>IF(FlipkartTable[[#This Row],[Selling Price]]&lt;15000,"Budget",IF(FlipkartTable[[#This Row],[Selling Price]]&lt;50000,"Mid Range","Premium"))</f>
        <v>Budget</v>
      </c>
      <c r="M2410" t="str">
        <f>IF(FlipkartTable[[#This Row],[Rating]]&gt;4.5,"Excellent",IF(FlipkartTable[[#This Row],[Rating]]&gt;4,"Good",IF(FlipkartTable[[#This Row],[Rating]]&gt;3.5,"Average","Poor")))</f>
        <v>Good</v>
      </c>
    </row>
    <row r="2411" spans="1:13" x14ac:dyDescent="0.35">
      <c r="A2411" t="s">
        <v>1181</v>
      </c>
      <c r="B2411" s="9" t="s">
        <v>1249</v>
      </c>
      <c r="C2411" t="s">
        <v>1251</v>
      </c>
      <c r="D2411" t="s">
        <v>11</v>
      </c>
      <c r="E2411" t="s">
        <v>12</v>
      </c>
      <c r="F2411">
        <v>4.3</v>
      </c>
      <c r="G2411">
        <v>14999</v>
      </c>
      <c r="H2411">
        <v>14999</v>
      </c>
      <c r="I2411">
        <f>FlipkartTable[[#This Row],[Original Price]]-FlipkartTable[[#This Row],[Selling Price]]</f>
        <v>0</v>
      </c>
      <c r="J2411" s="4">
        <f>(FlipkartTable[[#This Row],[Original Price]]-FlipkartTable[[#This Row],[Selling Price]])/FlipkartTable[[#This Row],[Original Price]]</f>
        <v>0</v>
      </c>
      <c r="K2411">
        <f>(FlipkartTable[[#This Row],[Rating]]/FlipkartTable[[#This Row],[Selling Price]])*1000</f>
        <v>0.28668577905193682</v>
      </c>
      <c r="L2411" t="str">
        <f>IF(FlipkartTable[[#This Row],[Selling Price]]&lt;15000,"Budget",IF(FlipkartTable[[#This Row],[Selling Price]]&lt;50000,"Mid Range","Premium"))</f>
        <v>Budget</v>
      </c>
      <c r="M2411" t="str">
        <f>IF(FlipkartTable[[#This Row],[Rating]]&gt;4.5,"Excellent",IF(FlipkartTable[[#This Row],[Rating]]&gt;4,"Good",IF(FlipkartTable[[#This Row],[Rating]]&gt;3.5,"Average","Poor")))</f>
        <v>Good</v>
      </c>
    </row>
    <row r="2412" spans="1:13" x14ac:dyDescent="0.35">
      <c r="A2412" t="s">
        <v>1181</v>
      </c>
      <c r="B2412" s="9" t="s">
        <v>1249</v>
      </c>
      <c r="C2412" t="s">
        <v>473</v>
      </c>
      <c r="D2412" t="s">
        <v>14</v>
      </c>
      <c r="E2412" t="s">
        <v>15</v>
      </c>
      <c r="F2412">
        <v>3.8</v>
      </c>
      <c r="G2412">
        <v>16399</v>
      </c>
      <c r="H2412">
        <v>16399</v>
      </c>
      <c r="I2412">
        <f>FlipkartTable[[#This Row],[Original Price]]-FlipkartTable[[#This Row],[Selling Price]]</f>
        <v>0</v>
      </c>
      <c r="J2412" s="4">
        <f>(FlipkartTable[[#This Row],[Original Price]]-FlipkartTable[[#This Row],[Selling Price]])/FlipkartTable[[#This Row],[Original Price]]</f>
        <v>0</v>
      </c>
      <c r="K2412">
        <f>(FlipkartTable[[#This Row],[Rating]]/FlipkartTable[[#This Row],[Selling Price]])*1000</f>
        <v>0.23172144642966033</v>
      </c>
      <c r="L2412" t="str">
        <f>IF(FlipkartTable[[#This Row],[Selling Price]]&lt;15000,"Budget",IF(FlipkartTable[[#This Row],[Selling Price]]&lt;50000,"Mid Range","Premium"))</f>
        <v>Mid Range</v>
      </c>
      <c r="M2412" t="str">
        <f>IF(FlipkartTable[[#This Row],[Rating]]&gt;4.5,"Excellent",IF(FlipkartTable[[#This Row],[Rating]]&gt;4,"Good",IF(FlipkartTable[[#This Row],[Rating]]&gt;3.5,"Average","Poor")))</f>
        <v>Average</v>
      </c>
    </row>
    <row r="2413" spans="1:13" x14ac:dyDescent="0.35">
      <c r="A2413" t="s">
        <v>1181</v>
      </c>
      <c r="B2413" s="9" t="s">
        <v>1249</v>
      </c>
      <c r="C2413" t="s">
        <v>473</v>
      </c>
      <c r="D2413" t="s">
        <v>14</v>
      </c>
      <c r="E2413" t="s">
        <v>12</v>
      </c>
      <c r="F2413">
        <v>4.3</v>
      </c>
      <c r="G2413">
        <v>16999</v>
      </c>
      <c r="H2413">
        <v>16999</v>
      </c>
      <c r="I2413">
        <f>FlipkartTable[[#This Row],[Original Price]]-FlipkartTable[[#This Row],[Selling Price]]</f>
        <v>0</v>
      </c>
      <c r="J2413" s="4">
        <f>(FlipkartTable[[#This Row],[Original Price]]-FlipkartTable[[#This Row],[Selling Price]])/FlipkartTable[[#This Row],[Original Price]]</f>
        <v>0</v>
      </c>
      <c r="K2413">
        <f>(FlipkartTable[[#This Row],[Rating]]/FlipkartTable[[#This Row],[Selling Price]])*1000</f>
        <v>0.25295605623860223</v>
      </c>
      <c r="L2413" t="str">
        <f>IF(FlipkartTable[[#This Row],[Selling Price]]&lt;15000,"Budget",IF(FlipkartTable[[#This Row],[Selling Price]]&lt;50000,"Mid Range","Premium"))</f>
        <v>Mid Range</v>
      </c>
      <c r="M2413" t="str">
        <f>IF(FlipkartTable[[#This Row],[Rating]]&gt;4.5,"Excellent",IF(FlipkartTable[[#This Row],[Rating]]&gt;4,"Good",IF(FlipkartTable[[#This Row],[Rating]]&gt;3.5,"Average","Poor")))</f>
        <v>Good</v>
      </c>
    </row>
    <row r="2414" spans="1:13" x14ac:dyDescent="0.35">
      <c r="A2414" t="s">
        <v>1181</v>
      </c>
      <c r="B2414" s="9" t="s">
        <v>1249</v>
      </c>
      <c r="C2414" t="s">
        <v>354</v>
      </c>
      <c r="D2414" t="s">
        <v>14</v>
      </c>
      <c r="E2414" t="s">
        <v>15</v>
      </c>
      <c r="F2414">
        <v>4.0999999999999996</v>
      </c>
      <c r="G2414">
        <v>17999</v>
      </c>
      <c r="H2414">
        <v>17999</v>
      </c>
      <c r="I2414">
        <f>FlipkartTable[[#This Row],[Original Price]]-FlipkartTable[[#This Row],[Selling Price]]</f>
        <v>0</v>
      </c>
      <c r="J2414" s="4">
        <f>(FlipkartTable[[#This Row],[Original Price]]-FlipkartTable[[#This Row],[Selling Price]])/FlipkartTable[[#This Row],[Original Price]]</f>
        <v>0</v>
      </c>
      <c r="K2414">
        <f>(FlipkartTable[[#This Row],[Rating]]/FlipkartTable[[#This Row],[Selling Price]])*1000</f>
        <v>0.22779043280182232</v>
      </c>
      <c r="L2414" t="str">
        <f>IF(FlipkartTable[[#This Row],[Selling Price]]&lt;15000,"Budget",IF(FlipkartTable[[#This Row],[Selling Price]]&lt;50000,"Mid Range","Premium"))</f>
        <v>Mid Range</v>
      </c>
      <c r="M2414" t="str">
        <f>IF(FlipkartTable[[#This Row],[Rating]]&gt;4.5,"Excellent",IF(FlipkartTable[[#This Row],[Rating]]&gt;4,"Good",IF(FlipkartTable[[#This Row],[Rating]]&gt;3.5,"Average","Poor")))</f>
        <v>Good</v>
      </c>
    </row>
    <row r="2415" spans="1:13" x14ac:dyDescent="0.35">
      <c r="A2415" t="s">
        <v>1181</v>
      </c>
      <c r="B2415" s="9" t="s">
        <v>1249</v>
      </c>
      <c r="C2415" t="s">
        <v>354</v>
      </c>
      <c r="D2415" t="s">
        <v>11</v>
      </c>
      <c r="E2415" t="s">
        <v>12</v>
      </c>
      <c r="F2415">
        <v>4.5</v>
      </c>
      <c r="G2415">
        <v>13499</v>
      </c>
      <c r="H2415">
        <v>14500</v>
      </c>
      <c r="I2415">
        <f>FlipkartTable[[#This Row],[Original Price]]-FlipkartTable[[#This Row],[Selling Price]]</f>
        <v>1001</v>
      </c>
      <c r="J2415" s="4">
        <f>(FlipkartTable[[#This Row],[Original Price]]-FlipkartTable[[#This Row],[Selling Price]])/FlipkartTable[[#This Row],[Original Price]]</f>
        <v>6.9034482758620688E-2</v>
      </c>
      <c r="K2415">
        <f>(FlipkartTable[[#This Row],[Rating]]/FlipkartTable[[#This Row],[Selling Price]])*1000</f>
        <v>0.33335802652048296</v>
      </c>
      <c r="L2415" t="str">
        <f>IF(FlipkartTable[[#This Row],[Selling Price]]&lt;15000,"Budget",IF(FlipkartTable[[#This Row],[Selling Price]]&lt;50000,"Mid Range","Premium"))</f>
        <v>Budget</v>
      </c>
      <c r="M2415" t="str">
        <f>IF(FlipkartTable[[#This Row],[Rating]]&gt;4.5,"Excellent",IF(FlipkartTable[[#This Row],[Rating]]&gt;4,"Good",IF(FlipkartTable[[#This Row],[Rating]]&gt;3.5,"Average","Poor")))</f>
        <v>Good</v>
      </c>
    </row>
    <row r="2416" spans="1:13" x14ac:dyDescent="0.35">
      <c r="A2416" t="s">
        <v>1181</v>
      </c>
      <c r="B2416" s="9" t="s">
        <v>1249</v>
      </c>
      <c r="C2416" t="s">
        <v>354</v>
      </c>
      <c r="D2416" t="s">
        <v>14</v>
      </c>
      <c r="E2416" t="s">
        <v>12</v>
      </c>
      <c r="F2416">
        <v>4.5</v>
      </c>
      <c r="G2416">
        <v>15999</v>
      </c>
      <c r="H2416">
        <v>15999</v>
      </c>
      <c r="I2416">
        <f>FlipkartTable[[#This Row],[Original Price]]-FlipkartTable[[#This Row],[Selling Price]]</f>
        <v>0</v>
      </c>
      <c r="J2416" s="4">
        <f>(FlipkartTable[[#This Row],[Original Price]]-FlipkartTable[[#This Row],[Selling Price]])/FlipkartTable[[#This Row],[Original Price]]</f>
        <v>0</v>
      </c>
      <c r="K2416">
        <f>(FlipkartTable[[#This Row],[Rating]]/FlipkartTable[[#This Row],[Selling Price]])*1000</f>
        <v>0.28126757922370149</v>
      </c>
      <c r="L2416" t="str">
        <f>IF(FlipkartTable[[#This Row],[Selling Price]]&lt;15000,"Budget",IF(FlipkartTable[[#This Row],[Selling Price]]&lt;50000,"Mid Range","Premium"))</f>
        <v>Mid Range</v>
      </c>
      <c r="M2416" t="str">
        <f>IF(FlipkartTable[[#This Row],[Rating]]&gt;4.5,"Excellent",IF(FlipkartTable[[#This Row],[Rating]]&gt;4,"Good",IF(FlipkartTable[[#This Row],[Rating]]&gt;3.5,"Average","Poor")))</f>
        <v>Good</v>
      </c>
    </row>
    <row r="2417" spans="1:13" x14ac:dyDescent="0.35">
      <c r="A2417" t="s">
        <v>1181</v>
      </c>
      <c r="B2417" s="9" t="s">
        <v>1252</v>
      </c>
      <c r="C2417" t="s">
        <v>1253</v>
      </c>
      <c r="D2417" t="s">
        <v>11</v>
      </c>
      <c r="E2417" t="s">
        <v>12</v>
      </c>
      <c r="F2417">
        <v>4.4000000000000004</v>
      </c>
      <c r="G2417">
        <v>13999</v>
      </c>
      <c r="H2417">
        <v>13999</v>
      </c>
      <c r="I2417">
        <f>FlipkartTable[[#This Row],[Original Price]]-FlipkartTable[[#This Row],[Selling Price]]</f>
        <v>0</v>
      </c>
      <c r="J2417" s="4">
        <f>(FlipkartTable[[#This Row],[Original Price]]-FlipkartTable[[#This Row],[Selling Price]])/FlipkartTable[[#This Row],[Original Price]]</f>
        <v>0</v>
      </c>
      <c r="K2417">
        <f>(FlipkartTable[[#This Row],[Rating]]/FlipkartTable[[#This Row],[Selling Price]])*1000</f>
        <v>0.31430816486891927</v>
      </c>
      <c r="L2417" t="str">
        <f>IF(FlipkartTable[[#This Row],[Selling Price]]&lt;15000,"Budget",IF(FlipkartTable[[#This Row],[Selling Price]]&lt;50000,"Mid Range","Premium"))</f>
        <v>Budget</v>
      </c>
      <c r="M2417" t="str">
        <f>IF(FlipkartTable[[#This Row],[Rating]]&gt;4.5,"Excellent",IF(FlipkartTable[[#This Row],[Rating]]&gt;4,"Good",IF(FlipkartTable[[#This Row],[Rating]]&gt;3.5,"Average","Poor")))</f>
        <v>Good</v>
      </c>
    </row>
    <row r="2418" spans="1:13" x14ac:dyDescent="0.35">
      <c r="A2418" t="s">
        <v>1181</v>
      </c>
      <c r="B2418" s="9" t="s">
        <v>1252</v>
      </c>
      <c r="C2418" t="s">
        <v>1217</v>
      </c>
      <c r="D2418" t="s">
        <v>11</v>
      </c>
      <c r="E2418" t="s">
        <v>12</v>
      </c>
      <c r="F2418">
        <v>4.4000000000000004</v>
      </c>
      <c r="G2418">
        <v>13900</v>
      </c>
      <c r="H2418">
        <v>13900</v>
      </c>
      <c r="I2418">
        <f>FlipkartTable[[#This Row],[Original Price]]-FlipkartTable[[#This Row],[Selling Price]]</f>
        <v>0</v>
      </c>
      <c r="J2418" s="4">
        <f>(FlipkartTable[[#This Row],[Original Price]]-FlipkartTable[[#This Row],[Selling Price]])/FlipkartTable[[#This Row],[Original Price]]</f>
        <v>0</v>
      </c>
      <c r="K2418">
        <f>(FlipkartTable[[#This Row],[Rating]]/FlipkartTable[[#This Row],[Selling Price]])*1000</f>
        <v>0.31654676258992809</v>
      </c>
      <c r="L2418" t="str">
        <f>IF(FlipkartTable[[#This Row],[Selling Price]]&lt;15000,"Budget",IF(FlipkartTable[[#This Row],[Selling Price]]&lt;50000,"Mid Range","Premium"))</f>
        <v>Budget</v>
      </c>
      <c r="M2418" t="str">
        <f>IF(FlipkartTable[[#This Row],[Rating]]&gt;4.5,"Excellent",IF(FlipkartTable[[#This Row],[Rating]]&gt;4,"Good",IF(FlipkartTable[[#This Row],[Rating]]&gt;3.5,"Average","Poor")))</f>
        <v>Good</v>
      </c>
    </row>
    <row r="2419" spans="1:13" x14ac:dyDescent="0.35">
      <c r="A2419" t="s">
        <v>1181</v>
      </c>
      <c r="B2419" s="9" t="s">
        <v>1252</v>
      </c>
      <c r="C2419" t="s">
        <v>1218</v>
      </c>
      <c r="D2419" t="s">
        <v>11</v>
      </c>
      <c r="E2419" t="s">
        <v>12</v>
      </c>
      <c r="F2419">
        <v>4.2</v>
      </c>
      <c r="G2419">
        <v>13900</v>
      </c>
      <c r="H2419">
        <v>13900</v>
      </c>
      <c r="I2419">
        <f>FlipkartTable[[#This Row],[Original Price]]-FlipkartTable[[#This Row],[Selling Price]]</f>
        <v>0</v>
      </c>
      <c r="J2419" s="4">
        <f>(FlipkartTable[[#This Row],[Original Price]]-FlipkartTable[[#This Row],[Selling Price]])/FlipkartTable[[#This Row],[Original Price]]</f>
        <v>0</v>
      </c>
      <c r="K2419">
        <f>(FlipkartTable[[#This Row],[Rating]]/FlipkartTable[[#This Row],[Selling Price]])*1000</f>
        <v>0.30215827338129497</v>
      </c>
      <c r="L2419" t="str">
        <f>IF(FlipkartTable[[#This Row],[Selling Price]]&lt;15000,"Budget",IF(FlipkartTable[[#This Row],[Selling Price]]&lt;50000,"Mid Range","Premium"))</f>
        <v>Budget</v>
      </c>
      <c r="M2419" t="str">
        <f>IF(FlipkartTable[[#This Row],[Rating]]&gt;4.5,"Excellent",IF(FlipkartTable[[#This Row],[Rating]]&gt;4,"Good",IF(FlipkartTable[[#This Row],[Rating]]&gt;3.5,"Average","Poor")))</f>
        <v>Good</v>
      </c>
    </row>
    <row r="2420" spans="1:13" x14ac:dyDescent="0.35">
      <c r="A2420" t="s">
        <v>1181</v>
      </c>
      <c r="B2420" s="9" t="s">
        <v>1252</v>
      </c>
      <c r="C2420" t="s">
        <v>1079</v>
      </c>
      <c r="D2420" t="s">
        <v>11</v>
      </c>
      <c r="E2420" t="s">
        <v>12</v>
      </c>
      <c r="F2420">
        <v>4.3</v>
      </c>
      <c r="G2420">
        <v>13500</v>
      </c>
      <c r="H2420">
        <v>13500</v>
      </c>
      <c r="I2420">
        <f>FlipkartTable[[#This Row],[Original Price]]-FlipkartTable[[#This Row],[Selling Price]]</f>
        <v>0</v>
      </c>
      <c r="J2420" s="4">
        <f>(FlipkartTable[[#This Row],[Original Price]]-FlipkartTable[[#This Row],[Selling Price]])/FlipkartTable[[#This Row],[Original Price]]</f>
        <v>0</v>
      </c>
      <c r="K2420">
        <f>(FlipkartTable[[#This Row],[Rating]]/FlipkartTable[[#This Row],[Selling Price]])*1000</f>
        <v>0.31851851851851848</v>
      </c>
      <c r="L2420" t="str">
        <f>IF(FlipkartTable[[#This Row],[Selling Price]]&lt;15000,"Budget",IF(FlipkartTable[[#This Row],[Selling Price]]&lt;50000,"Mid Range","Premium"))</f>
        <v>Budget</v>
      </c>
      <c r="M2420" t="str">
        <f>IF(FlipkartTable[[#This Row],[Rating]]&gt;4.5,"Excellent",IF(FlipkartTable[[#This Row],[Rating]]&gt;4,"Good",IF(FlipkartTable[[#This Row],[Rating]]&gt;3.5,"Average","Poor")))</f>
        <v>Good</v>
      </c>
    </row>
    <row r="2421" spans="1:13" x14ac:dyDescent="0.35">
      <c r="A2421" t="s">
        <v>1181</v>
      </c>
      <c r="B2421" s="9" t="s">
        <v>1254</v>
      </c>
      <c r="C2421" t="s">
        <v>1243</v>
      </c>
      <c r="D2421" t="s">
        <v>11</v>
      </c>
      <c r="E2421" t="s">
        <v>12</v>
      </c>
      <c r="F2421">
        <v>4.3</v>
      </c>
      <c r="G2421">
        <v>12999</v>
      </c>
      <c r="H2421">
        <v>12999</v>
      </c>
      <c r="I2421">
        <f>FlipkartTable[[#This Row],[Original Price]]-FlipkartTable[[#This Row],[Selling Price]]</f>
        <v>0</v>
      </c>
      <c r="J2421" s="4">
        <f>(FlipkartTable[[#This Row],[Original Price]]-FlipkartTable[[#This Row],[Selling Price]])/FlipkartTable[[#This Row],[Original Price]]</f>
        <v>0</v>
      </c>
      <c r="K2421">
        <f>(FlipkartTable[[#This Row],[Rating]]/FlipkartTable[[#This Row],[Selling Price]])*1000</f>
        <v>0.33079467651357791</v>
      </c>
      <c r="L2421" t="str">
        <f>IF(FlipkartTable[[#This Row],[Selling Price]]&lt;15000,"Budget",IF(FlipkartTable[[#This Row],[Selling Price]]&lt;50000,"Mid Range","Premium"))</f>
        <v>Budget</v>
      </c>
      <c r="M2421" t="str">
        <f>IF(FlipkartTable[[#This Row],[Rating]]&gt;4.5,"Excellent",IF(FlipkartTable[[#This Row],[Rating]]&gt;4,"Good",IF(FlipkartTable[[#This Row],[Rating]]&gt;3.5,"Average","Poor")))</f>
        <v>Good</v>
      </c>
    </row>
    <row r="2422" spans="1:13" x14ac:dyDescent="0.35">
      <c r="A2422" t="s">
        <v>1181</v>
      </c>
      <c r="B2422" s="9" t="s">
        <v>1254</v>
      </c>
      <c r="C2422" t="s">
        <v>473</v>
      </c>
      <c r="D2422" t="s">
        <v>11</v>
      </c>
      <c r="E2422" t="s">
        <v>12</v>
      </c>
      <c r="F2422">
        <v>4.4000000000000004</v>
      </c>
      <c r="G2422">
        <v>12999</v>
      </c>
      <c r="H2422">
        <v>12999</v>
      </c>
      <c r="I2422">
        <f>FlipkartTable[[#This Row],[Original Price]]-FlipkartTable[[#This Row],[Selling Price]]</f>
        <v>0</v>
      </c>
      <c r="J2422" s="4">
        <f>(FlipkartTable[[#This Row],[Original Price]]-FlipkartTable[[#This Row],[Selling Price]])/FlipkartTable[[#This Row],[Original Price]]</f>
        <v>0</v>
      </c>
      <c r="K2422">
        <f>(FlipkartTable[[#This Row],[Rating]]/FlipkartTable[[#This Row],[Selling Price]])*1000</f>
        <v>0.33848757596738216</v>
      </c>
      <c r="L2422" t="str">
        <f>IF(FlipkartTable[[#This Row],[Selling Price]]&lt;15000,"Budget",IF(FlipkartTable[[#This Row],[Selling Price]]&lt;50000,"Mid Range","Premium"))</f>
        <v>Budget</v>
      </c>
      <c r="M2422" t="str">
        <f>IF(FlipkartTable[[#This Row],[Rating]]&gt;4.5,"Excellent",IF(FlipkartTable[[#This Row],[Rating]]&gt;4,"Good",IF(FlipkartTable[[#This Row],[Rating]]&gt;3.5,"Average","Poor")))</f>
        <v>Good</v>
      </c>
    </row>
    <row r="2423" spans="1:13" x14ac:dyDescent="0.35">
      <c r="A2423" t="s">
        <v>1181</v>
      </c>
      <c r="B2423" s="9" t="s">
        <v>1254</v>
      </c>
      <c r="C2423" t="s">
        <v>354</v>
      </c>
      <c r="D2423" t="s">
        <v>11</v>
      </c>
      <c r="E2423" t="s">
        <v>12</v>
      </c>
      <c r="F2423">
        <v>2.2999999999999998</v>
      </c>
      <c r="G2423">
        <v>11999</v>
      </c>
      <c r="H2423">
        <v>11999</v>
      </c>
      <c r="I2423">
        <f>FlipkartTable[[#This Row],[Original Price]]-FlipkartTable[[#This Row],[Selling Price]]</f>
        <v>0</v>
      </c>
      <c r="J2423" s="4">
        <f>(FlipkartTable[[#This Row],[Original Price]]-FlipkartTable[[#This Row],[Selling Price]])/FlipkartTable[[#This Row],[Original Price]]</f>
        <v>0</v>
      </c>
      <c r="K2423">
        <f>(FlipkartTable[[#This Row],[Rating]]/FlipkartTable[[#This Row],[Selling Price]])*1000</f>
        <v>0.19168264022001832</v>
      </c>
      <c r="L2423" t="str">
        <f>IF(FlipkartTable[[#This Row],[Selling Price]]&lt;15000,"Budget",IF(FlipkartTable[[#This Row],[Selling Price]]&lt;50000,"Mid Range","Premium"))</f>
        <v>Budget</v>
      </c>
      <c r="M2423" t="str">
        <f>IF(FlipkartTable[[#This Row],[Rating]]&gt;4.5,"Excellent",IF(FlipkartTable[[#This Row],[Rating]]&gt;4,"Good",IF(FlipkartTable[[#This Row],[Rating]]&gt;3.5,"Average","Poor")))</f>
        <v>Poor</v>
      </c>
    </row>
    <row r="2424" spans="1:13" x14ac:dyDescent="0.35">
      <c r="A2424" t="s">
        <v>1181</v>
      </c>
      <c r="B2424" s="9" t="s">
        <v>1255</v>
      </c>
      <c r="C2424" t="s">
        <v>399</v>
      </c>
      <c r="D2424" t="s">
        <v>11</v>
      </c>
      <c r="E2424" t="s">
        <v>12</v>
      </c>
      <c r="F2424">
        <v>4.3</v>
      </c>
      <c r="G2424">
        <v>11999</v>
      </c>
      <c r="H2424">
        <v>14999</v>
      </c>
      <c r="I2424">
        <f>FlipkartTable[[#This Row],[Original Price]]-FlipkartTable[[#This Row],[Selling Price]]</f>
        <v>3000</v>
      </c>
      <c r="J2424" s="4">
        <f>(FlipkartTable[[#This Row],[Original Price]]-FlipkartTable[[#This Row],[Selling Price]])/FlipkartTable[[#This Row],[Original Price]]</f>
        <v>0.20001333422228149</v>
      </c>
      <c r="K2424">
        <f>(FlipkartTable[[#This Row],[Rating]]/FlipkartTable[[#This Row],[Selling Price]])*1000</f>
        <v>0.35836319693307778</v>
      </c>
      <c r="L2424" t="str">
        <f>IF(FlipkartTable[[#This Row],[Selling Price]]&lt;15000,"Budget",IF(FlipkartTable[[#This Row],[Selling Price]]&lt;50000,"Mid Range","Premium"))</f>
        <v>Budget</v>
      </c>
      <c r="M2424" t="str">
        <f>IF(FlipkartTable[[#This Row],[Rating]]&gt;4.5,"Excellent",IF(FlipkartTable[[#This Row],[Rating]]&gt;4,"Good",IF(FlipkartTable[[#This Row],[Rating]]&gt;3.5,"Average","Poor")))</f>
        <v>Good</v>
      </c>
    </row>
    <row r="2425" spans="1:13" x14ac:dyDescent="0.35">
      <c r="A2425" t="s">
        <v>1181</v>
      </c>
      <c r="B2425" s="9" t="s">
        <v>1255</v>
      </c>
      <c r="C2425" t="s">
        <v>1256</v>
      </c>
      <c r="D2425" t="s">
        <v>11</v>
      </c>
      <c r="E2425" t="s">
        <v>12</v>
      </c>
      <c r="F2425">
        <v>4.4000000000000004</v>
      </c>
      <c r="G2425">
        <v>11999</v>
      </c>
      <c r="H2425">
        <v>14999</v>
      </c>
      <c r="I2425">
        <f>FlipkartTable[[#This Row],[Original Price]]-FlipkartTable[[#This Row],[Selling Price]]</f>
        <v>3000</v>
      </c>
      <c r="J2425" s="4">
        <f>(FlipkartTable[[#This Row],[Original Price]]-FlipkartTable[[#This Row],[Selling Price]])/FlipkartTable[[#This Row],[Original Price]]</f>
        <v>0.20001333422228149</v>
      </c>
      <c r="K2425">
        <f>(FlipkartTable[[#This Row],[Rating]]/FlipkartTable[[#This Row],[Selling Price]])*1000</f>
        <v>0.36669722476873073</v>
      </c>
      <c r="L2425" t="str">
        <f>IF(FlipkartTable[[#This Row],[Selling Price]]&lt;15000,"Budget",IF(FlipkartTable[[#This Row],[Selling Price]]&lt;50000,"Mid Range","Premium"))</f>
        <v>Budget</v>
      </c>
      <c r="M2425" t="str">
        <f>IF(FlipkartTable[[#This Row],[Rating]]&gt;4.5,"Excellent",IF(FlipkartTable[[#This Row],[Rating]]&gt;4,"Good",IF(FlipkartTable[[#This Row],[Rating]]&gt;3.5,"Average","Poor")))</f>
        <v>Good</v>
      </c>
    </row>
    <row r="2426" spans="1:13" x14ac:dyDescent="0.35">
      <c r="A2426" t="s">
        <v>1181</v>
      </c>
      <c r="B2426" s="9" t="s">
        <v>1257</v>
      </c>
      <c r="C2426" t="s">
        <v>126</v>
      </c>
      <c r="D2426" t="s">
        <v>11</v>
      </c>
      <c r="E2426" t="s">
        <v>12</v>
      </c>
      <c r="F2426">
        <v>4.3</v>
      </c>
      <c r="G2426">
        <v>15990</v>
      </c>
      <c r="H2426">
        <v>16999</v>
      </c>
      <c r="I2426">
        <f>FlipkartTable[[#This Row],[Original Price]]-FlipkartTable[[#This Row],[Selling Price]]</f>
        <v>1009</v>
      </c>
      <c r="J2426" s="4">
        <f>(FlipkartTable[[#This Row],[Original Price]]-FlipkartTable[[#This Row],[Selling Price]])/FlipkartTable[[#This Row],[Original Price]]</f>
        <v>5.9356432731337137E-2</v>
      </c>
      <c r="K2426">
        <f>(FlipkartTable[[#This Row],[Rating]]/FlipkartTable[[#This Row],[Selling Price]])*1000</f>
        <v>0.26891807379612259</v>
      </c>
      <c r="L2426" t="str">
        <f>IF(FlipkartTable[[#This Row],[Selling Price]]&lt;15000,"Budget",IF(FlipkartTable[[#This Row],[Selling Price]]&lt;50000,"Mid Range","Premium"))</f>
        <v>Mid Range</v>
      </c>
      <c r="M2426" t="str">
        <f>IF(FlipkartTable[[#This Row],[Rating]]&gt;4.5,"Excellent",IF(FlipkartTable[[#This Row],[Rating]]&gt;4,"Good",IF(FlipkartTable[[#This Row],[Rating]]&gt;3.5,"Average","Poor")))</f>
        <v>Good</v>
      </c>
    </row>
    <row r="2427" spans="1:13" x14ac:dyDescent="0.35">
      <c r="A2427" t="s">
        <v>1181</v>
      </c>
      <c r="B2427" s="9" t="s">
        <v>1257</v>
      </c>
      <c r="C2427" t="s">
        <v>536</v>
      </c>
      <c r="D2427" t="s">
        <v>11</v>
      </c>
      <c r="E2427" t="s">
        <v>15</v>
      </c>
      <c r="F2427">
        <v>4.5</v>
      </c>
      <c r="G2427">
        <v>15998</v>
      </c>
      <c r="H2427">
        <v>15998</v>
      </c>
      <c r="I2427">
        <f>FlipkartTable[[#This Row],[Original Price]]-FlipkartTable[[#This Row],[Selling Price]]</f>
        <v>0</v>
      </c>
      <c r="J2427" s="4">
        <f>(FlipkartTable[[#This Row],[Original Price]]-FlipkartTable[[#This Row],[Selling Price]])/FlipkartTable[[#This Row],[Original Price]]</f>
        <v>0</v>
      </c>
      <c r="K2427">
        <f>(FlipkartTable[[#This Row],[Rating]]/FlipkartTable[[#This Row],[Selling Price]])*1000</f>
        <v>0.28128516064508063</v>
      </c>
      <c r="L2427" t="str">
        <f>IF(FlipkartTable[[#This Row],[Selling Price]]&lt;15000,"Budget",IF(FlipkartTable[[#This Row],[Selling Price]]&lt;50000,"Mid Range","Premium"))</f>
        <v>Mid Range</v>
      </c>
      <c r="M2427" t="str">
        <f>IF(FlipkartTable[[#This Row],[Rating]]&gt;4.5,"Excellent",IF(FlipkartTable[[#This Row],[Rating]]&gt;4,"Good",IF(FlipkartTable[[#This Row],[Rating]]&gt;3.5,"Average","Poor")))</f>
        <v>Good</v>
      </c>
    </row>
    <row r="2428" spans="1:13" x14ac:dyDescent="0.35">
      <c r="A2428" t="s">
        <v>1181</v>
      </c>
      <c r="B2428" s="9" t="s">
        <v>1257</v>
      </c>
      <c r="C2428" t="s">
        <v>536</v>
      </c>
      <c r="D2428" t="s">
        <v>14</v>
      </c>
      <c r="E2428" t="s">
        <v>15</v>
      </c>
      <c r="F2428">
        <v>4.3</v>
      </c>
      <c r="G2428">
        <v>18499</v>
      </c>
      <c r="H2428">
        <v>18999</v>
      </c>
      <c r="I2428">
        <f>FlipkartTable[[#This Row],[Original Price]]-FlipkartTable[[#This Row],[Selling Price]]</f>
        <v>500</v>
      </c>
      <c r="J2428" s="4">
        <f>(FlipkartTable[[#This Row],[Original Price]]-FlipkartTable[[#This Row],[Selling Price]])/FlipkartTable[[#This Row],[Original Price]]</f>
        <v>2.6317174588136219E-2</v>
      </c>
      <c r="K2428">
        <f>(FlipkartTable[[#This Row],[Rating]]/FlipkartTable[[#This Row],[Selling Price]])*1000</f>
        <v>0.2324449970268663</v>
      </c>
      <c r="L2428" t="str">
        <f>IF(FlipkartTable[[#This Row],[Selling Price]]&lt;15000,"Budget",IF(FlipkartTable[[#This Row],[Selling Price]]&lt;50000,"Mid Range","Premium"))</f>
        <v>Mid Range</v>
      </c>
      <c r="M2428" t="str">
        <f>IF(FlipkartTable[[#This Row],[Rating]]&gt;4.5,"Excellent",IF(FlipkartTable[[#This Row],[Rating]]&gt;4,"Good",IF(FlipkartTable[[#This Row],[Rating]]&gt;3.5,"Average","Poor")))</f>
        <v>Good</v>
      </c>
    </row>
    <row r="2429" spans="1:13" x14ac:dyDescent="0.35">
      <c r="A2429" t="s">
        <v>1181</v>
      </c>
      <c r="B2429" s="9" t="s">
        <v>1257</v>
      </c>
      <c r="C2429" t="s">
        <v>536</v>
      </c>
      <c r="D2429" t="s">
        <v>11</v>
      </c>
      <c r="E2429" t="s">
        <v>12</v>
      </c>
      <c r="F2429">
        <v>4.3</v>
      </c>
      <c r="G2429">
        <v>14999</v>
      </c>
      <c r="H2429">
        <v>14999</v>
      </c>
      <c r="I2429">
        <f>FlipkartTable[[#This Row],[Original Price]]-FlipkartTable[[#This Row],[Selling Price]]</f>
        <v>0</v>
      </c>
      <c r="J2429" s="4">
        <f>(FlipkartTable[[#This Row],[Original Price]]-FlipkartTable[[#This Row],[Selling Price]])/FlipkartTable[[#This Row],[Original Price]]</f>
        <v>0</v>
      </c>
      <c r="K2429">
        <f>(FlipkartTable[[#This Row],[Rating]]/FlipkartTable[[#This Row],[Selling Price]])*1000</f>
        <v>0.28668577905193682</v>
      </c>
      <c r="L2429" t="str">
        <f>IF(FlipkartTable[[#This Row],[Selling Price]]&lt;15000,"Budget",IF(FlipkartTable[[#This Row],[Selling Price]]&lt;50000,"Mid Range","Premium"))</f>
        <v>Budget</v>
      </c>
      <c r="M2429" t="str">
        <f>IF(FlipkartTable[[#This Row],[Rating]]&gt;4.5,"Excellent",IF(FlipkartTable[[#This Row],[Rating]]&gt;4,"Good",IF(FlipkartTable[[#This Row],[Rating]]&gt;3.5,"Average","Poor")))</f>
        <v>Good</v>
      </c>
    </row>
    <row r="2430" spans="1:13" x14ac:dyDescent="0.35">
      <c r="A2430" t="s">
        <v>1181</v>
      </c>
      <c r="B2430" s="9" t="s">
        <v>1257</v>
      </c>
      <c r="C2430" t="s">
        <v>1258</v>
      </c>
      <c r="D2430" t="s">
        <v>11</v>
      </c>
      <c r="E2430" t="s">
        <v>12</v>
      </c>
      <c r="F2430">
        <v>4.3</v>
      </c>
      <c r="G2430">
        <v>16488</v>
      </c>
      <c r="H2430">
        <v>16999</v>
      </c>
      <c r="I2430">
        <f>FlipkartTable[[#This Row],[Original Price]]-FlipkartTable[[#This Row],[Selling Price]]</f>
        <v>511</v>
      </c>
      <c r="J2430" s="4">
        <f>(FlipkartTable[[#This Row],[Original Price]]-FlipkartTable[[#This Row],[Selling Price]])/FlipkartTable[[#This Row],[Original Price]]</f>
        <v>3.006059179951762E-2</v>
      </c>
      <c r="K2430">
        <f>(FlipkartTable[[#This Row],[Rating]]/FlipkartTable[[#This Row],[Selling Price]])*1000</f>
        <v>0.26079573022804464</v>
      </c>
      <c r="L2430" t="str">
        <f>IF(FlipkartTable[[#This Row],[Selling Price]]&lt;15000,"Budget",IF(FlipkartTable[[#This Row],[Selling Price]]&lt;50000,"Mid Range","Premium"))</f>
        <v>Mid Range</v>
      </c>
      <c r="M2430" t="str">
        <f>IF(FlipkartTable[[#This Row],[Rating]]&gt;4.5,"Excellent",IF(FlipkartTable[[#This Row],[Rating]]&gt;4,"Good",IF(FlipkartTable[[#This Row],[Rating]]&gt;3.5,"Average","Poor")))</f>
        <v>Good</v>
      </c>
    </row>
    <row r="2431" spans="1:13" x14ac:dyDescent="0.35">
      <c r="A2431" t="s">
        <v>1181</v>
      </c>
      <c r="B2431" s="9" t="s">
        <v>1259</v>
      </c>
      <c r="C2431" t="s">
        <v>114</v>
      </c>
      <c r="D2431" t="s">
        <v>20</v>
      </c>
      <c r="E2431" t="s">
        <v>21</v>
      </c>
      <c r="F2431">
        <v>4.3</v>
      </c>
      <c r="G2431">
        <v>8990</v>
      </c>
      <c r="H2431">
        <v>8990</v>
      </c>
      <c r="I2431">
        <f>FlipkartTable[[#This Row],[Original Price]]-FlipkartTable[[#This Row],[Selling Price]]</f>
        <v>0</v>
      </c>
      <c r="J2431" s="4">
        <f>(FlipkartTable[[#This Row],[Original Price]]-FlipkartTable[[#This Row],[Selling Price]])/FlipkartTable[[#This Row],[Original Price]]</f>
        <v>0</v>
      </c>
      <c r="K2431">
        <f>(FlipkartTable[[#This Row],[Rating]]/FlipkartTable[[#This Row],[Selling Price]])*1000</f>
        <v>0.47830923248053392</v>
      </c>
      <c r="L2431" t="str">
        <f>IF(FlipkartTable[[#This Row],[Selling Price]]&lt;15000,"Budget",IF(FlipkartTable[[#This Row],[Selling Price]]&lt;50000,"Mid Range","Premium"))</f>
        <v>Budget</v>
      </c>
      <c r="M2431" t="str">
        <f>IF(FlipkartTable[[#This Row],[Rating]]&gt;4.5,"Excellent",IF(FlipkartTable[[#This Row],[Rating]]&gt;4,"Good",IF(FlipkartTable[[#This Row],[Rating]]&gt;3.5,"Average","Poor")))</f>
        <v>Good</v>
      </c>
    </row>
    <row r="2432" spans="1:13" x14ac:dyDescent="0.35">
      <c r="A2432" t="s">
        <v>1181</v>
      </c>
      <c r="B2432" s="9" t="s">
        <v>1260</v>
      </c>
      <c r="C2432" t="s">
        <v>19</v>
      </c>
      <c r="D2432" t="s">
        <v>20</v>
      </c>
      <c r="E2432" t="s">
        <v>21</v>
      </c>
      <c r="F2432">
        <v>4.3</v>
      </c>
      <c r="G2432">
        <v>9478</v>
      </c>
      <c r="H2432">
        <v>9478</v>
      </c>
      <c r="I2432">
        <f>FlipkartTable[[#This Row],[Original Price]]-FlipkartTable[[#This Row],[Selling Price]]</f>
        <v>0</v>
      </c>
      <c r="J2432" s="4">
        <f>(FlipkartTable[[#This Row],[Original Price]]-FlipkartTable[[#This Row],[Selling Price]])/FlipkartTable[[#This Row],[Original Price]]</f>
        <v>0</v>
      </c>
      <c r="K2432">
        <f>(FlipkartTable[[#This Row],[Rating]]/FlipkartTable[[#This Row],[Selling Price]])*1000</f>
        <v>0.45368221143701198</v>
      </c>
      <c r="L2432" t="str">
        <f>IF(FlipkartTable[[#This Row],[Selling Price]]&lt;15000,"Budget",IF(FlipkartTable[[#This Row],[Selling Price]]&lt;50000,"Mid Range","Premium"))</f>
        <v>Budget</v>
      </c>
      <c r="M2432" t="str">
        <f>IF(FlipkartTable[[#This Row],[Rating]]&gt;4.5,"Excellent",IF(FlipkartTable[[#This Row],[Rating]]&gt;4,"Good",IF(FlipkartTable[[#This Row],[Rating]]&gt;3.5,"Average","Poor")))</f>
        <v>Good</v>
      </c>
    </row>
    <row r="2433" spans="1:13" x14ac:dyDescent="0.35">
      <c r="A2433" t="s">
        <v>1181</v>
      </c>
      <c r="B2433" s="9" t="s">
        <v>1260</v>
      </c>
      <c r="C2433" t="s">
        <v>19</v>
      </c>
      <c r="D2433" t="s">
        <v>11</v>
      </c>
      <c r="E2433" t="s">
        <v>12</v>
      </c>
      <c r="F2433">
        <v>4.3</v>
      </c>
      <c r="G2433">
        <v>10999</v>
      </c>
      <c r="H2433">
        <v>10999</v>
      </c>
      <c r="I2433">
        <f>FlipkartTable[[#This Row],[Original Price]]-FlipkartTable[[#This Row],[Selling Price]]</f>
        <v>0</v>
      </c>
      <c r="J2433" s="4">
        <f>(FlipkartTable[[#This Row],[Original Price]]-FlipkartTable[[#This Row],[Selling Price]])/FlipkartTable[[#This Row],[Original Price]]</f>
        <v>0</v>
      </c>
      <c r="K2433">
        <f>(FlipkartTable[[#This Row],[Rating]]/FlipkartTable[[#This Row],[Selling Price]])*1000</f>
        <v>0.39094463133012086</v>
      </c>
      <c r="L2433" t="str">
        <f>IF(FlipkartTable[[#This Row],[Selling Price]]&lt;15000,"Budget",IF(FlipkartTable[[#This Row],[Selling Price]]&lt;50000,"Mid Range","Premium"))</f>
        <v>Budget</v>
      </c>
      <c r="M2433" t="str">
        <f>IF(FlipkartTable[[#This Row],[Rating]]&gt;4.5,"Excellent",IF(FlipkartTable[[#This Row],[Rating]]&gt;4,"Good",IF(FlipkartTable[[#This Row],[Rating]]&gt;3.5,"Average","Poor")))</f>
        <v>Good</v>
      </c>
    </row>
    <row r="2434" spans="1:13" x14ac:dyDescent="0.35">
      <c r="A2434" t="s">
        <v>1181</v>
      </c>
      <c r="B2434" s="9" t="s">
        <v>1260</v>
      </c>
      <c r="C2434" t="s">
        <v>22</v>
      </c>
      <c r="D2434" t="s">
        <v>20</v>
      </c>
      <c r="E2434" t="s">
        <v>21</v>
      </c>
      <c r="F2434">
        <v>4.3</v>
      </c>
      <c r="G2434">
        <v>9499</v>
      </c>
      <c r="H2434">
        <v>9499</v>
      </c>
      <c r="I2434">
        <f>FlipkartTable[[#This Row],[Original Price]]-FlipkartTable[[#This Row],[Selling Price]]</f>
        <v>0</v>
      </c>
      <c r="J2434" s="4">
        <f>(FlipkartTable[[#This Row],[Original Price]]-FlipkartTable[[#This Row],[Selling Price]])/FlipkartTable[[#This Row],[Original Price]]</f>
        <v>0</v>
      </c>
      <c r="K2434">
        <f>(FlipkartTable[[#This Row],[Rating]]/FlipkartTable[[#This Row],[Selling Price]])*1000</f>
        <v>0.45267922939256761</v>
      </c>
      <c r="L2434" t="str">
        <f>IF(FlipkartTable[[#This Row],[Selling Price]]&lt;15000,"Budget",IF(FlipkartTable[[#This Row],[Selling Price]]&lt;50000,"Mid Range","Premium"))</f>
        <v>Budget</v>
      </c>
      <c r="M2434" t="str">
        <f>IF(FlipkartTable[[#This Row],[Rating]]&gt;4.5,"Excellent",IF(FlipkartTable[[#This Row],[Rating]]&gt;4,"Good",IF(FlipkartTable[[#This Row],[Rating]]&gt;3.5,"Average","Poor")))</f>
        <v>Good</v>
      </c>
    </row>
    <row r="2435" spans="1:13" x14ac:dyDescent="0.35">
      <c r="A2435" t="s">
        <v>1181</v>
      </c>
      <c r="B2435" s="9" t="s">
        <v>1260</v>
      </c>
      <c r="C2435" t="s">
        <v>22</v>
      </c>
      <c r="D2435" t="s">
        <v>11</v>
      </c>
      <c r="E2435" t="s">
        <v>12</v>
      </c>
      <c r="F2435">
        <v>4.3</v>
      </c>
      <c r="G2435">
        <v>10999</v>
      </c>
      <c r="H2435">
        <v>10999</v>
      </c>
      <c r="I2435">
        <f>FlipkartTable[[#This Row],[Original Price]]-FlipkartTable[[#This Row],[Selling Price]]</f>
        <v>0</v>
      </c>
      <c r="J2435" s="4">
        <f>(FlipkartTable[[#This Row],[Original Price]]-FlipkartTable[[#This Row],[Selling Price]])/FlipkartTable[[#This Row],[Original Price]]</f>
        <v>0</v>
      </c>
      <c r="K2435">
        <f>(FlipkartTable[[#This Row],[Rating]]/FlipkartTable[[#This Row],[Selling Price]])*1000</f>
        <v>0.39094463133012086</v>
      </c>
      <c r="L2435" t="str">
        <f>IF(FlipkartTable[[#This Row],[Selling Price]]&lt;15000,"Budget",IF(FlipkartTable[[#This Row],[Selling Price]]&lt;50000,"Mid Range","Premium"))</f>
        <v>Budget</v>
      </c>
      <c r="M2435" t="str">
        <f>IF(FlipkartTable[[#This Row],[Rating]]&gt;4.5,"Excellent",IF(FlipkartTable[[#This Row],[Rating]]&gt;4,"Good",IF(FlipkartTable[[#This Row],[Rating]]&gt;3.5,"Average","Poor")))</f>
        <v>Good</v>
      </c>
    </row>
    <row r="2436" spans="1:13" x14ac:dyDescent="0.35">
      <c r="A2436" t="s">
        <v>1181</v>
      </c>
      <c r="B2436" s="9" t="s">
        <v>1260</v>
      </c>
      <c r="C2436" t="s">
        <v>615</v>
      </c>
      <c r="D2436" t="s">
        <v>20</v>
      </c>
      <c r="E2436" t="s">
        <v>21</v>
      </c>
      <c r="F2436">
        <v>4.2</v>
      </c>
      <c r="G2436">
        <v>9499</v>
      </c>
      <c r="H2436">
        <v>9499</v>
      </c>
      <c r="I2436">
        <f>FlipkartTable[[#This Row],[Original Price]]-FlipkartTable[[#This Row],[Selling Price]]</f>
        <v>0</v>
      </c>
      <c r="J2436" s="4">
        <f>(FlipkartTable[[#This Row],[Original Price]]-FlipkartTable[[#This Row],[Selling Price]])/FlipkartTable[[#This Row],[Original Price]]</f>
        <v>0</v>
      </c>
      <c r="K2436">
        <f>(FlipkartTable[[#This Row],[Rating]]/FlipkartTable[[#This Row],[Selling Price]])*1000</f>
        <v>0.44215180545320559</v>
      </c>
      <c r="L2436" t="str">
        <f>IF(FlipkartTable[[#This Row],[Selling Price]]&lt;15000,"Budget",IF(FlipkartTable[[#This Row],[Selling Price]]&lt;50000,"Mid Range","Premium"))</f>
        <v>Budget</v>
      </c>
      <c r="M2436" t="str">
        <f>IF(FlipkartTable[[#This Row],[Rating]]&gt;4.5,"Excellent",IF(FlipkartTable[[#This Row],[Rating]]&gt;4,"Good",IF(FlipkartTable[[#This Row],[Rating]]&gt;3.5,"Average","Poor")))</f>
        <v>Good</v>
      </c>
    </row>
    <row r="2437" spans="1:13" x14ac:dyDescent="0.35">
      <c r="A2437" t="s">
        <v>1181</v>
      </c>
      <c r="B2437" s="9" t="s">
        <v>1260</v>
      </c>
      <c r="C2437" t="s">
        <v>615</v>
      </c>
      <c r="D2437" t="s">
        <v>11</v>
      </c>
      <c r="E2437" t="s">
        <v>12</v>
      </c>
      <c r="F2437">
        <v>4.3</v>
      </c>
      <c r="G2437">
        <v>10888</v>
      </c>
      <c r="H2437">
        <v>10888</v>
      </c>
      <c r="I2437">
        <f>FlipkartTable[[#This Row],[Original Price]]-FlipkartTable[[#This Row],[Selling Price]]</f>
        <v>0</v>
      </c>
      <c r="J2437" s="4">
        <f>(FlipkartTable[[#This Row],[Original Price]]-FlipkartTable[[#This Row],[Selling Price]])/FlipkartTable[[#This Row],[Original Price]]</f>
        <v>0</v>
      </c>
      <c r="K2437">
        <f>(FlipkartTable[[#This Row],[Rating]]/FlipkartTable[[#This Row],[Selling Price]])*1000</f>
        <v>0.39493019838354154</v>
      </c>
      <c r="L2437" t="str">
        <f>IF(FlipkartTable[[#This Row],[Selling Price]]&lt;15000,"Budget",IF(FlipkartTable[[#This Row],[Selling Price]]&lt;50000,"Mid Range","Premium"))</f>
        <v>Budget</v>
      </c>
      <c r="M2437" t="str">
        <f>IF(FlipkartTable[[#This Row],[Rating]]&gt;4.5,"Excellent",IF(FlipkartTable[[#This Row],[Rating]]&gt;4,"Good",IF(FlipkartTable[[#This Row],[Rating]]&gt;3.5,"Average","Poor")))</f>
        <v>Good</v>
      </c>
    </row>
    <row r="2438" spans="1:13" x14ac:dyDescent="0.35">
      <c r="A2438" t="s">
        <v>1181</v>
      </c>
      <c r="B2438" s="9" t="s">
        <v>1260</v>
      </c>
      <c r="C2438" t="s">
        <v>116</v>
      </c>
      <c r="D2438" t="s">
        <v>20</v>
      </c>
      <c r="E2438" t="s">
        <v>21</v>
      </c>
      <c r="F2438">
        <v>4.2</v>
      </c>
      <c r="G2438">
        <v>9468</v>
      </c>
      <c r="H2438">
        <v>10499</v>
      </c>
      <c r="I2438">
        <f>FlipkartTable[[#This Row],[Original Price]]-FlipkartTable[[#This Row],[Selling Price]]</f>
        <v>1031</v>
      </c>
      <c r="J2438" s="4">
        <f>(FlipkartTable[[#This Row],[Original Price]]-FlipkartTable[[#This Row],[Selling Price]])/FlipkartTable[[#This Row],[Original Price]]</f>
        <v>9.8199828555100482E-2</v>
      </c>
      <c r="K2438">
        <f>(FlipkartTable[[#This Row],[Rating]]/FlipkartTable[[#This Row],[Selling Price]])*1000</f>
        <v>0.44359949302915086</v>
      </c>
      <c r="L2438" t="str">
        <f>IF(FlipkartTable[[#This Row],[Selling Price]]&lt;15000,"Budget",IF(FlipkartTable[[#This Row],[Selling Price]]&lt;50000,"Mid Range","Premium"))</f>
        <v>Budget</v>
      </c>
      <c r="M2438" t="str">
        <f>IF(FlipkartTable[[#This Row],[Rating]]&gt;4.5,"Excellent",IF(FlipkartTable[[#This Row],[Rating]]&gt;4,"Good",IF(FlipkartTable[[#This Row],[Rating]]&gt;3.5,"Average","Poor")))</f>
        <v>Good</v>
      </c>
    </row>
    <row r="2439" spans="1:13" x14ac:dyDescent="0.35">
      <c r="A2439" t="s">
        <v>1181</v>
      </c>
      <c r="B2439" s="9" t="s">
        <v>1260</v>
      </c>
      <c r="C2439" t="s">
        <v>116</v>
      </c>
      <c r="D2439" t="s">
        <v>11</v>
      </c>
      <c r="E2439" t="s">
        <v>12</v>
      </c>
      <c r="F2439">
        <v>4.3</v>
      </c>
      <c r="G2439">
        <v>10999</v>
      </c>
      <c r="H2439">
        <v>10999</v>
      </c>
      <c r="I2439">
        <f>FlipkartTable[[#This Row],[Original Price]]-FlipkartTable[[#This Row],[Selling Price]]</f>
        <v>0</v>
      </c>
      <c r="J2439" s="4">
        <f>(FlipkartTable[[#This Row],[Original Price]]-FlipkartTable[[#This Row],[Selling Price]])/FlipkartTable[[#This Row],[Original Price]]</f>
        <v>0</v>
      </c>
      <c r="K2439">
        <f>(FlipkartTable[[#This Row],[Rating]]/FlipkartTable[[#This Row],[Selling Price]])*1000</f>
        <v>0.39094463133012086</v>
      </c>
      <c r="L2439" t="str">
        <f>IF(FlipkartTable[[#This Row],[Selling Price]]&lt;15000,"Budget",IF(FlipkartTable[[#This Row],[Selling Price]]&lt;50000,"Mid Range","Premium"))</f>
        <v>Budget</v>
      </c>
      <c r="M2439" t="str">
        <f>IF(FlipkartTable[[#This Row],[Rating]]&gt;4.5,"Excellent",IF(FlipkartTable[[#This Row],[Rating]]&gt;4,"Good",IF(FlipkartTable[[#This Row],[Rating]]&gt;3.5,"Average","Poor")))</f>
        <v>Good</v>
      </c>
    </row>
    <row r="2440" spans="1:13" x14ac:dyDescent="0.35">
      <c r="A2440" t="s">
        <v>1181</v>
      </c>
      <c r="B2440" s="9" t="s">
        <v>1260</v>
      </c>
      <c r="C2440" t="s">
        <v>114</v>
      </c>
      <c r="D2440" t="s">
        <v>20</v>
      </c>
      <c r="E2440" t="s">
        <v>21</v>
      </c>
      <c r="F2440">
        <v>4.3</v>
      </c>
      <c r="G2440">
        <v>9999</v>
      </c>
      <c r="H2440">
        <v>9999</v>
      </c>
      <c r="I2440">
        <f>FlipkartTable[[#This Row],[Original Price]]-FlipkartTable[[#This Row],[Selling Price]]</f>
        <v>0</v>
      </c>
      <c r="J2440" s="4">
        <f>(FlipkartTable[[#This Row],[Original Price]]-FlipkartTable[[#This Row],[Selling Price]])/FlipkartTable[[#This Row],[Original Price]]</f>
        <v>0</v>
      </c>
      <c r="K2440">
        <f>(FlipkartTable[[#This Row],[Rating]]/FlipkartTable[[#This Row],[Selling Price]])*1000</f>
        <v>0.43004300430043002</v>
      </c>
      <c r="L2440" t="str">
        <f>IF(FlipkartTable[[#This Row],[Selling Price]]&lt;15000,"Budget",IF(FlipkartTable[[#This Row],[Selling Price]]&lt;50000,"Mid Range","Premium"))</f>
        <v>Budget</v>
      </c>
      <c r="M2440" t="str">
        <f>IF(FlipkartTable[[#This Row],[Rating]]&gt;4.5,"Excellent",IF(FlipkartTable[[#This Row],[Rating]]&gt;4,"Good",IF(FlipkartTable[[#This Row],[Rating]]&gt;3.5,"Average","Poor")))</f>
        <v>Good</v>
      </c>
    </row>
    <row r="2441" spans="1:13" x14ac:dyDescent="0.35">
      <c r="A2441" t="s">
        <v>1181</v>
      </c>
      <c r="B2441" s="9" t="s">
        <v>1261</v>
      </c>
      <c r="C2441" t="s">
        <v>1262</v>
      </c>
      <c r="D2441" t="s">
        <v>11</v>
      </c>
      <c r="E2441" t="s">
        <v>12</v>
      </c>
      <c r="F2441">
        <v>4.3</v>
      </c>
      <c r="G2441">
        <v>12999</v>
      </c>
      <c r="H2441">
        <v>13999</v>
      </c>
      <c r="I2441">
        <f>FlipkartTable[[#This Row],[Original Price]]-FlipkartTable[[#This Row],[Selling Price]]</f>
        <v>1000</v>
      </c>
      <c r="J2441" s="4">
        <f>(FlipkartTable[[#This Row],[Original Price]]-FlipkartTable[[#This Row],[Selling Price]])/FlipkartTable[[#This Row],[Original Price]]</f>
        <v>7.1433673833845274E-2</v>
      </c>
      <c r="K2441">
        <f>(FlipkartTable[[#This Row],[Rating]]/FlipkartTable[[#This Row],[Selling Price]])*1000</f>
        <v>0.33079467651357791</v>
      </c>
      <c r="L2441" t="str">
        <f>IF(FlipkartTable[[#This Row],[Selling Price]]&lt;15000,"Budget",IF(FlipkartTable[[#This Row],[Selling Price]]&lt;50000,"Mid Range","Premium"))</f>
        <v>Budget</v>
      </c>
      <c r="M2441" t="str">
        <f>IF(FlipkartTable[[#This Row],[Rating]]&gt;4.5,"Excellent",IF(FlipkartTable[[#This Row],[Rating]]&gt;4,"Good",IF(FlipkartTable[[#This Row],[Rating]]&gt;3.5,"Average","Poor")))</f>
        <v>Good</v>
      </c>
    </row>
    <row r="2442" spans="1:13" x14ac:dyDescent="0.35">
      <c r="A2442" t="s">
        <v>1181</v>
      </c>
      <c r="B2442" s="9" t="s">
        <v>1261</v>
      </c>
      <c r="C2442" t="s">
        <v>1263</v>
      </c>
      <c r="D2442" t="s">
        <v>20</v>
      </c>
      <c r="E2442" t="s">
        <v>21</v>
      </c>
      <c r="F2442">
        <v>4.3</v>
      </c>
      <c r="G2442">
        <v>9450</v>
      </c>
      <c r="H2442">
        <v>9450</v>
      </c>
      <c r="I2442">
        <f>FlipkartTable[[#This Row],[Original Price]]-FlipkartTable[[#This Row],[Selling Price]]</f>
        <v>0</v>
      </c>
      <c r="J2442" s="4">
        <f>(FlipkartTable[[#This Row],[Original Price]]-FlipkartTable[[#This Row],[Selling Price]])/FlipkartTable[[#This Row],[Original Price]]</f>
        <v>0</v>
      </c>
      <c r="K2442">
        <f>(FlipkartTable[[#This Row],[Rating]]/FlipkartTable[[#This Row],[Selling Price]])*1000</f>
        <v>0.455026455026455</v>
      </c>
      <c r="L2442" t="str">
        <f>IF(FlipkartTable[[#This Row],[Selling Price]]&lt;15000,"Budget",IF(FlipkartTable[[#This Row],[Selling Price]]&lt;50000,"Mid Range","Premium"))</f>
        <v>Budget</v>
      </c>
      <c r="M2442" t="str">
        <f>IF(FlipkartTable[[#This Row],[Rating]]&gt;4.5,"Excellent",IF(FlipkartTable[[#This Row],[Rating]]&gt;4,"Good",IF(FlipkartTable[[#This Row],[Rating]]&gt;3.5,"Average","Poor")))</f>
        <v>Good</v>
      </c>
    </row>
    <row r="2443" spans="1:13" x14ac:dyDescent="0.35">
      <c r="A2443" t="s">
        <v>1181</v>
      </c>
      <c r="B2443" s="9" t="s">
        <v>1261</v>
      </c>
      <c r="C2443" t="s">
        <v>1263</v>
      </c>
      <c r="D2443" t="s">
        <v>11</v>
      </c>
      <c r="E2443" t="s">
        <v>12</v>
      </c>
      <c r="F2443">
        <v>4.2</v>
      </c>
      <c r="G2443">
        <v>12999</v>
      </c>
      <c r="H2443">
        <v>12999</v>
      </c>
      <c r="I2443">
        <f>FlipkartTable[[#This Row],[Original Price]]-FlipkartTable[[#This Row],[Selling Price]]</f>
        <v>0</v>
      </c>
      <c r="J2443" s="4">
        <f>(FlipkartTable[[#This Row],[Original Price]]-FlipkartTable[[#This Row],[Selling Price]])/FlipkartTable[[#This Row],[Original Price]]</f>
        <v>0</v>
      </c>
      <c r="K2443">
        <f>(FlipkartTable[[#This Row],[Rating]]/FlipkartTable[[#This Row],[Selling Price]])*1000</f>
        <v>0.32310177705977383</v>
      </c>
      <c r="L2443" t="str">
        <f>IF(FlipkartTable[[#This Row],[Selling Price]]&lt;15000,"Budget",IF(FlipkartTable[[#This Row],[Selling Price]]&lt;50000,"Mid Range","Premium"))</f>
        <v>Budget</v>
      </c>
      <c r="M2443" t="str">
        <f>IF(FlipkartTable[[#This Row],[Rating]]&gt;4.5,"Excellent",IF(FlipkartTable[[#This Row],[Rating]]&gt;4,"Good",IF(FlipkartTable[[#This Row],[Rating]]&gt;3.5,"Average","Poor")))</f>
        <v>Good</v>
      </c>
    </row>
    <row r="2444" spans="1:13" x14ac:dyDescent="0.35">
      <c r="A2444" t="s">
        <v>1181</v>
      </c>
      <c r="B2444" s="9" t="s">
        <v>1261</v>
      </c>
      <c r="C2444" t="s">
        <v>1264</v>
      </c>
      <c r="D2444" t="s">
        <v>20</v>
      </c>
      <c r="E2444" t="s">
        <v>21</v>
      </c>
      <c r="F2444">
        <v>4.2</v>
      </c>
      <c r="G2444">
        <v>9950</v>
      </c>
      <c r="H2444">
        <v>9950</v>
      </c>
      <c r="I2444">
        <f>FlipkartTable[[#This Row],[Original Price]]-FlipkartTable[[#This Row],[Selling Price]]</f>
        <v>0</v>
      </c>
      <c r="J2444" s="4">
        <f>(FlipkartTable[[#This Row],[Original Price]]-FlipkartTable[[#This Row],[Selling Price]])/FlipkartTable[[#This Row],[Original Price]]</f>
        <v>0</v>
      </c>
      <c r="K2444">
        <f>(FlipkartTable[[#This Row],[Rating]]/FlipkartTable[[#This Row],[Selling Price]])*1000</f>
        <v>0.42211055276381909</v>
      </c>
      <c r="L2444" t="str">
        <f>IF(FlipkartTable[[#This Row],[Selling Price]]&lt;15000,"Budget",IF(FlipkartTable[[#This Row],[Selling Price]]&lt;50000,"Mid Range","Premium"))</f>
        <v>Budget</v>
      </c>
      <c r="M2444" t="str">
        <f>IF(FlipkartTable[[#This Row],[Rating]]&gt;4.5,"Excellent",IF(FlipkartTable[[#This Row],[Rating]]&gt;4,"Good",IF(FlipkartTable[[#This Row],[Rating]]&gt;3.5,"Average","Poor")))</f>
        <v>Good</v>
      </c>
    </row>
    <row r="2445" spans="1:13" x14ac:dyDescent="0.35">
      <c r="A2445" t="s">
        <v>1181</v>
      </c>
      <c r="B2445" s="9" t="s">
        <v>1261</v>
      </c>
      <c r="C2445" t="s">
        <v>1264</v>
      </c>
      <c r="D2445" t="s">
        <v>11</v>
      </c>
      <c r="E2445" t="s">
        <v>12</v>
      </c>
      <c r="F2445">
        <v>4.3</v>
      </c>
      <c r="G2445">
        <v>12499</v>
      </c>
      <c r="H2445">
        <v>13999</v>
      </c>
      <c r="I2445">
        <f>FlipkartTable[[#This Row],[Original Price]]-FlipkartTable[[#This Row],[Selling Price]]</f>
        <v>1500</v>
      </c>
      <c r="J2445" s="4">
        <f>(FlipkartTable[[#This Row],[Original Price]]-FlipkartTable[[#This Row],[Selling Price]])/FlipkartTable[[#This Row],[Original Price]]</f>
        <v>0.10715051075076791</v>
      </c>
      <c r="K2445">
        <f>(FlipkartTable[[#This Row],[Rating]]/FlipkartTable[[#This Row],[Selling Price]])*1000</f>
        <v>0.34402752220177613</v>
      </c>
      <c r="L2445" t="str">
        <f>IF(FlipkartTable[[#This Row],[Selling Price]]&lt;15000,"Budget",IF(FlipkartTable[[#This Row],[Selling Price]]&lt;50000,"Mid Range","Premium"))</f>
        <v>Budget</v>
      </c>
      <c r="M2445" t="str">
        <f>IF(FlipkartTable[[#This Row],[Rating]]&gt;4.5,"Excellent",IF(FlipkartTable[[#This Row],[Rating]]&gt;4,"Good",IF(FlipkartTable[[#This Row],[Rating]]&gt;3.5,"Average","Poor")))</f>
        <v>Good</v>
      </c>
    </row>
    <row r="2446" spans="1:13" x14ac:dyDescent="0.35">
      <c r="A2446" t="s">
        <v>186</v>
      </c>
      <c r="B2446" s="9" t="s">
        <v>1265</v>
      </c>
      <c r="C2446" t="s">
        <v>461</v>
      </c>
      <c r="D2446" t="s">
        <v>14</v>
      </c>
      <c r="E2446" t="s">
        <v>15</v>
      </c>
      <c r="F2446">
        <v>4.5999999999999996</v>
      </c>
      <c r="G2446">
        <v>53990</v>
      </c>
      <c r="H2446">
        <v>53990</v>
      </c>
      <c r="I2446">
        <f>FlipkartTable[[#This Row],[Original Price]]-FlipkartTable[[#This Row],[Selling Price]]</f>
        <v>0</v>
      </c>
      <c r="J2446" s="4">
        <f>(FlipkartTable[[#This Row],[Original Price]]-FlipkartTable[[#This Row],[Selling Price]])/FlipkartTable[[#This Row],[Original Price]]</f>
        <v>0</v>
      </c>
      <c r="K2446">
        <f>(FlipkartTable[[#This Row],[Rating]]/FlipkartTable[[#This Row],[Selling Price]])*1000</f>
        <v>8.5200963141322458E-2</v>
      </c>
      <c r="L2446" t="str">
        <f>IF(FlipkartTable[[#This Row],[Selling Price]]&lt;15000,"Budget",IF(FlipkartTable[[#This Row],[Selling Price]]&lt;50000,"Mid Range","Premium"))</f>
        <v>Premium</v>
      </c>
      <c r="M2446" t="str">
        <f>IF(FlipkartTable[[#This Row],[Rating]]&gt;4.5,"Excellent",IF(FlipkartTable[[#This Row],[Rating]]&gt;4,"Good",IF(FlipkartTable[[#This Row],[Rating]]&gt;3.5,"Average","Poor")))</f>
        <v>Excellent</v>
      </c>
    </row>
    <row r="2447" spans="1:13" x14ac:dyDescent="0.35">
      <c r="A2447" t="s">
        <v>186</v>
      </c>
      <c r="B2447" s="9" t="s">
        <v>1266</v>
      </c>
      <c r="C2447" t="s">
        <v>1267</v>
      </c>
      <c r="D2447" t="s">
        <v>11</v>
      </c>
      <c r="E2447" t="s">
        <v>12</v>
      </c>
      <c r="F2447">
        <v>4</v>
      </c>
      <c r="G2447">
        <v>62990</v>
      </c>
      <c r="H2447">
        <v>62990</v>
      </c>
      <c r="I2447">
        <f>FlipkartTable[[#This Row],[Original Price]]-FlipkartTable[[#This Row],[Selling Price]]</f>
        <v>0</v>
      </c>
      <c r="J2447" s="4">
        <f>(FlipkartTable[[#This Row],[Original Price]]-FlipkartTable[[#This Row],[Selling Price]])/FlipkartTable[[#This Row],[Original Price]]</f>
        <v>0</v>
      </c>
      <c r="K2447">
        <f>(FlipkartTable[[#This Row],[Rating]]/FlipkartTable[[#This Row],[Selling Price]])*1000</f>
        <v>6.3502143197332911E-2</v>
      </c>
      <c r="L2447" t="str">
        <f>IF(FlipkartTable[[#This Row],[Selling Price]]&lt;15000,"Budget",IF(FlipkartTable[[#This Row],[Selling Price]]&lt;50000,"Mid Range","Premium"))</f>
        <v>Premium</v>
      </c>
      <c r="M2447" t="str">
        <f>IF(FlipkartTable[[#This Row],[Rating]]&gt;4.5,"Excellent",IF(FlipkartTable[[#This Row],[Rating]]&gt;4,"Good",IF(FlipkartTable[[#This Row],[Rating]]&gt;3.5,"Average","Poor")))</f>
        <v>Average</v>
      </c>
    </row>
    <row r="2448" spans="1:13" x14ac:dyDescent="0.35">
      <c r="A2448" t="s">
        <v>186</v>
      </c>
      <c r="B2448" s="9" t="s">
        <v>1266</v>
      </c>
      <c r="C2448" t="s">
        <v>1079</v>
      </c>
      <c r="D2448" t="s">
        <v>11</v>
      </c>
      <c r="E2448" t="s">
        <v>12</v>
      </c>
      <c r="F2448">
        <v>4</v>
      </c>
      <c r="G2448">
        <v>62990</v>
      </c>
      <c r="H2448">
        <v>62990</v>
      </c>
      <c r="I2448">
        <f>FlipkartTable[[#This Row],[Original Price]]-FlipkartTable[[#This Row],[Selling Price]]</f>
        <v>0</v>
      </c>
      <c r="J2448" s="4">
        <f>(FlipkartTable[[#This Row],[Original Price]]-FlipkartTable[[#This Row],[Selling Price]])/FlipkartTable[[#This Row],[Original Price]]</f>
        <v>0</v>
      </c>
      <c r="K2448">
        <f>(FlipkartTable[[#This Row],[Rating]]/FlipkartTable[[#This Row],[Selling Price]])*1000</f>
        <v>6.3502143197332911E-2</v>
      </c>
      <c r="L2448" t="str">
        <f>IF(FlipkartTable[[#This Row],[Selling Price]]&lt;15000,"Budget",IF(FlipkartTable[[#This Row],[Selling Price]]&lt;50000,"Mid Range","Premium"))</f>
        <v>Premium</v>
      </c>
      <c r="M2448" t="str">
        <f>IF(FlipkartTable[[#This Row],[Rating]]&gt;4.5,"Excellent",IF(FlipkartTable[[#This Row],[Rating]]&gt;4,"Good",IF(FlipkartTable[[#This Row],[Rating]]&gt;3.5,"Average","Poor")))</f>
        <v>Average</v>
      </c>
    </row>
    <row r="2449" spans="1:13" x14ac:dyDescent="0.35">
      <c r="A2449" t="s">
        <v>186</v>
      </c>
      <c r="B2449" s="9" t="s">
        <v>1265</v>
      </c>
      <c r="C2449" t="s">
        <v>1267</v>
      </c>
      <c r="D2449" t="s">
        <v>14</v>
      </c>
      <c r="E2449" t="s">
        <v>15</v>
      </c>
      <c r="F2449">
        <v>4.5999999999999996</v>
      </c>
      <c r="G2449">
        <v>53990</v>
      </c>
      <c r="H2449">
        <v>53990</v>
      </c>
      <c r="I2449">
        <f>FlipkartTable[[#This Row],[Original Price]]-FlipkartTable[[#This Row],[Selling Price]]</f>
        <v>0</v>
      </c>
      <c r="J2449" s="4">
        <f>(FlipkartTable[[#This Row],[Original Price]]-FlipkartTable[[#This Row],[Selling Price]])/FlipkartTable[[#This Row],[Original Price]]</f>
        <v>0</v>
      </c>
      <c r="K2449">
        <f>(FlipkartTable[[#This Row],[Rating]]/FlipkartTable[[#This Row],[Selling Price]])*1000</f>
        <v>8.5200963141322458E-2</v>
      </c>
      <c r="L2449" t="str">
        <f>IF(FlipkartTable[[#This Row],[Selling Price]]&lt;15000,"Budget",IF(FlipkartTable[[#This Row],[Selling Price]]&lt;50000,"Mid Range","Premium"))</f>
        <v>Premium</v>
      </c>
      <c r="M2449" t="str">
        <f>IF(FlipkartTable[[#This Row],[Rating]]&gt;4.5,"Excellent",IF(FlipkartTable[[#This Row],[Rating]]&gt;4,"Good",IF(FlipkartTable[[#This Row],[Rating]]&gt;3.5,"Average","Poor")))</f>
        <v>Excellent</v>
      </c>
    </row>
    <row r="2450" spans="1:13" x14ac:dyDescent="0.35">
      <c r="A2450" t="s">
        <v>186</v>
      </c>
      <c r="B2450" s="9" t="s">
        <v>1265</v>
      </c>
      <c r="C2450" t="s">
        <v>188</v>
      </c>
      <c r="D2450" t="s">
        <v>14</v>
      </c>
      <c r="E2450" t="s">
        <v>15</v>
      </c>
      <c r="F2450">
        <v>4.5999999999999996</v>
      </c>
      <c r="G2450">
        <v>53990</v>
      </c>
      <c r="H2450">
        <v>53990</v>
      </c>
      <c r="I2450">
        <f>FlipkartTable[[#This Row],[Original Price]]-FlipkartTable[[#This Row],[Selling Price]]</f>
        <v>0</v>
      </c>
      <c r="J2450" s="4">
        <f>(FlipkartTable[[#This Row],[Original Price]]-FlipkartTable[[#This Row],[Selling Price]])/FlipkartTable[[#This Row],[Original Price]]</f>
        <v>0</v>
      </c>
      <c r="K2450">
        <f>(FlipkartTable[[#This Row],[Rating]]/FlipkartTable[[#This Row],[Selling Price]])*1000</f>
        <v>8.5200963141322458E-2</v>
      </c>
      <c r="L2450" t="str">
        <f>IF(FlipkartTable[[#This Row],[Selling Price]]&lt;15000,"Budget",IF(FlipkartTable[[#This Row],[Selling Price]]&lt;50000,"Mid Range","Premium"))</f>
        <v>Premium</v>
      </c>
      <c r="M2450" t="str">
        <f>IF(FlipkartTable[[#This Row],[Rating]]&gt;4.5,"Excellent",IF(FlipkartTable[[#This Row],[Rating]]&gt;4,"Good",IF(FlipkartTable[[#This Row],[Rating]]&gt;3.5,"Average","Poor")))</f>
        <v>Excellent</v>
      </c>
    </row>
    <row r="2451" spans="1:13" x14ac:dyDescent="0.35">
      <c r="A2451" t="s">
        <v>186</v>
      </c>
      <c r="B2451" s="9" t="s">
        <v>1265</v>
      </c>
      <c r="C2451" t="s">
        <v>1079</v>
      </c>
      <c r="D2451" t="s">
        <v>14</v>
      </c>
      <c r="E2451" t="s">
        <v>15</v>
      </c>
      <c r="F2451">
        <v>4.5999999999999996</v>
      </c>
      <c r="G2451">
        <v>53990</v>
      </c>
      <c r="H2451">
        <v>53990</v>
      </c>
      <c r="I2451">
        <f>FlipkartTable[[#This Row],[Original Price]]-FlipkartTable[[#This Row],[Selling Price]]</f>
        <v>0</v>
      </c>
      <c r="J2451" s="4">
        <f>(FlipkartTable[[#This Row],[Original Price]]-FlipkartTable[[#This Row],[Selling Price]])/FlipkartTable[[#This Row],[Original Price]]</f>
        <v>0</v>
      </c>
      <c r="K2451">
        <f>(FlipkartTable[[#This Row],[Rating]]/FlipkartTable[[#This Row],[Selling Price]])*1000</f>
        <v>8.5200963141322458E-2</v>
      </c>
      <c r="L2451" t="str">
        <f>IF(FlipkartTable[[#This Row],[Selling Price]]&lt;15000,"Budget",IF(FlipkartTable[[#This Row],[Selling Price]]&lt;50000,"Mid Range","Premium"))</f>
        <v>Premium</v>
      </c>
      <c r="M2451" t="str">
        <f>IF(FlipkartTable[[#This Row],[Rating]]&gt;4.5,"Excellent",IF(FlipkartTable[[#This Row],[Rating]]&gt;4,"Good",IF(FlipkartTable[[#This Row],[Rating]]&gt;3.5,"Average","Poor")))</f>
        <v>Excellent</v>
      </c>
    </row>
    <row r="2452" spans="1:13" x14ac:dyDescent="0.35">
      <c r="A2452" t="s">
        <v>186</v>
      </c>
      <c r="B2452" s="9" t="s">
        <v>1268</v>
      </c>
      <c r="C2452" t="s">
        <v>1269</v>
      </c>
      <c r="D2452" t="s">
        <v>35</v>
      </c>
      <c r="E2452" t="s">
        <v>124</v>
      </c>
      <c r="F2452">
        <v>3.8</v>
      </c>
      <c r="G2452">
        <v>12570</v>
      </c>
      <c r="H2452">
        <v>12570</v>
      </c>
      <c r="I2452">
        <f>FlipkartTable[[#This Row],[Original Price]]-FlipkartTable[[#This Row],[Selling Price]]</f>
        <v>0</v>
      </c>
      <c r="J2452" s="4">
        <f>(FlipkartTable[[#This Row],[Original Price]]-FlipkartTable[[#This Row],[Selling Price]])/FlipkartTable[[#This Row],[Original Price]]</f>
        <v>0</v>
      </c>
      <c r="K2452">
        <f>(FlipkartTable[[#This Row],[Rating]]/FlipkartTable[[#This Row],[Selling Price]])*1000</f>
        <v>0.30230708035003973</v>
      </c>
      <c r="L2452" t="str">
        <f>IF(FlipkartTable[[#This Row],[Selling Price]]&lt;15000,"Budget",IF(FlipkartTable[[#This Row],[Selling Price]]&lt;50000,"Mid Range","Premium"))</f>
        <v>Budget</v>
      </c>
      <c r="M2452" t="str">
        <f>IF(FlipkartTable[[#This Row],[Rating]]&gt;4.5,"Excellent",IF(FlipkartTable[[#This Row],[Rating]]&gt;4,"Good",IF(FlipkartTable[[#This Row],[Rating]]&gt;3.5,"Average","Poor")))</f>
        <v>Average</v>
      </c>
    </row>
    <row r="2453" spans="1:13" x14ac:dyDescent="0.35">
      <c r="A2453" t="s">
        <v>186</v>
      </c>
      <c r="B2453" s="9">
        <v>10</v>
      </c>
      <c r="C2453" t="s">
        <v>1270</v>
      </c>
      <c r="D2453" t="s">
        <v>11</v>
      </c>
      <c r="E2453" t="s">
        <v>21</v>
      </c>
      <c r="F2453">
        <v>4.2</v>
      </c>
      <c r="G2453">
        <v>47990</v>
      </c>
      <c r="H2453">
        <v>47990</v>
      </c>
      <c r="I2453">
        <f>FlipkartTable[[#This Row],[Original Price]]-FlipkartTable[[#This Row],[Selling Price]]</f>
        <v>0</v>
      </c>
      <c r="J2453" s="4">
        <f>(FlipkartTable[[#This Row],[Original Price]]-FlipkartTable[[#This Row],[Selling Price]])/FlipkartTable[[#This Row],[Original Price]]</f>
        <v>0</v>
      </c>
      <c r="K2453">
        <f>(FlipkartTable[[#This Row],[Rating]]/FlipkartTable[[#This Row],[Selling Price]])*1000</f>
        <v>8.7518232965201087E-2</v>
      </c>
      <c r="L2453" t="str">
        <f>IF(FlipkartTable[[#This Row],[Selling Price]]&lt;15000,"Budget",IF(FlipkartTable[[#This Row],[Selling Price]]&lt;50000,"Mid Range","Premium"))</f>
        <v>Mid Range</v>
      </c>
      <c r="M2453" t="str">
        <f>IF(FlipkartTable[[#This Row],[Rating]]&gt;4.5,"Excellent",IF(FlipkartTable[[#This Row],[Rating]]&gt;4,"Good",IF(FlipkartTable[[#This Row],[Rating]]&gt;3.5,"Average","Poor")))</f>
        <v>Good</v>
      </c>
    </row>
    <row r="2454" spans="1:13" x14ac:dyDescent="0.35">
      <c r="A2454" t="s">
        <v>186</v>
      </c>
      <c r="B2454" s="9">
        <v>10</v>
      </c>
      <c r="C2454" t="s">
        <v>1271</v>
      </c>
      <c r="D2454" t="s">
        <v>11</v>
      </c>
      <c r="E2454" t="s">
        <v>21</v>
      </c>
      <c r="F2454">
        <v>4.2</v>
      </c>
      <c r="G2454">
        <v>56690</v>
      </c>
      <c r="H2454">
        <v>56690</v>
      </c>
      <c r="I2454">
        <f>FlipkartTable[[#This Row],[Original Price]]-FlipkartTable[[#This Row],[Selling Price]]</f>
        <v>0</v>
      </c>
      <c r="J2454" s="4">
        <f>(FlipkartTable[[#This Row],[Original Price]]-FlipkartTable[[#This Row],[Selling Price]])/FlipkartTable[[#This Row],[Original Price]]</f>
        <v>0</v>
      </c>
      <c r="K2454">
        <f>(FlipkartTable[[#This Row],[Rating]]/FlipkartTable[[#This Row],[Selling Price]])*1000</f>
        <v>7.4087140589169168E-2</v>
      </c>
      <c r="L2454" t="str">
        <f>IF(FlipkartTable[[#This Row],[Selling Price]]&lt;15000,"Budget",IF(FlipkartTable[[#This Row],[Selling Price]]&lt;50000,"Mid Range","Premium"))</f>
        <v>Premium</v>
      </c>
      <c r="M2454" t="str">
        <f>IF(FlipkartTable[[#This Row],[Rating]]&gt;4.5,"Excellent",IF(FlipkartTable[[#This Row],[Rating]]&gt;4,"Good",IF(FlipkartTable[[#This Row],[Rating]]&gt;3.5,"Average","Poor")))</f>
        <v>Good</v>
      </c>
    </row>
    <row r="2455" spans="1:13" x14ac:dyDescent="0.35">
      <c r="A2455" t="s">
        <v>186</v>
      </c>
      <c r="B2455" s="9">
        <v>628</v>
      </c>
      <c r="C2455" t="s">
        <v>1272</v>
      </c>
      <c r="D2455" t="s">
        <v>20</v>
      </c>
      <c r="E2455" t="s">
        <v>21</v>
      </c>
      <c r="F2455">
        <v>3.7</v>
      </c>
      <c r="G2455">
        <v>15400</v>
      </c>
      <c r="H2455">
        <v>15400</v>
      </c>
      <c r="I2455">
        <f>FlipkartTable[[#This Row],[Original Price]]-FlipkartTable[[#This Row],[Selling Price]]</f>
        <v>0</v>
      </c>
      <c r="J2455" s="4">
        <f>(FlipkartTable[[#This Row],[Original Price]]-FlipkartTable[[#This Row],[Selling Price]])/FlipkartTable[[#This Row],[Original Price]]</f>
        <v>0</v>
      </c>
      <c r="K2455">
        <f>(FlipkartTable[[#This Row],[Rating]]/FlipkartTable[[#This Row],[Selling Price]])*1000</f>
        <v>0.24025974025974028</v>
      </c>
      <c r="L2455" t="str">
        <f>IF(FlipkartTable[[#This Row],[Selling Price]]&lt;15000,"Budget",IF(FlipkartTable[[#This Row],[Selling Price]]&lt;50000,"Mid Range","Premium"))</f>
        <v>Mid Range</v>
      </c>
      <c r="M2455" t="str">
        <f>IF(FlipkartTable[[#This Row],[Rating]]&gt;4.5,"Excellent",IF(FlipkartTable[[#This Row],[Rating]]&gt;4,"Good",IF(FlipkartTable[[#This Row],[Rating]]&gt;3.5,"Average","Poor")))</f>
        <v>Average</v>
      </c>
    </row>
    <row r="2456" spans="1:13" x14ac:dyDescent="0.35">
      <c r="A2456" t="s">
        <v>186</v>
      </c>
      <c r="B2456" s="9" t="s">
        <v>1273</v>
      </c>
      <c r="C2456" t="s">
        <v>1274</v>
      </c>
      <c r="D2456" t="s">
        <v>35</v>
      </c>
      <c r="E2456" t="s">
        <v>124</v>
      </c>
      <c r="F2456">
        <v>3.7</v>
      </c>
      <c r="G2456">
        <v>11810</v>
      </c>
      <c r="H2456">
        <v>11810</v>
      </c>
      <c r="I2456">
        <f>FlipkartTable[[#This Row],[Original Price]]-FlipkartTable[[#This Row],[Selling Price]]</f>
        <v>0</v>
      </c>
      <c r="J2456" s="4">
        <f>(FlipkartTable[[#This Row],[Original Price]]-FlipkartTable[[#This Row],[Selling Price]])/FlipkartTable[[#This Row],[Original Price]]</f>
        <v>0</v>
      </c>
      <c r="K2456">
        <f>(FlipkartTable[[#This Row],[Rating]]/FlipkartTable[[#This Row],[Selling Price]])*1000</f>
        <v>0.31329381879762919</v>
      </c>
      <c r="L2456" t="str">
        <f>IF(FlipkartTable[[#This Row],[Selling Price]]&lt;15000,"Budget",IF(FlipkartTable[[#This Row],[Selling Price]]&lt;50000,"Mid Range","Premium"))</f>
        <v>Budget</v>
      </c>
      <c r="M2456" t="str">
        <f>IF(FlipkartTable[[#This Row],[Rating]]&gt;4.5,"Excellent",IF(FlipkartTable[[#This Row],[Rating]]&gt;4,"Good",IF(FlipkartTable[[#This Row],[Rating]]&gt;3.5,"Average","Poor")))</f>
        <v>Average</v>
      </c>
    </row>
    <row r="2457" spans="1:13" x14ac:dyDescent="0.35">
      <c r="A2457" t="s">
        <v>186</v>
      </c>
      <c r="B2457" s="9" t="s">
        <v>1273</v>
      </c>
      <c r="C2457" t="s">
        <v>1275</v>
      </c>
      <c r="D2457" t="s">
        <v>35</v>
      </c>
      <c r="E2457" t="s">
        <v>124</v>
      </c>
      <c r="F2457">
        <v>3.7</v>
      </c>
      <c r="G2457">
        <v>13200</v>
      </c>
      <c r="H2457">
        <v>13200</v>
      </c>
      <c r="I2457">
        <f>FlipkartTable[[#This Row],[Original Price]]-FlipkartTable[[#This Row],[Selling Price]]</f>
        <v>0</v>
      </c>
      <c r="J2457" s="4">
        <f>(FlipkartTable[[#This Row],[Original Price]]-FlipkartTable[[#This Row],[Selling Price]])/FlipkartTable[[#This Row],[Original Price]]</f>
        <v>0</v>
      </c>
      <c r="K2457">
        <f>(FlipkartTable[[#This Row],[Rating]]/FlipkartTable[[#This Row],[Selling Price]])*1000</f>
        <v>0.28030303030303028</v>
      </c>
      <c r="L2457" t="str">
        <f>IF(FlipkartTable[[#This Row],[Selling Price]]&lt;15000,"Budget",IF(FlipkartTable[[#This Row],[Selling Price]]&lt;50000,"Mid Range","Premium"))</f>
        <v>Budget</v>
      </c>
      <c r="M2457" t="str">
        <f>IF(FlipkartTable[[#This Row],[Rating]]&gt;4.5,"Excellent",IF(FlipkartTable[[#This Row],[Rating]]&gt;4,"Good",IF(FlipkartTable[[#This Row],[Rating]]&gt;3.5,"Average","Poor")))</f>
        <v>Average</v>
      </c>
    </row>
    <row r="2458" spans="1:13" x14ac:dyDescent="0.35">
      <c r="A2458" t="s">
        <v>186</v>
      </c>
      <c r="B2458" s="9" t="s">
        <v>1273</v>
      </c>
      <c r="C2458" t="s">
        <v>615</v>
      </c>
      <c r="D2458" t="s">
        <v>35</v>
      </c>
      <c r="E2458" t="s">
        <v>124</v>
      </c>
      <c r="F2458">
        <v>3.7</v>
      </c>
      <c r="G2458">
        <v>15490</v>
      </c>
      <c r="H2458">
        <v>15490</v>
      </c>
      <c r="I2458">
        <f>FlipkartTable[[#This Row],[Original Price]]-FlipkartTable[[#This Row],[Selling Price]]</f>
        <v>0</v>
      </c>
      <c r="J2458" s="4">
        <f>(FlipkartTable[[#This Row],[Original Price]]-FlipkartTable[[#This Row],[Selling Price]])/FlipkartTable[[#This Row],[Original Price]]</f>
        <v>0</v>
      </c>
      <c r="K2458">
        <f>(FlipkartTable[[#This Row],[Rating]]/FlipkartTable[[#This Row],[Selling Price]])*1000</f>
        <v>0.23886378308586184</v>
      </c>
      <c r="L2458" t="str">
        <f>IF(FlipkartTable[[#This Row],[Selling Price]]&lt;15000,"Budget",IF(FlipkartTable[[#This Row],[Selling Price]]&lt;50000,"Mid Range","Premium"))</f>
        <v>Mid Range</v>
      </c>
      <c r="M2458" t="str">
        <f>IF(FlipkartTable[[#This Row],[Rating]]&gt;4.5,"Excellent",IF(FlipkartTable[[#This Row],[Rating]]&gt;4,"Good",IF(FlipkartTable[[#This Row],[Rating]]&gt;3.5,"Average","Poor")))</f>
        <v>Average</v>
      </c>
    </row>
    <row r="2459" spans="1:13" x14ac:dyDescent="0.35">
      <c r="A2459" t="s">
        <v>186</v>
      </c>
      <c r="B2459" s="9" t="s">
        <v>1276</v>
      </c>
      <c r="C2459" t="s">
        <v>405</v>
      </c>
      <c r="D2459" t="s">
        <v>35</v>
      </c>
      <c r="E2459" t="s">
        <v>124</v>
      </c>
      <c r="F2459">
        <v>3.7</v>
      </c>
      <c r="G2459">
        <v>16990</v>
      </c>
      <c r="H2459">
        <v>16990</v>
      </c>
      <c r="I2459">
        <f>FlipkartTable[[#This Row],[Original Price]]-FlipkartTable[[#This Row],[Selling Price]]</f>
        <v>0</v>
      </c>
      <c r="J2459" s="4">
        <f>(FlipkartTable[[#This Row],[Original Price]]-FlipkartTable[[#This Row],[Selling Price]])/FlipkartTable[[#This Row],[Original Price]]</f>
        <v>0</v>
      </c>
      <c r="K2459">
        <f>(FlipkartTable[[#This Row],[Rating]]/FlipkartTable[[#This Row],[Selling Price]])*1000</f>
        <v>0.2177751618599176</v>
      </c>
      <c r="L2459" t="str">
        <f>IF(FlipkartTable[[#This Row],[Selling Price]]&lt;15000,"Budget",IF(FlipkartTable[[#This Row],[Selling Price]]&lt;50000,"Mid Range","Premium"))</f>
        <v>Mid Range</v>
      </c>
      <c r="M2459" t="str">
        <f>IF(FlipkartTable[[#This Row],[Rating]]&gt;4.5,"Excellent",IF(FlipkartTable[[#This Row],[Rating]]&gt;4,"Good",IF(FlipkartTable[[#This Row],[Rating]]&gt;3.5,"Average","Poor")))</f>
        <v>Average</v>
      </c>
    </row>
    <row r="2460" spans="1:13" x14ac:dyDescent="0.35">
      <c r="A2460" t="s">
        <v>186</v>
      </c>
      <c r="B2460" s="9" t="s">
        <v>1277</v>
      </c>
      <c r="C2460" t="s">
        <v>1275</v>
      </c>
      <c r="D2460" t="s">
        <v>35</v>
      </c>
      <c r="E2460" t="s">
        <v>124</v>
      </c>
      <c r="F2460">
        <v>3.7</v>
      </c>
      <c r="G2460">
        <v>26999</v>
      </c>
      <c r="H2460">
        <v>26999</v>
      </c>
      <c r="I2460">
        <f>FlipkartTable[[#This Row],[Original Price]]-FlipkartTable[[#This Row],[Selling Price]]</f>
        <v>0</v>
      </c>
      <c r="J2460" s="4">
        <f>(FlipkartTable[[#This Row],[Original Price]]-FlipkartTable[[#This Row],[Selling Price]])/FlipkartTable[[#This Row],[Original Price]]</f>
        <v>0</v>
      </c>
      <c r="K2460">
        <f>(FlipkartTable[[#This Row],[Rating]]/FlipkartTable[[#This Row],[Selling Price]])*1000</f>
        <v>0.13704211267083968</v>
      </c>
      <c r="L2460" t="str">
        <f>IF(FlipkartTable[[#This Row],[Selling Price]]&lt;15000,"Budget",IF(FlipkartTable[[#This Row],[Selling Price]]&lt;50000,"Mid Range","Premium"))</f>
        <v>Mid Range</v>
      </c>
      <c r="M2460" t="str">
        <f>IF(FlipkartTable[[#This Row],[Rating]]&gt;4.5,"Excellent",IF(FlipkartTable[[#This Row],[Rating]]&gt;4,"Good",IF(FlipkartTable[[#This Row],[Rating]]&gt;3.5,"Average","Poor")))</f>
        <v>Average</v>
      </c>
    </row>
    <row r="2461" spans="1:13" x14ac:dyDescent="0.35">
      <c r="A2461" t="s">
        <v>186</v>
      </c>
      <c r="B2461" s="9" t="s">
        <v>1277</v>
      </c>
      <c r="C2461" t="s">
        <v>1274</v>
      </c>
      <c r="D2461" t="s">
        <v>35</v>
      </c>
      <c r="E2461" t="s">
        <v>124</v>
      </c>
      <c r="F2461">
        <v>3.7</v>
      </c>
      <c r="G2461">
        <v>18249</v>
      </c>
      <c r="H2461">
        <v>18249</v>
      </c>
      <c r="I2461">
        <f>FlipkartTable[[#This Row],[Original Price]]-FlipkartTable[[#This Row],[Selling Price]]</f>
        <v>0</v>
      </c>
      <c r="J2461" s="4">
        <f>(FlipkartTable[[#This Row],[Original Price]]-FlipkartTable[[#This Row],[Selling Price]])/FlipkartTable[[#This Row],[Original Price]]</f>
        <v>0</v>
      </c>
      <c r="K2461">
        <f>(FlipkartTable[[#This Row],[Rating]]/FlipkartTable[[#This Row],[Selling Price]])*1000</f>
        <v>0.20275083566222807</v>
      </c>
      <c r="L2461" t="str">
        <f>IF(FlipkartTable[[#This Row],[Selling Price]]&lt;15000,"Budget",IF(FlipkartTable[[#This Row],[Selling Price]]&lt;50000,"Mid Range","Premium"))</f>
        <v>Mid Range</v>
      </c>
      <c r="M2461" t="str">
        <f>IF(FlipkartTable[[#This Row],[Rating]]&gt;4.5,"Excellent",IF(FlipkartTable[[#This Row],[Rating]]&gt;4,"Good",IF(FlipkartTable[[#This Row],[Rating]]&gt;3.5,"Average","Poor")))</f>
        <v>Average</v>
      </c>
    </row>
    <row r="2462" spans="1:13" x14ac:dyDescent="0.35">
      <c r="A2462" t="s">
        <v>186</v>
      </c>
      <c r="B2462" s="9" t="s">
        <v>1278</v>
      </c>
      <c r="C2462" t="s">
        <v>1279</v>
      </c>
      <c r="D2462" t="s">
        <v>134</v>
      </c>
      <c r="E2462" t="s">
        <v>124</v>
      </c>
      <c r="F2462">
        <v>3.9</v>
      </c>
      <c r="G2462">
        <v>19695</v>
      </c>
      <c r="H2462">
        <v>19695</v>
      </c>
      <c r="I2462">
        <f>FlipkartTable[[#This Row],[Original Price]]-FlipkartTable[[#This Row],[Selling Price]]</f>
        <v>0</v>
      </c>
      <c r="J2462" s="4">
        <f>(FlipkartTable[[#This Row],[Original Price]]-FlipkartTable[[#This Row],[Selling Price]])/FlipkartTable[[#This Row],[Original Price]]</f>
        <v>0</v>
      </c>
      <c r="K2462">
        <f>(FlipkartTable[[#This Row],[Rating]]/FlipkartTable[[#This Row],[Selling Price]])*1000</f>
        <v>0.198019801980198</v>
      </c>
      <c r="L2462" t="str">
        <f>IF(FlipkartTable[[#This Row],[Selling Price]]&lt;15000,"Budget",IF(FlipkartTable[[#This Row],[Selling Price]]&lt;50000,"Mid Range","Premium"))</f>
        <v>Mid Range</v>
      </c>
      <c r="M2462" t="str">
        <f>IF(FlipkartTable[[#This Row],[Rating]]&gt;4.5,"Excellent",IF(FlipkartTable[[#This Row],[Rating]]&gt;4,"Good",IF(FlipkartTable[[#This Row],[Rating]]&gt;3.5,"Average","Poor")))</f>
        <v>Average</v>
      </c>
    </row>
    <row r="2463" spans="1:13" x14ac:dyDescent="0.35">
      <c r="A2463" t="s">
        <v>186</v>
      </c>
      <c r="B2463" s="9" t="s">
        <v>1280</v>
      </c>
      <c r="C2463" t="s">
        <v>1274</v>
      </c>
      <c r="D2463" t="s">
        <v>134</v>
      </c>
      <c r="E2463" t="s">
        <v>27</v>
      </c>
      <c r="F2463">
        <v>3.7</v>
      </c>
      <c r="G2463">
        <v>9590</v>
      </c>
      <c r="H2463">
        <v>9590</v>
      </c>
      <c r="I2463">
        <f>FlipkartTable[[#This Row],[Original Price]]-FlipkartTable[[#This Row],[Selling Price]]</f>
        <v>0</v>
      </c>
      <c r="J2463" s="4">
        <f>(FlipkartTable[[#This Row],[Original Price]]-FlipkartTable[[#This Row],[Selling Price]])/FlipkartTable[[#This Row],[Original Price]]</f>
        <v>0</v>
      </c>
      <c r="K2463">
        <f>(FlipkartTable[[#This Row],[Rating]]/FlipkartTable[[#This Row],[Selling Price]])*1000</f>
        <v>0.38581856100104278</v>
      </c>
      <c r="L2463" t="str">
        <f>IF(FlipkartTable[[#This Row],[Selling Price]]&lt;15000,"Budget",IF(FlipkartTable[[#This Row],[Selling Price]]&lt;50000,"Mid Range","Premium"))</f>
        <v>Budget</v>
      </c>
      <c r="M2463" t="str">
        <f>IF(FlipkartTable[[#This Row],[Rating]]&gt;4.5,"Excellent",IF(FlipkartTable[[#This Row],[Rating]]&gt;4,"Good",IF(FlipkartTable[[#This Row],[Rating]]&gt;3.5,"Average","Poor")))</f>
        <v>Average</v>
      </c>
    </row>
    <row r="2464" spans="1:13" x14ac:dyDescent="0.35">
      <c r="A2464" t="s">
        <v>186</v>
      </c>
      <c r="B2464" s="9" t="s">
        <v>1280</v>
      </c>
      <c r="C2464" t="s">
        <v>919</v>
      </c>
      <c r="D2464" t="s">
        <v>134</v>
      </c>
      <c r="E2464" t="s">
        <v>27</v>
      </c>
      <c r="F2464">
        <v>3.7</v>
      </c>
      <c r="G2464">
        <v>9590</v>
      </c>
      <c r="H2464">
        <v>9590</v>
      </c>
      <c r="I2464">
        <f>FlipkartTable[[#This Row],[Original Price]]-FlipkartTable[[#This Row],[Selling Price]]</f>
        <v>0</v>
      </c>
      <c r="J2464" s="4">
        <f>(FlipkartTable[[#This Row],[Original Price]]-FlipkartTable[[#This Row],[Selling Price]])/FlipkartTable[[#This Row],[Original Price]]</f>
        <v>0</v>
      </c>
      <c r="K2464">
        <f>(FlipkartTable[[#This Row],[Rating]]/FlipkartTable[[#This Row],[Selling Price]])*1000</f>
        <v>0.38581856100104278</v>
      </c>
      <c r="L2464" t="str">
        <f>IF(FlipkartTable[[#This Row],[Selling Price]]&lt;15000,"Budget",IF(FlipkartTable[[#This Row],[Selling Price]]&lt;50000,"Mid Range","Premium"))</f>
        <v>Budget</v>
      </c>
      <c r="M2464" t="str">
        <f>IF(FlipkartTable[[#This Row],[Rating]]&gt;4.5,"Excellent",IF(FlipkartTable[[#This Row],[Rating]]&gt;4,"Good",IF(FlipkartTable[[#This Row],[Rating]]&gt;3.5,"Average","Poor")))</f>
        <v>Average</v>
      </c>
    </row>
    <row r="2465" spans="1:13" x14ac:dyDescent="0.35">
      <c r="A2465" t="s">
        <v>186</v>
      </c>
      <c r="B2465" s="9" t="s">
        <v>1281</v>
      </c>
      <c r="C2465" t="s">
        <v>1282</v>
      </c>
      <c r="D2465" t="s">
        <v>20</v>
      </c>
      <c r="E2465" t="s">
        <v>21</v>
      </c>
      <c r="F2465">
        <v>3.9</v>
      </c>
      <c r="G2465">
        <v>38800</v>
      </c>
      <c r="H2465">
        <v>38800</v>
      </c>
      <c r="I2465">
        <f>FlipkartTable[[#This Row],[Original Price]]-FlipkartTable[[#This Row],[Selling Price]]</f>
        <v>0</v>
      </c>
      <c r="J2465" s="4">
        <f>(FlipkartTable[[#This Row],[Original Price]]-FlipkartTable[[#This Row],[Selling Price]])/FlipkartTable[[#This Row],[Original Price]]</f>
        <v>0</v>
      </c>
      <c r="K2465">
        <f>(FlipkartTable[[#This Row],[Rating]]/FlipkartTable[[#This Row],[Selling Price]])*1000</f>
        <v>0.10051546391752576</v>
      </c>
      <c r="L2465" t="str">
        <f>IF(FlipkartTable[[#This Row],[Selling Price]]&lt;15000,"Budget",IF(FlipkartTable[[#This Row],[Selling Price]]&lt;50000,"Mid Range","Premium"))</f>
        <v>Mid Range</v>
      </c>
      <c r="M2465" t="str">
        <f>IF(FlipkartTable[[#This Row],[Rating]]&gt;4.5,"Excellent",IF(FlipkartTable[[#This Row],[Rating]]&gt;4,"Good",IF(FlipkartTable[[#This Row],[Rating]]&gt;3.5,"Average","Poor")))</f>
        <v>Average</v>
      </c>
    </row>
    <row r="2466" spans="1:13" x14ac:dyDescent="0.35">
      <c r="A2466" t="s">
        <v>186</v>
      </c>
      <c r="B2466" s="9" t="s">
        <v>1281</v>
      </c>
      <c r="C2466" t="s">
        <v>1283</v>
      </c>
      <c r="D2466" t="s">
        <v>20</v>
      </c>
      <c r="E2466" t="s">
        <v>21</v>
      </c>
      <c r="F2466">
        <v>3.9</v>
      </c>
      <c r="G2466">
        <v>38800</v>
      </c>
      <c r="H2466">
        <v>38800</v>
      </c>
      <c r="I2466">
        <f>FlipkartTable[[#This Row],[Original Price]]-FlipkartTable[[#This Row],[Selling Price]]</f>
        <v>0</v>
      </c>
      <c r="J2466" s="4">
        <f>(FlipkartTable[[#This Row],[Original Price]]-FlipkartTable[[#This Row],[Selling Price]])/FlipkartTable[[#This Row],[Original Price]]</f>
        <v>0</v>
      </c>
      <c r="K2466">
        <f>(FlipkartTable[[#This Row],[Rating]]/FlipkartTable[[#This Row],[Selling Price]])*1000</f>
        <v>0.10051546391752576</v>
      </c>
      <c r="L2466" t="str">
        <f>IF(FlipkartTable[[#This Row],[Selling Price]]&lt;15000,"Budget",IF(FlipkartTable[[#This Row],[Selling Price]]&lt;50000,"Mid Range","Premium"))</f>
        <v>Mid Range</v>
      </c>
      <c r="M2466" t="str">
        <f>IF(FlipkartTable[[#This Row],[Rating]]&gt;4.5,"Excellent",IF(FlipkartTable[[#This Row],[Rating]]&gt;4,"Good",IF(FlipkartTable[[#This Row],[Rating]]&gt;3.5,"Average","Poor")))</f>
        <v>Average</v>
      </c>
    </row>
    <row r="2467" spans="1:13" x14ac:dyDescent="0.35">
      <c r="A2467" t="s">
        <v>186</v>
      </c>
      <c r="B2467" s="9" t="s">
        <v>1281</v>
      </c>
      <c r="C2467" t="s">
        <v>1284</v>
      </c>
      <c r="D2467" t="s">
        <v>20</v>
      </c>
      <c r="E2467" t="s">
        <v>21</v>
      </c>
      <c r="F2467">
        <v>4.0999999999999996</v>
      </c>
      <c r="G2467">
        <v>53900</v>
      </c>
      <c r="H2467">
        <v>53900</v>
      </c>
      <c r="I2467">
        <f>FlipkartTable[[#This Row],[Original Price]]-FlipkartTable[[#This Row],[Selling Price]]</f>
        <v>0</v>
      </c>
      <c r="J2467" s="4">
        <f>(FlipkartTable[[#This Row],[Original Price]]-FlipkartTable[[#This Row],[Selling Price]])/FlipkartTable[[#This Row],[Original Price]]</f>
        <v>0</v>
      </c>
      <c r="K2467">
        <f>(FlipkartTable[[#This Row],[Rating]]/FlipkartTable[[#This Row],[Selling Price]])*1000</f>
        <v>7.6066790352504632E-2</v>
      </c>
      <c r="L2467" t="str">
        <f>IF(FlipkartTable[[#This Row],[Selling Price]]&lt;15000,"Budget",IF(FlipkartTable[[#This Row],[Selling Price]]&lt;50000,"Mid Range","Premium"))</f>
        <v>Premium</v>
      </c>
      <c r="M2467" t="str">
        <f>IF(FlipkartTable[[#This Row],[Rating]]&gt;4.5,"Excellent",IF(FlipkartTable[[#This Row],[Rating]]&gt;4,"Good",IF(FlipkartTable[[#This Row],[Rating]]&gt;3.5,"Average","Poor")))</f>
        <v>Good</v>
      </c>
    </row>
    <row r="2468" spans="1:13" x14ac:dyDescent="0.35">
      <c r="A2468" t="s">
        <v>186</v>
      </c>
      <c r="B2468" s="9" t="s">
        <v>1285</v>
      </c>
      <c r="C2468" t="s">
        <v>1275</v>
      </c>
      <c r="D2468" t="s">
        <v>134</v>
      </c>
      <c r="E2468" t="s">
        <v>27</v>
      </c>
      <c r="F2468">
        <v>3.9</v>
      </c>
      <c r="G2468">
        <v>8999</v>
      </c>
      <c r="H2468">
        <v>8999</v>
      </c>
      <c r="I2468">
        <f>FlipkartTable[[#This Row],[Original Price]]-FlipkartTable[[#This Row],[Selling Price]]</f>
        <v>0</v>
      </c>
      <c r="J2468" s="4">
        <f>(FlipkartTable[[#This Row],[Original Price]]-FlipkartTable[[#This Row],[Selling Price]])/FlipkartTable[[#This Row],[Original Price]]</f>
        <v>0</v>
      </c>
      <c r="K2468">
        <f>(FlipkartTable[[#This Row],[Rating]]/FlipkartTable[[#This Row],[Selling Price]])*1000</f>
        <v>0.43338148683187022</v>
      </c>
      <c r="L2468" t="str">
        <f>IF(FlipkartTable[[#This Row],[Selling Price]]&lt;15000,"Budget",IF(FlipkartTable[[#This Row],[Selling Price]]&lt;50000,"Mid Range","Premium"))</f>
        <v>Budget</v>
      </c>
      <c r="M2468" t="str">
        <f>IF(FlipkartTable[[#This Row],[Rating]]&gt;4.5,"Excellent",IF(FlipkartTable[[#This Row],[Rating]]&gt;4,"Good",IF(FlipkartTable[[#This Row],[Rating]]&gt;3.5,"Average","Poor")))</f>
        <v>Average</v>
      </c>
    </row>
    <row r="2469" spans="1:13" x14ac:dyDescent="0.35">
      <c r="A2469" t="s">
        <v>186</v>
      </c>
      <c r="B2469" s="9">
        <v>826</v>
      </c>
      <c r="C2469" t="s">
        <v>1274</v>
      </c>
      <c r="D2469" t="s">
        <v>35</v>
      </c>
      <c r="E2469" t="s">
        <v>124</v>
      </c>
      <c r="F2469">
        <v>3.7</v>
      </c>
      <c r="G2469">
        <v>27990</v>
      </c>
      <c r="H2469">
        <v>27990</v>
      </c>
      <c r="I2469">
        <f>FlipkartTable[[#This Row],[Original Price]]-FlipkartTable[[#This Row],[Selling Price]]</f>
        <v>0</v>
      </c>
      <c r="J2469" s="4">
        <f>(FlipkartTable[[#This Row],[Original Price]]-FlipkartTable[[#This Row],[Selling Price]])/FlipkartTable[[#This Row],[Original Price]]</f>
        <v>0</v>
      </c>
      <c r="K2469">
        <f>(FlipkartTable[[#This Row],[Rating]]/FlipkartTable[[#This Row],[Selling Price]])*1000</f>
        <v>0.13219006788138621</v>
      </c>
      <c r="L2469" t="str">
        <f>IF(FlipkartTable[[#This Row],[Selling Price]]&lt;15000,"Budget",IF(FlipkartTable[[#This Row],[Selling Price]]&lt;50000,"Mid Range","Premium"))</f>
        <v>Mid Range</v>
      </c>
      <c r="M2469" t="str">
        <f>IF(FlipkartTable[[#This Row],[Rating]]&gt;4.5,"Excellent",IF(FlipkartTable[[#This Row],[Rating]]&gt;4,"Good",IF(FlipkartTable[[#This Row],[Rating]]&gt;3.5,"Average","Poor")))</f>
        <v>Average</v>
      </c>
    </row>
    <row r="2470" spans="1:13" x14ac:dyDescent="0.35">
      <c r="A2470" t="s">
        <v>186</v>
      </c>
      <c r="B2470" s="9" t="s">
        <v>1285</v>
      </c>
      <c r="C2470" t="s">
        <v>1274</v>
      </c>
      <c r="D2470" t="s">
        <v>134</v>
      </c>
      <c r="E2470" t="s">
        <v>27</v>
      </c>
      <c r="F2470">
        <v>3.9</v>
      </c>
      <c r="G2470">
        <v>8999</v>
      </c>
      <c r="H2470">
        <v>8999</v>
      </c>
      <c r="I2470">
        <f>FlipkartTable[[#This Row],[Original Price]]-FlipkartTable[[#This Row],[Selling Price]]</f>
        <v>0</v>
      </c>
      <c r="J2470" s="4">
        <f>(FlipkartTable[[#This Row],[Original Price]]-FlipkartTable[[#This Row],[Selling Price]])/FlipkartTable[[#This Row],[Original Price]]</f>
        <v>0</v>
      </c>
      <c r="K2470">
        <f>(FlipkartTable[[#This Row],[Rating]]/FlipkartTable[[#This Row],[Selling Price]])*1000</f>
        <v>0.43338148683187022</v>
      </c>
      <c r="L2470" t="str">
        <f>IF(FlipkartTable[[#This Row],[Selling Price]]&lt;15000,"Budget",IF(FlipkartTable[[#This Row],[Selling Price]]&lt;50000,"Mid Range","Premium"))</f>
        <v>Budget</v>
      </c>
      <c r="M2470" t="str">
        <f>IF(FlipkartTable[[#This Row],[Rating]]&gt;4.5,"Excellent",IF(FlipkartTable[[#This Row],[Rating]]&gt;4,"Good",IF(FlipkartTable[[#This Row],[Rating]]&gt;3.5,"Average","Poor")))</f>
        <v>Average</v>
      </c>
    </row>
    <row r="2471" spans="1:13" x14ac:dyDescent="0.35">
      <c r="A2471" t="s">
        <v>186</v>
      </c>
      <c r="B2471" s="9" t="s">
        <v>1286</v>
      </c>
      <c r="C2471" t="s">
        <v>1287</v>
      </c>
      <c r="D2471" t="s">
        <v>134</v>
      </c>
      <c r="E2471" t="s">
        <v>124</v>
      </c>
      <c r="F2471">
        <v>4</v>
      </c>
      <c r="G2471">
        <v>12400</v>
      </c>
      <c r="H2471">
        <v>12400</v>
      </c>
      <c r="I2471">
        <f>FlipkartTable[[#This Row],[Original Price]]-FlipkartTable[[#This Row],[Selling Price]]</f>
        <v>0</v>
      </c>
      <c r="J2471" s="4">
        <f>(FlipkartTable[[#This Row],[Original Price]]-FlipkartTable[[#This Row],[Selling Price]])/FlipkartTable[[#This Row],[Original Price]]</f>
        <v>0</v>
      </c>
      <c r="K2471">
        <f>(FlipkartTable[[#This Row],[Rating]]/FlipkartTable[[#This Row],[Selling Price]])*1000</f>
        <v>0.32258064516129031</v>
      </c>
      <c r="L2471" t="str">
        <f>IF(FlipkartTable[[#This Row],[Selling Price]]&lt;15000,"Budget",IF(FlipkartTable[[#This Row],[Selling Price]]&lt;50000,"Mid Range","Premium"))</f>
        <v>Budget</v>
      </c>
      <c r="M2471" t="str">
        <f>IF(FlipkartTable[[#This Row],[Rating]]&gt;4.5,"Excellent",IF(FlipkartTable[[#This Row],[Rating]]&gt;4,"Good",IF(FlipkartTable[[#This Row],[Rating]]&gt;3.5,"Average","Poor")))</f>
        <v>Average</v>
      </c>
    </row>
    <row r="2472" spans="1:13" x14ac:dyDescent="0.35">
      <c r="A2472" t="s">
        <v>186</v>
      </c>
      <c r="B2472" s="9" t="s">
        <v>1288</v>
      </c>
      <c r="C2472" t="s">
        <v>1279</v>
      </c>
      <c r="D2472" t="s">
        <v>35</v>
      </c>
      <c r="E2472" t="s">
        <v>124</v>
      </c>
      <c r="F2472">
        <v>3.9</v>
      </c>
      <c r="G2472">
        <v>25500</v>
      </c>
      <c r="H2472">
        <v>25500</v>
      </c>
      <c r="I2472">
        <f>FlipkartTable[[#This Row],[Original Price]]-FlipkartTable[[#This Row],[Selling Price]]</f>
        <v>0</v>
      </c>
      <c r="J2472" s="4">
        <f>(FlipkartTable[[#This Row],[Original Price]]-FlipkartTable[[#This Row],[Selling Price]])/FlipkartTable[[#This Row],[Original Price]]</f>
        <v>0</v>
      </c>
      <c r="K2472">
        <f>(FlipkartTable[[#This Row],[Rating]]/FlipkartTable[[#This Row],[Selling Price]])*1000</f>
        <v>0.15294117647058822</v>
      </c>
      <c r="L2472" t="str">
        <f>IF(FlipkartTable[[#This Row],[Selling Price]]&lt;15000,"Budget",IF(FlipkartTable[[#This Row],[Selling Price]]&lt;50000,"Mid Range","Premium"))</f>
        <v>Mid Range</v>
      </c>
      <c r="M2472" t="str">
        <f>IF(FlipkartTable[[#This Row],[Rating]]&gt;4.5,"Excellent",IF(FlipkartTable[[#This Row],[Rating]]&gt;4,"Good",IF(FlipkartTable[[#This Row],[Rating]]&gt;3.5,"Average","Poor")))</f>
        <v>Average</v>
      </c>
    </row>
    <row r="2473" spans="1:13" x14ac:dyDescent="0.35">
      <c r="A2473" t="s">
        <v>186</v>
      </c>
      <c r="B2473" s="9" t="s">
        <v>1288</v>
      </c>
      <c r="C2473" t="s">
        <v>1289</v>
      </c>
      <c r="D2473" t="s">
        <v>35</v>
      </c>
      <c r="E2473" t="s">
        <v>124</v>
      </c>
      <c r="F2473">
        <v>3.9</v>
      </c>
      <c r="G2473">
        <v>25500</v>
      </c>
      <c r="H2473">
        <v>25500</v>
      </c>
      <c r="I2473">
        <f>FlipkartTable[[#This Row],[Original Price]]-FlipkartTable[[#This Row],[Selling Price]]</f>
        <v>0</v>
      </c>
      <c r="J2473" s="4">
        <f>(FlipkartTable[[#This Row],[Original Price]]-FlipkartTable[[#This Row],[Selling Price]])/FlipkartTable[[#This Row],[Original Price]]</f>
        <v>0</v>
      </c>
      <c r="K2473">
        <f>(FlipkartTable[[#This Row],[Rating]]/FlipkartTable[[#This Row],[Selling Price]])*1000</f>
        <v>0.15294117647058822</v>
      </c>
      <c r="L2473" t="str">
        <f>IF(FlipkartTable[[#This Row],[Selling Price]]&lt;15000,"Budget",IF(FlipkartTable[[#This Row],[Selling Price]]&lt;50000,"Mid Range","Premium"))</f>
        <v>Mid Range</v>
      </c>
      <c r="M2473" t="str">
        <f>IF(FlipkartTable[[#This Row],[Rating]]&gt;4.5,"Excellent",IF(FlipkartTable[[#This Row],[Rating]]&gt;4,"Good",IF(FlipkartTable[[#This Row],[Rating]]&gt;3.5,"Average","Poor")))</f>
        <v>Average</v>
      </c>
    </row>
    <row r="2474" spans="1:13" x14ac:dyDescent="0.35">
      <c r="A2474" t="s">
        <v>186</v>
      </c>
      <c r="B2474" s="9" t="s">
        <v>1290</v>
      </c>
      <c r="C2474" t="s">
        <v>1291</v>
      </c>
      <c r="D2474" t="s">
        <v>35</v>
      </c>
      <c r="E2474" t="s">
        <v>124</v>
      </c>
      <c r="F2474">
        <v>4.0999999999999996</v>
      </c>
      <c r="G2474">
        <v>25999</v>
      </c>
      <c r="H2474">
        <v>25999</v>
      </c>
      <c r="I2474">
        <f>FlipkartTable[[#This Row],[Original Price]]-FlipkartTable[[#This Row],[Selling Price]]</f>
        <v>0</v>
      </c>
      <c r="J2474" s="4">
        <f>(FlipkartTable[[#This Row],[Original Price]]-FlipkartTable[[#This Row],[Selling Price]])/FlipkartTable[[#This Row],[Original Price]]</f>
        <v>0</v>
      </c>
      <c r="K2474">
        <f>(FlipkartTable[[#This Row],[Rating]]/FlipkartTable[[#This Row],[Selling Price]])*1000</f>
        <v>0.15769837301434669</v>
      </c>
      <c r="L2474" t="str">
        <f>IF(FlipkartTable[[#This Row],[Selling Price]]&lt;15000,"Budget",IF(FlipkartTable[[#This Row],[Selling Price]]&lt;50000,"Mid Range","Premium"))</f>
        <v>Mid Range</v>
      </c>
      <c r="M2474" t="str">
        <f>IF(FlipkartTable[[#This Row],[Rating]]&gt;4.5,"Excellent",IF(FlipkartTable[[#This Row],[Rating]]&gt;4,"Good",IF(FlipkartTable[[#This Row],[Rating]]&gt;3.5,"Average","Poor")))</f>
        <v>Good</v>
      </c>
    </row>
    <row r="2475" spans="1:13" x14ac:dyDescent="0.35">
      <c r="A2475" t="s">
        <v>186</v>
      </c>
      <c r="B2475" s="9" t="s">
        <v>1292</v>
      </c>
      <c r="C2475" t="s">
        <v>1293</v>
      </c>
      <c r="D2475" t="s">
        <v>134</v>
      </c>
      <c r="E2475" t="s">
        <v>124</v>
      </c>
      <c r="F2475">
        <v>4</v>
      </c>
      <c r="G2475">
        <v>9900</v>
      </c>
      <c r="H2475">
        <v>9900</v>
      </c>
      <c r="I2475">
        <f>FlipkartTable[[#This Row],[Original Price]]-FlipkartTable[[#This Row],[Selling Price]]</f>
        <v>0</v>
      </c>
      <c r="J2475" s="4">
        <f>(FlipkartTable[[#This Row],[Original Price]]-FlipkartTable[[#This Row],[Selling Price]])/FlipkartTable[[#This Row],[Original Price]]</f>
        <v>0</v>
      </c>
      <c r="K2475">
        <f>(FlipkartTable[[#This Row],[Rating]]/FlipkartTable[[#This Row],[Selling Price]])*1000</f>
        <v>0.40404040404040403</v>
      </c>
      <c r="L2475" t="str">
        <f>IF(FlipkartTable[[#This Row],[Selling Price]]&lt;15000,"Budget",IF(FlipkartTable[[#This Row],[Selling Price]]&lt;50000,"Mid Range","Premium"))</f>
        <v>Budget</v>
      </c>
      <c r="M2475" t="str">
        <f>IF(FlipkartTable[[#This Row],[Rating]]&gt;4.5,"Excellent",IF(FlipkartTable[[#This Row],[Rating]]&gt;4,"Good",IF(FlipkartTable[[#This Row],[Rating]]&gt;3.5,"Average","Poor")))</f>
        <v>Average</v>
      </c>
    </row>
    <row r="2476" spans="1:13" x14ac:dyDescent="0.35">
      <c r="A2476" t="s">
        <v>186</v>
      </c>
      <c r="B2476" s="9" t="s">
        <v>1292</v>
      </c>
      <c r="C2476" t="s">
        <v>171</v>
      </c>
      <c r="D2476" t="s">
        <v>134</v>
      </c>
      <c r="E2476" t="s">
        <v>124</v>
      </c>
      <c r="F2476">
        <v>4</v>
      </c>
      <c r="G2476">
        <v>6999</v>
      </c>
      <c r="H2476">
        <v>6999</v>
      </c>
      <c r="I2476">
        <f>FlipkartTable[[#This Row],[Original Price]]-FlipkartTable[[#This Row],[Selling Price]]</f>
        <v>0</v>
      </c>
      <c r="J2476" s="4">
        <f>(FlipkartTable[[#This Row],[Original Price]]-FlipkartTable[[#This Row],[Selling Price]])/FlipkartTable[[#This Row],[Original Price]]</f>
        <v>0</v>
      </c>
      <c r="K2476">
        <f>(FlipkartTable[[#This Row],[Rating]]/FlipkartTable[[#This Row],[Selling Price]])*1000</f>
        <v>0.57151021574510652</v>
      </c>
      <c r="L2476" t="str">
        <f>IF(FlipkartTable[[#This Row],[Selling Price]]&lt;15000,"Budget",IF(FlipkartTable[[#This Row],[Selling Price]]&lt;50000,"Mid Range","Premium"))</f>
        <v>Budget</v>
      </c>
      <c r="M2476" t="str">
        <f>IF(FlipkartTable[[#This Row],[Rating]]&gt;4.5,"Excellent",IF(FlipkartTable[[#This Row],[Rating]]&gt;4,"Good",IF(FlipkartTable[[#This Row],[Rating]]&gt;3.5,"Average","Poor")))</f>
        <v>Average</v>
      </c>
    </row>
    <row r="2477" spans="1:13" x14ac:dyDescent="0.35">
      <c r="A2477" t="s">
        <v>186</v>
      </c>
      <c r="B2477" s="9" t="s">
        <v>1294</v>
      </c>
      <c r="C2477" t="s">
        <v>152</v>
      </c>
      <c r="D2477" t="s">
        <v>134</v>
      </c>
      <c r="E2477" t="s">
        <v>124</v>
      </c>
      <c r="F2477">
        <v>3.9</v>
      </c>
      <c r="G2477">
        <v>21990</v>
      </c>
      <c r="H2477">
        <v>21990</v>
      </c>
      <c r="I2477">
        <f>FlipkartTable[[#This Row],[Original Price]]-FlipkartTable[[#This Row],[Selling Price]]</f>
        <v>0</v>
      </c>
      <c r="J2477" s="4">
        <f>(FlipkartTable[[#This Row],[Original Price]]-FlipkartTable[[#This Row],[Selling Price]])/FlipkartTable[[#This Row],[Original Price]]</f>
        <v>0</v>
      </c>
      <c r="K2477">
        <f>(FlipkartTable[[#This Row],[Rating]]/FlipkartTable[[#This Row],[Selling Price]])*1000</f>
        <v>0.17735334242837653</v>
      </c>
      <c r="L2477" t="str">
        <f>IF(FlipkartTable[[#This Row],[Selling Price]]&lt;15000,"Budget",IF(FlipkartTable[[#This Row],[Selling Price]]&lt;50000,"Mid Range","Premium"))</f>
        <v>Mid Range</v>
      </c>
      <c r="M2477" t="str">
        <f>IF(FlipkartTable[[#This Row],[Rating]]&gt;4.5,"Excellent",IF(FlipkartTable[[#This Row],[Rating]]&gt;4,"Good",IF(FlipkartTable[[#This Row],[Rating]]&gt;3.5,"Average","Poor")))</f>
        <v>Average</v>
      </c>
    </row>
    <row r="2478" spans="1:13" x14ac:dyDescent="0.35">
      <c r="A2478" t="s">
        <v>186</v>
      </c>
      <c r="B2478" s="9" t="s">
        <v>1294</v>
      </c>
      <c r="C2478" t="s">
        <v>22</v>
      </c>
      <c r="D2478" t="s">
        <v>134</v>
      </c>
      <c r="E2478" t="s">
        <v>124</v>
      </c>
      <c r="F2478">
        <v>3.9</v>
      </c>
      <c r="G2478">
        <v>21990</v>
      </c>
      <c r="H2478">
        <v>21990</v>
      </c>
      <c r="I2478">
        <f>FlipkartTable[[#This Row],[Original Price]]-FlipkartTable[[#This Row],[Selling Price]]</f>
        <v>0</v>
      </c>
      <c r="J2478" s="4">
        <f>(FlipkartTable[[#This Row],[Original Price]]-FlipkartTable[[#This Row],[Selling Price]])/FlipkartTable[[#This Row],[Original Price]]</f>
        <v>0</v>
      </c>
      <c r="K2478">
        <f>(FlipkartTable[[#This Row],[Rating]]/FlipkartTable[[#This Row],[Selling Price]])*1000</f>
        <v>0.17735334242837653</v>
      </c>
      <c r="L2478" t="str">
        <f>IF(FlipkartTable[[#This Row],[Selling Price]]&lt;15000,"Budget",IF(FlipkartTable[[#This Row],[Selling Price]]&lt;50000,"Mid Range","Premium"))</f>
        <v>Mid Range</v>
      </c>
      <c r="M2478" t="str">
        <f>IF(FlipkartTable[[#This Row],[Rating]]&gt;4.5,"Excellent",IF(FlipkartTable[[#This Row],[Rating]]&gt;4,"Good",IF(FlipkartTable[[#This Row],[Rating]]&gt;3.5,"Average","Poor")))</f>
        <v>Average</v>
      </c>
    </row>
    <row r="2479" spans="1:13" x14ac:dyDescent="0.35">
      <c r="A2479" t="s">
        <v>186</v>
      </c>
      <c r="B2479" s="9" t="s">
        <v>1295</v>
      </c>
      <c r="C2479" t="s">
        <v>1289</v>
      </c>
      <c r="D2479" t="s">
        <v>134</v>
      </c>
      <c r="E2479" t="s">
        <v>27</v>
      </c>
      <c r="F2479">
        <v>3.9</v>
      </c>
      <c r="G2479">
        <v>7999</v>
      </c>
      <c r="H2479">
        <v>7999</v>
      </c>
      <c r="I2479">
        <f>FlipkartTable[[#This Row],[Original Price]]-FlipkartTable[[#This Row],[Selling Price]]</f>
        <v>0</v>
      </c>
      <c r="J2479" s="4">
        <f>(FlipkartTable[[#This Row],[Original Price]]-FlipkartTable[[#This Row],[Selling Price]])/FlipkartTable[[#This Row],[Original Price]]</f>
        <v>0</v>
      </c>
      <c r="K2479">
        <f>(FlipkartTable[[#This Row],[Rating]]/FlipkartTable[[#This Row],[Selling Price]])*1000</f>
        <v>0.48756094511813974</v>
      </c>
      <c r="L2479" t="str">
        <f>IF(FlipkartTable[[#This Row],[Selling Price]]&lt;15000,"Budget",IF(FlipkartTable[[#This Row],[Selling Price]]&lt;50000,"Mid Range","Premium"))</f>
        <v>Budget</v>
      </c>
      <c r="M2479" t="str">
        <f>IF(FlipkartTable[[#This Row],[Rating]]&gt;4.5,"Excellent",IF(FlipkartTable[[#This Row],[Rating]]&gt;4,"Good",IF(FlipkartTable[[#This Row],[Rating]]&gt;3.5,"Average","Poor")))</f>
        <v>Average</v>
      </c>
    </row>
    <row r="2480" spans="1:13" x14ac:dyDescent="0.35">
      <c r="A2480" t="s">
        <v>186</v>
      </c>
      <c r="B2480" s="9" t="s">
        <v>1295</v>
      </c>
      <c r="C2480" t="s">
        <v>1279</v>
      </c>
      <c r="D2480" t="s">
        <v>134</v>
      </c>
      <c r="E2480" t="s">
        <v>124</v>
      </c>
      <c r="F2480">
        <v>4.0999999999999996</v>
      </c>
      <c r="G2480">
        <v>23999</v>
      </c>
      <c r="H2480">
        <v>23999</v>
      </c>
      <c r="I2480">
        <f>FlipkartTable[[#This Row],[Original Price]]-FlipkartTable[[#This Row],[Selling Price]]</f>
        <v>0</v>
      </c>
      <c r="J2480" s="4">
        <f>(FlipkartTable[[#This Row],[Original Price]]-FlipkartTable[[#This Row],[Selling Price]])/FlipkartTable[[#This Row],[Original Price]]</f>
        <v>0</v>
      </c>
      <c r="K2480">
        <f>(FlipkartTable[[#This Row],[Rating]]/FlipkartTable[[#This Row],[Selling Price]])*1000</f>
        <v>0.17084045168548687</v>
      </c>
      <c r="L2480" t="str">
        <f>IF(FlipkartTable[[#This Row],[Selling Price]]&lt;15000,"Budget",IF(FlipkartTable[[#This Row],[Selling Price]]&lt;50000,"Mid Range","Premium"))</f>
        <v>Mid Range</v>
      </c>
      <c r="M2480" t="str">
        <f>IF(FlipkartTable[[#This Row],[Rating]]&gt;4.5,"Excellent",IF(FlipkartTable[[#This Row],[Rating]]&gt;4,"Good",IF(FlipkartTable[[#This Row],[Rating]]&gt;3.5,"Average","Poor")))</f>
        <v>Good</v>
      </c>
    </row>
    <row r="2481" spans="1:13" x14ac:dyDescent="0.35">
      <c r="A2481" t="s">
        <v>186</v>
      </c>
      <c r="B2481" s="9" t="s">
        <v>1290</v>
      </c>
      <c r="C2481" t="s">
        <v>1289</v>
      </c>
      <c r="D2481" t="s">
        <v>35</v>
      </c>
      <c r="E2481" t="s">
        <v>124</v>
      </c>
      <c r="F2481">
        <v>4</v>
      </c>
      <c r="G2481">
        <v>25999</v>
      </c>
      <c r="H2481">
        <v>25999</v>
      </c>
      <c r="I2481">
        <f>FlipkartTable[[#This Row],[Original Price]]-FlipkartTable[[#This Row],[Selling Price]]</f>
        <v>0</v>
      </c>
      <c r="J2481" s="4">
        <f>(FlipkartTable[[#This Row],[Original Price]]-FlipkartTable[[#This Row],[Selling Price]])/FlipkartTable[[#This Row],[Original Price]]</f>
        <v>0</v>
      </c>
      <c r="K2481">
        <f>(FlipkartTable[[#This Row],[Rating]]/FlipkartTable[[#This Row],[Selling Price]])*1000</f>
        <v>0.15385207123350897</v>
      </c>
      <c r="L2481" t="str">
        <f>IF(FlipkartTable[[#This Row],[Selling Price]]&lt;15000,"Budget",IF(FlipkartTable[[#This Row],[Selling Price]]&lt;50000,"Mid Range","Premium"))</f>
        <v>Mid Range</v>
      </c>
      <c r="M2481" t="str">
        <f>IF(FlipkartTable[[#This Row],[Rating]]&gt;4.5,"Excellent",IF(FlipkartTable[[#This Row],[Rating]]&gt;4,"Good",IF(FlipkartTable[[#This Row],[Rating]]&gt;3.5,"Average","Poor")))</f>
        <v>Average</v>
      </c>
    </row>
    <row r="2482" spans="1:13" x14ac:dyDescent="0.35">
      <c r="A2482" t="s">
        <v>186</v>
      </c>
      <c r="B2482" s="9" t="s">
        <v>1296</v>
      </c>
      <c r="C2482" t="s">
        <v>22</v>
      </c>
      <c r="D2482" t="s">
        <v>134</v>
      </c>
      <c r="E2482" t="s">
        <v>124</v>
      </c>
      <c r="F2482">
        <v>4</v>
      </c>
      <c r="G2482">
        <v>21999</v>
      </c>
      <c r="H2482">
        <v>21999</v>
      </c>
      <c r="I2482">
        <f>FlipkartTable[[#This Row],[Original Price]]-FlipkartTable[[#This Row],[Selling Price]]</f>
        <v>0</v>
      </c>
      <c r="J2482" s="4">
        <f>(FlipkartTable[[#This Row],[Original Price]]-FlipkartTable[[#This Row],[Selling Price]])/FlipkartTable[[#This Row],[Original Price]]</f>
        <v>0</v>
      </c>
      <c r="K2482">
        <f>(FlipkartTable[[#This Row],[Rating]]/FlipkartTable[[#This Row],[Selling Price]])*1000</f>
        <v>0.18182644665666622</v>
      </c>
      <c r="L2482" t="str">
        <f>IF(FlipkartTable[[#This Row],[Selling Price]]&lt;15000,"Budget",IF(FlipkartTable[[#This Row],[Selling Price]]&lt;50000,"Mid Range","Premium"))</f>
        <v>Mid Range</v>
      </c>
      <c r="M2482" t="str">
        <f>IF(FlipkartTable[[#This Row],[Rating]]&gt;4.5,"Excellent",IF(FlipkartTable[[#This Row],[Rating]]&gt;4,"Good",IF(FlipkartTable[[#This Row],[Rating]]&gt;3.5,"Average","Poor")))</f>
        <v>Average</v>
      </c>
    </row>
    <row r="2483" spans="1:13" x14ac:dyDescent="0.35">
      <c r="A2483" t="s">
        <v>186</v>
      </c>
      <c r="B2483" s="9" t="s">
        <v>1297</v>
      </c>
      <c r="C2483" t="s">
        <v>615</v>
      </c>
      <c r="D2483" t="s">
        <v>134</v>
      </c>
      <c r="E2483" t="s">
        <v>11</v>
      </c>
      <c r="F2483">
        <v>3.8</v>
      </c>
      <c r="G2483">
        <v>17200</v>
      </c>
      <c r="H2483">
        <v>17200</v>
      </c>
      <c r="I2483">
        <f>FlipkartTable[[#This Row],[Original Price]]-FlipkartTable[[#This Row],[Selling Price]]</f>
        <v>0</v>
      </c>
      <c r="J2483" s="4">
        <f>(FlipkartTable[[#This Row],[Original Price]]-FlipkartTable[[#This Row],[Selling Price]])/FlipkartTable[[#This Row],[Original Price]]</f>
        <v>0</v>
      </c>
      <c r="K2483">
        <f>(FlipkartTable[[#This Row],[Rating]]/FlipkartTable[[#This Row],[Selling Price]])*1000</f>
        <v>0.22093023255813954</v>
      </c>
      <c r="L2483" t="str">
        <f>IF(FlipkartTable[[#This Row],[Selling Price]]&lt;15000,"Budget",IF(FlipkartTable[[#This Row],[Selling Price]]&lt;50000,"Mid Range","Premium"))</f>
        <v>Mid Range</v>
      </c>
      <c r="M2483" t="str">
        <f>IF(FlipkartTable[[#This Row],[Rating]]&gt;4.5,"Excellent",IF(FlipkartTable[[#This Row],[Rating]]&gt;4,"Good",IF(FlipkartTable[[#This Row],[Rating]]&gt;3.5,"Average","Poor")))</f>
        <v>Average</v>
      </c>
    </row>
    <row r="2484" spans="1:13" x14ac:dyDescent="0.35">
      <c r="A2484" t="s">
        <v>186</v>
      </c>
      <c r="B2484" s="9" t="s">
        <v>1297</v>
      </c>
      <c r="C2484" t="s">
        <v>405</v>
      </c>
      <c r="D2484" t="s">
        <v>134</v>
      </c>
      <c r="E2484" t="s">
        <v>11</v>
      </c>
      <c r="F2484">
        <v>3.8</v>
      </c>
      <c r="G2484">
        <v>17200</v>
      </c>
      <c r="H2484">
        <v>17200</v>
      </c>
      <c r="I2484">
        <f>FlipkartTable[[#This Row],[Original Price]]-FlipkartTable[[#This Row],[Selling Price]]</f>
        <v>0</v>
      </c>
      <c r="J2484" s="4">
        <f>(FlipkartTable[[#This Row],[Original Price]]-FlipkartTable[[#This Row],[Selling Price]])/FlipkartTable[[#This Row],[Original Price]]</f>
        <v>0</v>
      </c>
      <c r="K2484">
        <f>(FlipkartTable[[#This Row],[Rating]]/FlipkartTable[[#This Row],[Selling Price]])*1000</f>
        <v>0.22093023255813954</v>
      </c>
      <c r="L2484" t="str">
        <f>IF(FlipkartTable[[#This Row],[Selling Price]]&lt;15000,"Budget",IF(FlipkartTable[[#This Row],[Selling Price]]&lt;50000,"Mid Range","Premium"))</f>
        <v>Mid Range</v>
      </c>
      <c r="M2484" t="str">
        <f>IF(FlipkartTable[[#This Row],[Rating]]&gt;4.5,"Excellent",IF(FlipkartTable[[#This Row],[Rating]]&gt;4,"Good",IF(FlipkartTable[[#This Row],[Rating]]&gt;3.5,"Average","Poor")))</f>
        <v>Average</v>
      </c>
    </row>
    <row r="2485" spans="1:13" x14ac:dyDescent="0.35">
      <c r="A2485" t="s">
        <v>186</v>
      </c>
      <c r="B2485" s="9" t="s">
        <v>1298</v>
      </c>
      <c r="C2485" t="s">
        <v>405</v>
      </c>
      <c r="D2485" t="s">
        <v>134</v>
      </c>
      <c r="E2485" t="s">
        <v>11</v>
      </c>
      <c r="F2485">
        <v>3.5</v>
      </c>
      <c r="G2485">
        <v>15200</v>
      </c>
      <c r="H2485">
        <v>15200</v>
      </c>
      <c r="I2485">
        <f>FlipkartTable[[#This Row],[Original Price]]-FlipkartTable[[#This Row],[Selling Price]]</f>
        <v>0</v>
      </c>
      <c r="J2485" s="4">
        <f>(FlipkartTable[[#This Row],[Original Price]]-FlipkartTable[[#This Row],[Selling Price]])/FlipkartTable[[#This Row],[Original Price]]</f>
        <v>0</v>
      </c>
      <c r="K2485">
        <f>(FlipkartTable[[#This Row],[Rating]]/FlipkartTable[[#This Row],[Selling Price]])*1000</f>
        <v>0.23026315789473684</v>
      </c>
      <c r="L2485" t="str">
        <f>IF(FlipkartTable[[#This Row],[Selling Price]]&lt;15000,"Budget",IF(FlipkartTable[[#This Row],[Selling Price]]&lt;50000,"Mid Range","Premium"))</f>
        <v>Mid Range</v>
      </c>
      <c r="M2485" t="str">
        <f>IF(FlipkartTable[[#This Row],[Rating]]&gt;4.5,"Excellent",IF(FlipkartTable[[#This Row],[Rating]]&gt;4,"Good",IF(FlipkartTable[[#This Row],[Rating]]&gt;3.5,"Average","Poor")))</f>
        <v>Poor</v>
      </c>
    </row>
    <row r="2486" spans="1:13" x14ac:dyDescent="0.35">
      <c r="A2486" t="s">
        <v>186</v>
      </c>
      <c r="B2486" s="9" t="s">
        <v>1298</v>
      </c>
      <c r="C2486" t="s">
        <v>615</v>
      </c>
      <c r="D2486" t="s">
        <v>134</v>
      </c>
      <c r="E2486" t="s">
        <v>11</v>
      </c>
      <c r="F2486">
        <v>3.5</v>
      </c>
      <c r="G2486">
        <v>15200</v>
      </c>
      <c r="H2486">
        <v>15200</v>
      </c>
      <c r="I2486">
        <f>FlipkartTable[[#This Row],[Original Price]]-FlipkartTable[[#This Row],[Selling Price]]</f>
        <v>0</v>
      </c>
      <c r="J2486" s="4">
        <f>(FlipkartTable[[#This Row],[Original Price]]-FlipkartTable[[#This Row],[Selling Price]])/FlipkartTable[[#This Row],[Original Price]]</f>
        <v>0</v>
      </c>
      <c r="K2486">
        <f>(FlipkartTable[[#This Row],[Rating]]/FlipkartTable[[#This Row],[Selling Price]])*1000</f>
        <v>0.23026315789473684</v>
      </c>
      <c r="L2486" t="str">
        <f>IF(FlipkartTable[[#This Row],[Selling Price]]&lt;15000,"Budget",IF(FlipkartTable[[#This Row],[Selling Price]]&lt;50000,"Mid Range","Premium"))</f>
        <v>Mid Range</v>
      </c>
      <c r="M2486" t="str">
        <f>IF(FlipkartTable[[#This Row],[Rating]]&gt;4.5,"Excellent",IF(FlipkartTable[[#This Row],[Rating]]&gt;4,"Good",IF(FlipkartTable[[#This Row],[Rating]]&gt;3.5,"Average","Poor")))</f>
        <v>Poor</v>
      </c>
    </row>
    <row r="2487" spans="1:13" x14ac:dyDescent="0.35">
      <c r="A2487" t="s">
        <v>186</v>
      </c>
      <c r="B2487" s="9" t="s">
        <v>1299</v>
      </c>
      <c r="C2487" t="s">
        <v>1300</v>
      </c>
      <c r="D2487" t="s">
        <v>35</v>
      </c>
      <c r="E2487" t="s">
        <v>124</v>
      </c>
      <c r="F2487">
        <v>4.4000000000000004</v>
      </c>
      <c r="G2487">
        <v>59900</v>
      </c>
      <c r="H2487">
        <v>59900</v>
      </c>
      <c r="I2487">
        <f>FlipkartTable[[#This Row],[Original Price]]-FlipkartTable[[#This Row],[Selling Price]]</f>
        <v>0</v>
      </c>
      <c r="J2487" s="4">
        <f>(FlipkartTable[[#This Row],[Original Price]]-FlipkartTable[[#This Row],[Selling Price]])/FlipkartTable[[#This Row],[Original Price]]</f>
        <v>0</v>
      </c>
      <c r="K2487">
        <f>(FlipkartTable[[#This Row],[Rating]]/FlipkartTable[[#This Row],[Selling Price]])*1000</f>
        <v>7.3455759599332232E-2</v>
      </c>
      <c r="L2487" t="str">
        <f>IF(FlipkartTable[[#This Row],[Selling Price]]&lt;15000,"Budget",IF(FlipkartTable[[#This Row],[Selling Price]]&lt;50000,"Mid Range","Premium"))</f>
        <v>Premium</v>
      </c>
      <c r="M2487" t="str">
        <f>IF(FlipkartTable[[#This Row],[Rating]]&gt;4.5,"Excellent",IF(FlipkartTable[[#This Row],[Rating]]&gt;4,"Good",IF(FlipkartTable[[#This Row],[Rating]]&gt;3.5,"Average","Poor")))</f>
        <v>Good</v>
      </c>
    </row>
    <row r="2488" spans="1:13" x14ac:dyDescent="0.35">
      <c r="A2488" t="s">
        <v>186</v>
      </c>
      <c r="B2488" s="9" t="s">
        <v>1301</v>
      </c>
      <c r="C2488" t="s">
        <v>1302</v>
      </c>
      <c r="D2488" t="s">
        <v>284</v>
      </c>
      <c r="E2488" t="s">
        <v>27</v>
      </c>
      <c r="F2488">
        <v>4.0999999999999996</v>
      </c>
      <c r="G2488">
        <v>27390</v>
      </c>
      <c r="H2488">
        <v>27390</v>
      </c>
      <c r="I2488">
        <f>FlipkartTable[[#This Row],[Original Price]]-FlipkartTable[[#This Row],[Selling Price]]</f>
        <v>0</v>
      </c>
      <c r="J2488" s="4">
        <f>(FlipkartTable[[#This Row],[Original Price]]-FlipkartTable[[#This Row],[Selling Price]])/FlipkartTable[[#This Row],[Original Price]]</f>
        <v>0</v>
      </c>
      <c r="K2488">
        <f>(FlipkartTable[[#This Row],[Rating]]/FlipkartTable[[#This Row],[Selling Price]])*1000</f>
        <v>0.14968966776195691</v>
      </c>
      <c r="L2488" t="str">
        <f>IF(FlipkartTable[[#This Row],[Selling Price]]&lt;15000,"Budget",IF(FlipkartTable[[#This Row],[Selling Price]]&lt;50000,"Mid Range","Premium"))</f>
        <v>Mid Range</v>
      </c>
      <c r="M2488" t="str">
        <f>IF(FlipkartTable[[#This Row],[Rating]]&gt;4.5,"Excellent",IF(FlipkartTable[[#This Row],[Rating]]&gt;4,"Good",IF(FlipkartTable[[#This Row],[Rating]]&gt;3.5,"Average","Poor")))</f>
        <v>Good</v>
      </c>
    </row>
    <row r="2489" spans="1:13" x14ac:dyDescent="0.35">
      <c r="A2489" t="s">
        <v>186</v>
      </c>
      <c r="B2489" s="9" t="s">
        <v>1301</v>
      </c>
      <c r="C2489" t="s">
        <v>615</v>
      </c>
      <c r="D2489" t="s">
        <v>284</v>
      </c>
      <c r="E2489" t="s">
        <v>27</v>
      </c>
      <c r="F2489">
        <v>4.0999999999999996</v>
      </c>
      <c r="G2489">
        <v>27390</v>
      </c>
      <c r="H2489">
        <v>27390</v>
      </c>
      <c r="I2489">
        <f>FlipkartTable[[#This Row],[Original Price]]-FlipkartTable[[#This Row],[Selling Price]]</f>
        <v>0</v>
      </c>
      <c r="J2489" s="4">
        <f>(FlipkartTable[[#This Row],[Original Price]]-FlipkartTable[[#This Row],[Selling Price]])/FlipkartTable[[#This Row],[Original Price]]</f>
        <v>0</v>
      </c>
      <c r="K2489">
        <f>(FlipkartTable[[#This Row],[Rating]]/FlipkartTable[[#This Row],[Selling Price]])*1000</f>
        <v>0.14968966776195691</v>
      </c>
      <c r="L2489" t="str">
        <f>IF(FlipkartTable[[#This Row],[Selling Price]]&lt;15000,"Budget",IF(FlipkartTable[[#This Row],[Selling Price]]&lt;50000,"Mid Range","Premium"))</f>
        <v>Mid Range</v>
      </c>
      <c r="M2489" t="str">
        <f>IF(FlipkartTable[[#This Row],[Rating]]&gt;4.5,"Excellent",IF(FlipkartTable[[#This Row],[Rating]]&gt;4,"Good",IF(FlipkartTable[[#This Row],[Rating]]&gt;3.5,"Average","Poor")))</f>
        <v>Good</v>
      </c>
    </row>
    <row r="2490" spans="1:13" x14ac:dyDescent="0.35">
      <c r="A2490" t="s">
        <v>186</v>
      </c>
      <c r="B2490" s="9" t="s">
        <v>1303</v>
      </c>
      <c r="C2490" t="s">
        <v>19</v>
      </c>
      <c r="D2490" t="s">
        <v>263</v>
      </c>
      <c r="E2490" t="s">
        <v>11</v>
      </c>
      <c r="F2490">
        <v>3.6</v>
      </c>
      <c r="G2490">
        <v>9990</v>
      </c>
      <c r="H2490">
        <v>9990</v>
      </c>
      <c r="I2490">
        <f>FlipkartTable[[#This Row],[Original Price]]-FlipkartTable[[#This Row],[Selling Price]]</f>
        <v>0</v>
      </c>
      <c r="J2490" s="4">
        <f>(FlipkartTable[[#This Row],[Original Price]]-FlipkartTable[[#This Row],[Selling Price]])/FlipkartTable[[#This Row],[Original Price]]</f>
        <v>0</v>
      </c>
      <c r="K2490">
        <f>(FlipkartTable[[#This Row],[Rating]]/FlipkartTable[[#This Row],[Selling Price]])*1000</f>
        <v>0.36036036036036034</v>
      </c>
      <c r="L2490" t="str">
        <f>IF(FlipkartTable[[#This Row],[Selling Price]]&lt;15000,"Budget",IF(FlipkartTable[[#This Row],[Selling Price]]&lt;50000,"Mid Range","Premium"))</f>
        <v>Budget</v>
      </c>
      <c r="M2490" t="str">
        <f>IF(FlipkartTable[[#This Row],[Rating]]&gt;4.5,"Excellent",IF(FlipkartTable[[#This Row],[Rating]]&gt;4,"Good",IF(FlipkartTable[[#This Row],[Rating]]&gt;3.5,"Average","Poor")))</f>
        <v>Average</v>
      </c>
    </row>
    <row r="2491" spans="1:13" x14ac:dyDescent="0.35">
      <c r="A2491" t="s">
        <v>186</v>
      </c>
      <c r="B2491" s="9" t="s">
        <v>1303</v>
      </c>
      <c r="C2491" t="s">
        <v>152</v>
      </c>
      <c r="D2491" t="s">
        <v>263</v>
      </c>
      <c r="E2491" t="s">
        <v>11</v>
      </c>
      <c r="F2491">
        <v>3.6</v>
      </c>
      <c r="G2491">
        <v>9990</v>
      </c>
      <c r="H2491">
        <v>9990</v>
      </c>
      <c r="I2491">
        <f>FlipkartTable[[#This Row],[Original Price]]-FlipkartTable[[#This Row],[Selling Price]]</f>
        <v>0</v>
      </c>
      <c r="J2491" s="4">
        <f>(FlipkartTable[[#This Row],[Original Price]]-FlipkartTable[[#This Row],[Selling Price]])/FlipkartTable[[#This Row],[Original Price]]</f>
        <v>0</v>
      </c>
      <c r="K2491">
        <f>(FlipkartTable[[#This Row],[Rating]]/FlipkartTable[[#This Row],[Selling Price]])*1000</f>
        <v>0.36036036036036034</v>
      </c>
      <c r="L2491" t="str">
        <f>IF(FlipkartTable[[#This Row],[Selling Price]]&lt;15000,"Budget",IF(FlipkartTable[[#This Row],[Selling Price]]&lt;50000,"Mid Range","Premium"))</f>
        <v>Budget</v>
      </c>
      <c r="M2491" t="str">
        <f>IF(FlipkartTable[[#This Row],[Rating]]&gt;4.5,"Excellent",IF(FlipkartTable[[#This Row],[Rating]]&gt;4,"Good",IF(FlipkartTable[[#This Row],[Rating]]&gt;3.5,"Average","Poor")))</f>
        <v>Average</v>
      </c>
    </row>
    <row r="2492" spans="1:13" x14ac:dyDescent="0.35">
      <c r="A2492" t="s">
        <v>186</v>
      </c>
      <c r="B2492" s="9" t="s">
        <v>1299</v>
      </c>
      <c r="C2492" t="s">
        <v>170</v>
      </c>
      <c r="D2492" t="s">
        <v>35</v>
      </c>
      <c r="E2492" t="s">
        <v>124</v>
      </c>
      <c r="F2492">
        <v>4.4000000000000004</v>
      </c>
      <c r="G2492">
        <v>59900</v>
      </c>
      <c r="H2492">
        <v>59900</v>
      </c>
      <c r="I2492">
        <f>FlipkartTable[[#This Row],[Original Price]]-FlipkartTable[[#This Row],[Selling Price]]</f>
        <v>0</v>
      </c>
      <c r="J2492" s="4">
        <f>(FlipkartTable[[#This Row],[Original Price]]-FlipkartTable[[#This Row],[Selling Price]])/FlipkartTable[[#This Row],[Original Price]]</f>
        <v>0</v>
      </c>
      <c r="K2492">
        <f>(FlipkartTable[[#This Row],[Rating]]/FlipkartTable[[#This Row],[Selling Price]])*1000</f>
        <v>7.3455759599332232E-2</v>
      </c>
      <c r="L2492" t="str">
        <f>IF(FlipkartTable[[#This Row],[Selling Price]]&lt;15000,"Budget",IF(FlipkartTable[[#This Row],[Selling Price]]&lt;50000,"Mid Range","Premium"))</f>
        <v>Premium</v>
      </c>
      <c r="M2492" t="str">
        <f>IF(FlipkartTable[[#This Row],[Rating]]&gt;4.5,"Excellent",IF(FlipkartTable[[#This Row],[Rating]]&gt;4,"Good",IF(FlipkartTable[[#This Row],[Rating]]&gt;3.5,"Average","Poor")))</f>
        <v>Good</v>
      </c>
    </row>
    <row r="2493" spans="1:13" x14ac:dyDescent="0.35">
      <c r="A2493" t="s">
        <v>186</v>
      </c>
      <c r="B2493" s="9" t="s">
        <v>1299</v>
      </c>
      <c r="C2493" t="s">
        <v>1304</v>
      </c>
      <c r="D2493" t="s">
        <v>35</v>
      </c>
      <c r="E2493" t="s">
        <v>124</v>
      </c>
      <c r="F2493">
        <v>4.4000000000000004</v>
      </c>
      <c r="G2493">
        <v>59900</v>
      </c>
      <c r="H2493">
        <v>59900</v>
      </c>
      <c r="I2493">
        <f>FlipkartTable[[#This Row],[Original Price]]-FlipkartTable[[#This Row],[Selling Price]]</f>
        <v>0</v>
      </c>
      <c r="J2493" s="4">
        <f>(FlipkartTable[[#This Row],[Original Price]]-FlipkartTable[[#This Row],[Selling Price]])/FlipkartTable[[#This Row],[Original Price]]</f>
        <v>0</v>
      </c>
      <c r="K2493">
        <f>(FlipkartTable[[#This Row],[Rating]]/FlipkartTable[[#This Row],[Selling Price]])*1000</f>
        <v>7.3455759599332232E-2</v>
      </c>
      <c r="L2493" t="str">
        <f>IF(FlipkartTable[[#This Row],[Selling Price]]&lt;15000,"Budget",IF(FlipkartTable[[#This Row],[Selling Price]]&lt;50000,"Mid Range","Premium"))</f>
        <v>Premium</v>
      </c>
      <c r="M2493" t="str">
        <f>IF(FlipkartTable[[#This Row],[Rating]]&gt;4.5,"Excellent",IF(FlipkartTable[[#This Row],[Rating]]&gt;4,"Good",IF(FlipkartTable[[#This Row],[Rating]]&gt;3.5,"Average","Poor")))</f>
        <v>Good</v>
      </c>
    </row>
    <row r="2494" spans="1:13" x14ac:dyDescent="0.35">
      <c r="A2494" t="s">
        <v>186</v>
      </c>
      <c r="B2494" s="9" t="s">
        <v>1305</v>
      </c>
      <c r="C2494" t="s">
        <v>19</v>
      </c>
      <c r="D2494" t="s">
        <v>134</v>
      </c>
      <c r="E2494" t="s">
        <v>27</v>
      </c>
      <c r="F2494">
        <v>3.8</v>
      </c>
      <c r="G2494">
        <v>35490</v>
      </c>
      <c r="H2494">
        <v>35490</v>
      </c>
      <c r="I2494">
        <f>FlipkartTable[[#This Row],[Original Price]]-FlipkartTable[[#This Row],[Selling Price]]</f>
        <v>0</v>
      </c>
      <c r="J2494" s="4">
        <f>(FlipkartTable[[#This Row],[Original Price]]-FlipkartTable[[#This Row],[Selling Price]])/FlipkartTable[[#This Row],[Original Price]]</f>
        <v>0</v>
      </c>
      <c r="K2494">
        <f>(FlipkartTable[[#This Row],[Rating]]/FlipkartTable[[#This Row],[Selling Price]])*1000</f>
        <v>0.10707241476472246</v>
      </c>
      <c r="L2494" t="str">
        <f>IF(FlipkartTable[[#This Row],[Selling Price]]&lt;15000,"Budget",IF(FlipkartTable[[#This Row],[Selling Price]]&lt;50000,"Mid Range","Premium"))</f>
        <v>Mid Range</v>
      </c>
      <c r="M2494" t="str">
        <f>IF(FlipkartTable[[#This Row],[Rating]]&gt;4.5,"Excellent",IF(FlipkartTable[[#This Row],[Rating]]&gt;4,"Good",IF(FlipkartTable[[#This Row],[Rating]]&gt;3.5,"Average","Poor")))</f>
        <v>Average</v>
      </c>
    </row>
    <row r="2495" spans="1:13" x14ac:dyDescent="0.35">
      <c r="A2495" t="s">
        <v>186</v>
      </c>
      <c r="B2495" s="9" t="s">
        <v>1306</v>
      </c>
      <c r="C2495" t="s">
        <v>170</v>
      </c>
      <c r="D2495" t="s">
        <v>35</v>
      </c>
      <c r="E2495" t="s">
        <v>21</v>
      </c>
      <c r="F2495">
        <v>4.0999999999999996</v>
      </c>
      <c r="G2495">
        <v>59590</v>
      </c>
      <c r="H2495">
        <v>59590</v>
      </c>
      <c r="I2495">
        <f>FlipkartTable[[#This Row],[Original Price]]-FlipkartTable[[#This Row],[Selling Price]]</f>
        <v>0</v>
      </c>
      <c r="J2495" s="4">
        <f>(FlipkartTable[[#This Row],[Original Price]]-FlipkartTable[[#This Row],[Selling Price]])/FlipkartTable[[#This Row],[Original Price]]</f>
        <v>0</v>
      </c>
      <c r="K2495">
        <f>(FlipkartTable[[#This Row],[Rating]]/FlipkartTable[[#This Row],[Selling Price]])*1000</f>
        <v>6.880349051854337E-2</v>
      </c>
      <c r="L2495" t="str">
        <f>IF(FlipkartTable[[#This Row],[Selling Price]]&lt;15000,"Budget",IF(FlipkartTable[[#This Row],[Selling Price]]&lt;50000,"Mid Range","Premium"))</f>
        <v>Premium</v>
      </c>
      <c r="M2495" t="str">
        <f>IF(FlipkartTable[[#This Row],[Rating]]&gt;4.5,"Excellent",IF(FlipkartTable[[#This Row],[Rating]]&gt;4,"Good",IF(FlipkartTable[[#This Row],[Rating]]&gt;3.5,"Average","Poor")))</f>
        <v>Good</v>
      </c>
    </row>
    <row r="2496" spans="1:13" x14ac:dyDescent="0.35">
      <c r="A2496" t="s">
        <v>550</v>
      </c>
      <c r="B2496" s="9" t="s">
        <v>1307</v>
      </c>
      <c r="C2496" t="s">
        <v>1308</v>
      </c>
      <c r="D2496" t="s">
        <v>14</v>
      </c>
      <c r="E2496" t="s">
        <v>15</v>
      </c>
      <c r="F2496">
        <v>4.3</v>
      </c>
      <c r="G2496">
        <v>46988</v>
      </c>
      <c r="H2496">
        <v>46988</v>
      </c>
      <c r="I2496">
        <f>FlipkartTable[[#This Row],[Original Price]]-FlipkartTable[[#This Row],[Selling Price]]</f>
        <v>0</v>
      </c>
      <c r="J2496" s="4">
        <f>(FlipkartTable[[#This Row],[Original Price]]-FlipkartTable[[#This Row],[Selling Price]])/FlipkartTable[[#This Row],[Original Price]]</f>
        <v>0</v>
      </c>
      <c r="K2496">
        <f>(FlipkartTable[[#This Row],[Rating]]/FlipkartTable[[#This Row],[Selling Price]])*1000</f>
        <v>9.151272665361368E-2</v>
      </c>
      <c r="L2496" t="str">
        <f>IF(FlipkartTable[[#This Row],[Selling Price]]&lt;15000,"Budget",IF(FlipkartTable[[#This Row],[Selling Price]]&lt;50000,"Mid Range","Premium"))</f>
        <v>Mid Range</v>
      </c>
      <c r="M2496" t="str">
        <f>IF(FlipkartTable[[#This Row],[Rating]]&gt;4.5,"Excellent",IF(FlipkartTable[[#This Row],[Rating]]&gt;4,"Good",IF(FlipkartTable[[#This Row],[Rating]]&gt;3.5,"Average","Poor")))</f>
        <v>Good</v>
      </c>
    </row>
    <row r="2497" spans="1:13" x14ac:dyDescent="0.35">
      <c r="A2497" t="s">
        <v>8</v>
      </c>
      <c r="B2497" s="9" t="s">
        <v>51</v>
      </c>
      <c r="C2497" t="s">
        <v>22</v>
      </c>
      <c r="D2497" t="s">
        <v>20</v>
      </c>
      <c r="E2497" t="s">
        <v>21</v>
      </c>
      <c r="F2497">
        <v>3.7</v>
      </c>
      <c r="G2497">
        <v>10490</v>
      </c>
      <c r="H2497">
        <v>10490</v>
      </c>
      <c r="I2497">
        <f>FlipkartTable[[#This Row],[Original Price]]-FlipkartTable[[#This Row],[Selling Price]]</f>
        <v>0</v>
      </c>
      <c r="J2497" s="4">
        <f>(FlipkartTable[[#This Row],[Original Price]]-FlipkartTable[[#This Row],[Selling Price]])/FlipkartTable[[#This Row],[Original Price]]</f>
        <v>0</v>
      </c>
      <c r="K2497">
        <f>(FlipkartTable[[#This Row],[Rating]]/FlipkartTable[[#This Row],[Selling Price]])*1000</f>
        <v>0.35271687321258344</v>
      </c>
      <c r="L2497" t="str">
        <f>IF(FlipkartTable[[#This Row],[Selling Price]]&lt;15000,"Budget",IF(FlipkartTable[[#This Row],[Selling Price]]&lt;50000,"Mid Range","Premium"))</f>
        <v>Budget</v>
      </c>
      <c r="M2497" t="str">
        <f>IF(FlipkartTable[[#This Row],[Rating]]&gt;4.5,"Excellent",IF(FlipkartTable[[#This Row],[Rating]]&gt;4,"Good",IF(FlipkartTable[[#This Row],[Rating]]&gt;3.5,"Average","Poor")))</f>
        <v>Average</v>
      </c>
    </row>
    <row r="2498" spans="1:13" x14ac:dyDescent="0.35">
      <c r="A2498" t="s">
        <v>8</v>
      </c>
      <c r="B2498" s="9" t="s">
        <v>51</v>
      </c>
      <c r="C2498" t="s">
        <v>19</v>
      </c>
      <c r="D2498" t="s">
        <v>20</v>
      </c>
      <c r="E2498" t="s">
        <v>21</v>
      </c>
      <c r="F2498">
        <v>3.7</v>
      </c>
      <c r="G2498">
        <v>10490</v>
      </c>
      <c r="H2498">
        <v>10490</v>
      </c>
      <c r="I2498">
        <f>FlipkartTable[[#This Row],[Original Price]]-FlipkartTable[[#This Row],[Selling Price]]</f>
        <v>0</v>
      </c>
      <c r="J2498" s="4">
        <f>(FlipkartTable[[#This Row],[Original Price]]-FlipkartTable[[#This Row],[Selling Price]])/FlipkartTable[[#This Row],[Original Price]]</f>
        <v>0</v>
      </c>
      <c r="K2498">
        <f>(FlipkartTable[[#This Row],[Rating]]/FlipkartTable[[#This Row],[Selling Price]])*1000</f>
        <v>0.35271687321258344</v>
      </c>
      <c r="L2498" t="str">
        <f>IF(FlipkartTable[[#This Row],[Selling Price]]&lt;15000,"Budget",IF(FlipkartTable[[#This Row],[Selling Price]]&lt;50000,"Mid Range","Premium"))</f>
        <v>Budget</v>
      </c>
      <c r="M2498" t="str">
        <f>IF(FlipkartTable[[#This Row],[Rating]]&gt;4.5,"Excellent",IF(FlipkartTable[[#This Row],[Rating]]&gt;4,"Good",IF(FlipkartTable[[#This Row],[Rating]]&gt;3.5,"Average","Poor")))</f>
        <v>Average</v>
      </c>
    </row>
    <row r="2499" spans="1:13" x14ac:dyDescent="0.35">
      <c r="A2499" t="s">
        <v>8</v>
      </c>
      <c r="B2499" s="9" t="s">
        <v>51</v>
      </c>
      <c r="C2499" t="s">
        <v>152</v>
      </c>
      <c r="D2499" t="s">
        <v>20</v>
      </c>
      <c r="E2499" t="s">
        <v>21</v>
      </c>
      <c r="F2499">
        <v>3.7</v>
      </c>
      <c r="G2499">
        <v>10490</v>
      </c>
      <c r="H2499">
        <v>10490</v>
      </c>
      <c r="I2499">
        <f>FlipkartTable[[#This Row],[Original Price]]-FlipkartTable[[#This Row],[Selling Price]]</f>
        <v>0</v>
      </c>
      <c r="J2499" s="4">
        <f>(FlipkartTable[[#This Row],[Original Price]]-FlipkartTable[[#This Row],[Selling Price]])/FlipkartTable[[#This Row],[Original Price]]</f>
        <v>0</v>
      </c>
      <c r="K2499">
        <f>(FlipkartTable[[#This Row],[Rating]]/FlipkartTable[[#This Row],[Selling Price]])*1000</f>
        <v>0.35271687321258344</v>
      </c>
      <c r="L2499" t="str">
        <f>IF(FlipkartTable[[#This Row],[Selling Price]]&lt;15000,"Budget",IF(FlipkartTable[[#This Row],[Selling Price]]&lt;50000,"Mid Range","Premium"))</f>
        <v>Budget</v>
      </c>
      <c r="M2499" t="str">
        <f>IF(FlipkartTable[[#This Row],[Rating]]&gt;4.5,"Excellent",IF(FlipkartTable[[#This Row],[Rating]]&gt;4,"Good",IF(FlipkartTable[[#This Row],[Rating]]&gt;3.5,"Average","Poor")))</f>
        <v>Average</v>
      </c>
    </row>
    <row r="2500" spans="1:13" x14ac:dyDescent="0.35">
      <c r="A2500" t="s">
        <v>8</v>
      </c>
      <c r="B2500" s="9" t="s">
        <v>1309</v>
      </c>
      <c r="C2500" t="s">
        <v>410</v>
      </c>
      <c r="D2500" t="s">
        <v>11</v>
      </c>
      <c r="E2500" t="s">
        <v>12</v>
      </c>
      <c r="F2500">
        <v>4.3</v>
      </c>
      <c r="G2500">
        <v>15490</v>
      </c>
      <c r="H2500">
        <v>15490</v>
      </c>
      <c r="I2500">
        <f>FlipkartTable[[#This Row],[Original Price]]-FlipkartTable[[#This Row],[Selling Price]]</f>
        <v>0</v>
      </c>
      <c r="J2500" s="4">
        <f>(FlipkartTable[[#This Row],[Original Price]]-FlipkartTable[[#This Row],[Selling Price]])/FlipkartTable[[#This Row],[Original Price]]</f>
        <v>0</v>
      </c>
      <c r="K2500">
        <f>(FlipkartTable[[#This Row],[Rating]]/FlipkartTable[[#This Row],[Selling Price]])*1000</f>
        <v>0.27759845061329891</v>
      </c>
      <c r="L2500" t="str">
        <f>IF(FlipkartTable[[#This Row],[Selling Price]]&lt;15000,"Budget",IF(FlipkartTable[[#This Row],[Selling Price]]&lt;50000,"Mid Range","Premium"))</f>
        <v>Mid Range</v>
      </c>
      <c r="M2500" t="str">
        <f>IF(FlipkartTable[[#This Row],[Rating]]&gt;4.5,"Excellent",IF(FlipkartTable[[#This Row],[Rating]]&gt;4,"Good",IF(FlipkartTable[[#This Row],[Rating]]&gt;3.5,"Average","Poor")))</f>
        <v>Good</v>
      </c>
    </row>
    <row r="2501" spans="1:13" x14ac:dyDescent="0.35">
      <c r="A2501" t="s">
        <v>8</v>
      </c>
      <c r="B2501" s="9" t="s">
        <v>1309</v>
      </c>
      <c r="C2501" t="s">
        <v>1310</v>
      </c>
      <c r="D2501" t="s">
        <v>11</v>
      </c>
      <c r="E2501" t="s">
        <v>12</v>
      </c>
      <c r="F2501">
        <v>4.3</v>
      </c>
      <c r="G2501">
        <v>15490</v>
      </c>
      <c r="H2501">
        <v>18990</v>
      </c>
      <c r="I2501">
        <f>FlipkartTable[[#This Row],[Original Price]]-FlipkartTable[[#This Row],[Selling Price]]</f>
        <v>3500</v>
      </c>
      <c r="J2501" s="4">
        <f>(FlipkartTable[[#This Row],[Original Price]]-FlipkartTable[[#This Row],[Selling Price]])/FlipkartTable[[#This Row],[Original Price]]</f>
        <v>0.18430753027909427</v>
      </c>
      <c r="K2501">
        <f>(FlipkartTable[[#This Row],[Rating]]/FlipkartTable[[#This Row],[Selling Price]])*1000</f>
        <v>0.27759845061329891</v>
      </c>
      <c r="L2501" t="str">
        <f>IF(FlipkartTable[[#This Row],[Selling Price]]&lt;15000,"Budget",IF(FlipkartTable[[#This Row],[Selling Price]]&lt;50000,"Mid Range","Premium"))</f>
        <v>Mid Range</v>
      </c>
      <c r="M2501" t="str">
        <f>IF(FlipkartTable[[#This Row],[Rating]]&gt;4.5,"Excellent",IF(FlipkartTable[[#This Row],[Rating]]&gt;4,"Good",IF(FlipkartTable[[#This Row],[Rating]]&gt;3.5,"Average","Poor")))</f>
        <v>Good</v>
      </c>
    </row>
    <row r="2502" spans="1:13" x14ac:dyDescent="0.35">
      <c r="A2502" t="s">
        <v>8</v>
      </c>
      <c r="B2502" s="9" t="s">
        <v>1309</v>
      </c>
      <c r="C2502" t="s">
        <v>1310</v>
      </c>
      <c r="D2502" t="s">
        <v>14</v>
      </c>
      <c r="E2502" t="s">
        <v>15</v>
      </c>
      <c r="F2502">
        <v>3.8</v>
      </c>
      <c r="G2502">
        <v>17490</v>
      </c>
      <c r="H2502">
        <v>20990</v>
      </c>
      <c r="I2502">
        <f>FlipkartTable[[#This Row],[Original Price]]-FlipkartTable[[#This Row],[Selling Price]]</f>
        <v>3500</v>
      </c>
      <c r="J2502" s="4">
        <f>(FlipkartTable[[#This Row],[Original Price]]-FlipkartTable[[#This Row],[Selling Price]])/FlipkartTable[[#This Row],[Original Price]]</f>
        <v>0.16674606955693186</v>
      </c>
      <c r="K2502">
        <f>(FlipkartTable[[#This Row],[Rating]]/FlipkartTable[[#This Row],[Selling Price]])*1000</f>
        <v>0.21726700971983989</v>
      </c>
      <c r="L2502" t="str">
        <f>IF(FlipkartTable[[#This Row],[Selling Price]]&lt;15000,"Budget",IF(FlipkartTable[[#This Row],[Selling Price]]&lt;50000,"Mid Range","Premium"))</f>
        <v>Mid Range</v>
      </c>
      <c r="M2502" t="str">
        <f>IF(FlipkartTable[[#This Row],[Rating]]&gt;4.5,"Excellent",IF(FlipkartTable[[#This Row],[Rating]]&gt;4,"Good",IF(FlipkartTable[[#This Row],[Rating]]&gt;3.5,"Average","Poor")))</f>
        <v>Average</v>
      </c>
    </row>
    <row r="2503" spans="1:13" x14ac:dyDescent="0.35">
      <c r="A2503" t="s">
        <v>8</v>
      </c>
      <c r="B2503" s="9" t="s">
        <v>1309</v>
      </c>
      <c r="C2503" t="s">
        <v>82</v>
      </c>
      <c r="D2503" t="s">
        <v>14</v>
      </c>
      <c r="E2503" t="s">
        <v>15</v>
      </c>
      <c r="F2503">
        <v>3.8</v>
      </c>
      <c r="G2503">
        <v>17490</v>
      </c>
      <c r="H2503">
        <v>20990</v>
      </c>
      <c r="I2503">
        <f>FlipkartTable[[#This Row],[Original Price]]-FlipkartTable[[#This Row],[Selling Price]]</f>
        <v>3500</v>
      </c>
      <c r="J2503" s="4">
        <f>(FlipkartTable[[#This Row],[Original Price]]-FlipkartTable[[#This Row],[Selling Price]])/FlipkartTable[[#This Row],[Original Price]]</f>
        <v>0.16674606955693186</v>
      </c>
      <c r="K2503">
        <f>(FlipkartTable[[#This Row],[Rating]]/FlipkartTable[[#This Row],[Selling Price]])*1000</f>
        <v>0.21726700971983989</v>
      </c>
      <c r="L2503" t="str">
        <f>IF(FlipkartTable[[#This Row],[Selling Price]]&lt;15000,"Budget",IF(FlipkartTable[[#This Row],[Selling Price]]&lt;50000,"Mid Range","Premium"))</f>
        <v>Mid Range</v>
      </c>
      <c r="M2503" t="str">
        <f>IF(FlipkartTable[[#This Row],[Rating]]&gt;4.5,"Excellent",IF(FlipkartTable[[#This Row],[Rating]]&gt;4,"Good",IF(FlipkartTable[[#This Row],[Rating]]&gt;3.5,"Average","Poor")))</f>
        <v>Average</v>
      </c>
    </row>
    <row r="2504" spans="1:13" x14ac:dyDescent="0.35">
      <c r="A2504" t="s">
        <v>8</v>
      </c>
      <c r="B2504" s="9" t="s">
        <v>1309</v>
      </c>
      <c r="C2504" t="s">
        <v>82</v>
      </c>
      <c r="D2504" t="s">
        <v>11</v>
      </c>
      <c r="E2504" t="s">
        <v>12</v>
      </c>
      <c r="F2504">
        <v>4.3</v>
      </c>
      <c r="G2504">
        <v>15490</v>
      </c>
      <c r="H2504">
        <v>15490</v>
      </c>
      <c r="I2504">
        <f>FlipkartTable[[#This Row],[Original Price]]-FlipkartTable[[#This Row],[Selling Price]]</f>
        <v>0</v>
      </c>
      <c r="J2504" s="4">
        <f>(FlipkartTable[[#This Row],[Original Price]]-FlipkartTable[[#This Row],[Selling Price]])/FlipkartTable[[#This Row],[Original Price]]</f>
        <v>0</v>
      </c>
      <c r="K2504">
        <f>(FlipkartTable[[#This Row],[Rating]]/FlipkartTable[[#This Row],[Selling Price]])*1000</f>
        <v>0.27759845061329891</v>
      </c>
      <c r="L2504" t="str">
        <f>IF(FlipkartTable[[#This Row],[Selling Price]]&lt;15000,"Budget",IF(FlipkartTable[[#This Row],[Selling Price]]&lt;50000,"Mid Range","Premium"))</f>
        <v>Mid Range</v>
      </c>
      <c r="M2504" t="str">
        <f>IF(FlipkartTable[[#This Row],[Rating]]&gt;4.5,"Excellent",IF(FlipkartTable[[#This Row],[Rating]]&gt;4,"Good",IF(FlipkartTable[[#This Row],[Rating]]&gt;3.5,"Average","Poor")))</f>
        <v>Good</v>
      </c>
    </row>
    <row r="2505" spans="1:13" x14ac:dyDescent="0.35">
      <c r="A2505" t="s">
        <v>1122</v>
      </c>
      <c r="B2505" s="9" t="s">
        <v>1311</v>
      </c>
      <c r="C2505" t="s">
        <v>1312</v>
      </c>
      <c r="D2505" t="s">
        <v>27</v>
      </c>
      <c r="E2505" t="s">
        <v>15</v>
      </c>
      <c r="F2505">
        <v>4.3</v>
      </c>
      <c r="G2505">
        <v>28999</v>
      </c>
      <c r="H2505">
        <v>34999</v>
      </c>
      <c r="I2505">
        <f>FlipkartTable[[#This Row],[Original Price]]-FlipkartTable[[#This Row],[Selling Price]]</f>
        <v>6000</v>
      </c>
      <c r="J2505" s="4">
        <f>(FlipkartTable[[#This Row],[Original Price]]-FlipkartTable[[#This Row],[Selling Price]])/FlipkartTable[[#This Row],[Original Price]]</f>
        <v>0.1714334695277008</v>
      </c>
      <c r="K2505">
        <f>(FlipkartTable[[#This Row],[Rating]]/FlipkartTable[[#This Row],[Selling Price]])*1000</f>
        <v>0.14828097520604158</v>
      </c>
      <c r="L2505" t="str">
        <f>IF(FlipkartTable[[#This Row],[Selling Price]]&lt;15000,"Budget",IF(FlipkartTable[[#This Row],[Selling Price]]&lt;50000,"Mid Range","Premium"))</f>
        <v>Mid Range</v>
      </c>
      <c r="M2505" t="str">
        <f>IF(FlipkartTable[[#This Row],[Rating]]&gt;4.5,"Excellent",IF(FlipkartTable[[#This Row],[Rating]]&gt;4,"Good",IF(FlipkartTable[[#This Row],[Rating]]&gt;3.5,"Average","Poor")))</f>
        <v>Good</v>
      </c>
    </row>
    <row r="2506" spans="1:13" x14ac:dyDescent="0.35">
      <c r="A2506" t="s">
        <v>1122</v>
      </c>
      <c r="B2506" s="9" t="s">
        <v>1311</v>
      </c>
      <c r="C2506" t="s">
        <v>1312</v>
      </c>
      <c r="D2506" t="s">
        <v>14</v>
      </c>
      <c r="E2506" t="s">
        <v>15</v>
      </c>
      <c r="F2506">
        <v>4.3</v>
      </c>
      <c r="G2506">
        <v>28999</v>
      </c>
      <c r="H2506">
        <v>32999</v>
      </c>
      <c r="I2506">
        <f>FlipkartTable[[#This Row],[Original Price]]-FlipkartTable[[#This Row],[Selling Price]]</f>
        <v>4000</v>
      </c>
      <c r="J2506" s="4">
        <f>(FlipkartTable[[#This Row],[Original Price]]-FlipkartTable[[#This Row],[Selling Price]])/FlipkartTable[[#This Row],[Original Price]]</f>
        <v>0.12121579441801267</v>
      </c>
      <c r="K2506">
        <f>(FlipkartTable[[#This Row],[Rating]]/FlipkartTable[[#This Row],[Selling Price]])*1000</f>
        <v>0.14828097520604158</v>
      </c>
      <c r="L2506" t="str">
        <f>IF(FlipkartTable[[#This Row],[Selling Price]]&lt;15000,"Budget",IF(FlipkartTable[[#This Row],[Selling Price]]&lt;50000,"Mid Range","Premium"))</f>
        <v>Mid Range</v>
      </c>
      <c r="M2506" t="str">
        <f>IF(FlipkartTable[[#This Row],[Rating]]&gt;4.5,"Excellent",IF(FlipkartTable[[#This Row],[Rating]]&gt;4,"Good",IF(FlipkartTable[[#This Row],[Rating]]&gt;3.5,"Average","Poor")))</f>
        <v>Good</v>
      </c>
    </row>
    <row r="2507" spans="1:13" x14ac:dyDescent="0.35">
      <c r="A2507" t="s">
        <v>1122</v>
      </c>
      <c r="B2507" s="9" t="s">
        <v>1311</v>
      </c>
      <c r="C2507" t="s">
        <v>1312</v>
      </c>
      <c r="D2507" t="s">
        <v>27</v>
      </c>
      <c r="E2507" t="s">
        <v>64</v>
      </c>
      <c r="F2507">
        <v>4.3</v>
      </c>
      <c r="G2507">
        <v>30999</v>
      </c>
      <c r="H2507">
        <v>36999</v>
      </c>
      <c r="I2507">
        <f>FlipkartTable[[#This Row],[Original Price]]-FlipkartTable[[#This Row],[Selling Price]]</f>
        <v>6000</v>
      </c>
      <c r="J2507" s="4">
        <f>(FlipkartTable[[#This Row],[Original Price]]-FlipkartTable[[#This Row],[Selling Price]])/FlipkartTable[[#This Row],[Original Price]]</f>
        <v>0.1621665450417579</v>
      </c>
      <c r="K2507">
        <f>(FlipkartTable[[#This Row],[Rating]]/FlipkartTable[[#This Row],[Selling Price]])*1000</f>
        <v>0.13871415206942159</v>
      </c>
      <c r="L2507" t="str">
        <f>IF(FlipkartTable[[#This Row],[Selling Price]]&lt;15000,"Budget",IF(FlipkartTable[[#This Row],[Selling Price]]&lt;50000,"Mid Range","Premium"))</f>
        <v>Mid Range</v>
      </c>
      <c r="M2507" t="str">
        <f>IF(FlipkartTable[[#This Row],[Rating]]&gt;4.5,"Excellent",IF(FlipkartTable[[#This Row],[Rating]]&gt;4,"Good",IF(FlipkartTable[[#This Row],[Rating]]&gt;3.5,"Average","Poor")))</f>
        <v>Good</v>
      </c>
    </row>
    <row r="2508" spans="1:13" x14ac:dyDescent="0.35">
      <c r="A2508" t="s">
        <v>1122</v>
      </c>
      <c r="B2508" s="9" t="s">
        <v>1311</v>
      </c>
      <c r="C2508" t="s">
        <v>1313</v>
      </c>
      <c r="D2508" t="s">
        <v>27</v>
      </c>
      <c r="E2508" t="s">
        <v>15</v>
      </c>
      <c r="F2508">
        <v>4.3</v>
      </c>
      <c r="G2508">
        <v>28999</v>
      </c>
      <c r="H2508">
        <v>34999</v>
      </c>
      <c r="I2508">
        <f>FlipkartTable[[#This Row],[Original Price]]-FlipkartTable[[#This Row],[Selling Price]]</f>
        <v>6000</v>
      </c>
      <c r="J2508" s="4">
        <f>(FlipkartTable[[#This Row],[Original Price]]-FlipkartTable[[#This Row],[Selling Price]])/FlipkartTable[[#This Row],[Original Price]]</f>
        <v>0.1714334695277008</v>
      </c>
      <c r="K2508">
        <f>(FlipkartTable[[#This Row],[Rating]]/FlipkartTable[[#This Row],[Selling Price]])*1000</f>
        <v>0.14828097520604158</v>
      </c>
      <c r="L2508" t="str">
        <f>IF(FlipkartTable[[#This Row],[Selling Price]]&lt;15000,"Budget",IF(FlipkartTable[[#This Row],[Selling Price]]&lt;50000,"Mid Range","Premium"))</f>
        <v>Mid Range</v>
      </c>
      <c r="M2508" t="str">
        <f>IF(FlipkartTable[[#This Row],[Rating]]&gt;4.5,"Excellent",IF(FlipkartTable[[#This Row],[Rating]]&gt;4,"Good",IF(FlipkartTable[[#This Row],[Rating]]&gt;3.5,"Average","Poor")))</f>
        <v>Good</v>
      </c>
    </row>
    <row r="2509" spans="1:13" x14ac:dyDescent="0.35">
      <c r="A2509" t="s">
        <v>1122</v>
      </c>
      <c r="B2509" s="9" t="s">
        <v>1126</v>
      </c>
      <c r="C2509" t="s">
        <v>1127</v>
      </c>
      <c r="D2509" t="s">
        <v>14</v>
      </c>
      <c r="E2509" t="s">
        <v>15</v>
      </c>
      <c r="F2509">
        <v>4.2</v>
      </c>
      <c r="G2509">
        <v>16499</v>
      </c>
      <c r="H2509">
        <v>17999</v>
      </c>
      <c r="I2509">
        <f>FlipkartTable[[#This Row],[Original Price]]-FlipkartTable[[#This Row],[Selling Price]]</f>
        <v>1500</v>
      </c>
      <c r="J2509" s="4">
        <f>(FlipkartTable[[#This Row],[Original Price]]-FlipkartTable[[#This Row],[Selling Price]])/FlipkartTable[[#This Row],[Original Price]]</f>
        <v>8.3337963220178904E-2</v>
      </c>
      <c r="K2509">
        <f>(FlipkartTable[[#This Row],[Rating]]/FlipkartTable[[#This Row],[Selling Price]])*1000</f>
        <v>0.25456088247772596</v>
      </c>
      <c r="L2509" t="str">
        <f>IF(FlipkartTable[[#This Row],[Selling Price]]&lt;15000,"Budget",IF(FlipkartTable[[#This Row],[Selling Price]]&lt;50000,"Mid Range","Premium"))</f>
        <v>Mid Range</v>
      </c>
      <c r="M2509" t="str">
        <f>IF(FlipkartTable[[#This Row],[Rating]]&gt;4.5,"Excellent",IF(FlipkartTable[[#This Row],[Rating]]&gt;4,"Good",IF(FlipkartTable[[#This Row],[Rating]]&gt;3.5,"Average","Poor")))</f>
        <v>Good</v>
      </c>
    </row>
    <row r="2510" spans="1:13" x14ac:dyDescent="0.35">
      <c r="A2510" t="s">
        <v>1122</v>
      </c>
      <c r="B2510" s="9" t="s">
        <v>173</v>
      </c>
      <c r="C2510" t="s">
        <v>1124</v>
      </c>
      <c r="D2510" t="s">
        <v>14</v>
      </c>
      <c r="E2510" t="s">
        <v>15</v>
      </c>
      <c r="F2510">
        <v>4.5</v>
      </c>
      <c r="G2510">
        <v>24999</v>
      </c>
      <c r="H2510">
        <v>24999</v>
      </c>
      <c r="I2510">
        <f>FlipkartTable[[#This Row],[Original Price]]-FlipkartTable[[#This Row],[Selling Price]]</f>
        <v>0</v>
      </c>
      <c r="J2510" s="4">
        <f>(FlipkartTable[[#This Row],[Original Price]]-FlipkartTable[[#This Row],[Selling Price]])/FlipkartTable[[#This Row],[Original Price]]</f>
        <v>0</v>
      </c>
      <c r="K2510">
        <f>(FlipkartTable[[#This Row],[Rating]]/FlipkartTable[[#This Row],[Selling Price]])*1000</f>
        <v>0.18000720028801154</v>
      </c>
      <c r="L2510" t="str">
        <f>IF(FlipkartTable[[#This Row],[Selling Price]]&lt;15000,"Budget",IF(FlipkartTable[[#This Row],[Selling Price]]&lt;50000,"Mid Range","Premium"))</f>
        <v>Mid Range</v>
      </c>
      <c r="M2510" t="str">
        <f>IF(FlipkartTable[[#This Row],[Rating]]&gt;4.5,"Excellent",IF(FlipkartTable[[#This Row],[Rating]]&gt;4,"Good",IF(FlipkartTable[[#This Row],[Rating]]&gt;3.5,"Average","Poor")))</f>
        <v>Good</v>
      </c>
    </row>
    <row r="2511" spans="1:13" x14ac:dyDescent="0.35">
      <c r="A2511" t="s">
        <v>1122</v>
      </c>
      <c r="B2511" s="9" t="s">
        <v>173</v>
      </c>
      <c r="C2511" t="s">
        <v>1124</v>
      </c>
      <c r="D2511" t="s">
        <v>14</v>
      </c>
      <c r="E2511" t="s">
        <v>64</v>
      </c>
      <c r="F2511">
        <v>4.5</v>
      </c>
      <c r="G2511">
        <v>28999</v>
      </c>
      <c r="H2511">
        <v>28999</v>
      </c>
      <c r="I2511">
        <f>FlipkartTable[[#This Row],[Original Price]]-FlipkartTable[[#This Row],[Selling Price]]</f>
        <v>0</v>
      </c>
      <c r="J2511" s="4">
        <f>(FlipkartTable[[#This Row],[Original Price]]-FlipkartTable[[#This Row],[Selling Price]])/FlipkartTable[[#This Row],[Original Price]]</f>
        <v>0</v>
      </c>
      <c r="K2511">
        <f>(FlipkartTable[[#This Row],[Rating]]/FlipkartTable[[#This Row],[Selling Price]])*1000</f>
        <v>0.15517776475050862</v>
      </c>
      <c r="L2511" t="str">
        <f>IF(FlipkartTable[[#This Row],[Selling Price]]&lt;15000,"Budget",IF(FlipkartTable[[#This Row],[Selling Price]]&lt;50000,"Mid Range","Premium"))</f>
        <v>Mid Range</v>
      </c>
      <c r="M2511" t="str">
        <f>IF(FlipkartTable[[#This Row],[Rating]]&gt;4.5,"Excellent",IF(FlipkartTable[[#This Row],[Rating]]&gt;4,"Good",IF(FlipkartTable[[#This Row],[Rating]]&gt;3.5,"Average","Poor")))</f>
        <v>Good</v>
      </c>
    </row>
    <row r="2512" spans="1:13" x14ac:dyDescent="0.35">
      <c r="A2512" t="s">
        <v>1122</v>
      </c>
      <c r="B2512" s="9" t="s">
        <v>173</v>
      </c>
      <c r="C2512" t="s">
        <v>1314</v>
      </c>
      <c r="D2512" t="s">
        <v>27</v>
      </c>
      <c r="E2512" t="s">
        <v>64</v>
      </c>
      <c r="F2512">
        <v>4.5</v>
      </c>
      <c r="G2512">
        <v>30999</v>
      </c>
      <c r="H2512">
        <v>30999</v>
      </c>
      <c r="I2512">
        <f>FlipkartTable[[#This Row],[Original Price]]-FlipkartTable[[#This Row],[Selling Price]]</f>
        <v>0</v>
      </c>
      <c r="J2512" s="4">
        <f>(FlipkartTable[[#This Row],[Original Price]]-FlipkartTable[[#This Row],[Selling Price]])/FlipkartTable[[#This Row],[Original Price]]</f>
        <v>0</v>
      </c>
      <c r="K2512">
        <f>(FlipkartTable[[#This Row],[Rating]]/FlipkartTable[[#This Row],[Selling Price]])*1000</f>
        <v>0.14516597309590631</v>
      </c>
      <c r="L2512" t="str">
        <f>IF(FlipkartTable[[#This Row],[Selling Price]]&lt;15000,"Budget",IF(FlipkartTable[[#This Row],[Selling Price]]&lt;50000,"Mid Range","Premium"))</f>
        <v>Mid Range</v>
      </c>
      <c r="M2512" t="str">
        <f>IF(FlipkartTable[[#This Row],[Rating]]&gt;4.5,"Excellent",IF(FlipkartTable[[#This Row],[Rating]]&gt;4,"Good",IF(FlipkartTable[[#This Row],[Rating]]&gt;3.5,"Average","Poor")))</f>
        <v>Good</v>
      </c>
    </row>
    <row r="2513" spans="1:13" x14ac:dyDescent="0.35">
      <c r="A2513" t="s">
        <v>1122</v>
      </c>
      <c r="B2513" s="9" t="s">
        <v>173</v>
      </c>
      <c r="C2513" t="s">
        <v>1125</v>
      </c>
      <c r="D2513" t="s">
        <v>14</v>
      </c>
      <c r="E2513" t="s">
        <v>12</v>
      </c>
      <c r="F2513">
        <v>4.5</v>
      </c>
      <c r="G2513">
        <v>21999</v>
      </c>
      <c r="H2513">
        <v>21999</v>
      </c>
      <c r="I2513">
        <f>FlipkartTable[[#This Row],[Original Price]]-FlipkartTable[[#This Row],[Selling Price]]</f>
        <v>0</v>
      </c>
      <c r="J2513" s="4">
        <f>(FlipkartTable[[#This Row],[Original Price]]-FlipkartTable[[#This Row],[Selling Price]])/FlipkartTable[[#This Row],[Original Price]]</f>
        <v>0</v>
      </c>
      <c r="K2513">
        <f>(FlipkartTable[[#This Row],[Rating]]/FlipkartTable[[#This Row],[Selling Price]])*1000</f>
        <v>0.20455475248874949</v>
      </c>
      <c r="L2513" t="str">
        <f>IF(FlipkartTable[[#This Row],[Selling Price]]&lt;15000,"Budget",IF(FlipkartTable[[#This Row],[Selling Price]]&lt;50000,"Mid Range","Premium"))</f>
        <v>Mid Range</v>
      </c>
      <c r="M2513" t="str">
        <f>IF(FlipkartTable[[#This Row],[Rating]]&gt;4.5,"Excellent",IF(FlipkartTable[[#This Row],[Rating]]&gt;4,"Good",IF(FlipkartTable[[#This Row],[Rating]]&gt;3.5,"Average","Poor")))</f>
        <v>Good</v>
      </c>
    </row>
    <row r="2514" spans="1:13" x14ac:dyDescent="0.35">
      <c r="A2514" t="s">
        <v>1122</v>
      </c>
      <c r="B2514" s="9" t="s">
        <v>1311</v>
      </c>
      <c r="C2514" t="s">
        <v>1313</v>
      </c>
      <c r="D2514" t="s">
        <v>14</v>
      </c>
      <c r="E2514" t="s">
        <v>15</v>
      </c>
      <c r="F2514">
        <v>4.3</v>
      </c>
      <c r="G2514">
        <v>28999</v>
      </c>
      <c r="H2514">
        <v>32999</v>
      </c>
      <c r="I2514">
        <f>FlipkartTable[[#This Row],[Original Price]]-FlipkartTable[[#This Row],[Selling Price]]</f>
        <v>4000</v>
      </c>
      <c r="J2514" s="4">
        <f>(FlipkartTable[[#This Row],[Original Price]]-FlipkartTable[[#This Row],[Selling Price]])/FlipkartTable[[#This Row],[Original Price]]</f>
        <v>0.12121579441801267</v>
      </c>
      <c r="K2514">
        <f>(FlipkartTable[[#This Row],[Rating]]/FlipkartTable[[#This Row],[Selling Price]])*1000</f>
        <v>0.14828097520604158</v>
      </c>
      <c r="L2514" t="str">
        <f>IF(FlipkartTable[[#This Row],[Selling Price]]&lt;15000,"Budget",IF(FlipkartTable[[#This Row],[Selling Price]]&lt;50000,"Mid Range","Premium"))</f>
        <v>Mid Range</v>
      </c>
      <c r="M2514" t="str">
        <f>IF(FlipkartTable[[#This Row],[Rating]]&gt;4.5,"Excellent",IF(FlipkartTable[[#This Row],[Rating]]&gt;4,"Good",IF(FlipkartTable[[#This Row],[Rating]]&gt;3.5,"Average","Poor")))</f>
        <v>Good</v>
      </c>
    </row>
    <row r="2515" spans="1:13" x14ac:dyDescent="0.35">
      <c r="A2515" t="s">
        <v>1122</v>
      </c>
      <c r="B2515" s="9" t="s">
        <v>1315</v>
      </c>
      <c r="C2515" t="s">
        <v>1316</v>
      </c>
      <c r="D2515" t="s">
        <v>14</v>
      </c>
      <c r="E2515" t="s">
        <v>12</v>
      </c>
      <c r="F2515">
        <v>4.4000000000000004</v>
      </c>
      <c r="G2515">
        <v>14999</v>
      </c>
      <c r="H2515">
        <v>17999</v>
      </c>
      <c r="I2515">
        <f>FlipkartTable[[#This Row],[Original Price]]-FlipkartTable[[#This Row],[Selling Price]]</f>
        <v>3000</v>
      </c>
      <c r="J2515" s="4">
        <f>(FlipkartTable[[#This Row],[Original Price]]-FlipkartTable[[#This Row],[Selling Price]])/FlipkartTable[[#This Row],[Original Price]]</f>
        <v>0.16667592644035781</v>
      </c>
      <c r="K2515">
        <f>(FlipkartTable[[#This Row],[Rating]]/FlipkartTable[[#This Row],[Selling Price]])*1000</f>
        <v>0.29335289019267952</v>
      </c>
      <c r="L2515" t="str">
        <f>IF(FlipkartTable[[#This Row],[Selling Price]]&lt;15000,"Budget",IF(FlipkartTable[[#This Row],[Selling Price]]&lt;50000,"Mid Range","Premium"))</f>
        <v>Budget</v>
      </c>
      <c r="M2515" t="str">
        <f>IF(FlipkartTable[[#This Row],[Rating]]&gt;4.5,"Excellent",IF(FlipkartTable[[#This Row],[Rating]]&gt;4,"Good",IF(FlipkartTable[[#This Row],[Rating]]&gt;3.5,"Average","Poor")))</f>
        <v>Good</v>
      </c>
    </row>
    <row r="2516" spans="1:13" x14ac:dyDescent="0.35">
      <c r="A2516" t="s">
        <v>1122</v>
      </c>
      <c r="B2516" s="9" t="s">
        <v>1315</v>
      </c>
      <c r="C2516" t="s">
        <v>1317</v>
      </c>
      <c r="D2516" t="s">
        <v>11</v>
      </c>
      <c r="E2516" t="s">
        <v>12</v>
      </c>
      <c r="F2516">
        <v>4.3</v>
      </c>
      <c r="G2516">
        <v>13999</v>
      </c>
      <c r="H2516">
        <v>16999</v>
      </c>
      <c r="I2516">
        <f>FlipkartTable[[#This Row],[Original Price]]-FlipkartTable[[#This Row],[Selling Price]]</f>
        <v>3000</v>
      </c>
      <c r="J2516" s="4">
        <f>(FlipkartTable[[#This Row],[Original Price]]-FlipkartTable[[#This Row],[Selling Price]])/FlipkartTable[[#This Row],[Original Price]]</f>
        <v>0.17648096946879227</v>
      </c>
      <c r="K2516">
        <f>(FlipkartTable[[#This Row],[Rating]]/FlipkartTable[[#This Row],[Selling Price]])*1000</f>
        <v>0.30716479748553466</v>
      </c>
      <c r="L2516" t="str">
        <f>IF(FlipkartTable[[#This Row],[Selling Price]]&lt;15000,"Budget",IF(FlipkartTable[[#This Row],[Selling Price]]&lt;50000,"Mid Range","Premium"))</f>
        <v>Budget</v>
      </c>
      <c r="M2516" t="str">
        <f>IF(FlipkartTable[[#This Row],[Rating]]&gt;4.5,"Excellent",IF(FlipkartTable[[#This Row],[Rating]]&gt;4,"Good",IF(FlipkartTable[[#This Row],[Rating]]&gt;3.5,"Average","Poor")))</f>
        <v>Good</v>
      </c>
    </row>
    <row r="2517" spans="1:13" x14ac:dyDescent="0.35">
      <c r="A2517" t="s">
        <v>1122</v>
      </c>
      <c r="B2517" s="9" t="s">
        <v>1315</v>
      </c>
      <c r="C2517" t="s">
        <v>1317</v>
      </c>
      <c r="D2517" t="s">
        <v>14</v>
      </c>
      <c r="E2517" t="s">
        <v>12</v>
      </c>
      <c r="F2517">
        <v>4.3</v>
      </c>
      <c r="G2517">
        <v>14999</v>
      </c>
      <c r="H2517">
        <v>16999</v>
      </c>
      <c r="I2517">
        <f>FlipkartTable[[#This Row],[Original Price]]-FlipkartTable[[#This Row],[Selling Price]]</f>
        <v>2000</v>
      </c>
      <c r="J2517" s="4">
        <f>(FlipkartTable[[#This Row],[Original Price]]-FlipkartTable[[#This Row],[Selling Price]])/FlipkartTable[[#This Row],[Original Price]]</f>
        <v>0.11765397964586152</v>
      </c>
      <c r="K2517">
        <f>(FlipkartTable[[#This Row],[Rating]]/FlipkartTable[[#This Row],[Selling Price]])*1000</f>
        <v>0.28668577905193682</v>
      </c>
      <c r="L2517" t="str">
        <f>IF(FlipkartTable[[#This Row],[Selling Price]]&lt;15000,"Budget",IF(FlipkartTable[[#This Row],[Selling Price]]&lt;50000,"Mid Range","Premium"))</f>
        <v>Budget</v>
      </c>
      <c r="M2517" t="str">
        <f>IF(FlipkartTable[[#This Row],[Rating]]&gt;4.5,"Excellent",IF(FlipkartTable[[#This Row],[Rating]]&gt;4,"Good",IF(FlipkartTable[[#This Row],[Rating]]&gt;3.5,"Average","Poor")))</f>
        <v>Good</v>
      </c>
    </row>
    <row r="2518" spans="1:13" x14ac:dyDescent="0.35">
      <c r="A2518" t="s">
        <v>1122</v>
      </c>
      <c r="B2518" s="9" t="s">
        <v>1315</v>
      </c>
      <c r="C2518" t="s">
        <v>1318</v>
      </c>
      <c r="D2518" t="s">
        <v>14</v>
      </c>
      <c r="E2518" t="s">
        <v>15</v>
      </c>
      <c r="F2518">
        <v>4.4000000000000004</v>
      </c>
      <c r="G2518">
        <v>15999</v>
      </c>
      <c r="H2518">
        <v>19999</v>
      </c>
      <c r="I2518">
        <f>FlipkartTable[[#This Row],[Original Price]]-FlipkartTable[[#This Row],[Selling Price]]</f>
        <v>4000</v>
      </c>
      <c r="J2518" s="4">
        <f>(FlipkartTable[[#This Row],[Original Price]]-FlipkartTable[[#This Row],[Selling Price]])/FlipkartTable[[#This Row],[Original Price]]</f>
        <v>0.20001000050002501</v>
      </c>
      <c r="K2518">
        <f>(FlipkartTable[[#This Row],[Rating]]/FlipkartTable[[#This Row],[Selling Price]])*1000</f>
        <v>0.27501718857428592</v>
      </c>
      <c r="L2518" t="str">
        <f>IF(FlipkartTable[[#This Row],[Selling Price]]&lt;15000,"Budget",IF(FlipkartTable[[#This Row],[Selling Price]]&lt;50000,"Mid Range","Premium"))</f>
        <v>Mid Range</v>
      </c>
      <c r="M2518" t="str">
        <f>IF(FlipkartTable[[#This Row],[Rating]]&gt;4.5,"Excellent",IF(FlipkartTable[[#This Row],[Rating]]&gt;4,"Good",IF(FlipkartTable[[#This Row],[Rating]]&gt;3.5,"Average","Poor")))</f>
        <v>Good</v>
      </c>
    </row>
    <row r="2519" spans="1:13" x14ac:dyDescent="0.35">
      <c r="A2519" t="s">
        <v>1122</v>
      </c>
      <c r="B2519" s="9" t="s">
        <v>1315</v>
      </c>
      <c r="C2519" t="s">
        <v>1316</v>
      </c>
      <c r="D2519" t="s">
        <v>11</v>
      </c>
      <c r="E2519" t="s">
        <v>12</v>
      </c>
      <c r="F2519">
        <v>4.4000000000000004</v>
      </c>
      <c r="G2519">
        <v>13999</v>
      </c>
      <c r="H2519">
        <v>17999</v>
      </c>
      <c r="I2519">
        <f>FlipkartTable[[#This Row],[Original Price]]-FlipkartTable[[#This Row],[Selling Price]]</f>
        <v>4000</v>
      </c>
      <c r="J2519" s="4">
        <f>(FlipkartTable[[#This Row],[Original Price]]-FlipkartTable[[#This Row],[Selling Price]])/FlipkartTable[[#This Row],[Original Price]]</f>
        <v>0.22223456858714374</v>
      </c>
      <c r="K2519">
        <f>(FlipkartTable[[#This Row],[Rating]]/FlipkartTable[[#This Row],[Selling Price]])*1000</f>
        <v>0.31430816486891927</v>
      </c>
      <c r="L2519" t="str">
        <f>IF(FlipkartTable[[#This Row],[Selling Price]]&lt;15000,"Budget",IF(FlipkartTable[[#This Row],[Selling Price]]&lt;50000,"Mid Range","Premium"))</f>
        <v>Budget</v>
      </c>
      <c r="M2519" t="str">
        <f>IF(FlipkartTable[[#This Row],[Rating]]&gt;4.5,"Excellent",IF(FlipkartTable[[#This Row],[Rating]]&gt;4,"Good",IF(FlipkartTable[[#This Row],[Rating]]&gt;3.5,"Average","Poor")))</f>
        <v>Good</v>
      </c>
    </row>
    <row r="2520" spans="1:13" x14ac:dyDescent="0.35">
      <c r="A2520" t="s">
        <v>1122</v>
      </c>
      <c r="B2520" s="9" t="s">
        <v>1315</v>
      </c>
      <c r="C2520" t="s">
        <v>1318</v>
      </c>
      <c r="D2520" t="s">
        <v>14</v>
      </c>
      <c r="E2520" t="s">
        <v>12</v>
      </c>
      <c r="F2520">
        <v>4.4000000000000004</v>
      </c>
      <c r="G2520">
        <v>14999</v>
      </c>
      <c r="H2520">
        <v>19999</v>
      </c>
      <c r="I2520">
        <f>FlipkartTable[[#This Row],[Original Price]]-FlipkartTable[[#This Row],[Selling Price]]</f>
        <v>5000</v>
      </c>
      <c r="J2520" s="4">
        <f>(FlipkartTable[[#This Row],[Original Price]]-FlipkartTable[[#This Row],[Selling Price]])/FlipkartTable[[#This Row],[Original Price]]</f>
        <v>0.25001250062503128</v>
      </c>
      <c r="K2520">
        <f>(FlipkartTable[[#This Row],[Rating]]/FlipkartTable[[#This Row],[Selling Price]])*1000</f>
        <v>0.29335289019267952</v>
      </c>
      <c r="L2520" t="str">
        <f>IF(FlipkartTable[[#This Row],[Selling Price]]&lt;15000,"Budget",IF(FlipkartTable[[#This Row],[Selling Price]]&lt;50000,"Mid Range","Premium"))</f>
        <v>Budget</v>
      </c>
      <c r="M2520" t="str">
        <f>IF(FlipkartTable[[#This Row],[Rating]]&gt;4.5,"Excellent",IF(FlipkartTable[[#This Row],[Rating]]&gt;4,"Good",IF(FlipkartTable[[#This Row],[Rating]]&gt;3.5,"Average","Poor")))</f>
        <v>Good</v>
      </c>
    </row>
    <row r="2521" spans="1:13" x14ac:dyDescent="0.35">
      <c r="A2521" t="s">
        <v>1122</v>
      </c>
      <c r="B2521" s="9" t="s">
        <v>1315</v>
      </c>
      <c r="C2521" t="s">
        <v>1318</v>
      </c>
      <c r="D2521" t="s">
        <v>11</v>
      </c>
      <c r="E2521" t="s">
        <v>12</v>
      </c>
      <c r="F2521">
        <v>4.4000000000000004</v>
      </c>
      <c r="G2521">
        <v>13999</v>
      </c>
      <c r="H2521">
        <v>16999</v>
      </c>
      <c r="I2521">
        <f>FlipkartTable[[#This Row],[Original Price]]-FlipkartTable[[#This Row],[Selling Price]]</f>
        <v>3000</v>
      </c>
      <c r="J2521" s="4">
        <f>(FlipkartTable[[#This Row],[Original Price]]-FlipkartTable[[#This Row],[Selling Price]])/FlipkartTable[[#This Row],[Original Price]]</f>
        <v>0.17648096946879227</v>
      </c>
      <c r="K2521">
        <f>(FlipkartTable[[#This Row],[Rating]]/FlipkartTable[[#This Row],[Selling Price]])*1000</f>
        <v>0.31430816486891927</v>
      </c>
      <c r="L2521" t="str">
        <f>IF(FlipkartTable[[#This Row],[Selling Price]]&lt;15000,"Budget",IF(FlipkartTable[[#This Row],[Selling Price]]&lt;50000,"Mid Range","Premium"))</f>
        <v>Budget</v>
      </c>
      <c r="M2521" t="str">
        <f>IF(FlipkartTable[[#This Row],[Rating]]&gt;4.5,"Excellent",IF(FlipkartTable[[#This Row],[Rating]]&gt;4,"Good",IF(FlipkartTable[[#This Row],[Rating]]&gt;3.5,"Average","Poor")))</f>
        <v>Good</v>
      </c>
    </row>
    <row r="2522" spans="1:13" x14ac:dyDescent="0.35">
      <c r="A2522" t="s">
        <v>1122</v>
      </c>
      <c r="B2522" s="9" t="s">
        <v>1315</v>
      </c>
      <c r="C2522" t="s">
        <v>1317</v>
      </c>
      <c r="D2522" t="s">
        <v>14</v>
      </c>
      <c r="E2522" t="s">
        <v>15</v>
      </c>
      <c r="F2522">
        <v>4.3</v>
      </c>
      <c r="G2522">
        <v>15999</v>
      </c>
      <c r="H2522">
        <v>19999</v>
      </c>
      <c r="I2522">
        <f>FlipkartTable[[#This Row],[Original Price]]-FlipkartTable[[#This Row],[Selling Price]]</f>
        <v>4000</v>
      </c>
      <c r="J2522" s="4">
        <f>(FlipkartTable[[#This Row],[Original Price]]-FlipkartTable[[#This Row],[Selling Price]])/FlipkartTable[[#This Row],[Original Price]]</f>
        <v>0.20001000050002501</v>
      </c>
      <c r="K2522">
        <f>(FlipkartTable[[#This Row],[Rating]]/FlipkartTable[[#This Row],[Selling Price]])*1000</f>
        <v>0.26876679792487029</v>
      </c>
      <c r="L2522" t="str">
        <f>IF(FlipkartTable[[#This Row],[Selling Price]]&lt;15000,"Budget",IF(FlipkartTable[[#This Row],[Selling Price]]&lt;50000,"Mid Range","Premium"))</f>
        <v>Mid Range</v>
      </c>
      <c r="M2522" t="str">
        <f>IF(FlipkartTable[[#This Row],[Rating]]&gt;4.5,"Excellent",IF(FlipkartTable[[#This Row],[Rating]]&gt;4,"Good",IF(FlipkartTable[[#This Row],[Rating]]&gt;3.5,"Average","Poor")))</f>
        <v>Good</v>
      </c>
    </row>
    <row r="2523" spans="1:13" x14ac:dyDescent="0.35">
      <c r="A2523" t="s">
        <v>1122</v>
      </c>
      <c r="B2523" s="9" t="s">
        <v>1319</v>
      </c>
      <c r="C2523" t="s">
        <v>1320</v>
      </c>
      <c r="D2523" t="s">
        <v>14</v>
      </c>
      <c r="E2523" t="s">
        <v>15</v>
      </c>
      <c r="F2523">
        <v>4.4000000000000004</v>
      </c>
      <c r="G2523">
        <v>11499</v>
      </c>
      <c r="H2523">
        <v>14999</v>
      </c>
      <c r="I2523">
        <f>FlipkartTable[[#This Row],[Original Price]]-FlipkartTable[[#This Row],[Selling Price]]</f>
        <v>3500</v>
      </c>
      <c r="J2523" s="4">
        <f>(FlipkartTable[[#This Row],[Original Price]]-FlipkartTable[[#This Row],[Selling Price]])/FlipkartTable[[#This Row],[Original Price]]</f>
        <v>0.23334888992599506</v>
      </c>
      <c r="K2523">
        <f>(FlipkartTable[[#This Row],[Rating]]/FlipkartTable[[#This Row],[Selling Price]])*1000</f>
        <v>0.38264196886685803</v>
      </c>
      <c r="L2523" t="str">
        <f>IF(FlipkartTable[[#This Row],[Selling Price]]&lt;15000,"Budget",IF(FlipkartTable[[#This Row],[Selling Price]]&lt;50000,"Mid Range","Premium"))</f>
        <v>Budget</v>
      </c>
      <c r="M2523" t="str">
        <f>IF(FlipkartTable[[#This Row],[Rating]]&gt;4.5,"Excellent",IF(FlipkartTable[[#This Row],[Rating]]&gt;4,"Good",IF(FlipkartTable[[#This Row],[Rating]]&gt;3.5,"Average","Poor")))</f>
        <v>Good</v>
      </c>
    </row>
    <row r="2524" spans="1:13" x14ac:dyDescent="0.35">
      <c r="A2524" t="s">
        <v>1122</v>
      </c>
      <c r="B2524" s="9" t="s">
        <v>1319</v>
      </c>
      <c r="C2524" t="s">
        <v>1321</v>
      </c>
      <c r="D2524" t="s">
        <v>14</v>
      </c>
      <c r="E2524" t="s">
        <v>15</v>
      </c>
      <c r="F2524">
        <v>4.4000000000000004</v>
      </c>
      <c r="G2524">
        <v>11499</v>
      </c>
      <c r="H2524">
        <v>14999</v>
      </c>
      <c r="I2524">
        <f>FlipkartTable[[#This Row],[Original Price]]-FlipkartTable[[#This Row],[Selling Price]]</f>
        <v>3500</v>
      </c>
      <c r="J2524" s="4">
        <f>(FlipkartTable[[#This Row],[Original Price]]-FlipkartTable[[#This Row],[Selling Price]])/FlipkartTable[[#This Row],[Original Price]]</f>
        <v>0.23334888992599506</v>
      </c>
      <c r="K2524">
        <f>(FlipkartTable[[#This Row],[Rating]]/FlipkartTable[[#This Row],[Selling Price]])*1000</f>
        <v>0.38264196886685803</v>
      </c>
      <c r="L2524" t="str">
        <f>IF(FlipkartTable[[#This Row],[Selling Price]]&lt;15000,"Budget",IF(FlipkartTable[[#This Row],[Selling Price]]&lt;50000,"Mid Range","Premium"))</f>
        <v>Budget</v>
      </c>
      <c r="M2524" t="str">
        <f>IF(FlipkartTable[[#This Row],[Rating]]&gt;4.5,"Excellent",IF(FlipkartTable[[#This Row],[Rating]]&gt;4,"Good",IF(FlipkartTable[[#This Row],[Rating]]&gt;3.5,"Average","Poor")))</f>
        <v>Good</v>
      </c>
    </row>
    <row r="2525" spans="1:13" x14ac:dyDescent="0.35">
      <c r="A2525" t="s">
        <v>1122</v>
      </c>
      <c r="B2525" s="9" t="s">
        <v>1319</v>
      </c>
      <c r="C2525" t="s">
        <v>1322</v>
      </c>
      <c r="D2525" t="s">
        <v>14</v>
      </c>
      <c r="E2525" t="s">
        <v>15</v>
      </c>
      <c r="F2525">
        <v>4.4000000000000004</v>
      </c>
      <c r="G2525">
        <v>11499</v>
      </c>
      <c r="H2525">
        <v>14999</v>
      </c>
      <c r="I2525">
        <f>FlipkartTable[[#This Row],[Original Price]]-FlipkartTable[[#This Row],[Selling Price]]</f>
        <v>3500</v>
      </c>
      <c r="J2525" s="4">
        <f>(FlipkartTable[[#This Row],[Original Price]]-FlipkartTable[[#This Row],[Selling Price]])/FlipkartTable[[#This Row],[Original Price]]</f>
        <v>0.23334888992599506</v>
      </c>
      <c r="K2525">
        <f>(FlipkartTable[[#This Row],[Rating]]/FlipkartTable[[#This Row],[Selling Price]])*1000</f>
        <v>0.38264196886685803</v>
      </c>
      <c r="L2525" t="str">
        <f>IF(FlipkartTable[[#This Row],[Selling Price]]&lt;15000,"Budget",IF(FlipkartTable[[#This Row],[Selling Price]]&lt;50000,"Mid Range","Premium"))</f>
        <v>Budget</v>
      </c>
      <c r="M2525" t="str">
        <f>IF(FlipkartTable[[#This Row],[Rating]]&gt;4.5,"Excellent",IF(FlipkartTable[[#This Row],[Rating]]&gt;4,"Good",IF(FlipkartTable[[#This Row],[Rating]]&gt;3.5,"Average","Poor")))</f>
        <v>Good</v>
      </c>
    </row>
    <row r="2526" spans="1:13" x14ac:dyDescent="0.35">
      <c r="A2526" t="s">
        <v>1122</v>
      </c>
      <c r="B2526" s="9" t="s">
        <v>1319</v>
      </c>
      <c r="C2526" t="s">
        <v>1322</v>
      </c>
      <c r="D2526" t="s">
        <v>14</v>
      </c>
      <c r="E2526" t="s">
        <v>12</v>
      </c>
      <c r="F2526">
        <v>4.4000000000000004</v>
      </c>
      <c r="G2526">
        <v>10499</v>
      </c>
      <c r="H2526">
        <v>12999</v>
      </c>
      <c r="I2526">
        <f>FlipkartTable[[#This Row],[Original Price]]-FlipkartTable[[#This Row],[Selling Price]]</f>
        <v>2500</v>
      </c>
      <c r="J2526" s="4">
        <f>(FlipkartTable[[#This Row],[Original Price]]-FlipkartTable[[#This Row],[Selling Price]])/FlipkartTable[[#This Row],[Original Price]]</f>
        <v>0.19232248634510346</v>
      </c>
      <c r="K2526">
        <f>(FlipkartTable[[#This Row],[Rating]]/FlipkartTable[[#This Row],[Selling Price]])*1000</f>
        <v>0.41908753214591871</v>
      </c>
      <c r="L2526" t="str">
        <f>IF(FlipkartTable[[#This Row],[Selling Price]]&lt;15000,"Budget",IF(FlipkartTable[[#This Row],[Selling Price]]&lt;50000,"Mid Range","Premium"))</f>
        <v>Budget</v>
      </c>
      <c r="M2526" t="str">
        <f>IF(FlipkartTable[[#This Row],[Rating]]&gt;4.5,"Excellent",IF(FlipkartTable[[#This Row],[Rating]]&gt;4,"Good",IF(FlipkartTable[[#This Row],[Rating]]&gt;3.5,"Average","Poor")))</f>
        <v>Good</v>
      </c>
    </row>
    <row r="2527" spans="1:13" x14ac:dyDescent="0.35">
      <c r="A2527" t="s">
        <v>1122</v>
      </c>
      <c r="B2527" s="9" t="s">
        <v>1323</v>
      </c>
      <c r="C2527" t="s">
        <v>1186</v>
      </c>
      <c r="D2527" t="s">
        <v>14</v>
      </c>
      <c r="E2527" t="s">
        <v>12</v>
      </c>
      <c r="F2527">
        <v>4.5</v>
      </c>
      <c r="G2527">
        <v>14999</v>
      </c>
      <c r="H2527">
        <v>18999</v>
      </c>
      <c r="I2527">
        <f>FlipkartTable[[#This Row],[Original Price]]-FlipkartTable[[#This Row],[Selling Price]]</f>
        <v>4000</v>
      </c>
      <c r="J2527" s="4">
        <f>(FlipkartTable[[#This Row],[Original Price]]-FlipkartTable[[#This Row],[Selling Price]])/FlipkartTable[[#This Row],[Original Price]]</f>
        <v>0.21053739670508975</v>
      </c>
      <c r="K2527">
        <f>(FlipkartTable[[#This Row],[Rating]]/FlipkartTable[[#This Row],[Selling Price]])*1000</f>
        <v>0.30002000133342221</v>
      </c>
      <c r="L2527" t="str">
        <f>IF(FlipkartTable[[#This Row],[Selling Price]]&lt;15000,"Budget",IF(FlipkartTable[[#This Row],[Selling Price]]&lt;50000,"Mid Range","Premium"))</f>
        <v>Budget</v>
      </c>
      <c r="M2527" t="str">
        <f>IF(FlipkartTable[[#This Row],[Rating]]&gt;4.5,"Excellent",IF(FlipkartTable[[#This Row],[Rating]]&gt;4,"Good",IF(FlipkartTable[[#This Row],[Rating]]&gt;3.5,"Average","Poor")))</f>
        <v>Good</v>
      </c>
    </row>
    <row r="2528" spans="1:13" x14ac:dyDescent="0.35">
      <c r="A2528" t="s">
        <v>1122</v>
      </c>
      <c r="B2528" s="9" t="s">
        <v>1324</v>
      </c>
      <c r="C2528" t="s">
        <v>1186</v>
      </c>
      <c r="D2528" t="s">
        <v>14</v>
      </c>
      <c r="E2528" t="s">
        <v>15</v>
      </c>
      <c r="F2528">
        <v>4.5</v>
      </c>
      <c r="G2528">
        <v>15999</v>
      </c>
      <c r="H2528">
        <v>19999</v>
      </c>
      <c r="I2528">
        <f>FlipkartTable[[#This Row],[Original Price]]-FlipkartTable[[#This Row],[Selling Price]]</f>
        <v>4000</v>
      </c>
      <c r="J2528" s="4">
        <f>(FlipkartTable[[#This Row],[Original Price]]-FlipkartTable[[#This Row],[Selling Price]])/FlipkartTable[[#This Row],[Original Price]]</f>
        <v>0.20001000050002501</v>
      </c>
      <c r="K2528">
        <f>(FlipkartTable[[#This Row],[Rating]]/FlipkartTable[[#This Row],[Selling Price]])*1000</f>
        <v>0.28126757922370149</v>
      </c>
      <c r="L2528" t="str">
        <f>IF(FlipkartTable[[#This Row],[Selling Price]]&lt;15000,"Budget",IF(FlipkartTable[[#This Row],[Selling Price]]&lt;50000,"Mid Range","Premium"))</f>
        <v>Mid Range</v>
      </c>
      <c r="M2528" t="str">
        <f>IF(FlipkartTable[[#This Row],[Rating]]&gt;4.5,"Excellent",IF(FlipkartTable[[#This Row],[Rating]]&gt;4,"Good",IF(FlipkartTable[[#This Row],[Rating]]&gt;3.5,"Average","Poor")))</f>
        <v>Good</v>
      </c>
    </row>
    <row r="2529" spans="1:13" x14ac:dyDescent="0.35">
      <c r="A2529" t="s">
        <v>1122</v>
      </c>
      <c r="B2529" s="9" t="s">
        <v>1323</v>
      </c>
      <c r="C2529" t="s">
        <v>1325</v>
      </c>
      <c r="D2529" t="s">
        <v>14</v>
      </c>
      <c r="E2529" t="s">
        <v>15</v>
      </c>
      <c r="F2529">
        <v>4.5</v>
      </c>
      <c r="G2529">
        <v>15999</v>
      </c>
      <c r="H2529">
        <v>19999</v>
      </c>
      <c r="I2529">
        <f>FlipkartTable[[#This Row],[Original Price]]-FlipkartTable[[#This Row],[Selling Price]]</f>
        <v>4000</v>
      </c>
      <c r="J2529" s="4">
        <f>(FlipkartTable[[#This Row],[Original Price]]-FlipkartTable[[#This Row],[Selling Price]])/FlipkartTable[[#This Row],[Original Price]]</f>
        <v>0.20001000050002501</v>
      </c>
      <c r="K2529">
        <f>(FlipkartTable[[#This Row],[Rating]]/FlipkartTable[[#This Row],[Selling Price]])*1000</f>
        <v>0.28126757922370149</v>
      </c>
      <c r="L2529" t="str">
        <f>IF(FlipkartTable[[#This Row],[Selling Price]]&lt;15000,"Budget",IF(FlipkartTable[[#This Row],[Selling Price]]&lt;50000,"Mid Range","Premium"))</f>
        <v>Mid Range</v>
      </c>
      <c r="M2529" t="str">
        <f>IF(FlipkartTable[[#This Row],[Rating]]&gt;4.5,"Excellent",IF(FlipkartTable[[#This Row],[Rating]]&gt;4,"Good",IF(FlipkartTable[[#This Row],[Rating]]&gt;3.5,"Average","Poor")))</f>
        <v>Good</v>
      </c>
    </row>
    <row r="2530" spans="1:13" x14ac:dyDescent="0.35">
      <c r="A2530" t="s">
        <v>1122</v>
      </c>
      <c r="B2530" s="9" t="s">
        <v>1323</v>
      </c>
      <c r="C2530" t="s">
        <v>1325</v>
      </c>
      <c r="D2530" t="s">
        <v>27</v>
      </c>
      <c r="E2530" t="s">
        <v>64</v>
      </c>
      <c r="F2530">
        <v>4.5</v>
      </c>
      <c r="G2530">
        <v>21499</v>
      </c>
      <c r="H2530">
        <v>22999</v>
      </c>
      <c r="I2530">
        <f>FlipkartTable[[#This Row],[Original Price]]-FlipkartTable[[#This Row],[Selling Price]]</f>
        <v>1500</v>
      </c>
      <c r="J2530" s="4">
        <f>(FlipkartTable[[#This Row],[Original Price]]-FlipkartTable[[#This Row],[Selling Price]])/FlipkartTable[[#This Row],[Original Price]]</f>
        <v>6.5220226966389849E-2</v>
      </c>
      <c r="K2530">
        <f>(FlipkartTable[[#This Row],[Rating]]/FlipkartTable[[#This Row],[Selling Price]])*1000</f>
        <v>0.20931206102609423</v>
      </c>
      <c r="L2530" t="str">
        <f>IF(FlipkartTable[[#This Row],[Selling Price]]&lt;15000,"Budget",IF(FlipkartTable[[#This Row],[Selling Price]]&lt;50000,"Mid Range","Premium"))</f>
        <v>Mid Range</v>
      </c>
      <c r="M2530" t="str">
        <f>IF(FlipkartTable[[#This Row],[Rating]]&gt;4.5,"Excellent",IF(FlipkartTable[[#This Row],[Rating]]&gt;4,"Good",IF(FlipkartTable[[#This Row],[Rating]]&gt;3.5,"Average","Poor")))</f>
        <v>Good</v>
      </c>
    </row>
    <row r="2531" spans="1:13" x14ac:dyDescent="0.35">
      <c r="A2531" t="s">
        <v>1122</v>
      </c>
      <c r="B2531" s="9" t="s">
        <v>1323</v>
      </c>
      <c r="C2531" t="s">
        <v>1326</v>
      </c>
      <c r="D2531" t="s">
        <v>14</v>
      </c>
      <c r="E2531" t="s">
        <v>12</v>
      </c>
      <c r="F2531">
        <v>4.5</v>
      </c>
      <c r="G2531">
        <v>14999</v>
      </c>
      <c r="H2531">
        <v>18999</v>
      </c>
      <c r="I2531">
        <f>FlipkartTable[[#This Row],[Original Price]]-FlipkartTable[[#This Row],[Selling Price]]</f>
        <v>4000</v>
      </c>
      <c r="J2531" s="4">
        <f>(FlipkartTable[[#This Row],[Original Price]]-FlipkartTable[[#This Row],[Selling Price]])/FlipkartTable[[#This Row],[Original Price]]</f>
        <v>0.21053739670508975</v>
      </c>
      <c r="K2531">
        <f>(FlipkartTable[[#This Row],[Rating]]/FlipkartTable[[#This Row],[Selling Price]])*1000</f>
        <v>0.30002000133342221</v>
      </c>
      <c r="L2531" t="str">
        <f>IF(FlipkartTable[[#This Row],[Selling Price]]&lt;15000,"Budget",IF(FlipkartTable[[#This Row],[Selling Price]]&lt;50000,"Mid Range","Premium"))</f>
        <v>Budget</v>
      </c>
      <c r="M2531" t="str">
        <f>IF(FlipkartTable[[#This Row],[Rating]]&gt;4.5,"Excellent",IF(FlipkartTable[[#This Row],[Rating]]&gt;4,"Good",IF(FlipkartTable[[#This Row],[Rating]]&gt;3.5,"Average","Poor")))</f>
        <v>Good</v>
      </c>
    </row>
    <row r="2532" spans="1:13" x14ac:dyDescent="0.35">
      <c r="A2532" t="s">
        <v>1122</v>
      </c>
      <c r="B2532" s="9" t="s">
        <v>1324</v>
      </c>
      <c r="C2532" t="s">
        <v>1325</v>
      </c>
      <c r="D2532" t="s">
        <v>14</v>
      </c>
      <c r="E2532" t="s">
        <v>15</v>
      </c>
      <c r="F2532">
        <v>4.5</v>
      </c>
      <c r="G2532">
        <v>19999</v>
      </c>
      <c r="H2532">
        <v>19999</v>
      </c>
      <c r="I2532">
        <f>FlipkartTable[[#This Row],[Original Price]]-FlipkartTable[[#This Row],[Selling Price]]</f>
        <v>0</v>
      </c>
      <c r="J2532" s="4">
        <f>(FlipkartTable[[#This Row],[Original Price]]-FlipkartTable[[#This Row],[Selling Price]])/FlipkartTable[[#This Row],[Original Price]]</f>
        <v>0</v>
      </c>
      <c r="K2532">
        <f>(FlipkartTable[[#This Row],[Rating]]/FlipkartTable[[#This Row],[Selling Price]])*1000</f>
        <v>0.2250112505625281</v>
      </c>
      <c r="L2532" t="str">
        <f>IF(FlipkartTable[[#This Row],[Selling Price]]&lt;15000,"Budget",IF(FlipkartTable[[#This Row],[Selling Price]]&lt;50000,"Mid Range","Premium"))</f>
        <v>Mid Range</v>
      </c>
      <c r="M2532" t="str">
        <f>IF(FlipkartTable[[#This Row],[Rating]]&gt;4.5,"Excellent",IF(FlipkartTable[[#This Row],[Rating]]&gt;4,"Good",IF(FlipkartTable[[#This Row],[Rating]]&gt;3.5,"Average","Poor")))</f>
        <v>Good</v>
      </c>
    </row>
    <row r="2533" spans="1:13" x14ac:dyDescent="0.35">
      <c r="A2533" t="s">
        <v>1122</v>
      </c>
      <c r="B2533" s="9" t="s">
        <v>1323</v>
      </c>
      <c r="C2533" t="s">
        <v>1326</v>
      </c>
      <c r="D2533" t="s">
        <v>14</v>
      </c>
      <c r="E2533" t="s">
        <v>15</v>
      </c>
      <c r="F2533">
        <v>4.5</v>
      </c>
      <c r="G2533">
        <v>15999</v>
      </c>
      <c r="H2533">
        <v>19999</v>
      </c>
      <c r="I2533">
        <f>FlipkartTable[[#This Row],[Original Price]]-FlipkartTable[[#This Row],[Selling Price]]</f>
        <v>4000</v>
      </c>
      <c r="J2533" s="4">
        <f>(FlipkartTable[[#This Row],[Original Price]]-FlipkartTable[[#This Row],[Selling Price]])/FlipkartTable[[#This Row],[Original Price]]</f>
        <v>0.20001000050002501</v>
      </c>
      <c r="K2533">
        <f>(FlipkartTable[[#This Row],[Rating]]/FlipkartTable[[#This Row],[Selling Price]])*1000</f>
        <v>0.28126757922370149</v>
      </c>
      <c r="L2533" t="str">
        <f>IF(FlipkartTable[[#This Row],[Selling Price]]&lt;15000,"Budget",IF(FlipkartTable[[#This Row],[Selling Price]]&lt;50000,"Mid Range","Premium"))</f>
        <v>Mid Range</v>
      </c>
      <c r="M2533" t="str">
        <f>IF(FlipkartTable[[#This Row],[Rating]]&gt;4.5,"Excellent",IF(FlipkartTable[[#This Row],[Rating]]&gt;4,"Good",IF(FlipkartTable[[#This Row],[Rating]]&gt;3.5,"Average","Poor")))</f>
        <v>Good</v>
      </c>
    </row>
    <row r="2534" spans="1:13" x14ac:dyDescent="0.35">
      <c r="A2534" t="s">
        <v>1122</v>
      </c>
      <c r="B2534" s="9" t="s">
        <v>1323</v>
      </c>
      <c r="C2534" t="s">
        <v>1326</v>
      </c>
      <c r="D2534" t="s">
        <v>27</v>
      </c>
      <c r="E2534" t="s">
        <v>64</v>
      </c>
      <c r="F2534">
        <v>4.5</v>
      </c>
      <c r="G2534">
        <v>21499</v>
      </c>
      <c r="H2534">
        <v>22999</v>
      </c>
      <c r="I2534">
        <f>FlipkartTable[[#This Row],[Original Price]]-FlipkartTable[[#This Row],[Selling Price]]</f>
        <v>1500</v>
      </c>
      <c r="J2534" s="4">
        <f>(FlipkartTable[[#This Row],[Original Price]]-FlipkartTable[[#This Row],[Selling Price]])/FlipkartTable[[#This Row],[Original Price]]</f>
        <v>6.5220226966389849E-2</v>
      </c>
      <c r="K2534">
        <f>(FlipkartTable[[#This Row],[Rating]]/FlipkartTable[[#This Row],[Selling Price]])*1000</f>
        <v>0.20931206102609423</v>
      </c>
      <c r="L2534" t="str">
        <f>IF(FlipkartTable[[#This Row],[Selling Price]]&lt;15000,"Budget",IF(FlipkartTable[[#This Row],[Selling Price]]&lt;50000,"Mid Range","Premium"))</f>
        <v>Mid Range</v>
      </c>
      <c r="M2534" t="str">
        <f>IF(FlipkartTable[[#This Row],[Rating]]&gt;4.5,"Excellent",IF(FlipkartTable[[#This Row],[Rating]]&gt;4,"Good",IF(FlipkartTable[[#This Row],[Rating]]&gt;3.5,"Average","Poor")))</f>
        <v>Good</v>
      </c>
    </row>
    <row r="2535" spans="1:13" x14ac:dyDescent="0.35">
      <c r="A2535" t="s">
        <v>1122</v>
      </c>
      <c r="B2535" s="9" t="s">
        <v>173</v>
      </c>
      <c r="C2535" t="s">
        <v>1327</v>
      </c>
      <c r="D2535" t="s">
        <v>27</v>
      </c>
      <c r="E2535" t="s">
        <v>64</v>
      </c>
      <c r="F2535">
        <v>4.5</v>
      </c>
      <c r="G2535">
        <v>30999</v>
      </c>
      <c r="H2535">
        <v>30999</v>
      </c>
      <c r="I2535">
        <f>FlipkartTable[[#This Row],[Original Price]]-FlipkartTable[[#This Row],[Selling Price]]</f>
        <v>0</v>
      </c>
      <c r="J2535" s="4">
        <f>(FlipkartTable[[#This Row],[Original Price]]-FlipkartTable[[#This Row],[Selling Price]])/FlipkartTable[[#This Row],[Original Price]]</f>
        <v>0</v>
      </c>
      <c r="K2535">
        <f>(FlipkartTable[[#This Row],[Rating]]/FlipkartTable[[#This Row],[Selling Price]])*1000</f>
        <v>0.14516597309590631</v>
      </c>
      <c r="L2535" t="str">
        <f>IF(FlipkartTable[[#This Row],[Selling Price]]&lt;15000,"Budget",IF(FlipkartTable[[#This Row],[Selling Price]]&lt;50000,"Mid Range","Premium"))</f>
        <v>Mid Range</v>
      </c>
      <c r="M2535" t="str">
        <f>IF(FlipkartTable[[#This Row],[Rating]]&gt;4.5,"Excellent",IF(FlipkartTable[[#This Row],[Rating]]&gt;4,"Good",IF(FlipkartTable[[#This Row],[Rating]]&gt;3.5,"Average","Poor")))</f>
        <v>Good</v>
      </c>
    </row>
    <row r="2536" spans="1:13" x14ac:dyDescent="0.35">
      <c r="A2536" t="s">
        <v>1122</v>
      </c>
      <c r="B2536" s="9" t="s">
        <v>173</v>
      </c>
      <c r="C2536" t="s">
        <v>1327</v>
      </c>
      <c r="D2536" t="s">
        <v>14</v>
      </c>
      <c r="E2536" t="s">
        <v>15</v>
      </c>
      <c r="F2536">
        <v>4.5</v>
      </c>
      <c r="G2536">
        <v>24999</v>
      </c>
      <c r="H2536">
        <v>24999</v>
      </c>
      <c r="I2536">
        <f>FlipkartTable[[#This Row],[Original Price]]-FlipkartTable[[#This Row],[Selling Price]]</f>
        <v>0</v>
      </c>
      <c r="J2536" s="4">
        <f>(FlipkartTable[[#This Row],[Original Price]]-FlipkartTable[[#This Row],[Selling Price]])/FlipkartTable[[#This Row],[Original Price]]</f>
        <v>0</v>
      </c>
      <c r="K2536">
        <f>(FlipkartTable[[#This Row],[Rating]]/FlipkartTable[[#This Row],[Selling Price]])*1000</f>
        <v>0.18000720028801154</v>
      </c>
      <c r="L2536" t="str">
        <f>IF(FlipkartTable[[#This Row],[Selling Price]]&lt;15000,"Budget",IF(FlipkartTable[[#This Row],[Selling Price]]&lt;50000,"Mid Range","Premium"))</f>
        <v>Mid Range</v>
      </c>
      <c r="M2536" t="str">
        <f>IF(FlipkartTable[[#This Row],[Rating]]&gt;4.5,"Excellent",IF(FlipkartTable[[#This Row],[Rating]]&gt;4,"Good",IF(FlipkartTable[[#This Row],[Rating]]&gt;3.5,"Average","Poor")))</f>
        <v>Good</v>
      </c>
    </row>
    <row r="2537" spans="1:13" x14ac:dyDescent="0.35">
      <c r="A2537" t="s">
        <v>1122</v>
      </c>
      <c r="B2537" s="9" t="s">
        <v>173</v>
      </c>
      <c r="C2537" t="s">
        <v>1124</v>
      </c>
      <c r="D2537" t="s">
        <v>14</v>
      </c>
      <c r="E2537" t="s">
        <v>12</v>
      </c>
      <c r="F2537">
        <v>4.5</v>
      </c>
      <c r="G2537">
        <v>21999</v>
      </c>
      <c r="H2537">
        <v>21999</v>
      </c>
      <c r="I2537">
        <f>FlipkartTable[[#This Row],[Original Price]]-FlipkartTable[[#This Row],[Selling Price]]</f>
        <v>0</v>
      </c>
      <c r="J2537" s="4">
        <f>(FlipkartTable[[#This Row],[Original Price]]-FlipkartTable[[#This Row],[Selling Price]])/FlipkartTable[[#This Row],[Original Price]]</f>
        <v>0</v>
      </c>
      <c r="K2537">
        <f>(FlipkartTable[[#This Row],[Rating]]/FlipkartTable[[#This Row],[Selling Price]])*1000</f>
        <v>0.20455475248874949</v>
      </c>
      <c r="L2537" t="str">
        <f>IF(FlipkartTable[[#This Row],[Selling Price]]&lt;15000,"Budget",IF(FlipkartTable[[#This Row],[Selling Price]]&lt;50000,"Mid Range","Premium"))</f>
        <v>Mid Range</v>
      </c>
      <c r="M2537" t="str">
        <f>IF(FlipkartTable[[#This Row],[Rating]]&gt;4.5,"Excellent",IF(FlipkartTable[[#This Row],[Rating]]&gt;4,"Good",IF(FlipkartTable[[#This Row],[Rating]]&gt;3.5,"Average","Poor")))</f>
        <v>Good</v>
      </c>
    </row>
    <row r="2538" spans="1:13" x14ac:dyDescent="0.35">
      <c r="A2538" t="s">
        <v>1122</v>
      </c>
      <c r="B2538" s="9" t="s">
        <v>173</v>
      </c>
      <c r="C2538" t="s">
        <v>1125</v>
      </c>
      <c r="D2538" t="s">
        <v>27</v>
      </c>
      <c r="E2538" t="s">
        <v>64</v>
      </c>
      <c r="F2538">
        <v>4.5</v>
      </c>
      <c r="G2538">
        <v>30999</v>
      </c>
      <c r="H2538">
        <v>30999</v>
      </c>
      <c r="I2538">
        <f>FlipkartTable[[#This Row],[Original Price]]-FlipkartTable[[#This Row],[Selling Price]]</f>
        <v>0</v>
      </c>
      <c r="J2538" s="4">
        <f>(FlipkartTable[[#This Row],[Original Price]]-FlipkartTable[[#This Row],[Selling Price]])/FlipkartTable[[#This Row],[Original Price]]</f>
        <v>0</v>
      </c>
      <c r="K2538">
        <f>(FlipkartTable[[#This Row],[Rating]]/FlipkartTable[[#This Row],[Selling Price]])*1000</f>
        <v>0.14516597309590631</v>
      </c>
      <c r="L2538" t="str">
        <f>IF(FlipkartTable[[#This Row],[Selling Price]]&lt;15000,"Budget",IF(FlipkartTable[[#This Row],[Selling Price]]&lt;50000,"Mid Range","Premium"))</f>
        <v>Mid Range</v>
      </c>
      <c r="M2538" t="str">
        <f>IF(FlipkartTable[[#This Row],[Rating]]&gt;4.5,"Excellent",IF(FlipkartTable[[#This Row],[Rating]]&gt;4,"Good",IF(FlipkartTable[[#This Row],[Rating]]&gt;3.5,"Average","Poor")))</f>
        <v>Good</v>
      </c>
    </row>
    <row r="2539" spans="1:13" x14ac:dyDescent="0.35">
      <c r="A2539" t="s">
        <v>343</v>
      </c>
      <c r="B2539" s="9" t="s">
        <v>1328</v>
      </c>
      <c r="C2539" t="s">
        <v>859</v>
      </c>
      <c r="D2539" t="s">
        <v>14</v>
      </c>
      <c r="E2539" t="s">
        <v>15</v>
      </c>
      <c r="F2539">
        <v>4.4000000000000004</v>
      </c>
      <c r="G2539">
        <v>15999</v>
      </c>
      <c r="H2539">
        <v>17999</v>
      </c>
      <c r="I2539">
        <f>FlipkartTable[[#This Row],[Original Price]]-FlipkartTable[[#This Row],[Selling Price]]</f>
        <v>2000</v>
      </c>
      <c r="J2539" s="4">
        <f>(FlipkartTable[[#This Row],[Original Price]]-FlipkartTable[[#This Row],[Selling Price]])/FlipkartTable[[#This Row],[Original Price]]</f>
        <v>0.11111728429357187</v>
      </c>
      <c r="K2539">
        <f>(FlipkartTable[[#This Row],[Rating]]/FlipkartTable[[#This Row],[Selling Price]])*1000</f>
        <v>0.27501718857428592</v>
      </c>
      <c r="L2539" t="str">
        <f>IF(FlipkartTable[[#This Row],[Selling Price]]&lt;15000,"Budget",IF(FlipkartTable[[#This Row],[Selling Price]]&lt;50000,"Mid Range","Premium"))</f>
        <v>Mid Range</v>
      </c>
      <c r="M2539" t="str">
        <f>IF(FlipkartTable[[#This Row],[Rating]]&gt;4.5,"Excellent",IF(FlipkartTable[[#This Row],[Rating]]&gt;4,"Good",IF(FlipkartTable[[#This Row],[Rating]]&gt;3.5,"Average","Poor")))</f>
        <v>Good</v>
      </c>
    </row>
    <row r="2540" spans="1:13" x14ac:dyDescent="0.35">
      <c r="A2540" t="s">
        <v>343</v>
      </c>
      <c r="B2540" s="9" t="s">
        <v>1328</v>
      </c>
      <c r="C2540" t="s">
        <v>92</v>
      </c>
      <c r="D2540" t="s">
        <v>14</v>
      </c>
      <c r="E2540" t="s">
        <v>15</v>
      </c>
      <c r="F2540">
        <v>4.4000000000000004</v>
      </c>
      <c r="G2540">
        <v>15999</v>
      </c>
      <c r="H2540">
        <v>17999</v>
      </c>
      <c r="I2540">
        <f>FlipkartTable[[#This Row],[Original Price]]-FlipkartTable[[#This Row],[Selling Price]]</f>
        <v>2000</v>
      </c>
      <c r="J2540" s="4">
        <f>(FlipkartTable[[#This Row],[Original Price]]-FlipkartTable[[#This Row],[Selling Price]])/FlipkartTable[[#This Row],[Original Price]]</f>
        <v>0.11111728429357187</v>
      </c>
      <c r="K2540">
        <f>(FlipkartTable[[#This Row],[Rating]]/FlipkartTable[[#This Row],[Selling Price]])*1000</f>
        <v>0.27501718857428592</v>
      </c>
      <c r="L2540" t="str">
        <f>IF(FlipkartTable[[#This Row],[Selling Price]]&lt;15000,"Budget",IF(FlipkartTable[[#This Row],[Selling Price]]&lt;50000,"Mid Range","Premium"))</f>
        <v>Mid Range</v>
      </c>
      <c r="M2540" t="str">
        <f>IF(FlipkartTable[[#This Row],[Rating]]&gt;4.5,"Excellent",IF(FlipkartTable[[#This Row],[Rating]]&gt;4,"Good",IF(FlipkartTable[[#This Row],[Rating]]&gt;3.5,"Average","Poor")))</f>
        <v>Good</v>
      </c>
    </row>
    <row r="2541" spans="1:13" x14ac:dyDescent="0.35">
      <c r="A2541" t="s">
        <v>343</v>
      </c>
      <c r="B2541" s="9" t="s">
        <v>1328</v>
      </c>
      <c r="C2541" t="s">
        <v>859</v>
      </c>
      <c r="D2541" t="s">
        <v>11</v>
      </c>
      <c r="E2541" t="s">
        <v>12</v>
      </c>
      <c r="F2541">
        <v>4.5</v>
      </c>
      <c r="G2541">
        <v>13999</v>
      </c>
      <c r="H2541">
        <v>15999</v>
      </c>
      <c r="I2541">
        <f>FlipkartTable[[#This Row],[Original Price]]-FlipkartTable[[#This Row],[Selling Price]]</f>
        <v>2000</v>
      </c>
      <c r="J2541" s="4">
        <f>(FlipkartTable[[#This Row],[Original Price]]-FlipkartTable[[#This Row],[Selling Price]])/FlipkartTable[[#This Row],[Original Price]]</f>
        <v>0.12500781298831176</v>
      </c>
      <c r="K2541">
        <f>(FlipkartTable[[#This Row],[Rating]]/FlipkartTable[[#This Row],[Selling Price]])*1000</f>
        <v>0.32145153225230377</v>
      </c>
      <c r="L2541" t="str">
        <f>IF(FlipkartTable[[#This Row],[Selling Price]]&lt;15000,"Budget",IF(FlipkartTable[[#This Row],[Selling Price]]&lt;50000,"Mid Range","Premium"))</f>
        <v>Budget</v>
      </c>
      <c r="M2541" t="str">
        <f>IF(FlipkartTable[[#This Row],[Rating]]&gt;4.5,"Excellent",IF(FlipkartTable[[#This Row],[Rating]]&gt;4,"Good",IF(FlipkartTable[[#This Row],[Rating]]&gt;3.5,"Average","Poor")))</f>
        <v>Good</v>
      </c>
    </row>
    <row r="2542" spans="1:13" x14ac:dyDescent="0.35">
      <c r="A2542" t="s">
        <v>343</v>
      </c>
      <c r="B2542" s="9" t="s">
        <v>1328</v>
      </c>
      <c r="C2542" t="s">
        <v>92</v>
      </c>
      <c r="D2542" t="s">
        <v>11</v>
      </c>
      <c r="E2542" t="s">
        <v>12</v>
      </c>
      <c r="F2542">
        <v>4.5</v>
      </c>
      <c r="G2542">
        <v>13999</v>
      </c>
      <c r="H2542">
        <v>15999</v>
      </c>
      <c r="I2542">
        <f>FlipkartTable[[#This Row],[Original Price]]-FlipkartTable[[#This Row],[Selling Price]]</f>
        <v>2000</v>
      </c>
      <c r="J2542" s="4">
        <f>(FlipkartTable[[#This Row],[Original Price]]-FlipkartTable[[#This Row],[Selling Price]])/FlipkartTable[[#This Row],[Original Price]]</f>
        <v>0.12500781298831176</v>
      </c>
      <c r="K2542">
        <f>(FlipkartTable[[#This Row],[Rating]]/FlipkartTable[[#This Row],[Selling Price]])*1000</f>
        <v>0.32145153225230377</v>
      </c>
      <c r="L2542" t="str">
        <f>IF(FlipkartTable[[#This Row],[Selling Price]]&lt;15000,"Budget",IF(FlipkartTable[[#This Row],[Selling Price]]&lt;50000,"Mid Range","Premium"))</f>
        <v>Budget</v>
      </c>
      <c r="M2542" t="str">
        <f>IF(FlipkartTable[[#This Row],[Rating]]&gt;4.5,"Excellent",IF(FlipkartTable[[#This Row],[Rating]]&gt;4,"Good",IF(FlipkartTable[[#This Row],[Rating]]&gt;3.5,"Average","Poor")))</f>
        <v>Good</v>
      </c>
    </row>
    <row r="2543" spans="1:13" x14ac:dyDescent="0.35">
      <c r="A2543" t="s">
        <v>343</v>
      </c>
      <c r="B2543" s="9" t="s">
        <v>430</v>
      </c>
      <c r="C2543" t="s">
        <v>1329</v>
      </c>
      <c r="D2543" t="s">
        <v>14</v>
      </c>
      <c r="E2543" t="s">
        <v>15</v>
      </c>
      <c r="F2543">
        <v>4.3</v>
      </c>
      <c r="G2543">
        <v>25999</v>
      </c>
      <c r="H2543">
        <v>29999</v>
      </c>
      <c r="I2543">
        <f>FlipkartTable[[#This Row],[Original Price]]-FlipkartTable[[#This Row],[Selling Price]]</f>
        <v>4000</v>
      </c>
      <c r="J2543" s="4">
        <f>(FlipkartTable[[#This Row],[Original Price]]-FlipkartTable[[#This Row],[Selling Price]])/FlipkartTable[[#This Row],[Original Price]]</f>
        <v>0.13333777792593088</v>
      </c>
      <c r="K2543">
        <f>(FlipkartTable[[#This Row],[Rating]]/FlipkartTable[[#This Row],[Selling Price]])*1000</f>
        <v>0.16539097657602217</v>
      </c>
      <c r="L2543" t="str">
        <f>IF(FlipkartTable[[#This Row],[Selling Price]]&lt;15000,"Budget",IF(FlipkartTable[[#This Row],[Selling Price]]&lt;50000,"Mid Range","Premium"))</f>
        <v>Mid Range</v>
      </c>
      <c r="M2543" t="str">
        <f>IF(FlipkartTable[[#This Row],[Rating]]&gt;4.5,"Excellent",IF(FlipkartTable[[#This Row],[Rating]]&gt;4,"Good",IF(FlipkartTable[[#This Row],[Rating]]&gt;3.5,"Average","Poor")))</f>
        <v>Good</v>
      </c>
    </row>
    <row r="2544" spans="1:13" x14ac:dyDescent="0.35">
      <c r="A2544" t="s">
        <v>343</v>
      </c>
      <c r="B2544" s="9" t="s">
        <v>430</v>
      </c>
      <c r="C2544" t="s">
        <v>1329</v>
      </c>
      <c r="D2544" t="s">
        <v>27</v>
      </c>
      <c r="E2544" t="s">
        <v>15</v>
      </c>
      <c r="F2544">
        <v>4.4000000000000004</v>
      </c>
      <c r="G2544">
        <v>27999</v>
      </c>
      <c r="H2544">
        <v>29999</v>
      </c>
      <c r="I2544">
        <f>FlipkartTable[[#This Row],[Original Price]]-FlipkartTable[[#This Row],[Selling Price]]</f>
        <v>2000</v>
      </c>
      <c r="J2544" s="4">
        <f>(FlipkartTable[[#This Row],[Original Price]]-FlipkartTable[[#This Row],[Selling Price]])/FlipkartTable[[#This Row],[Original Price]]</f>
        <v>6.6668888962965439E-2</v>
      </c>
      <c r="K2544">
        <f>(FlipkartTable[[#This Row],[Rating]]/FlipkartTable[[#This Row],[Selling Price]])*1000</f>
        <v>0.15714846958819959</v>
      </c>
      <c r="L2544" t="str">
        <f>IF(FlipkartTable[[#This Row],[Selling Price]]&lt;15000,"Budget",IF(FlipkartTable[[#This Row],[Selling Price]]&lt;50000,"Mid Range","Premium"))</f>
        <v>Mid Range</v>
      </c>
      <c r="M2544" t="str">
        <f>IF(FlipkartTable[[#This Row],[Rating]]&gt;4.5,"Excellent",IF(FlipkartTable[[#This Row],[Rating]]&gt;4,"Good",IF(FlipkartTable[[#This Row],[Rating]]&gt;3.5,"Average","Poor")))</f>
        <v>Good</v>
      </c>
    </row>
    <row r="2545" spans="1:13" x14ac:dyDescent="0.35">
      <c r="A2545" t="s">
        <v>343</v>
      </c>
      <c r="B2545" s="9" t="s">
        <v>360</v>
      </c>
      <c r="C2545" t="s">
        <v>361</v>
      </c>
      <c r="D2545" t="s">
        <v>11</v>
      </c>
      <c r="E2545" t="s">
        <v>12</v>
      </c>
      <c r="F2545">
        <v>4.5</v>
      </c>
      <c r="G2545">
        <v>10999</v>
      </c>
      <c r="H2545">
        <v>12999</v>
      </c>
      <c r="I2545">
        <f>FlipkartTable[[#This Row],[Original Price]]-FlipkartTable[[#This Row],[Selling Price]]</f>
        <v>2000</v>
      </c>
      <c r="J2545" s="4">
        <f>(FlipkartTable[[#This Row],[Original Price]]-FlipkartTable[[#This Row],[Selling Price]])/FlipkartTable[[#This Row],[Original Price]]</f>
        <v>0.15385798907608278</v>
      </c>
      <c r="K2545">
        <f>(FlipkartTable[[#This Row],[Rating]]/FlipkartTable[[#This Row],[Selling Price]])*1000</f>
        <v>0.40912810255477766</v>
      </c>
      <c r="L2545" t="str">
        <f>IF(FlipkartTable[[#This Row],[Selling Price]]&lt;15000,"Budget",IF(FlipkartTable[[#This Row],[Selling Price]]&lt;50000,"Mid Range","Premium"))</f>
        <v>Budget</v>
      </c>
      <c r="M2545" t="str">
        <f>IF(FlipkartTable[[#This Row],[Rating]]&gt;4.5,"Excellent",IF(FlipkartTable[[#This Row],[Rating]]&gt;4,"Good",IF(FlipkartTable[[#This Row],[Rating]]&gt;3.5,"Average","Poor")))</f>
        <v>Good</v>
      </c>
    </row>
    <row r="2546" spans="1:13" x14ac:dyDescent="0.35">
      <c r="A2546" t="s">
        <v>343</v>
      </c>
      <c r="B2546" s="9" t="s">
        <v>360</v>
      </c>
      <c r="C2546" t="s">
        <v>171</v>
      </c>
      <c r="D2546" t="s">
        <v>11</v>
      </c>
      <c r="E2546" t="s">
        <v>12</v>
      </c>
      <c r="F2546">
        <v>4.5</v>
      </c>
      <c r="G2546">
        <v>10999</v>
      </c>
      <c r="H2546">
        <v>12999</v>
      </c>
      <c r="I2546">
        <f>FlipkartTable[[#This Row],[Original Price]]-FlipkartTable[[#This Row],[Selling Price]]</f>
        <v>2000</v>
      </c>
      <c r="J2546" s="4">
        <f>(FlipkartTable[[#This Row],[Original Price]]-FlipkartTable[[#This Row],[Selling Price]])/FlipkartTable[[#This Row],[Original Price]]</f>
        <v>0.15385798907608278</v>
      </c>
      <c r="K2546">
        <f>(FlipkartTable[[#This Row],[Rating]]/FlipkartTable[[#This Row],[Selling Price]])*1000</f>
        <v>0.40912810255477766</v>
      </c>
      <c r="L2546" t="str">
        <f>IF(FlipkartTable[[#This Row],[Selling Price]]&lt;15000,"Budget",IF(FlipkartTable[[#This Row],[Selling Price]]&lt;50000,"Mid Range","Premium"))</f>
        <v>Budget</v>
      </c>
      <c r="M2546" t="str">
        <f>IF(FlipkartTable[[#This Row],[Rating]]&gt;4.5,"Excellent",IF(FlipkartTable[[#This Row],[Rating]]&gt;4,"Good",IF(FlipkartTable[[#This Row],[Rating]]&gt;3.5,"Average","Poor")))</f>
        <v>Good</v>
      </c>
    </row>
    <row r="2547" spans="1:13" x14ac:dyDescent="0.35">
      <c r="A2547" t="s">
        <v>343</v>
      </c>
      <c r="B2547" s="9" t="s">
        <v>1330</v>
      </c>
      <c r="C2547" t="s">
        <v>1331</v>
      </c>
      <c r="D2547" t="s">
        <v>63</v>
      </c>
      <c r="E2547" t="s">
        <v>64</v>
      </c>
      <c r="F2547">
        <v>4.4000000000000004</v>
      </c>
      <c r="G2547">
        <v>35999</v>
      </c>
      <c r="H2547">
        <v>38999</v>
      </c>
      <c r="I2547">
        <f>FlipkartTable[[#This Row],[Original Price]]-FlipkartTable[[#This Row],[Selling Price]]</f>
        <v>3000</v>
      </c>
      <c r="J2547" s="4">
        <f>(FlipkartTable[[#This Row],[Original Price]]-FlipkartTable[[#This Row],[Selling Price]])/FlipkartTable[[#This Row],[Original Price]]</f>
        <v>7.692504936024E-2</v>
      </c>
      <c r="K2547">
        <f>(FlipkartTable[[#This Row],[Rating]]/FlipkartTable[[#This Row],[Selling Price]])*1000</f>
        <v>0.12222561737826053</v>
      </c>
      <c r="L2547" t="str">
        <f>IF(FlipkartTable[[#This Row],[Selling Price]]&lt;15000,"Budget",IF(FlipkartTable[[#This Row],[Selling Price]]&lt;50000,"Mid Range","Premium"))</f>
        <v>Mid Range</v>
      </c>
      <c r="M2547" t="str">
        <f>IF(FlipkartTable[[#This Row],[Rating]]&gt;4.5,"Excellent",IF(FlipkartTable[[#This Row],[Rating]]&gt;4,"Good",IF(FlipkartTable[[#This Row],[Rating]]&gt;3.5,"Average","Poor")))</f>
        <v>Good</v>
      </c>
    </row>
    <row r="2548" spans="1:13" x14ac:dyDescent="0.35">
      <c r="A2548" t="s">
        <v>343</v>
      </c>
      <c r="B2548" s="9" t="s">
        <v>1330</v>
      </c>
      <c r="C2548" t="s">
        <v>1332</v>
      </c>
      <c r="D2548" t="s">
        <v>63</v>
      </c>
      <c r="E2548" t="s">
        <v>64</v>
      </c>
      <c r="F2548">
        <v>4.4000000000000004</v>
      </c>
      <c r="G2548">
        <v>35999</v>
      </c>
      <c r="H2548">
        <v>38999</v>
      </c>
      <c r="I2548">
        <f>FlipkartTable[[#This Row],[Original Price]]-FlipkartTable[[#This Row],[Selling Price]]</f>
        <v>3000</v>
      </c>
      <c r="J2548" s="4">
        <f>(FlipkartTable[[#This Row],[Original Price]]-FlipkartTable[[#This Row],[Selling Price]])/FlipkartTable[[#This Row],[Original Price]]</f>
        <v>7.692504936024E-2</v>
      </c>
      <c r="K2548">
        <f>(FlipkartTable[[#This Row],[Rating]]/FlipkartTable[[#This Row],[Selling Price]])*1000</f>
        <v>0.12222561737826053</v>
      </c>
      <c r="L2548" t="str">
        <f>IF(FlipkartTable[[#This Row],[Selling Price]]&lt;15000,"Budget",IF(FlipkartTable[[#This Row],[Selling Price]]&lt;50000,"Mid Range","Premium"))</f>
        <v>Mid Range</v>
      </c>
      <c r="M2548" t="str">
        <f>IF(FlipkartTable[[#This Row],[Rating]]&gt;4.5,"Excellent",IF(FlipkartTable[[#This Row],[Rating]]&gt;4,"Good",IF(FlipkartTable[[#This Row],[Rating]]&gt;3.5,"Average","Poor")))</f>
        <v>Good</v>
      </c>
    </row>
    <row r="2549" spans="1:13" x14ac:dyDescent="0.35">
      <c r="A2549" t="s">
        <v>343</v>
      </c>
      <c r="B2549" s="9" t="s">
        <v>1330</v>
      </c>
      <c r="C2549" t="s">
        <v>1331</v>
      </c>
      <c r="D2549" t="s">
        <v>27</v>
      </c>
      <c r="E2549" t="s">
        <v>15</v>
      </c>
      <c r="F2549">
        <v>4.4000000000000004</v>
      </c>
      <c r="G2549">
        <v>31999</v>
      </c>
      <c r="H2549">
        <v>34999</v>
      </c>
      <c r="I2549">
        <f>FlipkartTable[[#This Row],[Original Price]]-FlipkartTable[[#This Row],[Selling Price]]</f>
        <v>3000</v>
      </c>
      <c r="J2549" s="4">
        <f>(FlipkartTable[[#This Row],[Original Price]]-FlipkartTable[[#This Row],[Selling Price]])/FlipkartTable[[#This Row],[Original Price]]</f>
        <v>8.5716734763850402E-2</v>
      </c>
      <c r="K2549">
        <f>(FlipkartTable[[#This Row],[Rating]]/FlipkartTable[[#This Row],[Selling Price]])*1000</f>
        <v>0.13750429700928155</v>
      </c>
      <c r="L2549" t="str">
        <f>IF(FlipkartTable[[#This Row],[Selling Price]]&lt;15000,"Budget",IF(FlipkartTable[[#This Row],[Selling Price]]&lt;50000,"Mid Range","Premium"))</f>
        <v>Mid Range</v>
      </c>
      <c r="M2549" t="str">
        <f>IF(FlipkartTable[[#This Row],[Rating]]&gt;4.5,"Excellent",IF(FlipkartTable[[#This Row],[Rating]]&gt;4,"Good",IF(FlipkartTable[[#This Row],[Rating]]&gt;3.5,"Average","Poor")))</f>
        <v>Good</v>
      </c>
    </row>
    <row r="2550" spans="1:13" x14ac:dyDescent="0.35">
      <c r="A2550" t="s">
        <v>343</v>
      </c>
      <c r="B2550" s="9" t="s">
        <v>1330</v>
      </c>
      <c r="C2550" t="s">
        <v>1332</v>
      </c>
      <c r="D2550" t="s">
        <v>27</v>
      </c>
      <c r="E2550" t="s">
        <v>15</v>
      </c>
      <c r="F2550">
        <v>4.4000000000000004</v>
      </c>
      <c r="G2550">
        <v>31999</v>
      </c>
      <c r="H2550">
        <v>34999</v>
      </c>
      <c r="I2550">
        <f>FlipkartTable[[#This Row],[Original Price]]-FlipkartTable[[#This Row],[Selling Price]]</f>
        <v>3000</v>
      </c>
      <c r="J2550" s="4">
        <f>(FlipkartTable[[#This Row],[Original Price]]-FlipkartTable[[#This Row],[Selling Price]])/FlipkartTable[[#This Row],[Original Price]]</f>
        <v>8.5716734763850402E-2</v>
      </c>
      <c r="K2550">
        <f>(FlipkartTable[[#This Row],[Rating]]/FlipkartTable[[#This Row],[Selling Price]])*1000</f>
        <v>0.13750429700928155</v>
      </c>
      <c r="L2550" t="str">
        <f>IF(FlipkartTable[[#This Row],[Selling Price]]&lt;15000,"Budget",IF(FlipkartTable[[#This Row],[Selling Price]]&lt;50000,"Mid Range","Premium"))</f>
        <v>Mid Range</v>
      </c>
      <c r="M2550" t="str">
        <f>IF(FlipkartTable[[#This Row],[Rating]]&gt;4.5,"Excellent",IF(FlipkartTable[[#This Row],[Rating]]&gt;4,"Good",IF(FlipkartTable[[#This Row],[Rating]]&gt;3.5,"Average","Poor")))</f>
        <v>Good</v>
      </c>
    </row>
    <row r="2551" spans="1:13" x14ac:dyDescent="0.35">
      <c r="A2551" t="s">
        <v>343</v>
      </c>
      <c r="B2551" s="9" t="s">
        <v>360</v>
      </c>
      <c r="C2551" t="s">
        <v>361</v>
      </c>
      <c r="D2551" t="s">
        <v>11</v>
      </c>
      <c r="E2551" t="s">
        <v>15</v>
      </c>
      <c r="F2551">
        <v>4.5</v>
      </c>
      <c r="G2551">
        <v>12049</v>
      </c>
      <c r="H2551">
        <v>13999</v>
      </c>
      <c r="I2551">
        <f>FlipkartTable[[#This Row],[Original Price]]-FlipkartTable[[#This Row],[Selling Price]]</f>
        <v>1950</v>
      </c>
      <c r="J2551" s="4">
        <f>(FlipkartTable[[#This Row],[Original Price]]-FlipkartTable[[#This Row],[Selling Price]])/FlipkartTable[[#This Row],[Original Price]]</f>
        <v>0.1392956639759983</v>
      </c>
      <c r="K2551">
        <f>(FlipkartTable[[#This Row],[Rating]]/FlipkartTable[[#This Row],[Selling Price]])*1000</f>
        <v>0.37347497717652922</v>
      </c>
      <c r="L2551" t="str">
        <f>IF(FlipkartTable[[#This Row],[Selling Price]]&lt;15000,"Budget",IF(FlipkartTable[[#This Row],[Selling Price]]&lt;50000,"Mid Range","Premium"))</f>
        <v>Budget</v>
      </c>
      <c r="M2551" t="str">
        <f>IF(FlipkartTable[[#This Row],[Rating]]&gt;4.5,"Excellent",IF(FlipkartTable[[#This Row],[Rating]]&gt;4,"Good",IF(FlipkartTable[[#This Row],[Rating]]&gt;3.5,"Average","Poor")))</f>
        <v>Good</v>
      </c>
    </row>
    <row r="2552" spans="1:13" x14ac:dyDescent="0.35">
      <c r="A2552" t="s">
        <v>343</v>
      </c>
      <c r="B2552" s="9" t="s">
        <v>430</v>
      </c>
      <c r="C2552" t="s">
        <v>1333</v>
      </c>
      <c r="D2552" t="s">
        <v>27</v>
      </c>
      <c r="E2552" t="s">
        <v>15</v>
      </c>
      <c r="F2552">
        <v>4.3</v>
      </c>
      <c r="G2552">
        <v>27999</v>
      </c>
      <c r="H2552">
        <v>29999</v>
      </c>
      <c r="I2552">
        <f>FlipkartTable[[#This Row],[Original Price]]-FlipkartTable[[#This Row],[Selling Price]]</f>
        <v>2000</v>
      </c>
      <c r="J2552" s="4">
        <f>(FlipkartTable[[#This Row],[Original Price]]-FlipkartTable[[#This Row],[Selling Price]])/FlipkartTable[[#This Row],[Original Price]]</f>
        <v>6.6668888962965439E-2</v>
      </c>
      <c r="K2552">
        <f>(FlipkartTable[[#This Row],[Rating]]/FlipkartTable[[#This Row],[Selling Price]])*1000</f>
        <v>0.15357691346119504</v>
      </c>
      <c r="L2552" t="str">
        <f>IF(FlipkartTable[[#This Row],[Selling Price]]&lt;15000,"Budget",IF(FlipkartTable[[#This Row],[Selling Price]]&lt;50000,"Mid Range","Premium"))</f>
        <v>Mid Range</v>
      </c>
      <c r="M2552" t="str">
        <f>IF(FlipkartTable[[#This Row],[Rating]]&gt;4.5,"Excellent",IF(FlipkartTable[[#This Row],[Rating]]&gt;4,"Good",IF(FlipkartTable[[#This Row],[Rating]]&gt;3.5,"Average","Poor")))</f>
        <v>Good</v>
      </c>
    </row>
    <row r="2553" spans="1:13" x14ac:dyDescent="0.35">
      <c r="A2553" t="s">
        <v>343</v>
      </c>
      <c r="B2553" s="9" t="s">
        <v>430</v>
      </c>
      <c r="C2553" t="s">
        <v>1334</v>
      </c>
      <c r="D2553" t="s">
        <v>27</v>
      </c>
      <c r="E2553" t="s">
        <v>64</v>
      </c>
      <c r="F2553">
        <v>4.3</v>
      </c>
      <c r="G2553">
        <v>29999</v>
      </c>
      <c r="H2553">
        <v>29999</v>
      </c>
      <c r="I2553">
        <f>FlipkartTable[[#This Row],[Original Price]]-FlipkartTable[[#This Row],[Selling Price]]</f>
        <v>0</v>
      </c>
      <c r="J2553" s="4">
        <f>(FlipkartTable[[#This Row],[Original Price]]-FlipkartTable[[#This Row],[Selling Price]])/FlipkartTable[[#This Row],[Original Price]]</f>
        <v>0</v>
      </c>
      <c r="K2553">
        <f>(FlipkartTable[[#This Row],[Rating]]/FlipkartTable[[#This Row],[Selling Price]])*1000</f>
        <v>0.14333811127037566</v>
      </c>
      <c r="L2553" t="str">
        <f>IF(FlipkartTable[[#This Row],[Selling Price]]&lt;15000,"Budget",IF(FlipkartTable[[#This Row],[Selling Price]]&lt;50000,"Mid Range","Premium"))</f>
        <v>Mid Range</v>
      </c>
      <c r="M2553" t="str">
        <f>IF(FlipkartTable[[#This Row],[Rating]]&gt;4.5,"Excellent",IF(FlipkartTable[[#This Row],[Rating]]&gt;4,"Good",IF(FlipkartTable[[#This Row],[Rating]]&gt;3.5,"Average","Poor")))</f>
        <v>Good</v>
      </c>
    </row>
    <row r="2554" spans="1:13" x14ac:dyDescent="0.35">
      <c r="A2554" t="s">
        <v>343</v>
      </c>
      <c r="B2554" s="9" t="s">
        <v>1335</v>
      </c>
      <c r="C2554" t="s">
        <v>1336</v>
      </c>
      <c r="D2554" t="s">
        <v>27</v>
      </c>
      <c r="E2554" t="s">
        <v>15</v>
      </c>
      <c r="F2554">
        <v>4.4000000000000004</v>
      </c>
      <c r="G2554">
        <v>26999</v>
      </c>
      <c r="H2554">
        <v>29999</v>
      </c>
      <c r="I2554">
        <f>FlipkartTable[[#This Row],[Original Price]]-FlipkartTable[[#This Row],[Selling Price]]</f>
        <v>3000</v>
      </c>
      <c r="J2554" s="4">
        <f>(FlipkartTable[[#This Row],[Original Price]]-FlipkartTable[[#This Row],[Selling Price]])/FlipkartTable[[#This Row],[Original Price]]</f>
        <v>0.10000333344444814</v>
      </c>
      <c r="K2554">
        <f>(FlipkartTable[[#This Row],[Rating]]/FlipkartTable[[#This Row],[Selling Price]])*1000</f>
        <v>0.16296899885180932</v>
      </c>
      <c r="L2554" t="str">
        <f>IF(FlipkartTable[[#This Row],[Selling Price]]&lt;15000,"Budget",IF(FlipkartTable[[#This Row],[Selling Price]]&lt;50000,"Mid Range","Premium"))</f>
        <v>Mid Range</v>
      </c>
      <c r="M2554" t="str">
        <f>IF(FlipkartTable[[#This Row],[Rating]]&gt;4.5,"Excellent",IF(FlipkartTable[[#This Row],[Rating]]&gt;4,"Good",IF(FlipkartTable[[#This Row],[Rating]]&gt;3.5,"Average","Poor")))</f>
        <v>Good</v>
      </c>
    </row>
    <row r="2555" spans="1:13" x14ac:dyDescent="0.35">
      <c r="A2555" t="s">
        <v>343</v>
      </c>
      <c r="B2555" s="9" t="s">
        <v>1335</v>
      </c>
      <c r="C2555" t="s">
        <v>1279</v>
      </c>
      <c r="D2555" t="s">
        <v>63</v>
      </c>
      <c r="E2555" t="s">
        <v>64</v>
      </c>
      <c r="F2555">
        <v>4.3</v>
      </c>
      <c r="G2555">
        <v>29999</v>
      </c>
      <c r="H2555">
        <v>32999</v>
      </c>
      <c r="I2555">
        <f>FlipkartTable[[#This Row],[Original Price]]-FlipkartTable[[#This Row],[Selling Price]]</f>
        <v>3000</v>
      </c>
      <c r="J2555" s="4">
        <f>(FlipkartTable[[#This Row],[Original Price]]-FlipkartTable[[#This Row],[Selling Price]])/FlipkartTable[[#This Row],[Original Price]]</f>
        <v>9.0911845813509501E-2</v>
      </c>
      <c r="K2555">
        <f>(FlipkartTable[[#This Row],[Rating]]/FlipkartTable[[#This Row],[Selling Price]])*1000</f>
        <v>0.14333811127037566</v>
      </c>
      <c r="L2555" t="str">
        <f>IF(FlipkartTable[[#This Row],[Selling Price]]&lt;15000,"Budget",IF(FlipkartTable[[#This Row],[Selling Price]]&lt;50000,"Mid Range","Premium"))</f>
        <v>Mid Range</v>
      </c>
      <c r="M2555" t="str">
        <f>IF(FlipkartTable[[#This Row],[Rating]]&gt;4.5,"Excellent",IF(FlipkartTable[[#This Row],[Rating]]&gt;4,"Good",IF(FlipkartTable[[#This Row],[Rating]]&gt;3.5,"Average","Poor")))</f>
        <v>Good</v>
      </c>
    </row>
    <row r="2556" spans="1:13" x14ac:dyDescent="0.35">
      <c r="A2556" t="s">
        <v>343</v>
      </c>
      <c r="B2556" s="9" t="s">
        <v>1335</v>
      </c>
      <c r="C2556" t="s">
        <v>1337</v>
      </c>
      <c r="D2556" t="s">
        <v>63</v>
      </c>
      <c r="E2556" t="s">
        <v>64</v>
      </c>
      <c r="F2556">
        <v>4.3</v>
      </c>
      <c r="G2556">
        <v>29999</v>
      </c>
      <c r="H2556">
        <v>32999</v>
      </c>
      <c r="I2556">
        <f>FlipkartTable[[#This Row],[Original Price]]-FlipkartTable[[#This Row],[Selling Price]]</f>
        <v>3000</v>
      </c>
      <c r="J2556" s="4">
        <f>(FlipkartTable[[#This Row],[Original Price]]-FlipkartTable[[#This Row],[Selling Price]])/FlipkartTable[[#This Row],[Original Price]]</f>
        <v>9.0911845813509501E-2</v>
      </c>
      <c r="K2556">
        <f>(FlipkartTable[[#This Row],[Rating]]/FlipkartTable[[#This Row],[Selling Price]])*1000</f>
        <v>0.14333811127037566</v>
      </c>
      <c r="L2556" t="str">
        <f>IF(FlipkartTable[[#This Row],[Selling Price]]&lt;15000,"Budget",IF(FlipkartTable[[#This Row],[Selling Price]]&lt;50000,"Mid Range","Premium"))</f>
        <v>Mid Range</v>
      </c>
      <c r="M2556" t="str">
        <f>IF(FlipkartTable[[#This Row],[Rating]]&gt;4.5,"Excellent",IF(FlipkartTable[[#This Row],[Rating]]&gt;4,"Good",IF(FlipkartTable[[#This Row],[Rating]]&gt;3.5,"Average","Poor")))</f>
        <v>Good</v>
      </c>
    </row>
    <row r="2557" spans="1:13" x14ac:dyDescent="0.35">
      <c r="A2557" t="s">
        <v>343</v>
      </c>
      <c r="B2557" s="9" t="s">
        <v>1335</v>
      </c>
      <c r="C2557" t="s">
        <v>1337</v>
      </c>
      <c r="D2557" t="s">
        <v>27</v>
      </c>
      <c r="E2557" t="s">
        <v>15</v>
      </c>
      <c r="F2557">
        <v>4.3</v>
      </c>
      <c r="G2557">
        <v>26999</v>
      </c>
      <c r="H2557">
        <v>29999</v>
      </c>
      <c r="I2557">
        <f>FlipkartTable[[#This Row],[Original Price]]-FlipkartTable[[#This Row],[Selling Price]]</f>
        <v>3000</v>
      </c>
      <c r="J2557" s="4">
        <f>(FlipkartTable[[#This Row],[Original Price]]-FlipkartTable[[#This Row],[Selling Price]])/FlipkartTable[[#This Row],[Original Price]]</f>
        <v>0.10000333344444814</v>
      </c>
      <c r="K2557">
        <f>(FlipkartTable[[#This Row],[Rating]]/FlipkartTable[[#This Row],[Selling Price]])*1000</f>
        <v>0.15926515796881366</v>
      </c>
      <c r="L2557" t="str">
        <f>IF(FlipkartTable[[#This Row],[Selling Price]]&lt;15000,"Budget",IF(FlipkartTable[[#This Row],[Selling Price]]&lt;50000,"Mid Range","Premium"))</f>
        <v>Mid Range</v>
      </c>
      <c r="M2557" t="str">
        <f>IF(FlipkartTable[[#This Row],[Rating]]&gt;4.5,"Excellent",IF(FlipkartTable[[#This Row],[Rating]]&gt;4,"Good",IF(FlipkartTable[[#This Row],[Rating]]&gt;3.5,"Average","Poor")))</f>
        <v>Good</v>
      </c>
    </row>
    <row r="2558" spans="1:13" x14ac:dyDescent="0.35">
      <c r="A2558" t="s">
        <v>343</v>
      </c>
      <c r="B2558" s="9" t="s">
        <v>1335</v>
      </c>
      <c r="C2558" t="s">
        <v>1279</v>
      </c>
      <c r="D2558" t="s">
        <v>27</v>
      </c>
      <c r="E2558" t="s">
        <v>15</v>
      </c>
      <c r="F2558">
        <v>4.3</v>
      </c>
      <c r="G2558">
        <v>26999</v>
      </c>
      <c r="H2558">
        <v>29999</v>
      </c>
      <c r="I2558">
        <f>FlipkartTable[[#This Row],[Original Price]]-FlipkartTable[[#This Row],[Selling Price]]</f>
        <v>3000</v>
      </c>
      <c r="J2558" s="4">
        <f>(FlipkartTable[[#This Row],[Original Price]]-FlipkartTable[[#This Row],[Selling Price]])/FlipkartTable[[#This Row],[Original Price]]</f>
        <v>0.10000333344444814</v>
      </c>
      <c r="K2558">
        <f>(FlipkartTable[[#This Row],[Rating]]/FlipkartTable[[#This Row],[Selling Price]])*1000</f>
        <v>0.15926515796881366</v>
      </c>
      <c r="L2558" t="str">
        <f>IF(FlipkartTable[[#This Row],[Selling Price]]&lt;15000,"Budget",IF(FlipkartTable[[#This Row],[Selling Price]]&lt;50000,"Mid Range","Premium"))</f>
        <v>Mid Range</v>
      </c>
      <c r="M2558" t="str">
        <f>IF(FlipkartTable[[#This Row],[Rating]]&gt;4.5,"Excellent",IF(FlipkartTable[[#This Row],[Rating]]&gt;4,"Good",IF(FlipkartTable[[#This Row],[Rating]]&gt;3.5,"Average","Poor")))</f>
        <v>Good</v>
      </c>
    </row>
    <row r="2559" spans="1:13" x14ac:dyDescent="0.35">
      <c r="A2559" t="s">
        <v>343</v>
      </c>
      <c r="B2559" s="9" t="s">
        <v>1335</v>
      </c>
      <c r="C2559" t="s">
        <v>1336</v>
      </c>
      <c r="D2559" t="s">
        <v>63</v>
      </c>
      <c r="E2559" t="s">
        <v>64</v>
      </c>
      <c r="F2559">
        <v>4.4000000000000004</v>
      </c>
      <c r="G2559">
        <v>29999</v>
      </c>
      <c r="H2559">
        <v>32999</v>
      </c>
      <c r="I2559">
        <f>FlipkartTable[[#This Row],[Original Price]]-FlipkartTable[[#This Row],[Selling Price]]</f>
        <v>3000</v>
      </c>
      <c r="J2559" s="4">
        <f>(FlipkartTable[[#This Row],[Original Price]]-FlipkartTable[[#This Row],[Selling Price]])/FlipkartTable[[#This Row],[Original Price]]</f>
        <v>9.0911845813509501E-2</v>
      </c>
      <c r="K2559">
        <f>(FlipkartTable[[#This Row],[Rating]]/FlipkartTable[[#This Row],[Selling Price]])*1000</f>
        <v>0.14667155571852394</v>
      </c>
      <c r="L2559" t="str">
        <f>IF(FlipkartTable[[#This Row],[Selling Price]]&lt;15000,"Budget",IF(FlipkartTable[[#This Row],[Selling Price]]&lt;50000,"Mid Range","Premium"))</f>
        <v>Mid Range</v>
      </c>
      <c r="M2559" t="str">
        <f>IF(FlipkartTable[[#This Row],[Rating]]&gt;4.5,"Excellent",IF(FlipkartTable[[#This Row],[Rating]]&gt;4,"Good",IF(FlipkartTable[[#This Row],[Rating]]&gt;3.5,"Average","Poor")))</f>
        <v>Good</v>
      </c>
    </row>
    <row r="2560" spans="1:13" x14ac:dyDescent="0.35">
      <c r="A2560" t="s">
        <v>663</v>
      </c>
      <c r="B2560" s="9" t="s">
        <v>703</v>
      </c>
      <c r="C2560" t="s">
        <v>1338</v>
      </c>
      <c r="D2560" t="s">
        <v>27</v>
      </c>
      <c r="E2560" t="s">
        <v>15</v>
      </c>
      <c r="F2560">
        <v>4.3</v>
      </c>
      <c r="G2560">
        <v>37499</v>
      </c>
      <c r="H2560">
        <v>40999</v>
      </c>
      <c r="I2560">
        <f>FlipkartTable[[#This Row],[Original Price]]-FlipkartTable[[#This Row],[Selling Price]]</f>
        <v>3500</v>
      </c>
      <c r="J2560" s="4">
        <f>(FlipkartTable[[#This Row],[Original Price]]-FlipkartTable[[#This Row],[Selling Price]])/FlipkartTable[[#This Row],[Original Price]]</f>
        <v>8.536793580331227E-2</v>
      </c>
      <c r="K2560">
        <f>(FlipkartTable[[#This Row],[Rating]]/FlipkartTable[[#This Row],[Selling Price]])*1000</f>
        <v>0.11466972452598735</v>
      </c>
      <c r="L2560" t="str">
        <f>IF(FlipkartTable[[#This Row],[Selling Price]]&lt;15000,"Budget",IF(FlipkartTable[[#This Row],[Selling Price]]&lt;50000,"Mid Range","Premium"))</f>
        <v>Mid Range</v>
      </c>
      <c r="M2560" t="str">
        <f>IF(FlipkartTable[[#This Row],[Rating]]&gt;4.5,"Excellent",IF(FlipkartTable[[#This Row],[Rating]]&gt;4,"Good",IF(FlipkartTable[[#This Row],[Rating]]&gt;3.5,"Average","Poor")))</f>
        <v>Good</v>
      </c>
    </row>
    <row r="2561" spans="1:13" x14ac:dyDescent="0.35">
      <c r="A2561" t="s">
        <v>663</v>
      </c>
      <c r="B2561" s="9" t="s">
        <v>730</v>
      </c>
      <c r="C2561" t="s">
        <v>1339</v>
      </c>
      <c r="D2561" t="s">
        <v>63</v>
      </c>
      <c r="E2561" t="s">
        <v>64</v>
      </c>
      <c r="F2561">
        <v>4.4000000000000004</v>
      </c>
      <c r="G2561">
        <v>149999</v>
      </c>
      <c r="H2561">
        <v>171999</v>
      </c>
      <c r="I2561">
        <f>FlipkartTable[[#This Row],[Original Price]]-FlipkartTable[[#This Row],[Selling Price]]</f>
        <v>22000</v>
      </c>
      <c r="J2561" s="4">
        <f>(FlipkartTable[[#This Row],[Original Price]]-FlipkartTable[[#This Row],[Selling Price]])/FlipkartTable[[#This Row],[Original Price]]</f>
        <v>0.12790772039372322</v>
      </c>
      <c r="K2561">
        <f>(FlipkartTable[[#This Row],[Rating]]/FlipkartTable[[#This Row],[Selling Price]])*1000</f>
        <v>2.9333528890192601E-2</v>
      </c>
      <c r="L2561" t="str">
        <f>IF(FlipkartTable[[#This Row],[Selling Price]]&lt;15000,"Budget",IF(FlipkartTable[[#This Row],[Selling Price]]&lt;50000,"Mid Range","Premium"))</f>
        <v>Premium</v>
      </c>
      <c r="M2561" t="str">
        <f>IF(FlipkartTable[[#This Row],[Rating]]&gt;4.5,"Excellent",IF(FlipkartTable[[#This Row],[Rating]]&gt;4,"Good",IF(FlipkartTable[[#This Row],[Rating]]&gt;3.5,"Average","Poor")))</f>
        <v>Good</v>
      </c>
    </row>
    <row r="2562" spans="1:13" x14ac:dyDescent="0.35">
      <c r="A2562" t="s">
        <v>663</v>
      </c>
      <c r="B2562" s="9" t="s">
        <v>730</v>
      </c>
      <c r="C2562" t="s">
        <v>915</v>
      </c>
      <c r="D2562" t="s">
        <v>63</v>
      </c>
      <c r="E2562" t="s">
        <v>64</v>
      </c>
      <c r="F2562">
        <v>4.4000000000000004</v>
      </c>
      <c r="G2562">
        <v>149999</v>
      </c>
      <c r="H2562">
        <v>171999</v>
      </c>
      <c r="I2562">
        <f>FlipkartTable[[#This Row],[Original Price]]-FlipkartTable[[#This Row],[Selling Price]]</f>
        <v>22000</v>
      </c>
      <c r="J2562" s="4">
        <f>(FlipkartTable[[#This Row],[Original Price]]-FlipkartTable[[#This Row],[Selling Price]])/FlipkartTable[[#This Row],[Original Price]]</f>
        <v>0.12790772039372322</v>
      </c>
      <c r="K2562">
        <f>(FlipkartTable[[#This Row],[Rating]]/FlipkartTable[[#This Row],[Selling Price]])*1000</f>
        <v>2.9333528890192601E-2</v>
      </c>
      <c r="L2562" t="str">
        <f>IF(FlipkartTable[[#This Row],[Selling Price]]&lt;15000,"Budget",IF(FlipkartTable[[#This Row],[Selling Price]]&lt;50000,"Mid Range","Premium"))</f>
        <v>Premium</v>
      </c>
      <c r="M2562" t="str">
        <f>IF(FlipkartTable[[#This Row],[Rating]]&gt;4.5,"Excellent",IF(FlipkartTable[[#This Row],[Rating]]&gt;4,"Good",IF(FlipkartTable[[#This Row],[Rating]]&gt;3.5,"Average","Poor")))</f>
        <v>Good</v>
      </c>
    </row>
    <row r="2563" spans="1:13" x14ac:dyDescent="0.35">
      <c r="A2563" t="s">
        <v>663</v>
      </c>
      <c r="B2563" s="9" t="s">
        <v>688</v>
      </c>
      <c r="C2563" t="s">
        <v>1340</v>
      </c>
      <c r="D2563" t="s">
        <v>27</v>
      </c>
      <c r="E2563" t="s">
        <v>15</v>
      </c>
      <c r="F2563">
        <v>4.3</v>
      </c>
      <c r="G2563">
        <v>88999</v>
      </c>
      <c r="H2563">
        <v>95999</v>
      </c>
      <c r="I2563">
        <f>FlipkartTable[[#This Row],[Original Price]]-FlipkartTable[[#This Row],[Selling Price]]</f>
        <v>7000</v>
      </c>
      <c r="J2563" s="4">
        <f>(FlipkartTable[[#This Row],[Original Price]]-FlipkartTable[[#This Row],[Selling Price]])/FlipkartTable[[#This Row],[Original Price]]</f>
        <v>7.2917426223189821E-2</v>
      </c>
      <c r="K2563">
        <f>(FlipkartTable[[#This Row],[Rating]]/FlipkartTable[[#This Row],[Selling Price]])*1000</f>
        <v>4.8315149608422564E-2</v>
      </c>
      <c r="L2563" t="str">
        <f>IF(FlipkartTable[[#This Row],[Selling Price]]&lt;15000,"Budget",IF(FlipkartTable[[#This Row],[Selling Price]]&lt;50000,"Mid Range","Premium"))</f>
        <v>Premium</v>
      </c>
      <c r="M2563" t="str">
        <f>IF(FlipkartTable[[#This Row],[Rating]]&gt;4.5,"Excellent",IF(FlipkartTable[[#This Row],[Rating]]&gt;4,"Good",IF(FlipkartTable[[#This Row],[Rating]]&gt;3.5,"Average","Poor")))</f>
        <v>Good</v>
      </c>
    </row>
    <row r="2564" spans="1:13" x14ac:dyDescent="0.35">
      <c r="A2564" t="s">
        <v>663</v>
      </c>
      <c r="B2564" s="9" t="s">
        <v>1341</v>
      </c>
      <c r="C2564" t="s">
        <v>37</v>
      </c>
      <c r="D2564" t="s">
        <v>14</v>
      </c>
      <c r="E2564" t="s">
        <v>15</v>
      </c>
      <c r="F2564">
        <v>4.0999999999999996</v>
      </c>
      <c r="G2564">
        <v>20999</v>
      </c>
      <c r="H2564">
        <v>23999</v>
      </c>
      <c r="I2564">
        <f>FlipkartTable[[#This Row],[Original Price]]-FlipkartTable[[#This Row],[Selling Price]]</f>
        <v>3000</v>
      </c>
      <c r="J2564" s="4">
        <f>(FlipkartTable[[#This Row],[Original Price]]-FlipkartTable[[#This Row],[Selling Price]])/FlipkartTable[[#This Row],[Original Price]]</f>
        <v>0.12500520855035627</v>
      </c>
      <c r="K2564">
        <f>(FlipkartTable[[#This Row],[Rating]]/FlipkartTable[[#This Row],[Selling Price]])*1000</f>
        <v>0.19524739273298727</v>
      </c>
      <c r="L2564" t="str">
        <f>IF(FlipkartTable[[#This Row],[Selling Price]]&lt;15000,"Budget",IF(FlipkartTable[[#This Row],[Selling Price]]&lt;50000,"Mid Range","Premium"))</f>
        <v>Mid Range</v>
      </c>
      <c r="M2564" t="str">
        <f>IF(FlipkartTable[[#This Row],[Rating]]&gt;4.5,"Excellent",IF(FlipkartTable[[#This Row],[Rating]]&gt;4,"Good",IF(FlipkartTable[[#This Row],[Rating]]&gt;3.5,"Average","Poor")))</f>
        <v>Good</v>
      </c>
    </row>
    <row r="2565" spans="1:13" x14ac:dyDescent="0.35">
      <c r="A2565" t="s">
        <v>663</v>
      </c>
      <c r="B2565" s="9" t="s">
        <v>1341</v>
      </c>
      <c r="C2565" t="s">
        <v>37</v>
      </c>
      <c r="D2565" t="s">
        <v>27</v>
      </c>
      <c r="E2565" t="s">
        <v>15</v>
      </c>
      <c r="F2565">
        <v>4.0999999999999996</v>
      </c>
      <c r="G2565">
        <v>22999</v>
      </c>
      <c r="H2565">
        <v>25999</v>
      </c>
      <c r="I2565">
        <f>FlipkartTable[[#This Row],[Original Price]]-FlipkartTable[[#This Row],[Selling Price]]</f>
        <v>3000</v>
      </c>
      <c r="J2565" s="4">
        <f>(FlipkartTable[[#This Row],[Original Price]]-FlipkartTable[[#This Row],[Selling Price]])/FlipkartTable[[#This Row],[Original Price]]</f>
        <v>0.11538905342513174</v>
      </c>
      <c r="K2565">
        <f>(FlipkartTable[[#This Row],[Rating]]/FlipkartTable[[#This Row],[Selling Price]])*1000</f>
        <v>0.17826862037479888</v>
      </c>
      <c r="L2565" t="str">
        <f>IF(FlipkartTable[[#This Row],[Selling Price]]&lt;15000,"Budget",IF(FlipkartTable[[#This Row],[Selling Price]]&lt;50000,"Mid Range","Premium"))</f>
        <v>Mid Range</v>
      </c>
      <c r="M2565" t="str">
        <f>IF(FlipkartTable[[#This Row],[Rating]]&gt;4.5,"Excellent",IF(FlipkartTable[[#This Row],[Rating]]&gt;4,"Good",IF(FlipkartTable[[#This Row],[Rating]]&gt;3.5,"Average","Poor")))</f>
        <v>Good</v>
      </c>
    </row>
    <row r="2566" spans="1:13" x14ac:dyDescent="0.35">
      <c r="A2566" t="s">
        <v>663</v>
      </c>
      <c r="B2566" s="9" t="s">
        <v>1341</v>
      </c>
      <c r="C2566" t="s">
        <v>1342</v>
      </c>
      <c r="D2566" t="s">
        <v>27</v>
      </c>
      <c r="E2566" t="s">
        <v>15</v>
      </c>
      <c r="F2566">
        <v>4.0999999999999996</v>
      </c>
      <c r="G2566">
        <v>22999</v>
      </c>
      <c r="H2566">
        <v>25999</v>
      </c>
      <c r="I2566">
        <f>FlipkartTable[[#This Row],[Original Price]]-FlipkartTable[[#This Row],[Selling Price]]</f>
        <v>3000</v>
      </c>
      <c r="J2566" s="4">
        <f>(FlipkartTable[[#This Row],[Original Price]]-FlipkartTable[[#This Row],[Selling Price]])/FlipkartTable[[#This Row],[Original Price]]</f>
        <v>0.11538905342513174</v>
      </c>
      <c r="K2566">
        <f>(FlipkartTable[[#This Row],[Rating]]/FlipkartTable[[#This Row],[Selling Price]])*1000</f>
        <v>0.17826862037479888</v>
      </c>
      <c r="L2566" t="str">
        <f>IF(FlipkartTable[[#This Row],[Selling Price]]&lt;15000,"Budget",IF(FlipkartTable[[#This Row],[Selling Price]]&lt;50000,"Mid Range","Premium"))</f>
        <v>Mid Range</v>
      </c>
      <c r="M2566" t="str">
        <f>IF(FlipkartTable[[#This Row],[Rating]]&gt;4.5,"Excellent",IF(FlipkartTable[[#This Row],[Rating]]&gt;4,"Good",IF(FlipkartTable[[#This Row],[Rating]]&gt;3.5,"Average","Poor")))</f>
        <v>Good</v>
      </c>
    </row>
    <row r="2567" spans="1:13" x14ac:dyDescent="0.35">
      <c r="A2567" t="s">
        <v>663</v>
      </c>
      <c r="B2567" s="9" t="s">
        <v>1341</v>
      </c>
      <c r="C2567" t="s">
        <v>1342</v>
      </c>
      <c r="D2567" t="s">
        <v>14</v>
      </c>
      <c r="E2567" t="s">
        <v>15</v>
      </c>
      <c r="F2567">
        <v>4.0999999999999996</v>
      </c>
      <c r="G2567">
        <v>20999</v>
      </c>
      <c r="H2567">
        <v>23999</v>
      </c>
      <c r="I2567">
        <f>FlipkartTable[[#This Row],[Original Price]]-FlipkartTable[[#This Row],[Selling Price]]</f>
        <v>3000</v>
      </c>
      <c r="J2567" s="4">
        <f>(FlipkartTable[[#This Row],[Original Price]]-FlipkartTable[[#This Row],[Selling Price]])/FlipkartTable[[#This Row],[Original Price]]</f>
        <v>0.12500520855035627</v>
      </c>
      <c r="K2567">
        <f>(FlipkartTable[[#This Row],[Rating]]/FlipkartTable[[#This Row],[Selling Price]])*1000</f>
        <v>0.19524739273298727</v>
      </c>
      <c r="L2567" t="str">
        <f>IF(FlipkartTable[[#This Row],[Selling Price]]&lt;15000,"Budget",IF(FlipkartTable[[#This Row],[Selling Price]]&lt;50000,"Mid Range","Premium"))</f>
        <v>Mid Range</v>
      </c>
      <c r="M2567" t="str">
        <f>IF(FlipkartTable[[#This Row],[Rating]]&gt;4.5,"Excellent",IF(FlipkartTable[[#This Row],[Rating]]&gt;4,"Good",IF(FlipkartTable[[#This Row],[Rating]]&gt;3.5,"Average","Poor")))</f>
        <v>Good</v>
      </c>
    </row>
    <row r="2568" spans="1:13" x14ac:dyDescent="0.35">
      <c r="A2568" t="s">
        <v>1131</v>
      </c>
      <c r="B2568" s="9" t="s">
        <v>1343</v>
      </c>
      <c r="C2568" t="s">
        <v>79</v>
      </c>
      <c r="D2568" t="s">
        <v>11</v>
      </c>
      <c r="E2568" t="s">
        <v>12</v>
      </c>
      <c r="F2568">
        <v>4.0999999999999996</v>
      </c>
      <c r="G2568">
        <v>14449</v>
      </c>
      <c r="H2568">
        <v>14449</v>
      </c>
      <c r="I2568">
        <f>FlipkartTable[[#This Row],[Original Price]]-FlipkartTable[[#This Row],[Selling Price]]</f>
        <v>0</v>
      </c>
      <c r="J2568" s="4">
        <f>(FlipkartTable[[#This Row],[Original Price]]-FlipkartTable[[#This Row],[Selling Price]])/FlipkartTable[[#This Row],[Original Price]]</f>
        <v>0</v>
      </c>
      <c r="K2568">
        <f>(FlipkartTable[[#This Row],[Rating]]/FlipkartTable[[#This Row],[Selling Price]])*1000</f>
        <v>0.28375666136064776</v>
      </c>
      <c r="L2568" t="str">
        <f>IF(FlipkartTable[[#This Row],[Selling Price]]&lt;15000,"Budget",IF(FlipkartTable[[#This Row],[Selling Price]]&lt;50000,"Mid Range","Premium"))</f>
        <v>Budget</v>
      </c>
      <c r="M2568" t="str">
        <f>IF(FlipkartTable[[#This Row],[Rating]]&gt;4.5,"Excellent",IF(FlipkartTable[[#This Row],[Rating]]&gt;4,"Good",IF(FlipkartTable[[#This Row],[Rating]]&gt;3.5,"Average","Poor")))</f>
        <v>Good</v>
      </c>
    </row>
    <row r="2569" spans="1:13" x14ac:dyDescent="0.35">
      <c r="A2569" t="s">
        <v>1131</v>
      </c>
      <c r="B2569" s="9" t="s">
        <v>1344</v>
      </c>
      <c r="C2569" t="s">
        <v>1139</v>
      </c>
      <c r="D2569" t="s">
        <v>27</v>
      </c>
      <c r="E2569" t="s">
        <v>15</v>
      </c>
      <c r="F2569">
        <v>3.9</v>
      </c>
      <c r="G2569">
        <v>18990</v>
      </c>
      <c r="H2569">
        <v>22990</v>
      </c>
      <c r="I2569">
        <f>FlipkartTable[[#This Row],[Original Price]]-FlipkartTable[[#This Row],[Selling Price]]</f>
        <v>4000</v>
      </c>
      <c r="J2569" s="4">
        <f>(FlipkartTable[[#This Row],[Original Price]]-FlipkartTable[[#This Row],[Selling Price]])/FlipkartTable[[#This Row],[Original Price]]</f>
        <v>0.17398869073510223</v>
      </c>
      <c r="K2569">
        <f>(FlipkartTable[[#This Row],[Rating]]/FlipkartTable[[#This Row],[Selling Price]])*1000</f>
        <v>0.20537124802527645</v>
      </c>
      <c r="L2569" t="str">
        <f>IF(FlipkartTable[[#This Row],[Selling Price]]&lt;15000,"Budget",IF(FlipkartTable[[#This Row],[Selling Price]]&lt;50000,"Mid Range","Premium"))</f>
        <v>Mid Range</v>
      </c>
      <c r="M2569" t="str">
        <f>IF(FlipkartTable[[#This Row],[Rating]]&gt;4.5,"Excellent",IF(FlipkartTable[[#This Row],[Rating]]&gt;4,"Good",IF(FlipkartTable[[#This Row],[Rating]]&gt;3.5,"Average","Poor")))</f>
        <v>Average</v>
      </c>
    </row>
    <row r="2570" spans="1:13" x14ac:dyDescent="0.35">
      <c r="A2570" t="s">
        <v>1131</v>
      </c>
      <c r="B2570" s="9" t="s">
        <v>1344</v>
      </c>
      <c r="C2570" t="s">
        <v>149</v>
      </c>
      <c r="D2570" t="s">
        <v>27</v>
      </c>
      <c r="E2570" t="s">
        <v>15</v>
      </c>
      <c r="F2570">
        <v>4.9000000000000004</v>
      </c>
      <c r="G2570">
        <v>22990</v>
      </c>
      <c r="H2570">
        <v>22990</v>
      </c>
      <c r="I2570">
        <f>FlipkartTable[[#This Row],[Original Price]]-FlipkartTable[[#This Row],[Selling Price]]</f>
        <v>0</v>
      </c>
      <c r="J2570" s="4">
        <f>(FlipkartTable[[#This Row],[Original Price]]-FlipkartTable[[#This Row],[Selling Price]])/FlipkartTable[[#This Row],[Original Price]]</f>
        <v>0</v>
      </c>
      <c r="K2570">
        <f>(FlipkartTable[[#This Row],[Rating]]/FlipkartTable[[#This Row],[Selling Price]])*1000</f>
        <v>0.21313614615050022</v>
      </c>
      <c r="L2570" t="str">
        <f>IF(FlipkartTable[[#This Row],[Selling Price]]&lt;15000,"Budget",IF(FlipkartTable[[#This Row],[Selling Price]]&lt;50000,"Mid Range","Premium"))</f>
        <v>Mid Range</v>
      </c>
      <c r="M2570" t="str">
        <f>IF(FlipkartTable[[#This Row],[Rating]]&gt;4.5,"Excellent",IF(FlipkartTable[[#This Row],[Rating]]&gt;4,"Good",IF(FlipkartTable[[#This Row],[Rating]]&gt;3.5,"Average","Poor")))</f>
        <v>Excellent</v>
      </c>
    </row>
    <row r="2571" spans="1:13" x14ac:dyDescent="0.35">
      <c r="A2571" t="s">
        <v>1131</v>
      </c>
      <c r="B2571" s="9" t="s">
        <v>1345</v>
      </c>
      <c r="C2571" t="s">
        <v>79</v>
      </c>
      <c r="D2571" t="s">
        <v>11</v>
      </c>
      <c r="E2571" t="s">
        <v>15</v>
      </c>
      <c r="F2571">
        <v>4.0999999999999996</v>
      </c>
      <c r="G2571">
        <v>16490</v>
      </c>
      <c r="H2571">
        <v>19990</v>
      </c>
      <c r="I2571">
        <f>FlipkartTable[[#This Row],[Original Price]]-FlipkartTable[[#This Row],[Selling Price]]</f>
        <v>3500</v>
      </c>
      <c r="J2571" s="4">
        <f>(FlipkartTable[[#This Row],[Original Price]]-FlipkartTable[[#This Row],[Selling Price]])/FlipkartTable[[#This Row],[Original Price]]</f>
        <v>0.17508754377188596</v>
      </c>
      <c r="K2571">
        <f>(FlipkartTable[[#This Row],[Rating]]/FlipkartTable[[#This Row],[Selling Price]])*1000</f>
        <v>0.24863553668890234</v>
      </c>
      <c r="L2571" t="str">
        <f>IF(FlipkartTable[[#This Row],[Selling Price]]&lt;15000,"Budget",IF(FlipkartTable[[#This Row],[Selling Price]]&lt;50000,"Mid Range","Premium"))</f>
        <v>Mid Range</v>
      </c>
      <c r="M2571" t="str">
        <f>IF(FlipkartTable[[#This Row],[Rating]]&gt;4.5,"Excellent",IF(FlipkartTable[[#This Row],[Rating]]&gt;4,"Good",IF(FlipkartTable[[#This Row],[Rating]]&gt;3.5,"Average","Poor")))</f>
        <v>Good</v>
      </c>
    </row>
    <row r="2572" spans="1:13" x14ac:dyDescent="0.35">
      <c r="A2572" t="s">
        <v>1131</v>
      </c>
      <c r="B2572" s="9" t="s">
        <v>1345</v>
      </c>
      <c r="C2572" t="s">
        <v>405</v>
      </c>
      <c r="D2572" t="s">
        <v>11</v>
      </c>
      <c r="E2572" t="s">
        <v>15</v>
      </c>
      <c r="F2572">
        <v>4.0999999999999996</v>
      </c>
      <c r="G2572">
        <v>16490</v>
      </c>
      <c r="H2572">
        <v>19990</v>
      </c>
      <c r="I2572">
        <f>FlipkartTable[[#This Row],[Original Price]]-FlipkartTable[[#This Row],[Selling Price]]</f>
        <v>3500</v>
      </c>
      <c r="J2572" s="4">
        <f>(FlipkartTable[[#This Row],[Original Price]]-FlipkartTable[[#This Row],[Selling Price]])/FlipkartTable[[#This Row],[Original Price]]</f>
        <v>0.17508754377188596</v>
      </c>
      <c r="K2572">
        <f>(FlipkartTable[[#This Row],[Rating]]/FlipkartTable[[#This Row],[Selling Price]])*1000</f>
        <v>0.24863553668890234</v>
      </c>
      <c r="L2572" t="str">
        <f>IF(FlipkartTable[[#This Row],[Selling Price]]&lt;15000,"Budget",IF(FlipkartTable[[#This Row],[Selling Price]]&lt;50000,"Mid Range","Premium"))</f>
        <v>Mid Range</v>
      </c>
      <c r="M2572" t="str">
        <f>IF(FlipkartTable[[#This Row],[Rating]]&gt;4.5,"Excellent",IF(FlipkartTable[[#This Row],[Rating]]&gt;4,"Good",IF(FlipkartTable[[#This Row],[Rating]]&gt;3.5,"Average","Poor")))</f>
        <v>Good</v>
      </c>
    </row>
    <row r="2573" spans="1:13" x14ac:dyDescent="0.35">
      <c r="A2573" t="s">
        <v>1131</v>
      </c>
      <c r="B2573" s="9" t="s">
        <v>1346</v>
      </c>
      <c r="C2573" t="s">
        <v>1347</v>
      </c>
      <c r="D2573" t="s">
        <v>63</v>
      </c>
      <c r="E2573" t="s">
        <v>64</v>
      </c>
      <c r="F2573">
        <v>4.4000000000000004</v>
      </c>
      <c r="G2573">
        <v>34990</v>
      </c>
      <c r="H2573">
        <v>37990</v>
      </c>
      <c r="I2573">
        <f>FlipkartTable[[#This Row],[Original Price]]-FlipkartTable[[#This Row],[Selling Price]]</f>
        <v>3000</v>
      </c>
      <c r="J2573" s="4">
        <f>(FlipkartTable[[#This Row],[Original Price]]-FlipkartTable[[#This Row],[Selling Price]])/FlipkartTable[[#This Row],[Original Price]]</f>
        <v>7.8968149513029745E-2</v>
      </c>
      <c r="K2573">
        <f>(FlipkartTable[[#This Row],[Rating]]/FlipkartTable[[#This Row],[Selling Price]])*1000</f>
        <v>0.12575021434695627</v>
      </c>
      <c r="L2573" t="str">
        <f>IF(FlipkartTable[[#This Row],[Selling Price]]&lt;15000,"Budget",IF(FlipkartTable[[#This Row],[Selling Price]]&lt;50000,"Mid Range","Premium"))</f>
        <v>Mid Range</v>
      </c>
      <c r="M2573" t="str">
        <f>IF(FlipkartTable[[#This Row],[Rating]]&gt;4.5,"Excellent",IF(FlipkartTable[[#This Row],[Rating]]&gt;4,"Good",IF(FlipkartTable[[#This Row],[Rating]]&gt;3.5,"Average","Poor")))</f>
        <v>Good</v>
      </c>
    </row>
    <row r="2574" spans="1:13" x14ac:dyDescent="0.35">
      <c r="A2574" t="s">
        <v>1131</v>
      </c>
      <c r="B2574" s="9" t="s">
        <v>1346</v>
      </c>
      <c r="C2574" t="s">
        <v>1348</v>
      </c>
      <c r="D2574" t="s">
        <v>27</v>
      </c>
      <c r="E2574" t="s">
        <v>15</v>
      </c>
      <c r="F2574">
        <v>4.4000000000000004</v>
      </c>
      <c r="G2574">
        <v>29990</v>
      </c>
      <c r="H2574">
        <v>34990</v>
      </c>
      <c r="I2574">
        <f>FlipkartTable[[#This Row],[Original Price]]-FlipkartTable[[#This Row],[Selling Price]]</f>
        <v>5000</v>
      </c>
      <c r="J2574" s="4">
        <f>(FlipkartTable[[#This Row],[Original Price]]-FlipkartTable[[#This Row],[Selling Price]])/FlipkartTable[[#This Row],[Original Price]]</f>
        <v>0.14289797084881395</v>
      </c>
      <c r="K2574">
        <f>(FlipkartTable[[#This Row],[Rating]]/FlipkartTable[[#This Row],[Selling Price]])*1000</f>
        <v>0.14671557185728576</v>
      </c>
      <c r="L2574" t="str">
        <f>IF(FlipkartTable[[#This Row],[Selling Price]]&lt;15000,"Budget",IF(FlipkartTable[[#This Row],[Selling Price]]&lt;50000,"Mid Range","Premium"))</f>
        <v>Mid Range</v>
      </c>
      <c r="M2574" t="str">
        <f>IF(FlipkartTable[[#This Row],[Rating]]&gt;4.5,"Excellent",IF(FlipkartTable[[#This Row],[Rating]]&gt;4,"Good",IF(FlipkartTable[[#This Row],[Rating]]&gt;3.5,"Average","Poor")))</f>
        <v>Good</v>
      </c>
    </row>
    <row r="2575" spans="1:13" x14ac:dyDescent="0.35">
      <c r="A2575" t="s">
        <v>1131</v>
      </c>
      <c r="B2575" s="9" t="s">
        <v>1346</v>
      </c>
      <c r="C2575" t="s">
        <v>1347</v>
      </c>
      <c r="D2575" t="s">
        <v>27</v>
      </c>
      <c r="E2575" t="s">
        <v>15</v>
      </c>
      <c r="F2575">
        <v>4.4000000000000004</v>
      </c>
      <c r="G2575">
        <v>29990</v>
      </c>
      <c r="H2575">
        <v>34990</v>
      </c>
      <c r="I2575">
        <f>FlipkartTable[[#This Row],[Original Price]]-FlipkartTable[[#This Row],[Selling Price]]</f>
        <v>5000</v>
      </c>
      <c r="J2575" s="4">
        <f>(FlipkartTable[[#This Row],[Original Price]]-FlipkartTable[[#This Row],[Selling Price]])/FlipkartTable[[#This Row],[Original Price]]</f>
        <v>0.14289797084881395</v>
      </c>
      <c r="K2575">
        <f>(FlipkartTable[[#This Row],[Rating]]/FlipkartTable[[#This Row],[Selling Price]])*1000</f>
        <v>0.14671557185728576</v>
      </c>
      <c r="L2575" t="str">
        <f>IF(FlipkartTable[[#This Row],[Selling Price]]&lt;15000,"Budget",IF(FlipkartTable[[#This Row],[Selling Price]]&lt;50000,"Mid Range","Premium"))</f>
        <v>Mid Range</v>
      </c>
      <c r="M2575" t="str">
        <f>IF(FlipkartTable[[#This Row],[Rating]]&gt;4.5,"Excellent",IF(FlipkartTable[[#This Row],[Rating]]&gt;4,"Good",IF(FlipkartTable[[#This Row],[Rating]]&gt;3.5,"Average","Poor")))</f>
        <v>Good</v>
      </c>
    </row>
    <row r="2576" spans="1:13" x14ac:dyDescent="0.35">
      <c r="A2576" t="s">
        <v>1131</v>
      </c>
      <c r="B2576" s="9" t="s">
        <v>1346</v>
      </c>
      <c r="C2576" t="s">
        <v>1348</v>
      </c>
      <c r="D2576" t="s">
        <v>63</v>
      </c>
      <c r="E2576" t="s">
        <v>64</v>
      </c>
      <c r="F2576">
        <v>4.4000000000000004</v>
      </c>
      <c r="G2576">
        <v>34990</v>
      </c>
      <c r="H2576">
        <v>37990</v>
      </c>
      <c r="I2576">
        <f>FlipkartTable[[#This Row],[Original Price]]-FlipkartTable[[#This Row],[Selling Price]]</f>
        <v>3000</v>
      </c>
      <c r="J2576" s="4">
        <f>(FlipkartTable[[#This Row],[Original Price]]-FlipkartTable[[#This Row],[Selling Price]])/FlipkartTable[[#This Row],[Original Price]]</f>
        <v>7.8968149513029745E-2</v>
      </c>
      <c r="K2576">
        <f>(FlipkartTable[[#This Row],[Rating]]/FlipkartTable[[#This Row],[Selling Price]])*1000</f>
        <v>0.12575021434695627</v>
      </c>
      <c r="L2576" t="str">
        <f>IF(FlipkartTable[[#This Row],[Selling Price]]&lt;15000,"Budget",IF(FlipkartTable[[#This Row],[Selling Price]]&lt;50000,"Mid Range","Premium"))</f>
        <v>Mid Range</v>
      </c>
      <c r="M2576" t="str">
        <f>IF(FlipkartTable[[#This Row],[Rating]]&gt;4.5,"Excellent",IF(FlipkartTable[[#This Row],[Rating]]&gt;4,"Good",IF(FlipkartTable[[#This Row],[Rating]]&gt;3.5,"Average","Poor")))</f>
        <v>Good</v>
      </c>
    </row>
    <row r="2577" spans="1:13" x14ac:dyDescent="0.35">
      <c r="A2577" t="s">
        <v>1131</v>
      </c>
      <c r="B2577" s="9" t="s">
        <v>1349</v>
      </c>
      <c r="C2577" t="s">
        <v>1348</v>
      </c>
      <c r="D2577" t="s">
        <v>27</v>
      </c>
      <c r="E2577" t="s">
        <v>15</v>
      </c>
      <c r="F2577">
        <v>4.3</v>
      </c>
      <c r="G2577">
        <v>38990</v>
      </c>
      <c r="H2577">
        <v>41990</v>
      </c>
      <c r="I2577">
        <f>FlipkartTable[[#This Row],[Original Price]]-FlipkartTable[[#This Row],[Selling Price]]</f>
        <v>3000</v>
      </c>
      <c r="J2577" s="4">
        <f>(FlipkartTable[[#This Row],[Original Price]]-FlipkartTable[[#This Row],[Selling Price]])/FlipkartTable[[#This Row],[Original Price]]</f>
        <v>7.1445582281495598E-2</v>
      </c>
      <c r="K2577">
        <f>(FlipkartTable[[#This Row],[Rating]]/FlipkartTable[[#This Row],[Selling Price]])*1000</f>
        <v>0.11028468838163631</v>
      </c>
      <c r="L2577" t="str">
        <f>IF(FlipkartTable[[#This Row],[Selling Price]]&lt;15000,"Budget",IF(FlipkartTable[[#This Row],[Selling Price]]&lt;50000,"Mid Range","Premium"))</f>
        <v>Mid Range</v>
      </c>
      <c r="M2577" t="str">
        <f>IF(FlipkartTable[[#This Row],[Rating]]&gt;4.5,"Excellent",IF(FlipkartTable[[#This Row],[Rating]]&gt;4,"Good",IF(FlipkartTable[[#This Row],[Rating]]&gt;3.5,"Average","Poor")))</f>
        <v>Good</v>
      </c>
    </row>
    <row r="2578" spans="1:13" x14ac:dyDescent="0.35">
      <c r="A2578" t="s">
        <v>1131</v>
      </c>
      <c r="B2578" s="9" t="s">
        <v>1349</v>
      </c>
      <c r="C2578" t="s">
        <v>1348</v>
      </c>
      <c r="D2578" t="s">
        <v>63</v>
      </c>
      <c r="E2578" t="s">
        <v>64</v>
      </c>
      <c r="F2578">
        <v>4.0999999999999996</v>
      </c>
      <c r="G2578">
        <v>43990</v>
      </c>
      <c r="H2578">
        <v>45990</v>
      </c>
      <c r="I2578">
        <f>FlipkartTable[[#This Row],[Original Price]]-FlipkartTable[[#This Row],[Selling Price]]</f>
        <v>2000</v>
      </c>
      <c r="J2578" s="4">
        <f>(FlipkartTable[[#This Row],[Original Price]]-FlipkartTable[[#This Row],[Selling Price]])/FlipkartTable[[#This Row],[Original Price]]</f>
        <v>4.3487714720591431E-2</v>
      </c>
      <c r="K2578">
        <f>(FlipkartTable[[#This Row],[Rating]]/FlipkartTable[[#This Row],[Selling Price]])*1000</f>
        <v>9.3203000681973167E-2</v>
      </c>
      <c r="L2578" t="str">
        <f>IF(FlipkartTable[[#This Row],[Selling Price]]&lt;15000,"Budget",IF(FlipkartTable[[#This Row],[Selling Price]]&lt;50000,"Mid Range","Premium"))</f>
        <v>Mid Range</v>
      </c>
      <c r="M2578" t="str">
        <f>IF(FlipkartTable[[#This Row],[Rating]]&gt;4.5,"Excellent",IF(FlipkartTable[[#This Row],[Rating]]&gt;4,"Good",IF(FlipkartTable[[#This Row],[Rating]]&gt;3.5,"Average","Poor")))</f>
        <v>Good</v>
      </c>
    </row>
    <row r="2579" spans="1:13" x14ac:dyDescent="0.35">
      <c r="A2579" t="s">
        <v>1131</v>
      </c>
      <c r="B2579" s="9" t="s">
        <v>1349</v>
      </c>
      <c r="C2579" t="s">
        <v>1347</v>
      </c>
      <c r="D2579" t="s">
        <v>63</v>
      </c>
      <c r="E2579" t="s">
        <v>64</v>
      </c>
      <c r="F2579">
        <v>4.0999999999999996</v>
      </c>
      <c r="G2579">
        <v>43990</v>
      </c>
      <c r="H2579">
        <v>45990</v>
      </c>
      <c r="I2579">
        <f>FlipkartTable[[#This Row],[Original Price]]-FlipkartTable[[#This Row],[Selling Price]]</f>
        <v>2000</v>
      </c>
      <c r="J2579" s="4">
        <f>(FlipkartTable[[#This Row],[Original Price]]-FlipkartTable[[#This Row],[Selling Price]])/FlipkartTable[[#This Row],[Original Price]]</f>
        <v>4.3487714720591431E-2</v>
      </c>
      <c r="K2579">
        <f>(FlipkartTable[[#This Row],[Rating]]/FlipkartTable[[#This Row],[Selling Price]])*1000</f>
        <v>9.3203000681973167E-2</v>
      </c>
      <c r="L2579" t="str">
        <f>IF(FlipkartTable[[#This Row],[Selling Price]]&lt;15000,"Budget",IF(FlipkartTable[[#This Row],[Selling Price]]&lt;50000,"Mid Range","Premium"))</f>
        <v>Mid Range</v>
      </c>
      <c r="M2579" t="str">
        <f>IF(FlipkartTable[[#This Row],[Rating]]&gt;4.5,"Excellent",IF(FlipkartTable[[#This Row],[Rating]]&gt;4,"Good",IF(FlipkartTable[[#This Row],[Rating]]&gt;3.5,"Average","Poor")))</f>
        <v>Good</v>
      </c>
    </row>
    <row r="2580" spans="1:13" x14ac:dyDescent="0.35">
      <c r="A2580" t="s">
        <v>1131</v>
      </c>
      <c r="B2580" s="9" t="s">
        <v>1169</v>
      </c>
      <c r="C2580" t="s">
        <v>1350</v>
      </c>
      <c r="D2580" t="s">
        <v>27</v>
      </c>
      <c r="E2580" t="s">
        <v>15</v>
      </c>
      <c r="F2580">
        <v>4.3</v>
      </c>
      <c r="G2580">
        <v>32990</v>
      </c>
      <c r="H2580">
        <v>32990</v>
      </c>
      <c r="I2580">
        <f>FlipkartTable[[#This Row],[Original Price]]-FlipkartTable[[#This Row],[Selling Price]]</f>
        <v>0</v>
      </c>
      <c r="J2580" s="4">
        <f>(FlipkartTable[[#This Row],[Original Price]]-FlipkartTable[[#This Row],[Selling Price]])/FlipkartTable[[#This Row],[Original Price]]</f>
        <v>0</v>
      </c>
      <c r="K2580">
        <f>(FlipkartTable[[#This Row],[Rating]]/FlipkartTable[[#This Row],[Selling Price]])*1000</f>
        <v>0.13034252803879962</v>
      </c>
      <c r="L2580" t="str">
        <f>IF(FlipkartTable[[#This Row],[Selling Price]]&lt;15000,"Budget",IF(FlipkartTable[[#This Row],[Selling Price]]&lt;50000,"Mid Range","Premium"))</f>
        <v>Mid Range</v>
      </c>
      <c r="M2580" t="str">
        <f>IF(FlipkartTable[[#This Row],[Rating]]&gt;4.5,"Excellent",IF(FlipkartTable[[#This Row],[Rating]]&gt;4,"Good",IF(FlipkartTable[[#This Row],[Rating]]&gt;3.5,"Average","Poor")))</f>
        <v>Good</v>
      </c>
    </row>
    <row r="2581" spans="1:13" x14ac:dyDescent="0.35">
      <c r="A2581" t="s">
        <v>1131</v>
      </c>
      <c r="B2581" s="9" t="s">
        <v>1351</v>
      </c>
      <c r="C2581" t="s">
        <v>1133</v>
      </c>
      <c r="D2581" t="s">
        <v>14</v>
      </c>
      <c r="E2581" t="s">
        <v>12</v>
      </c>
      <c r="F2581">
        <v>4.3</v>
      </c>
      <c r="G2581">
        <v>15490</v>
      </c>
      <c r="H2581">
        <v>19490</v>
      </c>
      <c r="I2581">
        <f>FlipkartTable[[#This Row],[Original Price]]-FlipkartTable[[#This Row],[Selling Price]]</f>
        <v>4000</v>
      </c>
      <c r="J2581" s="4">
        <f>(FlipkartTable[[#This Row],[Original Price]]-FlipkartTable[[#This Row],[Selling Price]])/FlipkartTable[[#This Row],[Original Price]]</f>
        <v>0.20523345305284763</v>
      </c>
      <c r="K2581">
        <f>(FlipkartTable[[#This Row],[Rating]]/FlipkartTable[[#This Row],[Selling Price]])*1000</f>
        <v>0.27759845061329891</v>
      </c>
      <c r="L2581" t="str">
        <f>IF(FlipkartTable[[#This Row],[Selling Price]]&lt;15000,"Budget",IF(FlipkartTable[[#This Row],[Selling Price]]&lt;50000,"Mid Range","Premium"))</f>
        <v>Mid Range</v>
      </c>
      <c r="M2581" t="str">
        <f>IF(FlipkartTable[[#This Row],[Rating]]&gt;4.5,"Excellent",IF(FlipkartTable[[#This Row],[Rating]]&gt;4,"Good",IF(FlipkartTable[[#This Row],[Rating]]&gt;3.5,"Average","Poor")))</f>
        <v>Good</v>
      </c>
    </row>
    <row r="2582" spans="1:13" x14ac:dyDescent="0.35">
      <c r="A2582" t="s">
        <v>1131</v>
      </c>
      <c r="B2582" s="9" t="s">
        <v>1351</v>
      </c>
      <c r="C2582" t="s">
        <v>1135</v>
      </c>
      <c r="D2582" t="s">
        <v>14</v>
      </c>
      <c r="E2582" t="s">
        <v>12</v>
      </c>
      <c r="F2582">
        <v>4.3</v>
      </c>
      <c r="G2582">
        <v>15490</v>
      </c>
      <c r="H2582">
        <v>15490</v>
      </c>
      <c r="I2582">
        <f>FlipkartTable[[#This Row],[Original Price]]-FlipkartTable[[#This Row],[Selling Price]]</f>
        <v>0</v>
      </c>
      <c r="J2582" s="4">
        <f>(FlipkartTable[[#This Row],[Original Price]]-FlipkartTable[[#This Row],[Selling Price]])/FlipkartTable[[#This Row],[Original Price]]</f>
        <v>0</v>
      </c>
      <c r="K2582">
        <f>(FlipkartTable[[#This Row],[Rating]]/FlipkartTable[[#This Row],[Selling Price]])*1000</f>
        <v>0.27759845061329891</v>
      </c>
      <c r="L2582" t="str">
        <f>IF(FlipkartTable[[#This Row],[Selling Price]]&lt;15000,"Budget",IF(FlipkartTable[[#This Row],[Selling Price]]&lt;50000,"Mid Range","Premium"))</f>
        <v>Mid Range</v>
      </c>
      <c r="M2582" t="str">
        <f>IF(FlipkartTable[[#This Row],[Rating]]&gt;4.5,"Excellent",IF(FlipkartTable[[#This Row],[Rating]]&gt;4,"Good",IF(FlipkartTable[[#This Row],[Rating]]&gt;3.5,"Average","Poor")))</f>
        <v>Good</v>
      </c>
    </row>
    <row r="2583" spans="1:13" x14ac:dyDescent="0.35">
      <c r="A2583" t="s">
        <v>1131</v>
      </c>
      <c r="B2583" s="9" t="s">
        <v>1352</v>
      </c>
      <c r="C2583" t="s">
        <v>1353</v>
      </c>
      <c r="D2583" t="s">
        <v>63</v>
      </c>
      <c r="E2583" t="s">
        <v>64</v>
      </c>
      <c r="F2583">
        <v>4.5</v>
      </c>
      <c r="G2583">
        <v>79990</v>
      </c>
      <c r="H2583">
        <v>84990</v>
      </c>
      <c r="I2583">
        <f>FlipkartTable[[#This Row],[Original Price]]-FlipkartTable[[#This Row],[Selling Price]]</f>
        <v>5000</v>
      </c>
      <c r="J2583" s="4">
        <f>(FlipkartTable[[#This Row],[Original Price]]-FlipkartTable[[#This Row],[Selling Price]])/FlipkartTable[[#This Row],[Original Price]]</f>
        <v>5.8830450641251912E-2</v>
      </c>
      <c r="K2583">
        <f>(FlipkartTable[[#This Row],[Rating]]/FlipkartTable[[#This Row],[Selling Price]])*1000</f>
        <v>5.625703212901613E-2</v>
      </c>
      <c r="L2583" t="str">
        <f>IF(FlipkartTable[[#This Row],[Selling Price]]&lt;15000,"Budget",IF(FlipkartTable[[#This Row],[Selling Price]]&lt;50000,"Mid Range","Premium"))</f>
        <v>Premium</v>
      </c>
      <c r="M2583" t="str">
        <f>IF(FlipkartTable[[#This Row],[Rating]]&gt;4.5,"Excellent",IF(FlipkartTable[[#This Row],[Rating]]&gt;4,"Good",IF(FlipkartTable[[#This Row],[Rating]]&gt;3.5,"Average","Poor")))</f>
        <v>Good</v>
      </c>
    </row>
    <row r="2584" spans="1:13" x14ac:dyDescent="0.35">
      <c r="A2584" t="s">
        <v>1131</v>
      </c>
      <c r="B2584" s="9" t="s">
        <v>1354</v>
      </c>
      <c r="C2584" t="s">
        <v>1355</v>
      </c>
      <c r="D2584" t="s">
        <v>27</v>
      </c>
      <c r="E2584" t="s">
        <v>64</v>
      </c>
      <c r="F2584">
        <v>4.5</v>
      </c>
      <c r="G2584">
        <v>49990</v>
      </c>
      <c r="H2584">
        <v>54990</v>
      </c>
      <c r="I2584">
        <f>FlipkartTable[[#This Row],[Original Price]]-FlipkartTable[[#This Row],[Selling Price]]</f>
        <v>5000</v>
      </c>
      <c r="J2584" s="4">
        <f>(FlipkartTable[[#This Row],[Original Price]]-FlipkartTable[[#This Row],[Selling Price]])/FlipkartTable[[#This Row],[Original Price]]</f>
        <v>9.092562284051646E-2</v>
      </c>
      <c r="K2584">
        <f>(FlipkartTable[[#This Row],[Rating]]/FlipkartTable[[#This Row],[Selling Price]])*1000</f>
        <v>9.0018003600720153E-2</v>
      </c>
      <c r="L2584" t="str">
        <f>IF(FlipkartTable[[#This Row],[Selling Price]]&lt;15000,"Budget",IF(FlipkartTable[[#This Row],[Selling Price]]&lt;50000,"Mid Range","Premium"))</f>
        <v>Mid Range</v>
      </c>
      <c r="M2584" t="str">
        <f>IF(FlipkartTable[[#This Row],[Rating]]&gt;4.5,"Excellent",IF(FlipkartTable[[#This Row],[Rating]]&gt;4,"Good",IF(FlipkartTable[[#This Row],[Rating]]&gt;3.5,"Average","Poor")))</f>
        <v>Good</v>
      </c>
    </row>
    <row r="2585" spans="1:13" x14ac:dyDescent="0.35">
      <c r="A2585" t="s">
        <v>1131</v>
      </c>
      <c r="B2585" s="9" t="s">
        <v>1354</v>
      </c>
      <c r="C2585" t="s">
        <v>937</v>
      </c>
      <c r="D2585" t="s">
        <v>63</v>
      </c>
      <c r="E2585" t="s">
        <v>64</v>
      </c>
      <c r="F2585">
        <v>4.5</v>
      </c>
      <c r="G2585">
        <v>52990</v>
      </c>
      <c r="H2585">
        <v>57990</v>
      </c>
      <c r="I2585">
        <f>FlipkartTable[[#This Row],[Original Price]]-FlipkartTable[[#This Row],[Selling Price]]</f>
        <v>5000</v>
      </c>
      <c r="J2585" s="4">
        <f>(FlipkartTable[[#This Row],[Original Price]]-FlipkartTable[[#This Row],[Selling Price]])/FlipkartTable[[#This Row],[Original Price]]</f>
        <v>8.6221762372822905E-2</v>
      </c>
      <c r="K2585">
        <f>(FlipkartTable[[#This Row],[Rating]]/FlipkartTable[[#This Row],[Selling Price]])*1000</f>
        <v>8.4921683336478579E-2</v>
      </c>
      <c r="L2585" t="str">
        <f>IF(FlipkartTable[[#This Row],[Selling Price]]&lt;15000,"Budget",IF(FlipkartTable[[#This Row],[Selling Price]]&lt;50000,"Mid Range","Premium"))</f>
        <v>Premium</v>
      </c>
      <c r="M2585" t="str">
        <f>IF(FlipkartTable[[#This Row],[Rating]]&gt;4.5,"Excellent",IF(FlipkartTable[[#This Row],[Rating]]&gt;4,"Good",IF(FlipkartTable[[#This Row],[Rating]]&gt;3.5,"Average","Poor")))</f>
        <v>Good</v>
      </c>
    </row>
    <row r="2586" spans="1:13" x14ac:dyDescent="0.35">
      <c r="A2586" t="s">
        <v>1131</v>
      </c>
      <c r="B2586" s="9" t="s">
        <v>1354</v>
      </c>
      <c r="C2586" t="s">
        <v>1355</v>
      </c>
      <c r="D2586" t="s">
        <v>27</v>
      </c>
      <c r="E2586" t="s">
        <v>15</v>
      </c>
      <c r="F2586">
        <v>4.5</v>
      </c>
      <c r="G2586">
        <v>46990</v>
      </c>
      <c r="H2586">
        <v>51990</v>
      </c>
      <c r="I2586">
        <f>FlipkartTable[[#This Row],[Original Price]]-FlipkartTable[[#This Row],[Selling Price]]</f>
        <v>5000</v>
      </c>
      <c r="J2586" s="4">
        <f>(FlipkartTable[[#This Row],[Original Price]]-FlipkartTable[[#This Row],[Selling Price]])/FlipkartTable[[#This Row],[Original Price]]</f>
        <v>9.6172340834775924E-2</v>
      </c>
      <c r="K2586">
        <f>(FlipkartTable[[#This Row],[Rating]]/FlipkartTable[[#This Row],[Selling Price]])*1000</f>
        <v>9.5765056394977649E-2</v>
      </c>
      <c r="L2586" t="str">
        <f>IF(FlipkartTable[[#This Row],[Selling Price]]&lt;15000,"Budget",IF(FlipkartTable[[#This Row],[Selling Price]]&lt;50000,"Mid Range","Premium"))</f>
        <v>Mid Range</v>
      </c>
      <c r="M2586" t="str">
        <f>IF(FlipkartTable[[#This Row],[Rating]]&gt;4.5,"Excellent",IF(FlipkartTable[[#This Row],[Rating]]&gt;4,"Good",IF(FlipkartTable[[#This Row],[Rating]]&gt;3.5,"Average","Poor")))</f>
        <v>Good</v>
      </c>
    </row>
    <row r="2587" spans="1:13" x14ac:dyDescent="0.35">
      <c r="A2587" t="s">
        <v>1131</v>
      </c>
      <c r="B2587" s="9" t="s">
        <v>1356</v>
      </c>
      <c r="C2587" t="s">
        <v>68</v>
      </c>
      <c r="D2587" t="s">
        <v>63</v>
      </c>
      <c r="E2587" t="s">
        <v>64</v>
      </c>
      <c r="F2587">
        <v>4.4000000000000004</v>
      </c>
      <c r="G2587">
        <v>54990</v>
      </c>
      <c r="H2587">
        <v>54990</v>
      </c>
      <c r="I2587">
        <f>FlipkartTable[[#This Row],[Original Price]]-FlipkartTable[[#This Row],[Selling Price]]</f>
        <v>0</v>
      </c>
      <c r="J2587" s="4">
        <f>(FlipkartTable[[#This Row],[Original Price]]-FlipkartTable[[#This Row],[Selling Price]])/FlipkartTable[[#This Row],[Original Price]]</f>
        <v>0</v>
      </c>
      <c r="K2587">
        <f>(FlipkartTable[[#This Row],[Rating]]/FlipkartTable[[#This Row],[Selling Price]])*1000</f>
        <v>8.0014548099654484E-2</v>
      </c>
      <c r="L2587" t="str">
        <f>IF(FlipkartTable[[#This Row],[Selling Price]]&lt;15000,"Budget",IF(FlipkartTable[[#This Row],[Selling Price]]&lt;50000,"Mid Range","Premium"))</f>
        <v>Premium</v>
      </c>
      <c r="M2587" t="str">
        <f>IF(FlipkartTable[[#This Row],[Rating]]&gt;4.5,"Excellent",IF(FlipkartTable[[#This Row],[Rating]]&gt;4,"Good",IF(FlipkartTable[[#This Row],[Rating]]&gt;3.5,"Average","Poor")))</f>
        <v>Good</v>
      </c>
    </row>
    <row r="2588" spans="1:13" x14ac:dyDescent="0.35">
      <c r="A2588" t="s">
        <v>1131</v>
      </c>
      <c r="B2588" s="9" t="s">
        <v>1356</v>
      </c>
      <c r="C2588" t="s">
        <v>1180</v>
      </c>
      <c r="D2588" t="s">
        <v>63</v>
      </c>
      <c r="E2588" t="s">
        <v>64</v>
      </c>
      <c r="F2588">
        <v>5</v>
      </c>
      <c r="G2588">
        <v>48780</v>
      </c>
      <c r="H2588">
        <v>48780</v>
      </c>
      <c r="I2588">
        <f>FlipkartTable[[#This Row],[Original Price]]-FlipkartTable[[#This Row],[Selling Price]]</f>
        <v>0</v>
      </c>
      <c r="J2588" s="4">
        <f>(FlipkartTable[[#This Row],[Original Price]]-FlipkartTable[[#This Row],[Selling Price]])/FlipkartTable[[#This Row],[Original Price]]</f>
        <v>0</v>
      </c>
      <c r="K2588">
        <f>(FlipkartTable[[#This Row],[Rating]]/FlipkartTable[[#This Row],[Selling Price]])*1000</f>
        <v>0.1025010250102501</v>
      </c>
      <c r="L2588" t="str">
        <f>IF(FlipkartTable[[#This Row],[Selling Price]]&lt;15000,"Budget",IF(FlipkartTable[[#This Row],[Selling Price]]&lt;50000,"Mid Range","Premium"))</f>
        <v>Mid Range</v>
      </c>
      <c r="M2588" t="str">
        <f>IF(FlipkartTable[[#This Row],[Rating]]&gt;4.5,"Excellent",IF(FlipkartTable[[#This Row],[Rating]]&gt;4,"Good",IF(FlipkartTable[[#This Row],[Rating]]&gt;3.5,"Average","Poor")))</f>
        <v>Excellent</v>
      </c>
    </row>
    <row r="2589" spans="1:13" x14ac:dyDescent="0.35">
      <c r="A2589" t="s">
        <v>1131</v>
      </c>
      <c r="B2589" s="9" t="s">
        <v>1357</v>
      </c>
      <c r="C2589" t="s">
        <v>1358</v>
      </c>
      <c r="D2589" t="s">
        <v>27</v>
      </c>
      <c r="E2589" t="s">
        <v>64</v>
      </c>
      <c r="F2589">
        <v>4.5</v>
      </c>
      <c r="G2589">
        <v>54990</v>
      </c>
      <c r="H2589">
        <v>54990</v>
      </c>
      <c r="I2589">
        <f>FlipkartTable[[#This Row],[Original Price]]-FlipkartTable[[#This Row],[Selling Price]]</f>
        <v>0</v>
      </c>
      <c r="J2589" s="4">
        <f>(FlipkartTable[[#This Row],[Original Price]]-FlipkartTable[[#This Row],[Selling Price]])/FlipkartTable[[#This Row],[Original Price]]</f>
        <v>0</v>
      </c>
      <c r="K2589">
        <f>(FlipkartTable[[#This Row],[Rating]]/FlipkartTable[[#This Row],[Selling Price]])*1000</f>
        <v>8.1833060556464818E-2</v>
      </c>
      <c r="L2589" t="str">
        <f>IF(FlipkartTable[[#This Row],[Selling Price]]&lt;15000,"Budget",IF(FlipkartTable[[#This Row],[Selling Price]]&lt;50000,"Mid Range","Premium"))</f>
        <v>Premium</v>
      </c>
      <c r="M2589" t="str">
        <f>IF(FlipkartTable[[#This Row],[Rating]]&gt;4.5,"Excellent",IF(FlipkartTable[[#This Row],[Rating]]&gt;4,"Good",IF(FlipkartTable[[#This Row],[Rating]]&gt;3.5,"Average","Poor")))</f>
        <v>Good</v>
      </c>
    </row>
    <row r="2590" spans="1:13" x14ac:dyDescent="0.35">
      <c r="A2590" t="s">
        <v>1131</v>
      </c>
      <c r="B2590" s="9" t="s">
        <v>1359</v>
      </c>
      <c r="C2590" t="s">
        <v>1360</v>
      </c>
      <c r="D2590" t="s">
        <v>27</v>
      </c>
      <c r="E2590" t="s">
        <v>64</v>
      </c>
      <c r="F2590">
        <v>5</v>
      </c>
      <c r="G2590">
        <v>44990</v>
      </c>
      <c r="H2590">
        <v>44990</v>
      </c>
      <c r="I2590">
        <f>FlipkartTable[[#This Row],[Original Price]]-FlipkartTable[[#This Row],[Selling Price]]</f>
        <v>0</v>
      </c>
      <c r="J2590" s="4">
        <f>(FlipkartTable[[#This Row],[Original Price]]-FlipkartTable[[#This Row],[Selling Price]])/FlipkartTable[[#This Row],[Original Price]]</f>
        <v>0</v>
      </c>
      <c r="K2590">
        <f>(FlipkartTable[[#This Row],[Rating]]/FlipkartTable[[#This Row],[Selling Price]])*1000</f>
        <v>0.11113580795732385</v>
      </c>
      <c r="L2590" t="str">
        <f>IF(FlipkartTable[[#This Row],[Selling Price]]&lt;15000,"Budget",IF(FlipkartTable[[#This Row],[Selling Price]]&lt;50000,"Mid Range","Premium"))</f>
        <v>Mid Range</v>
      </c>
      <c r="M2590" t="str">
        <f>IF(FlipkartTable[[#This Row],[Rating]]&gt;4.5,"Excellent",IF(FlipkartTable[[#This Row],[Rating]]&gt;4,"Good",IF(FlipkartTable[[#This Row],[Rating]]&gt;3.5,"Average","Poor")))</f>
        <v>Excellent</v>
      </c>
    </row>
    <row r="2591" spans="1:13" x14ac:dyDescent="0.35">
      <c r="A2591" t="s">
        <v>1131</v>
      </c>
      <c r="B2591" s="9" t="s">
        <v>1361</v>
      </c>
      <c r="C2591" t="s">
        <v>165</v>
      </c>
      <c r="D2591" t="s">
        <v>20</v>
      </c>
      <c r="E2591" t="s">
        <v>21</v>
      </c>
      <c r="F2591">
        <v>4.4000000000000004</v>
      </c>
      <c r="G2591">
        <v>10990</v>
      </c>
      <c r="H2591">
        <v>10990</v>
      </c>
      <c r="I2591">
        <f>FlipkartTable[[#This Row],[Original Price]]-FlipkartTable[[#This Row],[Selling Price]]</f>
        <v>0</v>
      </c>
      <c r="J2591" s="4">
        <f>(FlipkartTable[[#This Row],[Original Price]]-FlipkartTable[[#This Row],[Selling Price]])/FlipkartTable[[#This Row],[Original Price]]</f>
        <v>0</v>
      </c>
      <c r="K2591">
        <f>(FlipkartTable[[#This Row],[Rating]]/FlipkartTable[[#This Row],[Selling Price]])*1000</f>
        <v>0.40036396724294815</v>
      </c>
      <c r="L2591" t="str">
        <f>IF(FlipkartTable[[#This Row],[Selling Price]]&lt;15000,"Budget",IF(FlipkartTable[[#This Row],[Selling Price]]&lt;50000,"Mid Range","Premium"))</f>
        <v>Budget</v>
      </c>
      <c r="M2591" t="str">
        <f>IF(FlipkartTable[[#This Row],[Rating]]&gt;4.5,"Excellent",IF(FlipkartTable[[#This Row],[Rating]]&gt;4,"Good",IF(FlipkartTable[[#This Row],[Rating]]&gt;3.5,"Average","Poor")))</f>
        <v>Good</v>
      </c>
    </row>
    <row r="2592" spans="1:13" x14ac:dyDescent="0.35">
      <c r="A2592" t="s">
        <v>1131</v>
      </c>
      <c r="B2592" s="9" t="s">
        <v>1265</v>
      </c>
      <c r="C2592" t="s">
        <v>807</v>
      </c>
      <c r="D2592" t="s">
        <v>20</v>
      </c>
      <c r="E2592" t="s">
        <v>12</v>
      </c>
      <c r="F2592">
        <v>4.4000000000000004</v>
      </c>
      <c r="G2592">
        <v>11990</v>
      </c>
      <c r="H2592">
        <v>11990</v>
      </c>
      <c r="I2592">
        <f>FlipkartTable[[#This Row],[Original Price]]-FlipkartTable[[#This Row],[Selling Price]]</f>
        <v>0</v>
      </c>
      <c r="J2592" s="4">
        <f>(FlipkartTable[[#This Row],[Original Price]]-FlipkartTable[[#This Row],[Selling Price]])/FlipkartTable[[#This Row],[Original Price]]</f>
        <v>0</v>
      </c>
      <c r="K2592">
        <f>(FlipkartTable[[#This Row],[Rating]]/FlipkartTable[[#This Row],[Selling Price]])*1000</f>
        <v>0.36697247706422026</v>
      </c>
      <c r="L2592" t="str">
        <f>IF(FlipkartTable[[#This Row],[Selling Price]]&lt;15000,"Budget",IF(FlipkartTable[[#This Row],[Selling Price]]&lt;50000,"Mid Range","Premium"))</f>
        <v>Budget</v>
      </c>
      <c r="M2592" t="str">
        <f>IF(FlipkartTable[[#This Row],[Rating]]&gt;4.5,"Excellent",IF(FlipkartTable[[#This Row],[Rating]]&gt;4,"Good",IF(FlipkartTable[[#This Row],[Rating]]&gt;3.5,"Average","Poor")))</f>
        <v>Good</v>
      </c>
    </row>
    <row r="2593" spans="1:13" x14ac:dyDescent="0.35">
      <c r="A2593" t="s">
        <v>1131</v>
      </c>
      <c r="B2593" s="9" t="s">
        <v>1362</v>
      </c>
      <c r="C2593" t="s">
        <v>807</v>
      </c>
      <c r="D2593" t="s">
        <v>11</v>
      </c>
      <c r="E2593" t="s">
        <v>12</v>
      </c>
      <c r="F2593">
        <v>4.4000000000000004</v>
      </c>
      <c r="G2593">
        <v>13990</v>
      </c>
      <c r="H2593">
        <v>13990</v>
      </c>
      <c r="I2593">
        <f>FlipkartTable[[#This Row],[Original Price]]-FlipkartTable[[#This Row],[Selling Price]]</f>
        <v>0</v>
      </c>
      <c r="J2593" s="4">
        <f>(FlipkartTable[[#This Row],[Original Price]]-FlipkartTable[[#This Row],[Selling Price]])/FlipkartTable[[#This Row],[Original Price]]</f>
        <v>0</v>
      </c>
      <c r="K2593">
        <f>(FlipkartTable[[#This Row],[Rating]]/FlipkartTable[[#This Row],[Selling Price]])*1000</f>
        <v>0.31451036454610443</v>
      </c>
      <c r="L2593" t="str">
        <f>IF(FlipkartTable[[#This Row],[Selling Price]]&lt;15000,"Budget",IF(FlipkartTable[[#This Row],[Selling Price]]&lt;50000,"Mid Range","Premium"))</f>
        <v>Budget</v>
      </c>
      <c r="M2593" t="str">
        <f>IF(FlipkartTable[[#This Row],[Rating]]&gt;4.5,"Excellent",IF(FlipkartTable[[#This Row],[Rating]]&gt;4,"Good",IF(FlipkartTable[[#This Row],[Rating]]&gt;3.5,"Average","Poor")))</f>
        <v>Good</v>
      </c>
    </row>
    <row r="2594" spans="1:13" x14ac:dyDescent="0.35">
      <c r="A2594" t="s">
        <v>1131</v>
      </c>
      <c r="B2594" s="9" t="s">
        <v>1363</v>
      </c>
      <c r="C2594" t="s">
        <v>1364</v>
      </c>
      <c r="D2594" t="s">
        <v>14</v>
      </c>
      <c r="E2594" t="s">
        <v>12</v>
      </c>
      <c r="F2594">
        <v>4.4000000000000004</v>
      </c>
      <c r="G2594">
        <v>20990</v>
      </c>
      <c r="H2594">
        <v>20990</v>
      </c>
      <c r="I2594">
        <f>FlipkartTable[[#This Row],[Original Price]]-FlipkartTable[[#This Row],[Selling Price]]</f>
        <v>0</v>
      </c>
      <c r="J2594" s="4">
        <f>(FlipkartTable[[#This Row],[Original Price]]-FlipkartTable[[#This Row],[Selling Price]])/FlipkartTable[[#This Row],[Original Price]]</f>
        <v>0</v>
      </c>
      <c r="K2594">
        <f>(FlipkartTable[[#This Row],[Rating]]/FlipkartTable[[#This Row],[Selling Price]])*1000</f>
        <v>0.20962363030014294</v>
      </c>
      <c r="L2594" t="str">
        <f>IF(FlipkartTable[[#This Row],[Selling Price]]&lt;15000,"Budget",IF(FlipkartTable[[#This Row],[Selling Price]]&lt;50000,"Mid Range","Premium"))</f>
        <v>Mid Range</v>
      </c>
      <c r="M2594" t="str">
        <f>IF(FlipkartTable[[#This Row],[Rating]]&gt;4.5,"Excellent",IF(FlipkartTable[[#This Row],[Rating]]&gt;4,"Good",IF(FlipkartTable[[#This Row],[Rating]]&gt;3.5,"Average","Poor")))</f>
        <v>Good</v>
      </c>
    </row>
    <row r="2595" spans="1:13" x14ac:dyDescent="0.35">
      <c r="A2595" t="s">
        <v>1131</v>
      </c>
      <c r="B2595" s="9" t="s">
        <v>1365</v>
      </c>
      <c r="C2595" t="s">
        <v>435</v>
      </c>
      <c r="D2595" t="s">
        <v>14</v>
      </c>
      <c r="E2595" t="s">
        <v>12</v>
      </c>
      <c r="F2595">
        <v>4.5</v>
      </c>
      <c r="G2595">
        <v>19990</v>
      </c>
      <c r="H2595">
        <v>19990</v>
      </c>
      <c r="I2595">
        <f>FlipkartTable[[#This Row],[Original Price]]-FlipkartTable[[#This Row],[Selling Price]]</f>
        <v>0</v>
      </c>
      <c r="J2595" s="4">
        <f>(FlipkartTable[[#This Row],[Original Price]]-FlipkartTable[[#This Row],[Selling Price]])/FlipkartTable[[#This Row],[Original Price]]</f>
        <v>0</v>
      </c>
      <c r="K2595">
        <f>(FlipkartTable[[#This Row],[Rating]]/FlipkartTable[[#This Row],[Selling Price]])*1000</f>
        <v>0.22511255627813909</v>
      </c>
      <c r="L2595" t="str">
        <f>IF(FlipkartTable[[#This Row],[Selling Price]]&lt;15000,"Budget",IF(FlipkartTable[[#This Row],[Selling Price]]&lt;50000,"Mid Range","Premium"))</f>
        <v>Mid Range</v>
      </c>
      <c r="M2595" t="str">
        <f>IF(FlipkartTable[[#This Row],[Rating]]&gt;4.5,"Excellent",IF(FlipkartTable[[#This Row],[Rating]]&gt;4,"Good",IF(FlipkartTable[[#This Row],[Rating]]&gt;3.5,"Average","Poor")))</f>
        <v>Good</v>
      </c>
    </row>
    <row r="2596" spans="1:13" x14ac:dyDescent="0.35">
      <c r="A2596" t="s">
        <v>1131</v>
      </c>
      <c r="B2596" s="9" t="s">
        <v>1365</v>
      </c>
      <c r="C2596" t="s">
        <v>1366</v>
      </c>
      <c r="D2596" t="s">
        <v>14</v>
      </c>
      <c r="E2596" t="s">
        <v>12</v>
      </c>
      <c r="F2596">
        <v>5</v>
      </c>
      <c r="G2596">
        <v>19990</v>
      </c>
      <c r="H2596">
        <v>19990</v>
      </c>
      <c r="I2596">
        <f>FlipkartTable[[#This Row],[Original Price]]-FlipkartTable[[#This Row],[Selling Price]]</f>
        <v>0</v>
      </c>
      <c r="J2596" s="4">
        <f>(FlipkartTable[[#This Row],[Original Price]]-FlipkartTable[[#This Row],[Selling Price]])/FlipkartTable[[#This Row],[Original Price]]</f>
        <v>0</v>
      </c>
      <c r="K2596">
        <f>(FlipkartTable[[#This Row],[Rating]]/FlipkartTable[[#This Row],[Selling Price]])*1000</f>
        <v>0.2501250625312656</v>
      </c>
      <c r="L2596" t="str">
        <f>IF(FlipkartTable[[#This Row],[Selling Price]]&lt;15000,"Budget",IF(FlipkartTable[[#This Row],[Selling Price]]&lt;50000,"Mid Range","Premium"))</f>
        <v>Mid Range</v>
      </c>
      <c r="M2596" t="str">
        <f>IF(FlipkartTable[[#This Row],[Rating]]&gt;4.5,"Excellent",IF(FlipkartTable[[#This Row],[Rating]]&gt;4,"Good",IF(FlipkartTable[[#This Row],[Rating]]&gt;3.5,"Average","Poor")))</f>
        <v>Excellent</v>
      </c>
    </row>
    <row r="2597" spans="1:13" x14ac:dyDescent="0.35">
      <c r="A2597" t="s">
        <v>1131</v>
      </c>
      <c r="B2597" s="9" t="s">
        <v>1363</v>
      </c>
      <c r="C2597" t="s">
        <v>1364</v>
      </c>
      <c r="D2597" t="s">
        <v>11</v>
      </c>
      <c r="E2597" t="s">
        <v>15</v>
      </c>
      <c r="F2597">
        <v>4.4000000000000004</v>
      </c>
      <c r="G2597">
        <v>19990</v>
      </c>
      <c r="H2597">
        <v>19990</v>
      </c>
      <c r="I2597">
        <f>FlipkartTable[[#This Row],[Original Price]]-FlipkartTable[[#This Row],[Selling Price]]</f>
        <v>0</v>
      </c>
      <c r="J2597" s="4">
        <f>(FlipkartTable[[#This Row],[Original Price]]-FlipkartTable[[#This Row],[Selling Price]])/FlipkartTable[[#This Row],[Original Price]]</f>
        <v>0</v>
      </c>
      <c r="K2597">
        <f>(FlipkartTable[[#This Row],[Rating]]/FlipkartTable[[#This Row],[Selling Price]])*1000</f>
        <v>0.22011005502751377</v>
      </c>
      <c r="L2597" t="str">
        <f>IF(FlipkartTable[[#This Row],[Selling Price]]&lt;15000,"Budget",IF(FlipkartTable[[#This Row],[Selling Price]]&lt;50000,"Mid Range","Premium"))</f>
        <v>Mid Range</v>
      </c>
      <c r="M2597" t="str">
        <f>IF(FlipkartTable[[#This Row],[Rating]]&gt;4.5,"Excellent",IF(FlipkartTable[[#This Row],[Rating]]&gt;4,"Good",IF(FlipkartTable[[#This Row],[Rating]]&gt;3.5,"Average","Poor")))</f>
        <v>Good</v>
      </c>
    </row>
    <row r="2598" spans="1:13" x14ac:dyDescent="0.35">
      <c r="A2598" t="s">
        <v>1131</v>
      </c>
      <c r="B2598" s="9" t="s">
        <v>1367</v>
      </c>
      <c r="C2598" t="s">
        <v>397</v>
      </c>
      <c r="D2598" t="s">
        <v>11</v>
      </c>
      <c r="E2598" t="s">
        <v>15</v>
      </c>
      <c r="F2598">
        <v>5</v>
      </c>
      <c r="G2598">
        <v>19990</v>
      </c>
      <c r="H2598">
        <v>19990</v>
      </c>
      <c r="I2598">
        <f>FlipkartTable[[#This Row],[Original Price]]-FlipkartTable[[#This Row],[Selling Price]]</f>
        <v>0</v>
      </c>
      <c r="J2598" s="4">
        <f>(FlipkartTable[[#This Row],[Original Price]]-FlipkartTable[[#This Row],[Selling Price]])/FlipkartTable[[#This Row],[Original Price]]</f>
        <v>0</v>
      </c>
      <c r="K2598">
        <f>(FlipkartTable[[#This Row],[Rating]]/FlipkartTable[[#This Row],[Selling Price]])*1000</f>
        <v>0.2501250625312656</v>
      </c>
      <c r="L2598" t="str">
        <f>IF(FlipkartTable[[#This Row],[Selling Price]]&lt;15000,"Budget",IF(FlipkartTable[[#This Row],[Selling Price]]&lt;50000,"Mid Range","Premium"))</f>
        <v>Mid Range</v>
      </c>
      <c r="M2598" t="str">
        <f>IF(FlipkartTable[[#This Row],[Rating]]&gt;4.5,"Excellent",IF(FlipkartTable[[#This Row],[Rating]]&gt;4,"Good",IF(FlipkartTable[[#This Row],[Rating]]&gt;3.5,"Average","Poor")))</f>
        <v>Excellent</v>
      </c>
    </row>
    <row r="2599" spans="1:13" x14ac:dyDescent="0.35">
      <c r="A2599" t="s">
        <v>1131</v>
      </c>
      <c r="B2599" s="9" t="s">
        <v>1368</v>
      </c>
      <c r="C2599" t="s">
        <v>149</v>
      </c>
      <c r="D2599" t="s">
        <v>11</v>
      </c>
      <c r="E2599" t="s">
        <v>12</v>
      </c>
      <c r="F2599">
        <v>4.5</v>
      </c>
      <c r="G2599">
        <v>15990</v>
      </c>
      <c r="H2599">
        <v>15990</v>
      </c>
      <c r="I2599">
        <f>FlipkartTable[[#This Row],[Original Price]]-FlipkartTable[[#This Row],[Selling Price]]</f>
        <v>0</v>
      </c>
      <c r="J2599" s="4">
        <f>(FlipkartTable[[#This Row],[Original Price]]-FlipkartTable[[#This Row],[Selling Price]])/FlipkartTable[[#This Row],[Original Price]]</f>
        <v>0</v>
      </c>
      <c r="K2599">
        <f>(FlipkartTable[[#This Row],[Rating]]/FlipkartTable[[#This Row],[Selling Price]])*1000</f>
        <v>0.28142589118198874</v>
      </c>
      <c r="L2599" t="str">
        <f>IF(FlipkartTable[[#This Row],[Selling Price]]&lt;15000,"Budget",IF(FlipkartTable[[#This Row],[Selling Price]]&lt;50000,"Mid Range","Premium"))</f>
        <v>Mid Range</v>
      </c>
      <c r="M2599" t="str">
        <f>IF(FlipkartTable[[#This Row],[Rating]]&gt;4.5,"Excellent",IF(FlipkartTable[[#This Row],[Rating]]&gt;4,"Good",IF(FlipkartTable[[#This Row],[Rating]]&gt;3.5,"Average","Poor")))</f>
        <v>Good</v>
      </c>
    </row>
    <row r="2600" spans="1:13" x14ac:dyDescent="0.35">
      <c r="A2600" t="s">
        <v>1131</v>
      </c>
      <c r="B2600" s="9" t="s">
        <v>1368</v>
      </c>
      <c r="C2600" t="s">
        <v>1369</v>
      </c>
      <c r="D2600" t="s">
        <v>14</v>
      </c>
      <c r="E2600" t="s">
        <v>12</v>
      </c>
      <c r="F2600">
        <v>4.5</v>
      </c>
      <c r="G2600">
        <v>17990</v>
      </c>
      <c r="H2600">
        <v>17990</v>
      </c>
      <c r="I2600">
        <f>FlipkartTable[[#This Row],[Original Price]]-FlipkartTable[[#This Row],[Selling Price]]</f>
        <v>0</v>
      </c>
      <c r="J2600" s="4">
        <f>(FlipkartTable[[#This Row],[Original Price]]-FlipkartTable[[#This Row],[Selling Price]])/FlipkartTable[[#This Row],[Original Price]]</f>
        <v>0</v>
      </c>
      <c r="K2600">
        <f>(FlipkartTable[[#This Row],[Rating]]/FlipkartTable[[#This Row],[Selling Price]])*1000</f>
        <v>0.25013896609227348</v>
      </c>
      <c r="L2600" t="str">
        <f>IF(FlipkartTable[[#This Row],[Selling Price]]&lt;15000,"Budget",IF(FlipkartTable[[#This Row],[Selling Price]]&lt;50000,"Mid Range","Premium"))</f>
        <v>Mid Range</v>
      </c>
      <c r="M2600" t="str">
        <f>IF(FlipkartTable[[#This Row],[Rating]]&gt;4.5,"Excellent",IF(FlipkartTable[[#This Row],[Rating]]&gt;4,"Good",IF(FlipkartTable[[#This Row],[Rating]]&gt;3.5,"Average","Poor")))</f>
        <v>Good</v>
      </c>
    </row>
    <row r="2601" spans="1:13" x14ac:dyDescent="0.35">
      <c r="A2601" t="s">
        <v>1131</v>
      </c>
      <c r="B2601" s="9" t="s">
        <v>1368</v>
      </c>
      <c r="C2601" t="s">
        <v>1370</v>
      </c>
      <c r="D2601" t="s">
        <v>11</v>
      </c>
      <c r="E2601" t="s">
        <v>12</v>
      </c>
      <c r="F2601">
        <v>4.5</v>
      </c>
      <c r="G2601">
        <v>15990</v>
      </c>
      <c r="H2601">
        <v>15990</v>
      </c>
      <c r="I2601">
        <f>FlipkartTable[[#This Row],[Original Price]]-FlipkartTable[[#This Row],[Selling Price]]</f>
        <v>0</v>
      </c>
      <c r="J2601" s="4">
        <f>(FlipkartTable[[#This Row],[Original Price]]-FlipkartTable[[#This Row],[Selling Price]])/FlipkartTable[[#This Row],[Original Price]]</f>
        <v>0</v>
      </c>
      <c r="K2601">
        <f>(FlipkartTable[[#This Row],[Rating]]/FlipkartTable[[#This Row],[Selling Price]])*1000</f>
        <v>0.28142589118198874</v>
      </c>
      <c r="L2601" t="str">
        <f>IF(FlipkartTable[[#This Row],[Selling Price]]&lt;15000,"Budget",IF(FlipkartTable[[#This Row],[Selling Price]]&lt;50000,"Mid Range","Premium"))</f>
        <v>Mid Range</v>
      </c>
      <c r="M2601" t="str">
        <f>IF(FlipkartTable[[#This Row],[Rating]]&gt;4.5,"Excellent",IF(FlipkartTable[[#This Row],[Rating]]&gt;4,"Good",IF(FlipkartTable[[#This Row],[Rating]]&gt;3.5,"Average","Poor")))</f>
        <v>Good</v>
      </c>
    </row>
    <row r="2602" spans="1:13" x14ac:dyDescent="0.35">
      <c r="A2602" t="s">
        <v>1131</v>
      </c>
      <c r="B2602" s="9" t="s">
        <v>1359</v>
      </c>
      <c r="C2602" t="s">
        <v>1360</v>
      </c>
      <c r="D2602" t="s">
        <v>27</v>
      </c>
      <c r="E2602" t="s">
        <v>15</v>
      </c>
      <c r="F2602">
        <v>4.3</v>
      </c>
      <c r="G2602">
        <v>39990</v>
      </c>
      <c r="H2602">
        <v>39990</v>
      </c>
      <c r="I2602">
        <f>FlipkartTable[[#This Row],[Original Price]]-FlipkartTable[[#This Row],[Selling Price]]</f>
        <v>0</v>
      </c>
      <c r="J2602" s="4">
        <f>(FlipkartTable[[#This Row],[Original Price]]-FlipkartTable[[#This Row],[Selling Price]])/FlipkartTable[[#This Row],[Original Price]]</f>
        <v>0</v>
      </c>
      <c r="K2602">
        <f>(FlipkartTable[[#This Row],[Rating]]/FlipkartTable[[#This Row],[Selling Price]])*1000</f>
        <v>0.10752688172043011</v>
      </c>
      <c r="L2602" t="str">
        <f>IF(FlipkartTable[[#This Row],[Selling Price]]&lt;15000,"Budget",IF(FlipkartTable[[#This Row],[Selling Price]]&lt;50000,"Mid Range","Premium"))</f>
        <v>Mid Range</v>
      </c>
      <c r="M2602" t="str">
        <f>IF(FlipkartTable[[#This Row],[Rating]]&gt;4.5,"Excellent",IF(FlipkartTable[[#This Row],[Rating]]&gt;4,"Good",IF(FlipkartTable[[#This Row],[Rating]]&gt;3.5,"Average","Poor")))</f>
        <v>Good</v>
      </c>
    </row>
    <row r="2603" spans="1:13" x14ac:dyDescent="0.35">
      <c r="A2603" t="s">
        <v>1131</v>
      </c>
      <c r="B2603" s="9" t="s">
        <v>1363</v>
      </c>
      <c r="C2603" t="s">
        <v>397</v>
      </c>
      <c r="D2603" t="s">
        <v>14</v>
      </c>
      <c r="E2603" t="s">
        <v>15</v>
      </c>
      <c r="F2603">
        <v>4.4000000000000004</v>
      </c>
      <c r="G2603">
        <v>22990</v>
      </c>
      <c r="H2603">
        <v>22990</v>
      </c>
      <c r="I2603">
        <f>FlipkartTable[[#This Row],[Original Price]]-FlipkartTable[[#This Row],[Selling Price]]</f>
        <v>0</v>
      </c>
      <c r="J2603" s="4">
        <f>(FlipkartTable[[#This Row],[Original Price]]-FlipkartTable[[#This Row],[Selling Price]])/FlipkartTable[[#This Row],[Original Price]]</f>
        <v>0</v>
      </c>
      <c r="K2603">
        <f>(FlipkartTable[[#This Row],[Rating]]/FlipkartTable[[#This Row],[Selling Price]])*1000</f>
        <v>0.19138755980861244</v>
      </c>
      <c r="L2603" t="str">
        <f>IF(FlipkartTable[[#This Row],[Selling Price]]&lt;15000,"Budget",IF(FlipkartTable[[#This Row],[Selling Price]]&lt;50000,"Mid Range","Premium"))</f>
        <v>Mid Range</v>
      </c>
      <c r="M2603" t="str">
        <f>IF(FlipkartTable[[#This Row],[Rating]]&gt;4.5,"Excellent",IF(FlipkartTable[[#This Row],[Rating]]&gt;4,"Good",IF(FlipkartTable[[#This Row],[Rating]]&gt;3.5,"Average","Poor")))</f>
        <v>Good</v>
      </c>
    </row>
    <row r="2604" spans="1:13" x14ac:dyDescent="0.35">
      <c r="A2604" t="s">
        <v>1131</v>
      </c>
      <c r="B2604" s="9" t="s">
        <v>1371</v>
      </c>
      <c r="C2604" t="s">
        <v>19</v>
      </c>
      <c r="D2604" t="s">
        <v>35</v>
      </c>
      <c r="E2604" t="s">
        <v>124</v>
      </c>
      <c r="F2604">
        <v>4.4000000000000004</v>
      </c>
      <c r="G2604">
        <v>7990</v>
      </c>
      <c r="H2604">
        <v>7990</v>
      </c>
      <c r="I2604">
        <f>FlipkartTable[[#This Row],[Original Price]]-FlipkartTable[[#This Row],[Selling Price]]</f>
        <v>0</v>
      </c>
      <c r="J2604" s="4">
        <f>(FlipkartTable[[#This Row],[Original Price]]-FlipkartTable[[#This Row],[Selling Price]])/FlipkartTable[[#This Row],[Original Price]]</f>
        <v>0</v>
      </c>
      <c r="K2604">
        <f>(FlipkartTable[[#This Row],[Rating]]/FlipkartTable[[#This Row],[Selling Price]])*1000</f>
        <v>0.55068836045056335</v>
      </c>
      <c r="L2604" t="str">
        <f>IF(FlipkartTable[[#This Row],[Selling Price]]&lt;15000,"Budget",IF(FlipkartTable[[#This Row],[Selling Price]]&lt;50000,"Mid Range","Premium"))</f>
        <v>Budget</v>
      </c>
      <c r="M2604" t="str">
        <f>IF(FlipkartTable[[#This Row],[Rating]]&gt;4.5,"Excellent",IF(FlipkartTable[[#This Row],[Rating]]&gt;4,"Good",IF(FlipkartTable[[#This Row],[Rating]]&gt;3.5,"Average","Poor")))</f>
        <v>Good</v>
      </c>
    </row>
    <row r="2605" spans="1:13" x14ac:dyDescent="0.35">
      <c r="A2605" t="s">
        <v>1131</v>
      </c>
      <c r="B2605" s="9" t="s">
        <v>1372</v>
      </c>
      <c r="C2605" t="s">
        <v>1373</v>
      </c>
      <c r="D2605" t="s">
        <v>20</v>
      </c>
      <c r="E2605" t="s">
        <v>12</v>
      </c>
      <c r="F2605">
        <v>4.4000000000000004</v>
      </c>
      <c r="G2605">
        <v>11990</v>
      </c>
      <c r="H2605">
        <v>11990</v>
      </c>
      <c r="I2605">
        <f>FlipkartTable[[#This Row],[Original Price]]-FlipkartTable[[#This Row],[Selling Price]]</f>
        <v>0</v>
      </c>
      <c r="J2605" s="4">
        <f>(FlipkartTable[[#This Row],[Original Price]]-FlipkartTable[[#This Row],[Selling Price]])/FlipkartTable[[#This Row],[Original Price]]</f>
        <v>0</v>
      </c>
      <c r="K2605">
        <f>(FlipkartTable[[#This Row],[Rating]]/FlipkartTable[[#This Row],[Selling Price]])*1000</f>
        <v>0.36697247706422026</v>
      </c>
      <c r="L2605" t="str">
        <f>IF(FlipkartTable[[#This Row],[Selling Price]]&lt;15000,"Budget",IF(FlipkartTable[[#This Row],[Selling Price]]&lt;50000,"Mid Range","Premium"))</f>
        <v>Budget</v>
      </c>
      <c r="M2605" t="str">
        <f>IF(FlipkartTable[[#This Row],[Rating]]&gt;4.5,"Excellent",IF(FlipkartTable[[#This Row],[Rating]]&gt;4,"Good",IF(FlipkartTable[[#This Row],[Rating]]&gt;3.5,"Average","Poor")))</f>
        <v>Good</v>
      </c>
    </row>
    <row r="2606" spans="1:13" x14ac:dyDescent="0.35">
      <c r="A2606" t="s">
        <v>1131</v>
      </c>
      <c r="B2606" s="9" t="s">
        <v>1374</v>
      </c>
      <c r="C2606" t="s">
        <v>1373</v>
      </c>
      <c r="D2606" t="s">
        <v>11</v>
      </c>
      <c r="E2606" t="s">
        <v>21</v>
      </c>
      <c r="F2606">
        <v>4.4000000000000004</v>
      </c>
      <c r="G2606">
        <v>15990</v>
      </c>
      <c r="H2606">
        <v>15990</v>
      </c>
      <c r="I2606">
        <f>FlipkartTable[[#This Row],[Original Price]]-FlipkartTable[[#This Row],[Selling Price]]</f>
        <v>0</v>
      </c>
      <c r="J2606" s="4">
        <f>(FlipkartTable[[#This Row],[Original Price]]-FlipkartTable[[#This Row],[Selling Price]])/FlipkartTable[[#This Row],[Original Price]]</f>
        <v>0</v>
      </c>
      <c r="K2606">
        <f>(FlipkartTable[[#This Row],[Rating]]/FlipkartTable[[#This Row],[Selling Price]])*1000</f>
        <v>0.27517198248905567</v>
      </c>
      <c r="L2606" t="str">
        <f>IF(FlipkartTable[[#This Row],[Selling Price]]&lt;15000,"Budget",IF(FlipkartTable[[#This Row],[Selling Price]]&lt;50000,"Mid Range","Premium"))</f>
        <v>Mid Range</v>
      </c>
      <c r="M2606" t="str">
        <f>IF(FlipkartTable[[#This Row],[Rating]]&gt;4.5,"Excellent",IF(FlipkartTable[[#This Row],[Rating]]&gt;4,"Good",IF(FlipkartTable[[#This Row],[Rating]]&gt;3.5,"Average","Poor")))</f>
        <v>Good</v>
      </c>
    </row>
    <row r="2607" spans="1:13" x14ac:dyDescent="0.35">
      <c r="A2607" t="s">
        <v>1131</v>
      </c>
      <c r="B2607" s="9" t="s">
        <v>1375</v>
      </c>
      <c r="C2607" t="s">
        <v>82</v>
      </c>
      <c r="D2607" t="s">
        <v>11</v>
      </c>
      <c r="E2607" t="s">
        <v>21</v>
      </c>
      <c r="F2607">
        <v>4.4000000000000004</v>
      </c>
      <c r="G2607">
        <v>17000</v>
      </c>
      <c r="H2607">
        <v>17000</v>
      </c>
      <c r="I2607">
        <f>FlipkartTable[[#This Row],[Original Price]]-FlipkartTable[[#This Row],[Selling Price]]</f>
        <v>0</v>
      </c>
      <c r="J2607" s="4">
        <f>(FlipkartTable[[#This Row],[Original Price]]-FlipkartTable[[#This Row],[Selling Price]])/FlipkartTable[[#This Row],[Original Price]]</f>
        <v>0</v>
      </c>
      <c r="K2607">
        <f>(FlipkartTable[[#This Row],[Rating]]/FlipkartTable[[#This Row],[Selling Price]])*1000</f>
        <v>0.25882352941176473</v>
      </c>
      <c r="L2607" t="str">
        <f>IF(FlipkartTable[[#This Row],[Selling Price]]&lt;15000,"Budget",IF(FlipkartTable[[#This Row],[Selling Price]]&lt;50000,"Mid Range","Premium"))</f>
        <v>Mid Range</v>
      </c>
      <c r="M2607" t="str">
        <f>IF(FlipkartTable[[#This Row],[Rating]]&gt;4.5,"Excellent",IF(FlipkartTable[[#This Row],[Rating]]&gt;4,"Good",IF(FlipkartTable[[#This Row],[Rating]]&gt;3.5,"Average","Poor")))</f>
        <v>Good</v>
      </c>
    </row>
    <row r="2608" spans="1:13" x14ac:dyDescent="0.35">
      <c r="A2608" t="s">
        <v>1131</v>
      </c>
      <c r="B2608" s="9" t="s">
        <v>1375</v>
      </c>
      <c r="C2608" t="s">
        <v>82</v>
      </c>
      <c r="D2608" t="s">
        <v>11</v>
      </c>
      <c r="E2608" t="s">
        <v>12</v>
      </c>
      <c r="F2608">
        <v>4.4000000000000004</v>
      </c>
      <c r="G2608">
        <v>18990</v>
      </c>
      <c r="H2608">
        <v>18990</v>
      </c>
      <c r="I2608">
        <f>FlipkartTable[[#This Row],[Original Price]]-FlipkartTable[[#This Row],[Selling Price]]</f>
        <v>0</v>
      </c>
      <c r="J2608" s="4">
        <f>(FlipkartTable[[#This Row],[Original Price]]-FlipkartTable[[#This Row],[Selling Price]])/FlipkartTable[[#This Row],[Original Price]]</f>
        <v>0</v>
      </c>
      <c r="K2608">
        <f>(FlipkartTable[[#This Row],[Rating]]/FlipkartTable[[#This Row],[Selling Price]])*1000</f>
        <v>0.23170089520800424</v>
      </c>
      <c r="L2608" t="str">
        <f>IF(FlipkartTable[[#This Row],[Selling Price]]&lt;15000,"Budget",IF(FlipkartTable[[#This Row],[Selling Price]]&lt;50000,"Mid Range","Premium"))</f>
        <v>Mid Range</v>
      </c>
      <c r="M2608" t="str">
        <f>IF(FlipkartTable[[#This Row],[Rating]]&gt;4.5,"Excellent",IF(FlipkartTable[[#This Row],[Rating]]&gt;4,"Good",IF(FlipkartTable[[#This Row],[Rating]]&gt;3.5,"Average","Poor")))</f>
        <v>Good</v>
      </c>
    </row>
    <row r="2609" spans="1:13" x14ac:dyDescent="0.35">
      <c r="A2609" t="s">
        <v>1131</v>
      </c>
      <c r="B2609" s="9" t="s">
        <v>1376</v>
      </c>
      <c r="C2609" t="s">
        <v>116</v>
      </c>
      <c r="D2609" t="s">
        <v>11</v>
      </c>
      <c r="E2609" t="s">
        <v>21</v>
      </c>
      <c r="F2609">
        <v>4.4000000000000004</v>
      </c>
      <c r="G2609">
        <v>15990</v>
      </c>
      <c r="H2609">
        <v>15990</v>
      </c>
      <c r="I2609">
        <f>FlipkartTable[[#This Row],[Original Price]]-FlipkartTable[[#This Row],[Selling Price]]</f>
        <v>0</v>
      </c>
      <c r="J2609" s="4">
        <f>(FlipkartTable[[#This Row],[Original Price]]-FlipkartTable[[#This Row],[Selling Price]])/FlipkartTable[[#This Row],[Original Price]]</f>
        <v>0</v>
      </c>
      <c r="K2609">
        <f>(FlipkartTable[[#This Row],[Rating]]/FlipkartTable[[#This Row],[Selling Price]])*1000</f>
        <v>0.27517198248905567</v>
      </c>
      <c r="L2609" t="str">
        <f>IF(FlipkartTable[[#This Row],[Selling Price]]&lt;15000,"Budget",IF(FlipkartTable[[#This Row],[Selling Price]]&lt;50000,"Mid Range","Premium"))</f>
        <v>Mid Range</v>
      </c>
      <c r="M2609" t="str">
        <f>IF(FlipkartTable[[#This Row],[Rating]]&gt;4.5,"Excellent",IF(FlipkartTable[[#This Row],[Rating]]&gt;4,"Good",IF(FlipkartTable[[#This Row],[Rating]]&gt;3.5,"Average","Poor")))</f>
        <v>Good</v>
      </c>
    </row>
    <row r="2610" spans="1:13" x14ac:dyDescent="0.35">
      <c r="A2610" t="s">
        <v>1131</v>
      </c>
      <c r="B2610" s="9" t="s">
        <v>1377</v>
      </c>
      <c r="C2610" t="s">
        <v>1079</v>
      </c>
      <c r="D2610" t="s">
        <v>11</v>
      </c>
      <c r="E2610" t="s">
        <v>12</v>
      </c>
      <c r="F2610">
        <v>4.5</v>
      </c>
      <c r="G2610">
        <v>23400</v>
      </c>
      <c r="H2610">
        <v>23990</v>
      </c>
      <c r="I2610">
        <f>FlipkartTable[[#This Row],[Original Price]]-FlipkartTable[[#This Row],[Selling Price]]</f>
        <v>590</v>
      </c>
      <c r="J2610" s="4">
        <f>(FlipkartTable[[#This Row],[Original Price]]-FlipkartTable[[#This Row],[Selling Price]])/FlipkartTable[[#This Row],[Original Price]]</f>
        <v>2.4593580658607752E-2</v>
      </c>
      <c r="K2610">
        <f>(FlipkartTable[[#This Row],[Rating]]/FlipkartTable[[#This Row],[Selling Price]])*1000</f>
        <v>0.19230769230769232</v>
      </c>
      <c r="L2610" t="str">
        <f>IF(FlipkartTable[[#This Row],[Selling Price]]&lt;15000,"Budget",IF(FlipkartTable[[#This Row],[Selling Price]]&lt;50000,"Mid Range","Premium"))</f>
        <v>Mid Range</v>
      </c>
      <c r="M2610" t="str">
        <f>IF(FlipkartTable[[#This Row],[Rating]]&gt;4.5,"Excellent",IF(FlipkartTable[[#This Row],[Rating]]&gt;4,"Good",IF(FlipkartTable[[#This Row],[Rating]]&gt;3.5,"Average","Poor")))</f>
        <v>Good</v>
      </c>
    </row>
    <row r="2611" spans="1:13" x14ac:dyDescent="0.35">
      <c r="A2611" t="s">
        <v>1131</v>
      </c>
      <c r="B2611" s="9" t="s">
        <v>1378</v>
      </c>
      <c r="C2611" t="s">
        <v>19</v>
      </c>
      <c r="D2611" t="s">
        <v>14</v>
      </c>
      <c r="E2611" t="s">
        <v>15</v>
      </c>
      <c r="F2611">
        <v>4.3</v>
      </c>
      <c r="G2611">
        <v>35399</v>
      </c>
      <c r="H2611">
        <v>36900</v>
      </c>
      <c r="I2611">
        <f>FlipkartTable[[#This Row],[Original Price]]-FlipkartTable[[#This Row],[Selling Price]]</f>
        <v>1501</v>
      </c>
      <c r="J2611" s="4">
        <f>(FlipkartTable[[#This Row],[Original Price]]-FlipkartTable[[#This Row],[Selling Price]])/FlipkartTable[[#This Row],[Original Price]]</f>
        <v>4.0677506775067748E-2</v>
      </c>
      <c r="K2611">
        <f>(FlipkartTable[[#This Row],[Rating]]/FlipkartTable[[#This Row],[Selling Price]])*1000</f>
        <v>0.12147235797621402</v>
      </c>
      <c r="L2611" t="str">
        <f>IF(FlipkartTable[[#This Row],[Selling Price]]&lt;15000,"Budget",IF(FlipkartTable[[#This Row],[Selling Price]]&lt;50000,"Mid Range","Premium"))</f>
        <v>Mid Range</v>
      </c>
      <c r="M2611" t="str">
        <f>IF(FlipkartTable[[#This Row],[Rating]]&gt;4.5,"Excellent",IF(FlipkartTable[[#This Row],[Rating]]&gt;4,"Good",IF(FlipkartTable[[#This Row],[Rating]]&gt;3.5,"Average","Poor")))</f>
        <v>Good</v>
      </c>
    </row>
    <row r="2612" spans="1:13" x14ac:dyDescent="0.35">
      <c r="A2612" t="s">
        <v>1131</v>
      </c>
      <c r="B2612" s="9" t="s">
        <v>1379</v>
      </c>
      <c r="C2612" t="s">
        <v>19</v>
      </c>
      <c r="D2612" t="s">
        <v>11</v>
      </c>
      <c r="E2612" t="s">
        <v>21</v>
      </c>
      <c r="F2612">
        <v>4.4000000000000004</v>
      </c>
      <c r="G2612">
        <v>19899</v>
      </c>
      <c r="H2612">
        <v>19990</v>
      </c>
      <c r="I2612">
        <f>FlipkartTable[[#This Row],[Original Price]]-FlipkartTable[[#This Row],[Selling Price]]</f>
        <v>91</v>
      </c>
      <c r="J2612" s="4">
        <f>(FlipkartTable[[#This Row],[Original Price]]-FlipkartTable[[#This Row],[Selling Price]])/FlipkartTable[[#This Row],[Original Price]]</f>
        <v>4.5522761380690346E-3</v>
      </c>
      <c r="K2612">
        <f>(FlipkartTable[[#This Row],[Rating]]/FlipkartTable[[#This Row],[Selling Price]])*1000</f>
        <v>0.22111663902708681</v>
      </c>
      <c r="L2612" t="str">
        <f>IF(FlipkartTable[[#This Row],[Selling Price]]&lt;15000,"Budget",IF(FlipkartTable[[#This Row],[Selling Price]]&lt;50000,"Mid Range","Premium"))</f>
        <v>Mid Range</v>
      </c>
      <c r="M2612" t="str">
        <f>IF(FlipkartTable[[#This Row],[Rating]]&gt;4.5,"Excellent",IF(FlipkartTable[[#This Row],[Rating]]&gt;4,"Good",IF(FlipkartTable[[#This Row],[Rating]]&gt;3.5,"Average","Poor")))</f>
        <v>Good</v>
      </c>
    </row>
    <row r="2613" spans="1:13" x14ac:dyDescent="0.35">
      <c r="A2613" t="s">
        <v>1131</v>
      </c>
      <c r="B2613" s="9" t="s">
        <v>1377</v>
      </c>
      <c r="C2613" t="s">
        <v>116</v>
      </c>
      <c r="D2613" t="s">
        <v>11</v>
      </c>
      <c r="E2613" t="s">
        <v>12</v>
      </c>
      <c r="F2613">
        <v>4.5</v>
      </c>
      <c r="G2613">
        <v>20990</v>
      </c>
      <c r="H2613">
        <v>20990</v>
      </c>
      <c r="I2613">
        <f>FlipkartTable[[#This Row],[Original Price]]-FlipkartTable[[#This Row],[Selling Price]]</f>
        <v>0</v>
      </c>
      <c r="J2613" s="4">
        <f>(FlipkartTable[[#This Row],[Original Price]]-FlipkartTable[[#This Row],[Selling Price]])/FlipkartTable[[#This Row],[Original Price]]</f>
        <v>0</v>
      </c>
      <c r="K2613">
        <f>(FlipkartTable[[#This Row],[Rating]]/FlipkartTable[[#This Row],[Selling Price]])*1000</f>
        <v>0.21438780371605526</v>
      </c>
      <c r="L2613" t="str">
        <f>IF(FlipkartTable[[#This Row],[Selling Price]]&lt;15000,"Budget",IF(FlipkartTable[[#This Row],[Selling Price]]&lt;50000,"Mid Range","Premium"))</f>
        <v>Mid Range</v>
      </c>
      <c r="M2613" t="str">
        <f>IF(FlipkartTable[[#This Row],[Rating]]&gt;4.5,"Excellent",IF(FlipkartTable[[#This Row],[Rating]]&gt;4,"Good",IF(FlipkartTable[[#This Row],[Rating]]&gt;3.5,"Average","Poor")))</f>
        <v>Good</v>
      </c>
    </row>
    <row r="2614" spans="1:13" x14ac:dyDescent="0.35">
      <c r="A2614" t="s">
        <v>1131</v>
      </c>
      <c r="B2614" s="9" t="s">
        <v>1380</v>
      </c>
      <c r="C2614" t="s">
        <v>116</v>
      </c>
      <c r="D2614" t="s">
        <v>11</v>
      </c>
      <c r="E2614" t="s">
        <v>12</v>
      </c>
      <c r="F2614">
        <v>4.4000000000000004</v>
      </c>
      <c r="G2614">
        <v>22099</v>
      </c>
      <c r="H2614">
        <v>22221</v>
      </c>
      <c r="I2614">
        <f>FlipkartTable[[#This Row],[Original Price]]-FlipkartTable[[#This Row],[Selling Price]]</f>
        <v>122</v>
      </c>
      <c r="J2614" s="4">
        <f>(FlipkartTable[[#This Row],[Original Price]]-FlipkartTable[[#This Row],[Selling Price]])/FlipkartTable[[#This Row],[Original Price]]</f>
        <v>5.4903019666081637E-3</v>
      </c>
      <c r="K2614">
        <f>(FlipkartTable[[#This Row],[Rating]]/FlipkartTable[[#This Row],[Selling Price]])*1000</f>
        <v>0.1991040318566451</v>
      </c>
      <c r="L2614" t="str">
        <f>IF(FlipkartTable[[#This Row],[Selling Price]]&lt;15000,"Budget",IF(FlipkartTable[[#This Row],[Selling Price]]&lt;50000,"Mid Range","Premium"))</f>
        <v>Mid Range</v>
      </c>
      <c r="M2614" t="str">
        <f>IF(FlipkartTable[[#This Row],[Rating]]&gt;4.5,"Excellent",IF(FlipkartTable[[#This Row],[Rating]]&gt;4,"Good",IF(FlipkartTable[[#This Row],[Rating]]&gt;3.5,"Average","Poor")))</f>
        <v>Good</v>
      </c>
    </row>
    <row r="2615" spans="1:13" x14ac:dyDescent="0.35">
      <c r="A2615" t="s">
        <v>1131</v>
      </c>
      <c r="B2615" s="9" t="s">
        <v>1381</v>
      </c>
      <c r="C2615" t="s">
        <v>116</v>
      </c>
      <c r="D2615" t="s">
        <v>20</v>
      </c>
      <c r="E2615" t="s">
        <v>21</v>
      </c>
      <c r="F2615">
        <v>4.3</v>
      </c>
      <c r="G2615">
        <v>11999</v>
      </c>
      <c r="H2615">
        <v>11999</v>
      </c>
      <c r="I2615">
        <f>FlipkartTable[[#This Row],[Original Price]]-FlipkartTable[[#This Row],[Selling Price]]</f>
        <v>0</v>
      </c>
      <c r="J2615" s="4">
        <f>(FlipkartTable[[#This Row],[Original Price]]-FlipkartTable[[#This Row],[Selling Price]])/FlipkartTable[[#This Row],[Original Price]]</f>
        <v>0</v>
      </c>
      <c r="K2615">
        <f>(FlipkartTable[[#This Row],[Rating]]/FlipkartTable[[#This Row],[Selling Price]])*1000</f>
        <v>0.35836319693307778</v>
      </c>
      <c r="L2615" t="str">
        <f>IF(FlipkartTable[[#This Row],[Selling Price]]&lt;15000,"Budget",IF(FlipkartTable[[#This Row],[Selling Price]]&lt;50000,"Mid Range","Premium"))</f>
        <v>Budget</v>
      </c>
      <c r="M2615" t="str">
        <f>IF(FlipkartTable[[#This Row],[Rating]]&gt;4.5,"Excellent",IF(FlipkartTable[[#This Row],[Rating]]&gt;4,"Good",IF(FlipkartTable[[#This Row],[Rating]]&gt;3.5,"Average","Poor")))</f>
        <v>Good</v>
      </c>
    </row>
    <row r="2616" spans="1:13" x14ac:dyDescent="0.35">
      <c r="A2616" t="s">
        <v>1131</v>
      </c>
      <c r="B2616" s="9" t="s">
        <v>1375</v>
      </c>
      <c r="C2616" t="s">
        <v>1373</v>
      </c>
      <c r="D2616" t="s">
        <v>11</v>
      </c>
      <c r="E2616" t="s">
        <v>12</v>
      </c>
      <c r="F2616">
        <v>4.4000000000000004</v>
      </c>
      <c r="G2616">
        <v>20000</v>
      </c>
      <c r="H2616">
        <v>20000</v>
      </c>
      <c r="I2616">
        <f>FlipkartTable[[#This Row],[Original Price]]-FlipkartTable[[#This Row],[Selling Price]]</f>
        <v>0</v>
      </c>
      <c r="J2616" s="4">
        <f>(FlipkartTable[[#This Row],[Original Price]]-FlipkartTable[[#This Row],[Selling Price]])/FlipkartTable[[#This Row],[Original Price]]</f>
        <v>0</v>
      </c>
      <c r="K2616">
        <f>(FlipkartTable[[#This Row],[Rating]]/FlipkartTable[[#This Row],[Selling Price]])*1000</f>
        <v>0.22</v>
      </c>
      <c r="L2616" t="str">
        <f>IF(FlipkartTable[[#This Row],[Selling Price]]&lt;15000,"Budget",IF(FlipkartTable[[#This Row],[Selling Price]]&lt;50000,"Mid Range","Premium"))</f>
        <v>Mid Range</v>
      </c>
      <c r="M2616" t="str">
        <f>IF(FlipkartTable[[#This Row],[Rating]]&gt;4.5,"Excellent",IF(FlipkartTable[[#This Row],[Rating]]&gt;4,"Good",IF(FlipkartTable[[#This Row],[Rating]]&gt;3.5,"Average","Poor")))</f>
        <v>Good</v>
      </c>
    </row>
    <row r="2617" spans="1:13" x14ac:dyDescent="0.35">
      <c r="A2617" t="s">
        <v>1131</v>
      </c>
      <c r="B2617" s="9" t="s">
        <v>1382</v>
      </c>
      <c r="C2617" t="s">
        <v>1373</v>
      </c>
      <c r="D2617" t="s">
        <v>11</v>
      </c>
      <c r="E2617" t="s">
        <v>12</v>
      </c>
      <c r="F2617">
        <v>4.4000000000000004</v>
      </c>
      <c r="G2617">
        <v>14500</v>
      </c>
      <c r="H2617">
        <v>14500</v>
      </c>
      <c r="I2617">
        <f>FlipkartTable[[#This Row],[Original Price]]-FlipkartTable[[#This Row],[Selling Price]]</f>
        <v>0</v>
      </c>
      <c r="J2617" s="4">
        <f>(FlipkartTable[[#This Row],[Original Price]]-FlipkartTable[[#This Row],[Selling Price]])/FlipkartTable[[#This Row],[Original Price]]</f>
        <v>0</v>
      </c>
      <c r="K2617">
        <f>(FlipkartTable[[#This Row],[Rating]]/FlipkartTable[[#This Row],[Selling Price]])*1000</f>
        <v>0.30344827586206896</v>
      </c>
      <c r="L2617" t="str">
        <f>IF(FlipkartTable[[#This Row],[Selling Price]]&lt;15000,"Budget",IF(FlipkartTable[[#This Row],[Selling Price]]&lt;50000,"Mid Range","Premium"))</f>
        <v>Budget</v>
      </c>
      <c r="M2617" t="str">
        <f>IF(FlipkartTable[[#This Row],[Rating]]&gt;4.5,"Excellent",IF(FlipkartTable[[#This Row],[Rating]]&gt;4,"Good",IF(FlipkartTable[[#This Row],[Rating]]&gt;3.5,"Average","Poor")))</f>
        <v>Good</v>
      </c>
    </row>
    <row r="2618" spans="1:13" x14ac:dyDescent="0.35">
      <c r="A2618" t="s">
        <v>1131</v>
      </c>
      <c r="B2618" s="9" t="s">
        <v>1383</v>
      </c>
      <c r="C2618" t="s">
        <v>1384</v>
      </c>
      <c r="D2618" t="s">
        <v>14</v>
      </c>
      <c r="E2618" t="s">
        <v>12</v>
      </c>
      <c r="F2618">
        <v>4.5</v>
      </c>
      <c r="G2618">
        <v>25990</v>
      </c>
      <c r="H2618">
        <v>25990</v>
      </c>
      <c r="I2618">
        <f>FlipkartTable[[#This Row],[Original Price]]-FlipkartTable[[#This Row],[Selling Price]]</f>
        <v>0</v>
      </c>
      <c r="J2618" s="4">
        <f>(FlipkartTable[[#This Row],[Original Price]]-FlipkartTable[[#This Row],[Selling Price]])/FlipkartTable[[#This Row],[Original Price]]</f>
        <v>0</v>
      </c>
      <c r="K2618">
        <f>(FlipkartTable[[#This Row],[Rating]]/FlipkartTable[[#This Row],[Selling Price]])*1000</f>
        <v>0.1731435167372066</v>
      </c>
      <c r="L2618" t="str">
        <f>IF(FlipkartTable[[#This Row],[Selling Price]]&lt;15000,"Budget",IF(FlipkartTable[[#This Row],[Selling Price]]&lt;50000,"Mid Range","Premium"))</f>
        <v>Mid Range</v>
      </c>
      <c r="M2618" t="str">
        <f>IF(FlipkartTable[[#This Row],[Rating]]&gt;4.5,"Excellent",IF(FlipkartTable[[#This Row],[Rating]]&gt;4,"Good",IF(FlipkartTable[[#This Row],[Rating]]&gt;3.5,"Average","Poor")))</f>
        <v>Good</v>
      </c>
    </row>
    <row r="2619" spans="1:13" x14ac:dyDescent="0.35">
      <c r="A2619" t="s">
        <v>1131</v>
      </c>
      <c r="B2619" s="9" t="s">
        <v>1382</v>
      </c>
      <c r="C2619" t="s">
        <v>19</v>
      </c>
      <c r="D2619" t="s">
        <v>11</v>
      </c>
      <c r="E2619" t="s">
        <v>12</v>
      </c>
      <c r="F2619">
        <v>4.4000000000000004</v>
      </c>
      <c r="G2619">
        <v>15900</v>
      </c>
      <c r="H2619">
        <v>15900</v>
      </c>
      <c r="I2619">
        <f>FlipkartTable[[#This Row],[Original Price]]-FlipkartTable[[#This Row],[Selling Price]]</f>
        <v>0</v>
      </c>
      <c r="J2619" s="4">
        <f>(FlipkartTable[[#This Row],[Original Price]]-FlipkartTable[[#This Row],[Selling Price]])/FlipkartTable[[#This Row],[Original Price]]</f>
        <v>0</v>
      </c>
      <c r="K2619">
        <f>(FlipkartTable[[#This Row],[Rating]]/FlipkartTable[[#This Row],[Selling Price]])*1000</f>
        <v>0.27672955974842772</v>
      </c>
      <c r="L2619" t="str">
        <f>IF(FlipkartTable[[#This Row],[Selling Price]]&lt;15000,"Budget",IF(FlipkartTable[[#This Row],[Selling Price]]&lt;50000,"Mid Range","Premium"))</f>
        <v>Mid Range</v>
      </c>
      <c r="M2619" t="str">
        <f>IF(FlipkartTable[[#This Row],[Rating]]&gt;4.5,"Excellent",IF(FlipkartTable[[#This Row],[Rating]]&gt;4,"Good",IF(FlipkartTable[[#This Row],[Rating]]&gt;3.5,"Average","Poor")))</f>
        <v>Good</v>
      </c>
    </row>
    <row r="2620" spans="1:13" x14ac:dyDescent="0.35">
      <c r="A2620" t="s">
        <v>1131</v>
      </c>
      <c r="B2620" s="9" t="s">
        <v>1385</v>
      </c>
      <c r="C2620" t="s">
        <v>116</v>
      </c>
      <c r="D2620" t="s">
        <v>35</v>
      </c>
      <c r="E2620" t="s">
        <v>124</v>
      </c>
      <c r="F2620">
        <v>4.3</v>
      </c>
      <c r="G2620">
        <v>8990</v>
      </c>
      <c r="H2620">
        <v>8990</v>
      </c>
      <c r="I2620">
        <f>FlipkartTable[[#This Row],[Original Price]]-FlipkartTable[[#This Row],[Selling Price]]</f>
        <v>0</v>
      </c>
      <c r="J2620" s="4">
        <f>(FlipkartTable[[#This Row],[Original Price]]-FlipkartTable[[#This Row],[Selling Price]])/FlipkartTable[[#This Row],[Original Price]]</f>
        <v>0</v>
      </c>
      <c r="K2620">
        <f>(FlipkartTable[[#This Row],[Rating]]/FlipkartTable[[#This Row],[Selling Price]])*1000</f>
        <v>0.47830923248053392</v>
      </c>
      <c r="L2620" t="str">
        <f>IF(FlipkartTable[[#This Row],[Selling Price]]&lt;15000,"Budget",IF(FlipkartTable[[#This Row],[Selling Price]]&lt;50000,"Mid Range","Premium"))</f>
        <v>Budget</v>
      </c>
      <c r="M2620" t="str">
        <f>IF(FlipkartTable[[#This Row],[Rating]]&gt;4.5,"Excellent",IF(FlipkartTable[[#This Row],[Rating]]&gt;4,"Good",IF(FlipkartTable[[#This Row],[Rating]]&gt;3.5,"Average","Poor")))</f>
        <v>Good</v>
      </c>
    </row>
    <row r="2621" spans="1:13" x14ac:dyDescent="0.35">
      <c r="A2621" t="s">
        <v>1131</v>
      </c>
      <c r="B2621" s="9" t="s">
        <v>1385</v>
      </c>
      <c r="C2621" t="s">
        <v>37</v>
      </c>
      <c r="D2621" t="s">
        <v>35</v>
      </c>
      <c r="E2621" t="s">
        <v>124</v>
      </c>
      <c r="F2621">
        <v>4.3</v>
      </c>
      <c r="G2621">
        <v>8990</v>
      </c>
      <c r="H2621">
        <v>8990</v>
      </c>
      <c r="I2621">
        <f>FlipkartTable[[#This Row],[Original Price]]-FlipkartTable[[#This Row],[Selling Price]]</f>
        <v>0</v>
      </c>
      <c r="J2621" s="4">
        <f>(FlipkartTable[[#This Row],[Original Price]]-FlipkartTable[[#This Row],[Selling Price]])/FlipkartTable[[#This Row],[Original Price]]</f>
        <v>0</v>
      </c>
      <c r="K2621">
        <f>(FlipkartTable[[#This Row],[Rating]]/FlipkartTable[[#This Row],[Selling Price]])*1000</f>
        <v>0.47830923248053392</v>
      </c>
      <c r="L2621" t="str">
        <f>IF(FlipkartTable[[#This Row],[Selling Price]]&lt;15000,"Budget",IF(FlipkartTable[[#This Row],[Selling Price]]&lt;50000,"Mid Range","Premium"))</f>
        <v>Budget</v>
      </c>
      <c r="M2621" t="str">
        <f>IF(FlipkartTable[[#This Row],[Rating]]&gt;4.5,"Excellent",IF(FlipkartTable[[#This Row],[Rating]]&gt;4,"Good",IF(FlipkartTable[[#This Row],[Rating]]&gt;3.5,"Average","Poor")))</f>
        <v>Good</v>
      </c>
    </row>
    <row r="2622" spans="1:13" x14ac:dyDescent="0.35">
      <c r="A2622" t="s">
        <v>1131</v>
      </c>
      <c r="B2622" s="9" t="s">
        <v>1377</v>
      </c>
      <c r="C2622" t="s">
        <v>1386</v>
      </c>
      <c r="D2622" t="s">
        <v>11</v>
      </c>
      <c r="E2622" t="s">
        <v>12</v>
      </c>
      <c r="F2622">
        <v>4.5</v>
      </c>
      <c r="G2622">
        <v>18990</v>
      </c>
      <c r="H2622">
        <v>18990</v>
      </c>
      <c r="I2622">
        <f>FlipkartTable[[#This Row],[Original Price]]-FlipkartTable[[#This Row],[Selling Price]]</f>
        <v>0</v>
      </c>
      <c r="J2622" s="4">
        <f>(FlipkartTable[[#This Row],[Original Price]]-FlipkartTable[[#This Row],[Selling Price]])/FlipkartTable[[#This Row],[Original Price]]</f>
        <v>0</v>
      </c>
      <c r="K2622">
        <f>(FlipkartTable[[#This Row],[Rating]]/FlipkartTable[[#This Row],[Selling Price]])*1000</f>
        <v>0.23696682464454977</v>
      </c>
      <c r="L2622" t="str">
        <f>IF(FlipkartTable[[#This Row],[Selling Price]]&lt;15000,"Budget",IF(FlipkartTable[[#This Row],[Selling Price]]&lt;50000,"Mid Range","Premium"))</f>
        <v>Mid Range</v>
      </c>
      <c r="M2622" t="str">
        <f>IF(FlipkartTable[[#This Row],[Rating]]&gt;4.5,"Excellent",IF(FlipkartTable[[#This Row],[Rating]]&gt;4,"Good",IF(FlipkartTable[[#This Row],[Rating]]&gt;3.5,"Average","Poor")))</f>
        <v>Good</v>
      </c>
    </row>
    <row r="2623" spans="1:13" x14ac:dyDescent="0.35">
      <c r="A2623" t="s">
        <v>1131</v>
      </c>
      <c r="B2623" s="9" t="s">
        <v>1379</v>
      </c>
      <c r="C2623" t="s">
        <v>116</v>
      </c>
      <c r="D2623" t="s">
        <v>11</v>
      </c>
      <c r="E2623" t="s">
        <v>21</v>
      </c>
      <c r="F2623">
        <v>4.4000000000000004</v>
      </c>
      <c r="G2623">
        <v>17990</v>
      </c>
      <c r="H2623">
        <v>17990</v>
      </c>
      <c r="I2623">
        <f>FlipkartTable[[#This Row],[Original Price]]-FlipkartTable[[#This Row],[Selling Price]]</f>
        <v>0</v>
      </c>
      <c r="J2623" s="4">
        <f>(FlipkartTable[[#This Row],[Original Price]]-FlipkartTable[[#This Row],[Selling Price]])/FlipkartTable[[#This Row],[Original Price]]</f>
        <v>0</v>
      </c>
      <c r="K2623">
        <f>(FlipkartTable[[#This Row],[Rating]]/FlipkartTable[[#This Row],[Selling Price]])*1000</f>
        <v>0.24458032240133409</v>
      </c>
      <c r="L2623" t="str">
        <f>IF(FlipkartTable[[#This Row],[Selling Price]]&lt;15000,"Budget",IF(FlipkartTable[[#This Row],[Selling Price]]&lt;50000,"Mid Range","Premium"))</f>
        <v>Mid Range</v>
      </c>
      <c r="M2623" t="str">
        <f>IF(FlipkartTable[[#This Row],[Rating]]&gt;4.5,"Excellent",IF(FlipkartTable[[#This Row],[Rating]]&gt;4,"Good",IF(FlipkartTable[[#This Row],[Rating]]&gt;3.5,"Average","Poor")))</f>
        <v>Good</v>
      </c>
    </row>
    <row r="2624" spans="1:13" x14ac:dyDescent="0.35">
      <c r="A2624" t="s">
        <v>1131</v>
      </c>
      <c r="B2624" s="9" t="s">
        <v>1387</v>
      </c>
      <c r="C2624" t="s">
        <v>1388</v>
      </c>
      <c r="D2624" t="s">
        <v>11</v>
      </c>
      <c r="E2624" t="s">
        <v>21</v>
      </c>
      <c r="F2624">
        <v>4.4000000000000004</v>
      </c>
      <c r="G2624">
        <v>15990</v>
      </c>
      <c r="H2624">
        <v>15990</v>
      </c>
      <c r="I2624">
        <f>FlipkartTable[[#This Row],[Original Price]]-FlipkartTable[[#This Row],[Selling Price]]</f>
        <v>0</v>
      </c>
      <c r="J2624" s="4">
        <f>(FlipkartTable[[#This Row],[Original Price]]-FlipkartTable[[#This Row],[Selling Price]])/FlipkartTable[[#This Row],[Original Price]]</f>
        <v>0</v>
      </c>
      <c r="K2624">
        <f>(FlipkartTable[[#This Row],[Rating]]/FlipkartTable[[#This Row],[Selling Price]])*1000</f>
        <v>0.27517198248905567</v>
      </c>
      <c r="L2624" t="str">
        <f>IF(FlipkartTable[[#This Row],[Selling Price]]&lt;15000,"Budget",IF(FlipkartTable[[#This Row],[Selling Price]]&lt;50000,"Mid Range","Premium"))</f>
        <v>Mid Range</v>
      </c>
      <c r="M2624" t="str">
        <f>IF(FlipkartTable[[#This Row],[Rating]]&gt;4.5,"Excellent",IF(FlipkartTable[[#This Row],[Rating]]&gt;4,"Good",IF(FlipkartTable[[#This Row],[Rating]]&gt;3.5,"Average","Poor")))</f>
        <v>Good</v>
      </c>
    </row>
    <row r="2625" spans="1:13" x14ac:dyDescent="0.35">
      <c r="A2625" t="s">
        <v>1131</v>
      </c>
      <c r="B2625" s="9" t="s">
        <v>1381</v>
      </c>
      <c r="C2625" t="s">
        <v>37</v>
      </c>
      <c r="D2625" t="s">
        <v>20</v>
      </c>
      <c r="E2625" t="s">
        <v>21</v>
      </c>
      <c r="F2625">
        <v>4.3</v>
      </c>
      <c r="G2625">
        <v>13990</v>
      </c>
      <c r="H2625">
        <v>13990</v>
      </c>
      <c r="I2625">
        <f>FlipkartTable[[#This Row],[Original Price]]-FlipkartTable[[#This Row],[Selling Price]]</f>
        <v>0</v>
      </c>
      <c r="J2625" s="4">
        <f>(FlipkartTable[[#This Row],[Original Price]]-FlipkartTable[[#This Row],[Selling Price]])/FlipkartTable[[#This Row],[Original Price]]</f>
        <v>0</v>
      </c>
      <c r="K2625">
        <f>(FlipkartTable[[#This Row],[Rating]]/FlipkartTable[[#This Row],[Selling Price]])*1000</f>
        <v>0.30736240171551105</v>
      </c>
      <c r="L2625" t="str">
        <f>IF(FlipkartTable[[#This Row],[Selling Price]]&lt;15000,"Budget",IF(FlipkartTable[[#This Row],[Selling Price]]&lt;50000,"Mid Range","Premium"))</f>
        <v>Budget</v>
      </c>
      <c r="M2625" t="str">
        <f>IF(FlipkartTable[[#This Row],[Rating]]&gt;4.5,"Excellent",IF(FlipkartTable[[#This Row],[Rating]]&gt;4,"Good",IF(FlipkartTable[[#This Row],[Rating]]&gt;3.5,"Average","Poor")))</f>
        <v>Good</v>
      </c>
    </row>
    <row r="2626" spans="1:13" x14ac:dyDescent="0.35">
      <c r="A2626" t="s">
        <v>1181</v>
      </c>
      <c r="B2626" s="9" t="s">
        <v>1389</v>
      </c>
      <c r="C2626" t="s">
        <v>1390</v>
      </c>
      <c r="D2626" t="s">
        <v>27</v>
      </c>
      <c r="E2626" t="s">
        <v>64</v>
      </c>
      <c r="F2626">
        <v>4.3</v>
      </c>
      <c r="G2626">
        <v>42999</v>
      </c>
      <c r="H2626">
        <v>42999</v>
      </c>
      <c r="I2626">
        <f>FlipkartTable[[#This Row],[Original Price]]-FlipkartTable[[#This Row],[Selling Price]]</f>
        <v>0</v>
      </c>
      <c r="J2626" s="4">
        <f>(FlipkartTable[[#This Row],[Original Price]]-FlipkartTable[[#This Row],[Selling Price]])/FlipkartTable[[#This Row],[Original Price]]</f>
        <v>0</v>
      </c>
      <c r="K2626">
        <f>(FlipkartTable[[#This Row],[Rating]]/FlipkartTable[[#This Row],[Selling Price]])*1000</f>
        <v>0.10000232563547989</v>
      </c>
      <c r="L2626" t="str">
        <f>IF(FlipkartTable[[#This Row],[Selling Price]]&lt;15000,"Budget",IF(FlipkartTable[[#This Row],[Selling Price]]&lt;50000,"Mid Range","Premium"))</f>
        <v>Mid Range</v>
      </c>
      <c r="M2626" t="str">
        <f>IF(FlipkartTable[[#This Row],[Rating]]&gt;4.5,"Excellent",IF(FlipkartTable[[#This Row],[Rating]]&gt;4,"Good",IF(FlipkartTable[[#This Row],[Rating]]&gt;3.5,"Average","Poor")))</f>
        <v>Good</v>
      </c>
    </row>
    <row r="2627" spans="1:13" x14ac:dyDescent="0.35">
      <c r="A2627" t="s">
        <v>1181</v>
      </c>
      <c r="B2627" s="9" t="s">
        <v>1391</v>
      </c>
      <c r="C2627" t="s">
        <v>1392</v>
      </c>
      <c r="D2627" t="s">
        <v>14</v>
      </c>
      <c r="E2627" t="s">
        <v>15</v>
      </c>
      <c r="F2627">
        <v>4.3</v>
      </c>
      <c r="G2627">
        <v>24999</v>
      </c>
      <c r="H2627">
        <v>29999</v>
      </c>
      <c r="I2627">
        <f>FlipkartTable[[#This Row],[Original Price]]-FlipkartTable[[#This Row],[Selling Price]]</f>
        <v>5000</v>
      </c>
      <c r="J2627" s="4">
        <f>(FlipkartTable[[#This Row],[Original Price]]-FlipkartTable[[#This Row],[Selling Price]])/FlipkartTable[[#This Row],[Original Price]]</f>
        <v>0.16667222240741358</v>
      </c>
      <c r="K2627">
        <f>(FlipkartTable[[#This Row],[Rating]]/FlipkartTable[[#This Row],[Selling Price]])*1000</f>
        <v>0.17200688027521099</v>
      </c>
      <c r="L2627" t="str">
        <f>IF(FlipkartTable[[#This Row],[Selling Price]]&lt;15000,"Budget",IF(FlipkartTable[[#This Row],[Selling Price]]&lt;50000,"Mid Range","Premium"))</f>
        <v>Mid Range</v>
      </c>
      <c r="M2627" t="str">
        <f>IF(FlipkartTable[[#This Row],[Rating]]&gt;4.5,"Excellent",IF(FlipkartTable[[#This Row],[Rating]]&gt;4,"Good",IF(FlipkartTable[[#This Row],[Rating]]&gt;3.5,"Average","Poor")))</f>
        <v>Good</v>
      </c>
    </row>
    <row r="2628" spans="1:13" x14ac:dyDescent="0.35">
      <c r="A2628" t="s">
        <v>1181</v>
      </c>
      <c r="B2628" s="9" t="s">
        <v>1391</v>
      </c>
      <c r="C2628" t="s">
        <v>1392</v>
      </c>
      <c r="D2628" t="s">
        <v>27</v>
      </c>
      <c r="E2628" t="s">
        <v>15</v>
      </c>
      <c r="F2628">
        <v>4.3</v>
      </c>
      <c r="G2628">
        <v>28999</v>
      </c>
      <c r="H2628">
        <v>33999</v>
      </c>
      <c r="I2628">
        <f>FlipkartTable[[#This Row],[Original Price]]-FlipkartTable[[#This Row],[Selling Price]]</f>
        <v>5000</v>
      </c>
      <c r="J2628" s="4">
        <f>(FlipkartTable[[#This Row],[Original Price]]-FlipkartTable[[#This Row],[Selling Price]])/FlipkartTable[[#This Row],[Original Price]]</f>
        <v>0.14706314891614458</v>
      </c>
      <c r="K2628">
        <f>(FlipkartTable[[#This Row],[Rating]]/FlipkartTable[[#This Row],[Selling Price]])*1000</f>
        <v>0.14828097520604158</v>
      </c>
      <c r="L2628" t="str">
        <f>IF(FlipkartTable[[#This Row],[Selling Price]]&lt;15000,"Budget",IF(FlipkartTable[[#This Row],[Selling Price]]&lt;50000,"Mid Range","Premium"))</f>
        <v>Mid Range</v>
      </c>
      <c r="M2628" t="str">
        <f>IF(FlipkartTable[[#This Row],[Rating]]&gt;4.5,"Excellent",IF(FlipkartTable[[#This Row],[Rating]]&gt;4,"Good",IF(FlipkartTable[[#This Row],[Rating]]&gt;3.5,"Average","Poor")))</f>
        <v>Good</v>
      </c>
    </row>
    <row r="2629" spans="1:13" x14ac:dyDescent="0.35">
      <c r="A2629" t="s">
        <v>1181</v>
      </c>
      <c r="B2629" s="9" t="s">
        <v>1391</v>
      </c>
      <c r="C2629" t="s">
        <v>1393</v>
      </c>
      <c r="D2629" t="s">
        <v>14</v>
      </c>
      <c r="E2629" t="s">
        <v>15</v>
      </c>
      <c r="F2629">
        <v>4.3</v>
      </c>
      <c r="G2629">
        <v>24999</v>
      </c>
      <c r="H2629">
        <v>29999</v>
      </c>
      <c r="I2629">
        <f>FlipkartTable[[#This Row],[Original Price]]-FlipkartTable[[#This Row],[Selling Price]]</f>
        <v>5000</v>
      </c>
      <c r="J2629" s="4">
        <f>(FlipkartTable[[#This Row],[Original Price]]-FlipkartTable[[#This Row],[Selling Price]])/FlipkartTable[[#This Row],[Original Price]]</f>
        <v>0.16667222240741358</v>
      </c>
      <c r="K2629">
        <f>(FlipkartTable[[#This Row],[Rating]]/FlipkartTable[[#This Row],[Selling Price]])*1000</f>
        <v>0.17200688027521099</v>
      </c>
      <c r="L2629" t="str">
        <f>IF(FlipkartTable[[#This Row],[Selling Price]]&lt;15000,"Budget",IF(FlipkartTable[[#This Row],[Selling Price]]&lt;50000,"Mid Range","Premium"))</f>
        <v>Mid Range</v>
      </c>
      <c r="M2629" t="str">
        <f>IF(FlipkartTable[[#This Row],[Rating]]&gt;4.5,"Excellent",IF(FlipkartTable[[#This Row],[Rating]]&gt;4,"Good",IF(FlipkartTable[[#This Row],[Rating]]&gt;3.5,"Average","Poor")))</f>
        <v>Good</v>
      </c>
    </row>
    <row r="2630" spans="1:13" x14ac:dyDescent="0.35">
      <c r="A2630" t="s">
        <v>1181</v>
      </c>
      <c r="B2630" s="9" t="s">
        <v>1394</v>
      </c>
      <c r="C2630" t="s">
        <v>1393</v>
      </c>
      <c r="D2630" t="s">
        <v>14</v>
      </c>
      <c r="E2630" t="s">
        <v>15</v>
      </c>
      <c r="F2630">
        <v>4.2</v>
      </c>
      <c r="G2630">
        <v>26999</v>
      </c>
      <c r="H2630">
        <v>31999</v>
      </c>
      <c r="I2630">
        <f>FlipkartTable[[#This Row],[Original Price]]-FlipkartTable[[#This Row],[Selling Price]]</f>
        <v>5000</v>
      </c>
      <c r="J2630" s="4">
        <f>(FlipkartTable[[#This Row],[Original Price]]-FlipkartTable[[#This Row],[Selling Price]])/FlipkartTable[[#This Row],[Original Price]]</f>
        <v>0.15625488296509266</v>
      </c>
      <c r="K2630">
        <f>(FlipkartTable[[#This Row],[Rating]]/FlipkartTable[[#This Row],[Selling Price]])*1000</f>
        <v>0.155561317085818</v>
      </c>
      <c r="L2630" t="str">
        <f>IF(FlipkartTable[[#This Row],[Selling Price]]&lt;15000,"Budget",IF(FlipkartTable[[#This Row],[Selling Price]]&lt;50000,"Mid Range","Premium"))</f>
        <v>Mid Range</v>
      </c>
      <c r="M2630" t="str">
        <f>IF(FlipkartTable[[#This Row],[Rating]]&gt;4.5,"Excellent",IF(FlipkartTable[[#This Row],[Rating]]&gt;4,"Good",IF(FlipkartTable[[#This Row],[Rating]]&gt;3.5,"Average","Poor")))</f>
        <v>Good</v>
      </c>
    </row>
    <row r="2631" spans="1:13" x14ac:dyDescent="0.35">
      <c r="A2631" t="s">
        <v>1181</v>
      </c>
      <c r="B2631" s="9" t="s">
        <v>1394</v>
      </c>
      <c r="C2631" t="s">
        <v>1392</v>
      </c>
      <c r="D2631" t="s">
        <v>14</v>
      </c>
      <c r="E2631" t="s">
        <v>15</v>
      </c>
      <c r="F2631">
        <v>4.2</v>
      </c>
      <c r="G2631">
        <v>26999</v>
      </c>
      <c r="H2631">
        <v>31999</v>
      </c>
      <c r="I2631">
        <f>FlipkartTable[[#This Row],[Original Price]]-FlipkartTable[[#This Row],[Selling Price]]</f>
        <v>5000</v>
      </c>
      <c r="J2631" s="4">
        <f>(FlipkartTable[[#This Row],[Original Price]]-FlipkartTable[[#This Row],[Selling Price]])/FlipkartTable[[#This Row],[Original Price]]</f>
        <v>0.15625488296509266</v>
      </c>
      <c r="K2631">
        <f>(FlipkartTable[[#This Row],[Rating]]/FlipkartTable[[#This Row],[Selling Price]])*1000</f>
        <v>0.155561317085818</v>
      </c>
      <c r="L2631" t="str">
        <f>IF(FlipkartTable[[#This Row],[Selling Price]]&lt;15000,"Budget",IF(FlipkartTable[[#This Row],[Selling Price]]&lt;50000,"Mid Range","Premium"))</f>
        <v>Mid Range</v>
      </c>
      <c r="M2631" t="str">
        <f>IF(FlipkartTable[[#This Row],[Rating]]&gt;4.5,"Excellent",IF(FlipkartTable[[#This Row],[Rating]]&gt;4,"Good",IF(FlipkartTable[[#This Row],[Rating]]&gt;3.5,"Average","Poor")))</f>
        <v>Good</v>
      </c>
    </row>
    <row r="2632" spans="1:13" x14ac:dyDescent="0.35">
      <c r="A2632" t="s">
        <v>1181</v>
      </c>
      <c r="B2632" s="9" t="s">
        <v>1394</v>
      </c>
      <c r="C2632" t="s">
        <v>1395</v>
      </c>
      <c r="D2632" t="s">
        <v>27</v>
      </c>
      <c r="E2632" t="s">
        <v>15</v>
      </c>
      <c r="F2632">
        <v>4.3</v>
      </c>
      <c r="G2632">
        <v>28999</v>
      </c>
      <c r="H2632">
        <v>33999</v>
      </c>
      <c r="I2632">
        <f>FlipkartTable[[#This Row],[Original Price]]-FlipkartTable[[#This Row],[Selling Price]]</f>
        <v>5000</v>
      </c>
      <c r="J2632" s="4">
        <f>(FlipkartTable[[#This Row],[Original Price]]-FlipkartTable[[#This Row],[Selling Price]])/FlipkartTable[[#This Row],[Original Price]]</f>
        <v>0.14706314891614458</v>
      </c>
      <c r="K2632">
        <f>(FlipkartTable[[#This Row],[Rating]]/FlipkartTable[[#This Row],[Selling Price]])*1000</f>
        <v>0.14828097520604158</v>
      </c>
      <c r="L2632" t="str">
        <f>IF(FlipkartTable[[#This Row],[Selling Price]]&lt;15000,"Budget",IF(FlipkartTable[[#This Row],[Selling Price]]&lt;50000,"Mid Range","Premium"))</f>
        <v>Mid Range</v>
      </c>
      <c r="M2632" t="str">
        <f>IF(FlipkartTable[[#This Row],[Rating]]&gt;4.5,"Excellent",IF(FlipkartTable[[#This Row],[Rating]]&gt;4,"Good",IF(FlipkartTable[[#This Row],[Rating]]&gt;3.5,"Average","Poor")))</f>
        <v>Good</v>
      </c>
    </row>
    <row r="2633" spans="1:13" x14ac:dyDescent="0.35">
      <c r="A2633" t="s">
        <v>1181</v>
      </c>
      <c r="B2633" s="9" t="s">
        <v>1391</v>
      </c>
      <c r="C2633" t="s">
        <v>1395</v>
      </c>
      <c r="D2633" t="s">
        <v>14</v>
      </c>
      <c r="E2633" t="s">
        <v>15</v>
      </c>
      <c r="F2633">
        <v>4.3</v>
      </c>
      <c r="G2633">
        <v>24999</v>
      </c>
      <c r="H2633">
        <v>29999</v>
      </c>
      <c r="I2633">
        <f>FlipkartTable[[#This Row],[Original Price]]-FlipkartTable[[#This Row],[Selling Price]]</f>
        <v>5000</v>
      </c>
      <c r="J2633" s="4">
        <f>(FlipkartTable[[#This Row],[Original Price]]-FlipkartTable[[#This Row],[Selling Price]])/FlipkartTable[[#This Row],[Original Price]]</f>
        <v>0.16667222240741358</v>
      </c>
      <c r="K2633">
        <f>(FlipkartTable[[#This Row],[Rating]]/FlipkartTable[[#This Row],[Selling Price]])*1000</f>
        <v>0.17200688027521099</v>
      </c>
      <c r="L2633" t="str">
        <f>IF(FlipkartTable[[#This Row],[Selling Price]]&lt;15000,"Budget",IF(FlipkartTable[[#This Row],[Selling Price]]&lt;50000,"Mid Range","Premium"))</f>
        <v>Mid Range</v>
      </c>
      <c r="M2633" t="str">
        <f>IF(FlipkartTable[[#This Row],[Rating]]&gt;4.5,"Excellent",IF(FlipkartTable[[#This Row],[Rating]]&gt;4,"Good",IF(FlipkartTable[[#This Row],[Rating]]&gt;3.5,"Average","Poor")))</f>
        <v>Good</v>
      </c>
    </row>
    <row r="2634" spans="1:13" x14ac:dyDescent="0.35">
      <c r="A2634" t="s">
        <v>1181</v>
      </c>
      <c r="B2634" s="9" t="s">
        <v>1391</v>
      </c>
      <c r="C2634" t="s">
        <v>1393</v>
      </c>
      <c r="D2634" t="s">
        <v>27</v>
      </c>
      <c r="E2634" t="s">
        <v>15</v>
      </c>
      <c r="F2634">
        <v>4.3</v>
      </c>
      <c r="G2634">
        <v>28999</v>
      </c>
      <c r="H2634">
        <v>33999</v>
      </c>
      <c r="I2634">
        <f>FlipkartTable[[#This Row],[Original Price]]-FlipkartTable[[#This Row],[Selling Price]]</f>
        <v>5000</v>
      </c>
      <c r="J2634" s="4">
        <f>(FlipkartTable[[#This Row],[Original Price]]-FlipkartTable[[#This Row],[Selling Price]])/FlipkartTable[[#This Row],[Original Price]]</f>
        <v>0.14706314891614458</v>
      </c>
      <c r="K2634">
        <f>(FlipkartTable[[#This Row],[Rating]]/FlipkartTable[[#This Row],[Selling Price]])*1000</f>
        <v>0.14828097520604158</v>
      </c>
      <c r="L2634" t="str">
        <f>IF(FlipkartTable[[#This Row],[Selling Price]]&lt;15000,"Budget",IF(FlipkartTable[[#This Row],[Selling Price]]&lt;50000,"Mid Range","Premium"))</f>
        <v>Mid Range</v>
      </c>
      <c r="M2634" t="str">
        <f>IF(FlipkartTable[[#This Row],[Rating]]&gt;4.5,"Excellent",IF(FlipkartTable[[#This Row],[Rating]]&gt;4,"Good",IF(FlipkartTable[[#This Row],[Rating]]&gt;3.5,"Average","Poor")))</f>
        <v>Good</v>
      </c>
    </row>
    <row r="2635" spans="1:13" x14ac:dyDescent="0.35">
      <c r="A2635" t="s">
        <v>1181</v>
      </c>
      <c r="B2635" s="9" t="s">
        <v>1394</v>
      </c>
      <c r="C2635" t="s">
        <v>1396</v>
      </c>
      <c r="D2635" t="s">
        <v>14</v>
      </c>
      <c r="E2635" t="s">
        <v>15</v>
      </c>
      <c r="F2635">
        <v>4.2</v>
      </c>
      <c r="G2635">
        <v>26999</v>
      </c>
      <c r="H2635">
        <v>31999</v>
      </c>
      <c r="I2635">
        <f>FlipkartTable[[#This Row],[Original Price]]-FlipkartTable[[#This Row],[Selling Price]]</f>
        <v>5000</v>
      </c>
      <c r="J2635" s="4">
        <f>(FlipkartTable[[#This Row],[Original Price]]-FlipkartTable[[#This Row],[Selling Price]])/FlipkartTable[[#This Row],[Original Price]]</f>
        <v>0.15625488296509266</v>
      </c>
      <c r="K2635">
        <f>(FlipkartTable[[#This Row],[Rating]]/FlipkartTable[[#This Row],[Selling Price]])*1000</f>
        <v>0.155561317085818</v>
      </c>
      <c r="L2635" t="str">
        <f>IF(FlipkartTable[[#This Row],[Selling Price]]&lt;15000,"Budget",IF(FlipkartTable[[#This Row],[Selling Price]]&lt;50000,"Mid Range","Premium"))</f>
        <v>Mid Range</v>
      </c>
      <c r="M2635" t="str">
        <f>IF(FlipkartTable[[#This Row],[Rating]]&gt;4.5,"Excellent",IF(FlipkartTable[[#This Row],[Rating]]&gt;4,"Good",IF(FlipkartTable[[#This Row],[Rating]]&gt;3.5,"Average","Poor")))</f>
        <v>Good</v>
      </c>
    </row>
    <row r="2636" spans="1:13" x14ac:dyDescent="0.35">
      <c r="A2636" t="s">
        <v>1181</v>
      </c>
      <c r="B2636" s="9" t="s">
        <v>1397</v>
      </c>
      <c r="C2636" t="s">
        <v>37</v>
      </c>
      <c r="D2636" t="s">
        <v>14</v>
      </c>
      <c r="E2636" t="s">
        <v>12</v>
      </c>
      <c r="F2636">
        <v>4.3</v>
      </c>
      <c r="G2636">
        <v>18979</v>
      </c>
      <c r="H2636">
        <v>18999</v>
      </c>
      <c r="I2636">
        <f>FlipkartTable[[#This Row],[Original Price]]-FlipkartTable[[#This Row],[Selling Price]]</f>
        <v>20</v>
      </c>
      <c r="J2636" s="4">
        <f>(FlipkartTable[[#This Row],[Original Price]]-FlipkartTable[[#This Row],[Selling Price]])/FlipkartTable[[#This Row],[Original Price]]</f>
        <v>1.0526869835254487E-3</v>
      </c>
      <c r="K2636">
        <f>(FlipkartTable[[#This Row],[Rating]]/FlipkartTable[[#This Row],[Selling Price]])*1000</f>
        <v>0.22656620475262132</v>
      </c>
      <c r="L2636" t="str">
        <f>IF(FlipkartTable[[#This Row],[Selling Price]]&lt;15000,"Budget",IF(FlipkartTable[[#This Row],[Selling Price]]&lt;50000,"Mid Range","Premium"))</f>
        <v>Mid Range</v>
      </c>
      <c r="M2636" t="str">
        <f>IF(FlipkartTable[[#This Row],[Rating]]&gt;4.5,"Excellent",IF(FlipkartTable[[#This Row],[Rating]]&gt;4,"Good",IF(FlipkartTable[[#This Row],[Rating]]&gt;3.5,"Average","Poor")))</f>
        <v>Good</v>
      </c>
    </row>
    <row r="2637" spans="1:13" x14ac:dyDescent="0.35">
      <c r="A2637" t="s">
        <v>1181</v>
      </c>
      <c r="B2637" s="9" t="s">
        <v>1397</v>
      </c>
      <c r="C2637" t="s">
        <v>1398</v>
      </c>
      <c r="D2637" t="s">
        <v>27</v>
      </c>
      <c r="E2637" t="s">
        <v>15</v>
      </c>
      <c r="F2637">
        <v>4.3</v>
      </c>
      <c r="G2637">
        <v>21736</v>
      </c>
      <c r="H2637">
        <v>22999</v>
      </c>
      <c r="I2637">
        <f>FlipkartTable[[#This Row],[Original Price]]-FlipkartTable[[#This Row],[Selling Price]]</f>
        <v>1263</v>
      </c>
      <c r="J2637" s="4">
        <f>(FlipkartTable[[#This Row],[Original Price]]-FlipkartTable[[#This Row],[Selling Price]])/FlipkartTable[[#This Row],[Original Price]]</f>
        <v>5.4915431105700248E-2</v>
      </c>
      <c r="K2637">
        <f>(FlipkartTable[[#This Row],[Rating]]/FlipkartTable[[#This Row],[Selling Price]])*1000</f>
        <v>0.19782848730217151</v>
      </c>
      <c r="L2637" t="str">
        <f>IF(FlipkartTable[[#This Row],[Selling Price]]&lt;15000,"Budget",IF(FlipkartTable[[#This Row],[Selling Price]]&lt;50000,"Mid Range","Premium"))</f>
        <v>Mid Range</v>
      </c>
      <c r="M2637" t="str">
        <f>IF(FlipkartTable[[#This Row],[Rating]]&gt;4.5,"Excellent",IF(FlipkartTable[[#This Row],[Rating]]&gt;4,"Good",IF(FlipkartTable[[#This Row],[Rating]]&gt;3.5,"Average","Poor")))</f>
        <v>Good</v>
      </c>
    </row>
    <row r="2638" spans="1:13" x14ac:dyDescent="0.35">
      <c r="A2638" t="s">
        <v>1181</v>
      </c>
      <c r="B2638" s="9" t="s">
        <v>1397</v>
      </c>
      <c r="C2638" t="s">
        <v>1399</v>
      </c>
      <c r="D2638" t="s">
        <v>14</v>
      </c>
      <c r="E2638" t="s">
        <v>1400</v>
      </c>
      <c r="F2638">
        <v>4.2</v>
      </c>
      <c r="G2638">
        <v>19119</v>
      </c>
      <c r="H2638">
        <v>19119</v>
      </c>
      <c r="I2638">
        <f>FlipkartTable[[#This Row],[Original Price]]-FlipkartTable[[#This Row],[Selling Price]]</f>
        <v>0</v>
      </c>
      <c r="J2638" s="4">
        <f>(FlipkartTable[[#This Row],[Original Price]]-FlipkartTable[[#This Row],[Selling Price]])/FlipkartTable[[#This Row],[Original Price]]</f>
        <v>0</v>
      </c>
      <c r="K2638">
        <f>(FlipkartTable[[#This Row],[Rating]]/FlipkartTable[[#This Row],[Selling Price]])*1000</f>
        <v>0.21967676133689001</v>
      </c>
      <c r="L2638" t="str">
        <f>IF(FlipkartTable[[#This Row],[Selling Price]]&lt;15000,"Budget",IF(FlipkartTable[[#This Row],[Selling Price]]&lt;50000,"Mid Range","Premium"))</f>
        <v>Mid Range</v>
      </c>
      <c r="M2638" t="str">
        <f>IF(FlipkartTable[[#This Row],[Rating]]&gt;4.5,"Excellent",IF(FlipkartTable[[#This Row],[Rating]]&gt;4,"Good",IF(FlipkartTable[[#This Row],[Rating]]&gt;3.5,"Average","Poor")))</f>
        <v>Good</v>
      </c>
    </row>
    <row r="2639" spans="1:13" x14ac:dyDescent="0.35">
      <c r="A2639" t="s">
        <v>1181</v>
      </c>
      <c r="B2639" s="9" t="s">
        <v>1397</v>
      </c>
      <c r="C2639" t="s">
        <v>37</v>
      </c>
      <c r="D2639" t="s">
        <v>14</v>
      </c>
      <c r="E2639" t="s">
        <v>1401</v>
      </c>
      <c r="F2639">
        <v>4.2</v>
      </c>
      <c r="G2639">
        <v>19100</v>
      </c>
      <c r="H2639">
        <v>19100</v>
      </c>
      <c r="I2639">
        <f>FlipkartTable[[#This Row],[Original Price]]-FlipkartTable[[#This Row],[Selling Price]]</f>
        <v>0</v>
      </c>
      <c r="J2639" s="4">
        <f>(FlipkartTable[[#This Row],[Original Price]]-FlipkartTable[[#This Row],[Selling Price]])/FlipkartTable[[#This Row],[Original Price]]</f>
        <v>0</v>
      </c>
      <c r="K2639">
        <f>(FlipkartTable[[#This Row],[Rating]]/FlipkartTable[[#This Row],[Selling Price]])*1000</f>
        <v>0.21989528795811519</v>
      </c>
      <c r="L2639" t="str">
        <f>IF(FlipkartTable[[#This Row],[Selling Price]]&lt;15000,"Budget",IF(FlipkartTable[[#This Row],[Selling Price]]&lt;50000,"Mid Range","Premium"))</f>
        <v>Mid Range</v>
      </c>
      <c r="M2639" t="str">
        <f>IF(FlipkartTable[[#This Row],[Rating]]&gt;4.5,"Excellent",IF(FlipkartTable[[#This Row],[Rating]]&gt;4,"Good",IF(FlipkartTable[[#This Row],[Rating]]&gt;3.5,"Average","Poor")))</f>
        <v>Good</v>
      </c>
    </row>
    <row r="2640" spans="1:13" x14ac:dyDescent="0.35">
      <c r="A2640" t="s">
        <v>1181</v>
      </c>
      <c r="B2640" s="9" t="s">
        <v>1397</v>
      </c>
      <c r="C2640" t="s">
        <v>1398</v>
      </c>
      <c r="D2640" t="s">
        <v>14</v>
      </c>
      <c r="E2640" t="s">
        <v>15</v>
      </c>
      <c r="F2640">
        <v>4.2</v>
      </c>
      <c r="G2640">
        <v>18778</v>
      </c>
      <c r="H2640">
        <v>18990</v>
      </c>
      <c r="I2640">
        <f>FlipkartTable[[#This Row],[Original Price]]-FlipkartTable[[#This Row],[Selling Price]]</f>
        <v>212</v>
      </c>
      <c r="J2640" s="4">
        <f>(FlipkartTable[[#This Row],[Original Price]]-FlipkartTable[[#This Row],[Selling Price]])/FlipkartTable[[#This Row],[Original Price]]</f>
        <v>1.1163770405476567E-2</v>
      </c>
      <c r="K2640">
        <f>(FlipkartTable[[#This Row],[Rating]]/FlipkartTable[[#This Row],[Selling Price]])*1000</f>
        <v>0.22366599211843649</v>
      </c>
      <c r="L2640" t="str">
        <f>IF(FlipkartTable[[#This Row],[Selling Price]]&lt;15000,"Budget",IF(FlipkartTable[[#This Row],[Selling Price]]&lt;50000,"Mid Range","Premium"))</f>
        <v>Mid Range</v>
      </c>
      <c r="M2640" t="str">
        <f>IF(FlipkartTable[[#This Row],[Rating]]&gt;4.5,"Excellent",IF(FlipkartTable[[#This Row],[Rating]]&gt;4,"Good",IF(FlipkartTable[[#This Row],[Rating]]&gt;3.5,"Average","Poor")))</f>
        <v>Good</v>
      </c>
    </row>
    <row r="2641" spans="1:13" x14ac:dyDescent="0.35">
      <c r="A2641" t="s">
        <v>1181</v>
      </c>
      <c r="B2641" s="9" t="s">
        <v>1397</v>
      </c>
      <c r="C2641" t="s">
        <v>1399</v>
      </c>
      <c r="D2641" t="s">
        <v>14</v>
      </c>
      <c r="E2641" t="s">
        <v>12</v>
      </c>
      <c r="F2641">
        <v>4.2</v>
      </c>
      <c r="G2641">
        <v>18187</v>
      </c>
      <c r="H2641">
        <v>18990</v>
      </c>
      <c r="I2641">
        <f>FlipkartTable[[#This Row],[Original Price]]-FlipkartTable[[#This Row],[Selling Price]]</f>
        <v>803</v>
      </c>
      <c r="J2641" s="4">
        <f>(FlipkartTable[[#This Row],[Original Price]]-FlipkartTable[[#This Row],[Selling Price]])/FlipkartTable[[#This Row],[Original Price]]</f>
        <v>4.2285413375460768E-2</v>
      </c>
      <c r="K2641">
        <f>(FlipkartTable[[#This Row],[Rating]]/FlipkartTable[[#This Row],[Selling Price]])*1000</f>
        <v>0.23093418375762909</v>
      </c>
      <c r="L2641" t="str">
        <f>IF(FlipkartTable[[#This Row],[Selling Price]]&lt;15000,"Budget",IF(FlipkartTable[[#This Row],[Selling Price]]&lt;50000,"Mid Range","Premium"))</f>
        <v>Mid Range</v>
      </c>
      <c r="M2641" t="str">
        <f>IF(FlipkartTable[[#This Row],[Rating]]&gt;4.5,"Excellent",IF(FlipkartTable[[#This Row],[Rating]]&gt;4,"Good",IF(FlipkartTable[[#This Row],[Rating]]&gt;3.5,"Average","Poor")))</f>
        <v>Good</v>
      </c>
    </row>
    <row r="2642" spans="1:13" x14ac:dyDescent="0.35">
      <c r="A2642" t="s">
        <v>1181</v>
      </c>
      <c r="B2642" s="9" t="s">
        <v>1397</v>
      </c>
      <c r="C2642" t="s">
        <v>37</v>
      </c>
      <c r="D2642" t="s">
        <v>27</v>
      </c>
      <c r="E2642" t="s">
        <v>15</v>
      </c>
      <c r="F2642">
        <v>4.3</v>
      </c>
      <c r="G2642">
        <v>22189</v>
      </c>
      <c r="H2642">
        <v>22189</v>
      </c>
      <c r="I2642">
        <f>FlipkartTable[[#This Row],[Original Price]]-FlipkartTable[[#This Row],[Selling Price]]</f>
        <v>0</v>
      </c>
      <c r="J2642" s="4">
        <f>(FlipkartTable[[#This Row],[Original Price]]-FlipkartTable[[#This Row],[Selling Price]])/FlipkartTable[[#This Row],[Original Price]]</f>
        <v>0</v>
      </c>
      <c r="K2642">
        <f>(FlipkartTable[[#This Row],[Rating]]/FlipkartTable[[#This Row],[Selling Price]])*1000</f>
        <v>0.19378971562485917</v>
      </c>
      <c r="L2642" t="str">
        <f>IF(FlipkartTable[[#This Row],[Selling Price]]&lt;15000,"Budget",IF(FlipkartTable[[#This Row],[Selling Price]]&lt;50000,"Mid Range","Premium"))</f>
        <v>Mid Range</v>
      </c>
      <c r="M2642" t="str">
        <f>IF(FlipkartTable[[#This Row],[Rating]]&gt;4.5,"Excellent",IF(FlipkartTable[[#This Row],[Rating]]&gt;4,"Good",IF(FlipkartTable[[#This Row],[Rating]]&gt;3.5,"Average","Poor")))</f>
        <v>Good</v>
      </c>
    </row>
    <row r="2643" spans="1:13" x14ac:dyDescent="0.35">
      <c r="A2643" t="s">
        <v>1181</v>
      </c>
      <c r="B2643" s="9" t="s">
        <v>1397</v>
      </c>
      <c r="C2643" t="s">
        <v>1399</v>
      </c>
      <c r="D2643" t="s">
        <v>27</v>
      </c>
      <c r="E2643" t="s">
        <v>1400</v>
      </c>
      <c r="F2643">
        <v>4.2</v>
      </c>
      <c r="G2643">
        <v>22163</v>
      </c>
      <c r="H2643">
        <v>22163</v>
      </c>
      <c r="I2643">
        <f>FlipkartTable[[#This Row],[Original Price]]-FlipkartTable[[#This Row],[Selling Price]]</f>
        <v>0</v>
      </c>
      <c r="J2643" s="4">
        <f>(FlipkartTable[[#This Row],[Original Price]]-FlipkartTable[[#This Row],[Selling Price]])/FlipkartTable[[#This Row],[Original Price]]</f>
        <v>0</v>
      </c>
      <c r="K2643">
        <f>(FlipkartTable[[#This Row],[Rating]]/FlipkartTable[[#This Row],[Selling Price]])*1000</f>
        <v>0.18950503090736814</v>
      </c>
      <c r="L2643" t="str">
        <f>IF(FlipkartTable[[#This Row],[Selling Price]]&lt;15000,"Budget",IF(FlipkartTable[[#This Row],[Selling Price]]&lt;50000,"Mid Range","Premium"))</f>
        <v>Mid Range</v>
      </c>
      <c r="M2643" t="str">
        <f>IF(FlipkartTable[[#This Row],[Rating]]&gt;4.5,"Excellent",IF(FlipkartTable[[#This Row],[Rating]]&gt;4,"Good",IF(FlipkartTable[[#This Row],[Rating]]&gt;3.5,"Average","Poor")))</f>
        <v>Good</v>
      </c>
    </row>
    <row r="2644" spans="1:13" x14ac:dyDescent="0.35">
      <c r="A2644" t="s">
        <v>1181</v>
      </c>
      <c r="B2644" s="9" t="s">
        <v>1402</v>
      </c>
      <c r="C2644" t="s">
        <v>1258</v>
      </c>
      <c r="D2644" t="s">
        <v>11</v>
      </c>
      <c r="E2644" t="s">
        <v>12</v>
      </c>
      <c r="F2644">
        <v>4.3</v>
      </c>
      <c r="G2644">
        <v>15998</v>
      </c>
      <c r="H2644">
        <v>15998</v>
      </c>
      <c r="I2644">
        <f>FlipkartTable[[#This Row],[Original Price]]-FlipkartTable[[#This Row],[Selling Price]]</f>
        <v>0</v>
      </c>
      <c r="J2644" s="4">
        <f>(FlipkartTable[[#This Row],[Original Price]]-FlipkartTable[[#This Row],[Selling Price]])/FlipkartTable[[#This Row],[Original Price]]</f>
        <v>0</v>
      </c>
      <c r="K2644">
        <f>(FlipkartTable[[#This Row],[Rating]]/FlipkartTable[[#This Row],[Selling Price]])*1000</f>
        <v>0.26878359794974371</v>
      </c>
      <c r="L2644" t="str">
        <f>IF(FlipkartTable[[#This Row],[Selling Price]]&lt;15000,"Budget",IF(FlipkartTable[[#This Row],[Selling Price]]&lt;50000,"Mid Range","Premium"))</f>
        <v>Mid Range</v>
      </c>
      <c r="M2644" t="str">
        <f>IF(FlipkartTable[[#This Row],[Rating]]&gt;4.5,"Excellent",IF(FlipkartTable[[#This Row],[Rating]]&gt;4,"Good",IF(FlipkartTable[[#This Row],[Rating]]&gt;3.5,"Average","Poor")))</f>
        <v>Good</v>
      </c>
    </row>
    <row r="2645" spans="1:13" x14ac:dyDescent="0.35">
      <c r="A2645" t="s">
        <v>1181</v>
      </c>
      <c r="B2645" s="9" t="s">
        <v>1402</v>
      </c>
      <c r="C2645" t="s">
        <v>1258</v>
      </c>
      <c r="D2645" t="s">
        <v>11</v>
      </c>
      <c r="E2645" t="s">
        <v>15</v>
      </c>
      <c r="F2645">
        <v>4.3</v>
      </c>
      <c r="G2645">
        <v>14990</v>
      </c>
      <c r="H2645">
        <v>14990</v>
      </c>
      <c r="I2645">
        <f>FlipkartTable[[#This Row],[Original Price]]-FlipkartTable[[#This Row],[Selling Price]]</f>
        <v>0</v>
      </c>
      <c r="J2645" s="4">
        <f>(FlipkartTable[[#This Row],[Original Price]]-FlipkartTable[[#This Row],[Selling Price]])/FlipkartTable[[#This Row],[Original Price]]</f>
        <v>0</v>
      </c>
      <c r="K2645">
        <f>(FlipkartTable[[#This Row],[Rating]]/FlipkartTable[[#This Row],[Selling Price]])*1000</f>
        <v>0.28685790527018012</v>
      </c>
      <c r="L2645" t="str">
        <f>IF(FlipkartTable[[#This Row],[Selling Price]]&lt;15000,"Budget",IF(FlipkartTable[[#This Row],[Selling Price]]&lt;50000,"Mid Range","Premium"))</f>
        <v>Budget</v>
      </c>
      <c r="M2645" t="str">
        <f>IF(FlipkartTable[[#This Row],[Rating]]&gt;4.5,"Excellent",IF(FlipkartTable[[#This Row],[Rating]]&gt;4,"Good",IF(FlipkartTable[[#This Row],[Rating]]&gt;3.5,"Average","Poor")))</f>
        <v>Good</v>
      </c>
    </row>
    <row r="2646" spans="1:13" x14ac:dyDescent="0.35">
      <c r="A2646" t="s">
        <v>1181</v>
      </c>
      <c r="B2646" s="9" t="s">
        <v>1403</v>
      </c>
      <c r="C2646" t="s">
        <v>734</v>
      </c>
      <c r="D2646" t="s">
        <v>20</v>
      </c>
      <c r="E2646" t="s">
        <v>21</v>
      </c>
      <c r="F2646">
        <v>4.3</v>
      </c>
      <c r="G2646">
        <v>8599</v>
      </c>
      <c r="H2646">
        <v>8999</v>
      </c>
      <c r="I2646">
        <f>FlipkartTable[[#This Row],[Original Price]]-FlipkartTable[[#This Row],[Selling Price]]</f>
        <v>400</v>
      </c>
      <c r="J2646" s="4">
        <f>(FlipkartTable[[#This Row],[Original Price]]-FlipkartTable[[#This Row],[Selling Price]])/FlipkartTable[[#This Row],[Original Price]]</f>
        <v>4.4449383264807199E-2</v>
      </c>
      <c r="K2646">
        <f>(FlipkartTable[[#This Row],[Rating]]/FlipkartTable[[#This Row],[Selling Price]])*1000</f>
        <v>0.50005814629608092</v>
      </c>
      <c r="L2646" t="str">
        <f>IF(FlipkartTable[[#This Row],[Selling Price]]&lt;15000,"Budget",IF(FlipkartTable[[#This Row],[Selling Price]]&lt;50000,"Mid Range","Premium"))</f>
        <v>Budget</v>
      </c>
      <c r="M2646" t="str">
        <f>IF(FlipkartTable[[#This Row],[Rating]]&gt;4.5,"Excellent",IF(FlipkartTable[[#This Row],[Rating]]&gt;4,"Good",IF(FlipkartTable[[#This Row],[Rating]]&gt;3.5,"Average","Poor")))</f>
        <v>Good</v>
      </c>
    </row>
    <row r="2647" spans="1:13" x14ac:dyDescent="0.35">
      <c r="A2647" t="s">
        <v>1181</v>
      </c>
      <c r="B2647" s="9" t="s">
        <v>1404</v>
      </c>
      <c r="C2647" t="s">
        <v>1405</v>
      </c>
      <c r="D2647" t="s">
        <v>27</v>
      </c>
      <c r="E2647" t="s">
        <v>15</v>
      </c>
      <c r="F2647">
        <v>4.4000000000000004</v>
      </c>
      <c r="G2647">
        <v>27999</v>
      </c>
      <c r="H2647">
        <v>27999</v>
      </c>
      <c r="I2647">
        <f>FlipkartTable[[#This Row],[Original Price]]-FlipkartTable[[#This Row],[Selling Price]]</f>
        <v>0</v>
      </c>
      <c r="J2647" s="4">
        <f>(FlipkartTable[[#This Row],[Original Price]]-FlipkartTable[[#This Row],[Selling Price]])/FlipkartTable[[#This Row],[Original Price]]</f>
        <v>0</v>
      </c>
      <c r="K2647">
        <f>(FlipkartTable[[#This Row],[Rating]]/FlipkartTable[[#This Row],[Selling Price]])*1000</f>
        <v>0.15714846958819959</v>
      </c>
      <c r="L2647" t="str">
        <f>IF(FlipkartTable[[#This Row],[Selling Price]]&lt;15000,"Budget",IF(FlipkartTable[[#This Row],[Selling Price]]&lt;50000,"Mid Range","Premium"))</f>
        <v>Mid Range</v>
      </c>
      <c r="M2647" t="str">
        <f>IF(FlipkartTable[[#This Row],[Rating]]&gt;4.5,"Excellent",IF(FlipkartTable[[#This Row],[Rating]]&gt;4,"Good",IF(FlipkartTable[[#This Row],[Rating]]&gt;3.5,"Average","Poor")))</f>
        <v>Good</v>
      </c>
    </row>
    <row r="2648" spans="1:13" x14ac:dyDescent="0.35">
      <c r="A2648" t="s">
        <v>1181</v>
      </c>
      <c r="B2648" s="9" t="s">
        <v>1404</v>
      </c>
      <c r="C2648" t="s">
        <v>1191</v>
      </c>
      <c r="D2648" t="s">
        <v>14</v>
      </c>
      <c r="E2648" t="s">
        <v>15</v>
      </c>
      <c r="F2648">
        <v>4.3</v>
      </c>
      <c r="G2648">
        <v>23990</v>
      </c>
      <c r="H2648">
        <v>23990</v>
      </c>
      <c r="I2648">
        <f>FlipkartTable[[#This Row],[Original Price]]-FlipkartTable[[#This Row],[Selling Price]]</f>
        <v>0</v>
      </c>
      <c r="J2648" s="4">
        <f>(FlipkartTable[[#This Row],[Original Price]]-FlipkartTable[[#This Row],[Selling Price]])/FlipkartTable[[#This Row],[Original Price]]</f>
        <v>0</v>
      </c>
      <c r="K2648">
        <f>(FlipkartTable[[#This Row],[Rating]]/FlipkartTable[[#This Row],[Selling Price]])*1000</f>
        <v>0.17924135056273446</v>
      </c>
      <c r="L2648" t="str">
        <f>IF(FlipkartTable[[#This Row],[Selling Price]]&lt;15000,"Budget",IF(FlipkartTable[[#This Row],[Selling Price]]&lt;50000,"Mid Range","Premium"))</f>
        <v>Mid Range</v>
      </c>
      <c r="M2648" t="str">
        <f>IF(FlipkartTable[[#This Row],[Rating]]&gt;4.5,"Excellent",IF(FlipkartTable[[#This Row],[Rating]]&gt;4,"Good",IF(FlipkartTable[[#This Row],[Rating]]&gt;3.5,"Average","Poor")))</f>
        <v>Good</v>
      </c>
    </row>
    <row r="2649" spans="1:13" x14ac:dyDescent="0.35">
      <c r="A2649" t="s">
        <v>1181</v>
      </c>
      <c r="B2649" s="9" t="s">
        <v>1404</v>
      </c>
      <c r="C2649" t="s">
        <v>1193</v>
      </c>
      <c r="D2649" t="s">
        <v>14</v>
      </c>
      <c r="E2649" t="s">
        <v>15</v>
      </c>
      <c r="F2649">
        <v>4.3</v>
      </c>
      <c r="G2649">
        <v>25990</v>
      </c>
      <c r="H2649">
        <v>25990</v>
      </c>
      <c r="I2649">
        <f>FlipkartTable[[#This Row],[Original Price]]-FlipkartTable[[#This Row],[Selling Price]]</f>
        <v>0</v>
      </c>
      <c r="J2649" s="4">
        <f>(FlipkartTable[[#This Row],[Original Price]]-FlipkartTable[[#This Row],[Selling Price]])/FlipkartTable[[#This Row],[Original Price]]</f>
        <v>0</v>
      </c>
      <c r="K2649">
        <f>(FlipkartTable[[#This Row],[Rating]]/FlipkartTable[[#This Row],[Selling Price]])*1000</f>
        <v>0.16544824932666408</v>
      </c>
      <c r="L2649" t="str">
        <f>IF(FlipkartTable[[#This Row],[Selling Price]]&lt;15000,"Budget",IF(FlipkartTable[[#This Row],[Selling Price]]&lt;50000,"Mid Range","Premium"))</f>
        <v>Mid Range</v>
      </c>
      <c r="M2649" t="str">
        <f>IF(FlipkartTable[[#This Row],[Rating]]&gt;4.5,"Excellent",IF(FlipkartTable[[#This Row],[Rating]]&gt;4,"Good",IF(FlipkartTable[[#This Row],[Rating]]&gt;3.5,"Average","Poor")))</f>
        <v>Good</v>
      </c>
    </row>
    <row r="2650" spans="1:13" x14ac:dyDescent="0.35">
      <c r="A2650" t="s">
        <v>1181</v>
      </c>
      <c r="B2650" s="9" t="s">
        <v>1404</v>
      </c>
      <c r="C2650" t="s">
        <v>1191</v>
      </c>
      <c r="D2650" t="s">
        <v>27</v>
      </c>
      <c r="E2650" t="s">
        <v>15</v>
      </c>
      <c r="F2650">
        <v>4.3</v>
      </c>
      <c r="G2650">
        <v>25684</v>
      </c>
      <c r="H2650">
        <v>25684</v>
      </c>
      <c r="I2650">
        <f>FlipkartTable[[#This Row],[Original Price]]-FlipkartTable[[#This Row],[Selling Price]]</f>
        <v>0</v>
      </c>
      <c r="J2650" s="4">
        <f>(FlipkartTable[[#This Row],[Original Price]]-FlipkartTable[[#This Row],[Selling Price]])/FlipkartTable[[#This Row],[Original Price]]</f>
        <v>0</v>
      </c>
      <c r="K2650">
        <f>(FlipkartTable[[#This Row],[Rating]]/FlipkartTable[[#This Row],[Selling Price]])*1000</f>
        <v>0.1674194050770908</v>
      </c>
      <c r="L2650" t="str">
        <f>IF(FlipkartTable[[#This Row],[Selling Price]]&lt;15000,"Budget",IF(FlipkartTable[[#This Row],[Selling Price]]&lt;50000,"Mid Range","Premium"))</f>
        <v>Mid Range</v>
      </c>
      <c r="M2650" t="str">
        <f>IF(FlipkartTable[[#This Row],[Rating]]&gt;4.5,"Excellent",IF(FlipkartTable[[#This Row],[Rating]]&gt;4,"Good",IF(FlipkartTable[[#This Row],[Rating]]&gt;3.5,"Average","Poor")))</f>
        <v>Good</v>
      </c>
    </row>
    <row r="2651" spans="1:13" x14ac:dyDescent="0.35">
      <c r="A2651" t="s">
        <v>1181</v>
      </c>
      <c r="B2651" s="9" t="s">
        <v>1404</v>
      </c>
      <c r="C2651" t="s">
        <v>1405</v>
      </c>
      <c r="D2651" t="s">
        <v>14</v>
      </c>
      <c r="E2651" t="s">
        <v>15</v>
      </c>
      <c r="F2651">
        <v>4.4000000000000004</v>
      </c>
      <c r="G2651">
        <v>24798</v>
      </c>
      <c r="H2651">
        <v>24798</v>
      </c>
      <c r="I2651">
        <f>FlipkartTable[[#This Row],[Original Price]]-FlipkartTable[[#This Row],[Selling Price]]</f>
        <v>0</v>
      </c>
      <c r="J2651" s="4">
        <f>(FlipkartTable[[#This Row],[Original Price]]-FlipkartTable[[#This Row],[Selling Price]])/FlipkartTable[[#This Row],[Original Price]]</f>
        <v>0</v>
      </c>
      <c r="K2651">
        <f>(FlipkartTable[[#This Row],[Rating]]/FlipkartTable[[#This Row],[Selling Price]])*1000</f>
        <v>0.17743366400516172</v>
      </c>
      <c r="L2651" t="str">
        <f>IF(FlipkartTable[[#This Row],[Selling Price]]&lt;15000,"Budget",IF(FlipkartTable[[#This Row],[Selling Price]]&lt;50000,"Mid Range","Premium"))</f>
        <v>Mid Range</v>
      </c>
      <c r="M2651" t="str">
        <f>IF(FlipkartTable[[#This Row],[Rating]]&gt;4.5,"Excellent",IF(FlipkartTable[[#This Row],[Rating]]&gt;4,"Good",IF(FlipkartTable[[#This Row],[Rating]]&gt;3.5,"Average","Poor")))</f>
        <v>Good</v>
      </c>
    </row>
    <row r="2652" spans="1:13" x14ac:dyDescent="0.35">
      <c r="A2652" t="s">
        <v>1181</v>
      </c>
      <c r="B2652" s="9" t="s">
        <v>1404</v>
      </c>
      <c r="C2652" t="s">
        <v>1192</v>
      </c>
      <c r="D2652" t="s">
        <v>14</v>
      </c>
      <c r="E2652" t="s">
        <v>15</v>
      </c>
      <c r="F2652">
        <v>4.4000000000000004</v>
      </c>
      <c r="G2652">
        <v>28999</v>
      </c>
      <c r="H2652">
        <v>28999</v>
      </c>
      <c r="I2652">
        <f>FlipkartTable[[#This Row],[Original Price]]-FlipkartTable[[#This Row],[Selling Price]]</f>
        <v>0</v>
      </c>
      <c r="J2652" s="4">
        <f>(FlipkartTable[[#This Row],[Original Price]]-FlipkartTable[[#This Row],[Selling Price]])/FlipkartTable[[#This Row],[Original Price]]</f>
        <v>0</v>
      </c>
      <c r="K2652">
        <f>(FlipkartTable[[#This Row],[Rating]]/FlipkartTable[[#This Row],[Selling Price]])*1000</f>
        <v>0.15172936997827513</v>
      </c>
      <c r="L2652" t="str">
        <f>IF(FlipkartTable[[#This Row],[Selling Price]]&lt;15000,"Budget",IF(FlipkartTable[[#This Row],[Selling Price]]&lt;50000,"Mid Range","Premium"))</f>
        <v>Mid Range</v>
      </c>
      <c r="M2652" t="str">
        <f>IF(FlipkartTable[[#This Row],[Rating]]&gt;4.5,"Excellent",IF(FlipkartTable[[#This Row],[Rating]]&gt;4,"Good",IF(FlipkartTable[[#This Row],[Rating]]&gt;3.5,"Average","Poor")))</f>
        <v>Good</v>
      </c>
    </row>
    <row r="2653" spans="1:13" x14ac:dyDescent="0.35">
      <c r="A2653" t="s">
        <v>1181</v>
      </c>
      <c r="B2653" s="9" t="s">
        <v>1403</v>
      </c>
      <c r="C2653" t="s">
        <v>411</v>
      </c>
      <c r="D2653" t="s">
        <v>35</v>
      </c>
      <c r="E2653" t="s">
        <v>21</v>
      </c>
      <c r="F2653">
        <v>4.3</v>
      </c>
      <c r="G2653">
        <v>7798</v>
      </c>
      <c r="H2653">
        <v>7798</v>
      </c>
      <c r="I2653">
        <f>FlipkartTable[[#This Row],[Original Price]]-FlipkartTable[[#This Row],[Selling Price]]</f>
        <v>0</v>
      </c>
      <c r="J2653" s="4">
        <f>(FlipkartTable[[#This Row],[Original Price]]-FlipkartTable[[#This Row],[Selling Price]])/FlipkartTable[[#This Row],[Original Price]]</f>
        <v>0</v>
      </c>
      <c r="K2653">
        <f>(FlipkartTable[[#This Row],[Rating]]/FlipkartTable[[#This Row],[Selling Price]])*1000</f>
        <v>0.5514234419081816</v>
      </c>
      <c r="L2653" t="str">
        <f>IF(FlipkartTable[[#This Row],[Selling Price]]&lt;15000,"Budget",IF(FlipkartTable[[#This Row],[Selling Price]]&lt;50000,"Mid Range","Premium"))</f>
        <v>Budget</v>
      </c>
      <c r="M2653" t="str">
        <f>IF(FlipkartTable[[#This Row],[Rating]]&gt;4.5,"Excellent",IF(FlipkartTable[[#This Row],[Rating]]&gt;4,"Good",IF(FlipkartTable[[#This Row],[Rating]]&gt;3.5,"Average","Poor")))</f>
        <v>Good</v>
      </c>
    </row>
    <row r="2654" spans="1:13" x14ac:dyDescent="0.35">
      <c r="A2654" t="s">
        <v>1181</v>
      </c>
      <c r="B2654" s="9" t="s">
        <v>1403</v>
      </c>
      <c r="C2654" t="s">
        <v>1183</v>
      </c>
      <c r="D2654" t="s">
        <v>20</v>
      </c>
      <c r="E2654" t="s">
        <v>21</v>
      </c>
      <c r="F2654">
        <v>4.3</v>
      </c>
      <c r="G2654">
        <v>7798</v>
      </c>
      <c r="H2654">
        <v>7798</v>
      </c>
      <c r="I2654">
        <f>FlipkartTable[[#This Row],[Original Price]]-FlipkartTable[[#This Row],[Selling Price]]</f>
        <v>0</v>
      </c>
      <c r="J2654" s="4">
        <f>(FlipkartTable[[#This Row],[Original Price]]-FlipkartTable[[#This Row],[Selling Price]])/FlipkartTable[[#This Row],[Original Price]]</f>
        <v>0</v>
      </c>
      <c r="K2654">
        <f>(FlipkartTable[[#This Row],[Rating]]/FlipkartTable[[#This Row],[Selling Price]])*1000</f>
        <v>0.5514234419081816</v>
      </c>
      <c r="L2654" t="str">
        <f>IF(FlipkartTable[[#This Row],[Selling Price]]&lt;15000,"Budget",IF(FlipkartTable[[#This Row],[Selling Price]]&lt;50000,"Mid Range","Premium"))</f>
        <v>Budget</v>
      </c>
      <c r="M2654" t="str">
        <f>IF(FlipkartTable[[#This Row],[Rating]]&gt;4.5,"Excellent",IF(FlipkartTable[[#This Row],[Rating]]&gt;4,"Good",IF(FlipkartTable[[#This Row],[Rating]]&gt;3.5,"Average","Poor")))</f>
        <v>Good</v>
      </c>
    </row>
    <row r="2655" spans="1:13" x14ac:dyDescent="0.35">
      <c r="A2655" t="s">
        <v>1181</v>
      </c>
      <c r="B2655" s="9" t="s">
        <v>1404</v>
      </c>
      <c r="C2655" t="s">
        <v>1192</v>
      </c>
      <c r="D2655" t="s">
        <v>27</v>
      </c>
      <c r="E2655" t="s">
        <v>15</v>
      </c>
      <c r="F2655">
        <v>4.4000000000000004</v>
      </c>
      <c r="G2655">
        <v>23999</v>
      </c>
      <c r="H2655">
        <v>23999</v>
      </c>
      <c r="I2655">
        <f>FlipkartTable[[#This Row],[Original Price]]-FlipkartTable[[#This Row],[Selling Price]]</f>
        <v>0</v>
      </c>
      <c r="J2655" s="4">
        <f>(FlipkartTable[[#This Row],[Original Price]]-FlipkartTable[[#This Row],[Selling Price]])/FlipkartTable[[#This Row],[Original Price]]</f>
        <v>0</v>
      </c>
      <c r="K2655">
        <f>(FlipkartTable[[#This Row],[Rating]]/FlipkartTable[[#This Row],[Selling Price]])*1000</f>
        <v>0.18334097254052253</v>
      </c>
      <c r="L2655" t="str">
        <f>IF(FlipkartTable[[#This Row],[Selling Price]]&lt;15000,"Budget",IF(FlipkartTable[[#This Row],[Selling Price]]&lt;50000,"Mid Range","Premium"))</f>
        <v>Mid Range</v>
      </c>
      <c r="M2655" t="str">
        <f>IF(FlipkartTable[[#This Row],[Rating]]&gt;4.5,"Excellent",IF(FlipkartTable[[#This Row],[Rating]]&gt;4,"Good",IF(FlipkartTable[[#This Row],[Rating]]&gt;3.5,"Average","Poor")))</f>
        <v>Good</v>
      </c>
    </row>
    <row r="2656" spans="1:13" x14ac:dyDescent="0.35">
      <c r="A2656" t="s">
        <v>1181</v>
      </c>
      <c r="B2656" s="9" t="s">
        <v>1404</v>
      </c>
      <c r="C2656" t="s">
        <v>1191</v>
      </c>
      <c r="D2656" t="s">
        <v>27</v>
      </c>
      <c r="E2656" t="s">
        <v>1400</v>
      </c>
      <c r="F2656">
        <v>4.3</v>
      </c>
      <c r="G2656">
        <v>25999</v>
      </c>
      <c r="H2656">
        <v>25999</v>
      </c>
      <c r="I2656">
        <f>FlipkartTable[[#This Row],[Original Price]]-FlipkartTable[[#This Row],[Selling Price]]</f>
        <v>0</v>
      </c>
      <c r="J2656" s="4">
        <f>(FlipkartTable[[#This Row],[Original Price]]-FlipkartTable[[#This Row],[Selling Price]])/FlipkartTable[[#This Row],[Original Price]]</f>
        <v>0</v>
      </c>
      <c r="K2656">
        <f>(FlipkartTable[[#This Row],[Rating]]/FlipkartTable[[#This Row],[Selling Price]])*1000</f>
        <v>0.16539097657602217</v>
      </c>
      <c r="L2656" t="str">
        <f>IF(FlipkartTable[[#This Row],[Selling Price]]&lt;15000,"Budget",IF(FlipkartTable[[#This Row],[Selling Price]]&lt;50000,"Mid Range","Premium"))</f>
        <v>Mid Range</v>
      </c>
      <c r="M2656" t="str">
        <f>IF(FlipkartTable[[#This Row],[Rating]]&gt;4.5,"Excellent",IF(FlipkartTable[[#This Row],[Rating]]&gt;4,"Good",IF(FlipkartTable[[#This Row],[Rating]]&gt;3.5,"Average","Poor")))</f>
        <v>Good</v>
      </c>
    </row>
    <row r="2657" spans="1:13" x14ac:dyDescent="0.35">
      <c r="A2657" t="s">
        <v>1181</v>
      </c>
      <c r="B2657" s="9" t="s">
        <v>1404</v>
      </c>
      <c r="C2657" t="s">
        <v>1193</v>
      </c>
      <c r="D2657" t="s">
        <v>27</v>
      </c>
      <c r="E2657" t="s">
        <v>1401</v>
      </c>
      <c r="F2657">
        <v>4.3</v>
      </c>
      <c r="G2657">
        <v>25999</v>
      </c>
      <c r="H2657">
        <v>25999</v>
      </c>
      <c r="I2657">
        <f>FlipkartTable[[#This Row],[Original Price]]-FlipkartTable[[#This Row],[Selling Price]]</f>
        <v>0</v>
      </c>
      <c r="J2657" s="4">
        <f>(FlipkartTable[[#This Row],[Original Price]]-FlipkartTable[[#This Row],[Selling Price]])/FlipkartTable[[#This Row],[Original Price]]</f>
        <v>0</v>
      </c>
      <c r="K2657">
        <f>(FlipkartTable[[#This Row],[Rating]]/FlipkartTable[[#This Row],[Selling Price]])*1000</f>
        <v>0.16539097657602217</v>
      </c>
      <c r="L2657" t="str">
        <f>IF(FlipkartTable[[#This Row],[Selling Price]]&lt;15000,"Budget",IF(FlipkartTable[[#This Row],[Selling Price]]&lt;50000,"Mid Range","Premium"))</f>
        <v>Mid Range</v>
      </c>
      <c r="M2657" t="str">
        <f>IF(FlipkartTable[[#This Row],[Rating]]&gt;4.5,"Excellent",IF(FlipkartTable[[#This Row],[Rating]]&gt;4,"Good",IF(FlipkartTable[[#This Row],[Rating]]&gt;3.5,"Average","Poor")))</f>
        <v>Good</v>
      </c>
    </row>
    <row r="2658" spans="1:13" x14ac:dyDescent="0.35">
      <c r="A2658" t="s">
        <v>1406</v>
      </c>
      <c r="B2658" s="9" t="s">
        <v>1407</v>
      </c>
      <c r="C2658" t="s">
        <v>1408</v>
      </c>
      <c r="D2658" t="s">
        <v>20</v>
      </c>
      <c r="E2658" t="s">
        <v>21</v>
      </c>
      <c r="F2658">
        <v>4.3</v>
      </c>
      <c r="G2658">
        <v>8299</v>
      </c>
      <c r="H2658">
        <v>9999</v>
      </c>
      <c r="I2658">
        <f>FlipkartTable[[#This Row],[Original Price]]-FlipkartTable[[#This Row],[Selling Price]]</f>
        <v>1700</v>
      </c>
      <c r="J2658" s="4">
        <f>(FlipkartTable[[#This Row],[Original Price]]-FlipkartTable[[#This Row],[Selling Price]])/FlipkartTable[[#This Row],[Original Price]]</f>
        <v>0.17001700170017001</v>
      </c>
      <c r="K2658">
        <f>(FlipkartTable[[#This Row],[Rating]]/FlipkartTable[[#This Row],[Selling Price]])*1000</f>
        <v>0.51813471502590669</v>
      </c>
      <c r="L2658" t="str">
        <f>IF(FlipkartTable[[#This Row],[Selling Price]]&lt;15000,"Budget",IF(FlipkartTable[[#This Row],[Selling Price]]&lt;50000,"Mid Range","Premium"))</f>
        <v>Budget</v>
      </c>
      <c r="M2658" t="str">
        <f>IF(FlipkartTable[[#This Row],[Rating]]&gt;4.5,"Excellent",IF(FlipkartTable[[#This Row],[Rating]]&gt;4,"Good",IF(FlipkartTable[[#This Row],[Rating]]&gt;3.5,"Average","Poor")))</f>
        <v>Good</v>
      </c>
    </row>
    <row r="2659" spans="1:13" x14ac:dyDescent="0.35">
      <c r="A2659" t="s">
        <v>1406</v>
      </c>
      <c r="B2659" s="9" t="s">
        <v>1407</v>
      </c>
      <c r="C2659" t="s">
        <v>1409</v>
      </c>
      <c r="D2659" t="s">
        <v>20</v>
      </c>
      <c r="E2659" t="s">
        <v>21</v>
      </c>
      <c r="F2659">
        <v>4.3</v>
      </c>
      <c r="G2659">
        <v>8299</v>
      </c>
      <c r="H2659">
        <v>9999</v>
      </c>
      <c r="I2659">
        <f>FlipkartTable[[#This Row],[Original Price]]-FlipkartTable[[#This Row],[Selling Price]]</f>
        <v>1700</v>
      </c>
      <c r="J2659" s="4">
        <f>(FlipkartTable[[#This Row],[Original Price]]-FlipkartTable[[#This Row],[Selling Price]])/FlipkartTable[[#This Row],[Original Price]]</f>
        <v>0.17001700170017001</v>
      </c>
      <c r="K2659">
        <f>(FlipkartTable[[#This Row],[Rating]]/FlipkartTable[[#This Row],[Selling Price]])*1000</f>
        <v>0.51813471502590669</v>
      </c>
      <c r="L2659" t="str">
        <f>IF(FlipkartTable[[#This Row],[Selling Price]]&lt;15000,"Budget",IF(FlipkartTable[[#This Row],[Selling Price]]&lt;50000,"Mid Range","Premium"))</f>
        <v>Budget</v>
      </c>
      <c r="M2659" t="str">
        <f>IF(FlipkartTable[[#This Row],[Rating]]&gt;4.5,"Excellent",IF(FlipkartTable[[#This Row],[Rating]]&gt;4,"Good",IF(FlipkartTable[[#This Row],[Rating]]&gt;3.5,"Average","Poor")))</f>
        <v>Good</v>
      </c>
    </row>
    <row r="2660" spans="1:13" x14ac:dyDescent="0.35">
      <c r="A2660" t="s">
        <v>1406</v>
      </c>
      <c r="B2660" s="9" t="s">
        <v>1407</v>
      </c>
      <c r="C2660" t="s">
        <v>1410</v>
      </c>
      <c r="D2660" t="s">
        <v>20</v>
      </c>
      <c r="E2660" t="s">
        <v>21</v>
      </c>
      <c r="F2660">
        <v>4.3</v>
      </c>
      <c r="G2660">
        <v>8299</v>
      </c>
      <c r="H2660">
        <v>9999</v>
      </c>
      <c r="I2660">
        <f>FlipkartTable[[#This Row],[Original Price]]-FlipkartTable[[#This Row],[Selling Price]]</f>
        <v>1700</v>
      </c>
      <c r="J2660" s="4">
        <f>(FlipkartTable[[#This Row],[Original Price]]-FlipkartTable[[#This Row],[Selling Price]])/FlipkartTable[[#This Row],[Original Price]]</f>
        <v>0.17001700170017001</v>
      </c>
      <c r="K2660">
        <f>(FlipkartTable[[#This Row],[Rating]]/FlipkartTable[[#This Row],[Selling Price]])*1000</f>
        <v>0.51813471502590669</v>
      </c>
      <c r="L2660" t="str">
        <f>IF(FlipkartTable[[#This Row],[Selling Price]]&lt;15000,"Budget",IF(FlipkartTable[[#This Row],[Selling Price]]&lt;50000,"Mid Range","Premium"))</f>
        <v>Budget</v>
      </c>
      <c r="M2660" t="str">
        <f>IF(FlipkartTable[[#This Row],[Rating]]&gt;4.5,"Excellent",IF(FlipkartTable[[#This Row],[Rating]]&gt;4,"Good",IF(FlipkartTable[[#This Row],[Rating]]&gt;3.5,"Average","Poor")))</f>
        <v>Good</v>
      </c>
    </row>
    <row r="2661" spans="1:13" x14ac:dyDescent="0.35">
      <c r="A2661" t="s">
        <v>1406</v>
      </c>
      <c r="B2661" s="9" t="s">
        <v>1411</v>
      </c>
      <c r="C2661" t="s">
        <v>1412</v>
      </c>
      <c r="D2661" t="s">
        <v>11</v>
      </c>
      <c r="E2661" t="s">
        <v>12</v>
      </c>
      <c r="F2661">
        <v>4.3</v>
      </c>
      <c r="G2661">
        <v>10999</v>
      </c>
      <c r="H2661">
        <v>13999</v>
      </c>
      <c r="I2661">
        <f>FlipkartTable[[#This Row],[Original Price]]-FlipkartTable[[#This Row],[Selling Price]]</f>
        <v>3000</v>
      </c>
      <c r="J2661" s="4">
        <f>(FlipkartTable[[#This Row],[Original Price]]-FlipkartTable[[#This Row],[Selling Price]])/FlipkartTable[[#This Row],[Original Price]]</f>
        <v>0.21430102150153582</v>
      </c>
      <c r="K2661">
        <f>(FlipkartTable[[#This Row],[Rating]]/FlipkartTable[[#This Row],[Selling Price]])*1000</f>
        <v>0.39094463133012086</v>
      </c>
      <c r="L2661" t="str">
        <f>IF(FlipkartTable[[#This Row],[Selling Price]]&lt;15000,"Budget",IF(FlipkartTable[[#This Row],[Selling Price]]&lt;50000,"Mid Range","Premium"))</f>
        <v>Budget</v>
      </c>
      <c r="M2661" t="str">
        <f>IF(FlipkartTable[[#This Row],[Rating]]&gt;4.5,"Excellent",IF(FlipkartTable[[#This Row],[Rating]]&gt;4,"Good",IF(FlipkartTable[[#This Row],[Rating]]&gt;3.5,"Average","Poor")))</f>
        <v>Good</v>
      </c>
    </row>
    <row r="2662" spans="1:13" x14ac:dyDescent="0.35">
      <c r="A2662" t="s">
        <v>1406</v>
      </c>
      <c r="B2662" s="9" t="s">
        <v>1411</v>
      </c>
      <c r="C2662" t="s">
        <v>1413</v>
      </c>
      <c r="D2662" t="s">
        <v>11</v>
      </c>
      <c r="E2662" t="s">
        <v>12</v>
      </c>
      <c r="F2662">
        <v>4.3</v>
      </c>
      <c r="G2662">
        <v>10999</v>
      </c>
      <c r="H2662">
        <v>13999</v>
      </c>
      <c r="I2662">
        <f>FlipkartTable[[#This Row],[Original Price]]-FlipkartTable[[#This Row],[Selling Price]]</f>
        <v>3000</v>
      </c>
      <c r="J2662" s="4">
        <f>(FlipkartTable[[#This Row],[Original Price]]-FlipkartTable[[#This Row],[Selling Price]])/FlipkartTable[[#This Row],[Original Price]]</f>
        <v>0.21430102150153582</v>
      </c>
      <c r="K2662">
        <f>(FlipkartTable[[#This Row],[Rating]]/FlipkartTable[[#This Row],[Selling Price]])*1000</f>
        <v>0.39094463133012086</v>
      </c>
      <c r="L2662" t="str">
        <f>IF(FlipkartTable[[#This Row],[Selling Price]]&lt;15000,"Budget",IF(FlipkartTable[[#This Row],[Selling Price]]&lt;50000,"Mid Range","Premium"))</f>
        <v>Budget</v>
      </c>
      <c r="M2662" t="str">
        <f>IF(FlipkartTable[[#This Row],[Rating]]&gt;4.5,"Excellent",IF(FlipkartTable[[#This Row],[Rating]]&gt;4,"Good",IF(FlipkartTable[[#This Row],[Rating]]&gt;3.5,"Average","Poor")))</f>
        <v>Good</v>
      </c>
    </row>
    <row r="2663" spans="1:13" x14ac:dyDescent="0.35">
      <c r="A2663" t="s">
        <v>1406</v>
      </c>
      <c r="B2663" s="9" t="s">
        <v>1414</v>
      </c>
      <c r="C2663" t="s">
        <v>1415</v>
      </c>
      <c r="D2663" t="s">
        <v>11</v>
      </c>
      <c r="E2663" t="s">
        <v>12</v>
      </c>
      <c r="F2663">
        <v>4.4000000000000004</v>
      </c>
      <c r="G2663">
        <v>9999</v>
      </c>
      <c r="H2663">
        <v>11999</v>
      </c>
      <c r="I2663">
        <f>FlipkartTable[[#This Row],[Original Price]]-FlipkartTable[[#This Row],[Selling Price]]</f>
        <v>2000</v>
      </c>
      <c r="J2663" s="4">
        <f>(FlipkartTable[[#This Row],[Original Price]]-FlipkartTable[[#This Row],[Selling Price]])/FlipkartTable[[#This Row],[Original Price]]</f>
        <v>0.16668055671305942</v>
      </c>
      <c r="K2663">
        <f>(FlipkartTable[[#This Row],[Rating]]/FlipkartTable[[#This Row],[Selling Price]])*1000</f>
        <v>0.44004400440044006</v>
      </c>
      <c r="L2663" t="str">
        <f>IF(FlipkartTable[[#This Row],[Selling Price]]&lt;15000,"Budget",IF(FlipkartTable[[#This Row],[Selling Price]]&lt;50000,"Mid Range","Premium"))</f>
        <v>Budget</v>
      </c>
      <c r="M2663" t="str">
        <f>IF(FlipkartTable[[#This Row],[Rating]]&gt;4.5,"Excellent",IF(FlipkartTable[[#This Row],[Rating]]&gt;4,"Good",IF(FlipkartTable[[#This Row],[Rating]]&gt;3.5,"Average","Poor")))</f>
        <v>Good</v>
      </c>
    </row>
    <row r="2664" spans="1:13" x14ac:dyDescent="0.35">
      <c r="A2664" t="s">
        <v>1406</v>
      </c>
      <c r="B2664" s="9" t="s">
        <v>1414</v>
      </c>
      <c r="C2664" t="s">
        <v>1416</v>
      </c>
      <c r="D2664" t="s">
        <v>11</v>
      </c>
      <c r="E2664" t="s">
        <v>12</v>
      </c>
      <c r="F2664">
        <v>4.4000000000000004</v>
      </c>
      <c r="G2664">
        <v>9999</v>
      </c>
      <c r="H2664">
        <v>11999</v>
      </c>
      <c r="I2664">
        <f>FlipkartTable[[#This Row],[Original Price]]-FlipkartTable[[#This Row],[Selling Price]]</f>
        <v>2000</v>
      </c>
      <c r="J2664" s="4">
        <f>(FlipkartTable[[#This Row],[Original Price]]-FlipkartTable[[#This Row],[Selling Price]])/FlipkartTable[[#This Row],[Original Price]]</f>
        <v>0.16668055671305942</v>
      </c>
      <c r="K2664">
        <f>(FlipkartTable[[#This Row],[Rating]]/FlipkartTable[[#This Row],[Selling Price]])*1000</f>
        <v>0.44004400440044006</v>
      </c>
      <c r="L2664" t="str">
        <f>IF(FlipkartTable[[#This Row],[Selling Price]]&lt;15000,"Budget",IF(FlipkartTable[[#This Row],[Selling Price]]&lt;50000,"Mid Range","Premium"))</f>
        <v>Budget</v>
      </c>
      <c r="M2664" t="str">
        <f>IF(FlipkartTable[[#This Row],[Rating]]&gt;4.5,"Excellent",IF(FlipkartTable[[#This Row],[Rating]]&gt;4,"Good",IF(FlipkartTable[[#This Row],[Rating]]&gt;3.5,"Average","Poor")))</f>
        <v>Good</v>
      </c>
    </row>
    <row r="2665" spans="1:13" x14ac:dyDescent="0.35">
      <c r="A2665" t="s">
        <v>1406</v>
      </c>
      <c r="B2665" s="9" t="s">
        <v>1417</v>
      </c>
      <c r="C2665" t="s">
        <v>1410</v>
      </c>
      <c r="D2665" t="s">
        <v>14</v>
      </c>
      <c r="E2665" t="s">
        <v>12</v>
      </c>
      <c r="F2665">
        <v>4.3</v>
      </c>
      <c r="G2665">
        <v>10999</v>
      </c>
      <c r="H2665">
        <v>13999</v>
      </c>
      <c r="I2665">
        <f>FlipkartTable[[#This Row],[Original Price]]-FlipkartTable[[#This Row],[Selling Price]]</f>
        <v>3000</v>
      </c>
      <c r="J2665" s="4">
        <f>(FlipkartTable[[#This Row],[Original Price]]-FlipkartTable[[#This Row],[Selling Price]])/FlipkartTable[[#This Row],[Original Price]]</f>
        <v>0.21430102150153582</v>
      </c>
      <c r="K2665">
        <f>(FlipkartTable[[#This Row],[Rating]]/FlipkartTable[[#This Row],[Selling Price]])*1000</f>
        <v>0.39094463133012086</v>
      </c>
      <c r="L2665" t="str">
        <f>IF(FlipkartTable[[#This Row],[Selling Price]]&lt;15000,"Budget",IF(FlipkartTable[[#This Row],[Selling Price]]&lt;50000,"Mid Range","Premium"))</f>
        <v>Budget</v>
      </c>
      <c r="M2665" t="str">
        <f>IF(FlipkartTable[[#This Row],[Rating]]&gt;4.5,"Excellent",IF(FlipkartTable[[#This Row],[Rating]]&gt;4,"Good",IF(FlipkartTable[[#This Row],[Rating]]&gt;3.5,"Average","Poor")))</f>
        <v>Good</v>
      </c>
    </row>
    <row r="2666" spans="1:13" x14ac:dyDescent="0.35">
      <c r="A2666" t="s">
        <v>1406</v>
      </c>
      <c r="B2666" s="9" t="s">
        <v>1411</v>
      </c>
      <c r="C2666" t="s">
        <v>1409</v>
      </c>
      <c r="D2666" t="s">
        <v>11</v>
      </c>
      <c r="E2666" t="s">
        <v>12</v>
      </c>
      <c r="F2666">
        <v>4.3</v>
      </c>
      <c r="G2666">
        <v>10999</v>
      </c>
      <c r="H2666">
        <v>13999</v>
      </c>
      <c r="I2666">
        <f>FlipkartTable[[#This Row],[Original Price]]-FlipkartTable[[#This Row],[Selling Price]]</f>
        <v>3000</v>
      </c>
      <c r="J2666" s="4">
        <f>(FlipkartTable[[#This Row],[Original Price]]-FlipkartTable[[#This Row],[Selling Price]])/FlipkartTable[[#This Row],[Original Price]]</f>
        <v>0.21430102150153582</v>
      </c>
      <c r="K2666">
        <f>(FlipkartTable[[#This Row],[Rating]]/FlipkartTable[[#This Row],[Selling Price]])*1000</f>
        <v>0.39094463133012086</v>
      </c>
      <c r="L2666" t="str">
        <f>IF(FlipkartTable[[#This Row],[Selling Price]]&lt;15000,"Budget",IF(FlipkartTable[[#This Row],[Selling Price]]&lt;50000,"Mid Range","Premium"))</f>
        <v>Budget</v>
      </c>
      <c r="M2666" t="str">
        <f>IF(FlipkartTable[[#This Row],[Rating]]&gt;4.5,"Excellent",IF(FlipkartTable[[#This Row],[Rating]]&gt;4,"Good",IF(FlipkartTable[[#This Row],[Rating]]&gt;3.5,"Average","Poor")))</f>
        <v>Good</v>
      </c>
    </row>
    <row r="2667" spans="1:13" x14ac:dyDescent="0.35">
      <c r="A2667" t="s">
        <v>1406</v>
      </c>
      <c r="B2667" s="9" t="s">
        <v>1418</v>
      </c>
      <c r="C2667" t="s">
        <v>1410</v>
      </c>
      <c r="D2667" t="s">
        <v>35</v>
      </c>
      <c r="E2667" t="s">
        <v>21</v>
      </c>
      <c r="F2667">
        <v>4.3</v>
      </c>
      <c r="G2667">
        <v>7499</v>
      </c>
      <c r="H2667">
        <v>8999</v>
      </c>
      <c r="I2667">
        <f>FlipkartTable[[#This Row],[Original Price]]-FlipkartTable[[#This Row],[Selling Price]]</f>
        <v>1500</v>
      </c>
      <c r="J2667" s="4">
        <f>(FlipkartTable[[#This Row],[Original Price]]-FlipkartTable[[#This Row],[Selling Price]])/FlipkartTable[[#This Row],[Original Price]]</f>
        <v>0.166685187243027</v>
      </c>
      <c r="K2667">
        <f>(FlipkartTable[[#This Row],[Rating]]/FlipkartTable[[#This Row],[Selling Price]])*1000</f>
        <v>0.57340978797172948</v>
      </c>
      <c r="L2667" t="str">
        <f>IF(FlipkartTable[[#This Row],[Selling Price]]&lt;15000,"Budget",IF(FlipkartTable[[#This Row],[Selling Price]]&lt;50000,"Mid Range","Premium"))</f>
        <v>Budget</v>
      </c>
      <c r="M2667" t="str">
        <f>IF(FlipkartTable[[#This Row],[Rating]]&gt;4.5,"Excellent",IF(FlipkartTable[[#This Row],[Rating]]&gt;4,"Good",IF(FlipkartTable[[#This Row],[Rating]]&gt;3.5,"Average","Poor")))</f>
        <v>Good</v>
      </c>
    </row>
    <row r="2668" spans="1:13" x14ac:dyDescent="0.35">
      <c r="A2668" t="s">
        <v>1406</v>
      </c>
      <c r="B2668" s="9" t="s">
        <v>1419</v>
      </c>
      <c r="C2668" t="s">
        <v>1133</v>
      </c>
      <c r="D2668" t="s">
        <v>35</v>
      </c>
      <c r="E2668" t="s">
        <v>21</v>
      </c>
      <c r="F2668">
        <v>4.3</v>
      </c>
      <c r="G2668">
        <v>7499</v>
      </c>
      <c r="H2668">
        <v>8999</v>
      </c>
      <c r="I2668">
        <f>FlipkartTable[[#This Row],[Original Price]]-FlipkartTable[[#This Row],[Selling Price]]</f>
        <v>1500</v>
      </c>
      <c r="J2668" s="4">
        <f>(FlipkartTable[[#This Row],[Original Price]]-FlipkartTable[[#This Row],[Selling Price]])/FlipkartTable[[#This Row],[Original Price]]</f>
        <v>0.166685187243027</v>
      </c>
      <c r="K2668">
        <f>(FlipkartTable[[#This Row],[Rating]]/FlipkartTable[[#This Row],[Selling Price]])*1000</f>
        <v>0.57340978797172948</v>
      </c>
      <c r="L2668" t="str">
        <f>IF(FlipkartTable[[#This Row],[Selling Price]]&lt;15000,"Budget",IF(FlipkartTable[[#This Row],[Selling Price]]&lt;50000,"Mid Range","Premium"))</f>
        <v>Budget</v>
      </c>
      <c r="M2668" t="str">
        <f>IF(FlipkartTable[[#This Row],[Rating]]&gt;4.5,"Excellent",IF(FlipkartTable[[#This Row],[Rating]]&gt;4,"Good",IF(FlipkartTable[[#This Row],[Rating]]&gt;3.5,"Average","Poor")))</f>
        <v>Good</v>
      </c>
    </row>
    <row r="2669" spans="1:13" x14ac:dyDescent="0.35">
      <c r="A2669" t="s">
        <v>1406</v>
      </c>
      <c r="B2669" s="9" t="s">
        <v>1420</v>
      </c>
      <c r="C2669" t="s">
        <v>121</v>
      </c>
      <c r="D2669" t="s">
        <v>35</v>
      </c>
      <c r="E2669" t="s">
        <v>21</v>
      </c>
      <c r="F2669">
        <v>4.3</v>
      </c>
      <c r="G2669">
        <v>7499</v>
      </c>
      <c r="H2669">
        <v>8999</v>
      </c>
      <c r="I2669">
        <f>FlipkartTable[[#This Row],[Original Price]]-FlipkartTable[[#This Row],[Selling Price]]</f>
        <v>1500</v>
      </c>
      <c r="J2669" s="4">
        <f>(FlipkartTable[[#This Row],[Original Price]]-FlipkartTable[[#This Row],[Selling Price]])/FlipkartTable[[#This Row],[Original Price]]</f>
        <v>0.166685187243027</v>
      </c>
      <c r="K2669">
        <f>(FlipkartTable[[#This Row],[Rating]]/FlipkartTable[[#This Row],[Selling Price]])*1000</f>
        <v>0.57340978797172948</v>
      </c>
      <c r="L2669" t="str">
        <f>IF(FlipkartTable[[#This Row],[Selling Price]]&lt;15000,"Budget",IF(FlipkartTable[[#This Row],[Selling Price]]&lt;50000,"Mid Range","Premium"))</f>
        <v>Budget</v>
      </c>
      <c r="M2669" t="str">
        <f>IF(FlipkartTable[[#This Row],[Rating]]&gt;4.5,"Excellent",IF(FlipkartTable[[#This Row],[Rating]]&gt;4,"Good",IF(FlipkartTable[[#This Row],[Rating]]&gt;3.5,"Average","Poor")))</f>
        <v>Good</v>
      </c>
    </row>
    <row r="2670" spans="1:13" x14ac:dyDescent="0.35">
      <c r="A2670" t="s">
        <v>1406</v>
      </c>
      <c r="B2670" s="9" t="s">
        <v>1421</v>
      </c>
      <c r="C2670" t="s">
        <v>1408</v>
      </c>
      <c r="D2670" t="s">
        <v>35</v>
      </c>
      <c r="E2670" t="s">
        <v>21</v>
      </c>
      <c r="F2670">
        <v>4.3</v>
      </c>
      <c r="G2670">
        <v>7499</v>
      </c>
      <c r="H2670">
        <v>8999</v>
      </c>
      <c r="I2670">
        <f>FlipkartTable[[#This Row],[Original Price]]-FlipkartTable[[#This Row],[Selling Price]]</f>
        <v>1500</v>
      </c>
      <c r="J2670" s="4">
        <f>(FlipkartTable[[#This Row],[Original Price]]-FlipkartTable[[#This Row],[Selling Price]])/FlipkartTable[[#This Row],[Original Price]]</f>
        <v>0.166685187243027</v>
      </c>
      <c r="K2670">
        <f>(FlipkartTable[[#This Row],[Rating]]/FlipkartTable[[#This Row],[Selling Price]])*1000</f>
        <v>0.57340978797172948</v>
      </c>
      <c r="L2670" t="str">
        <f>IF(FlipkartTable[[#This Row],[Selling Price]]&lt;15000,"Budget",IF(FlipkartTable[[#This Row],[Selling Price]]&lt;50000,"Mid Range","Premium"))</f>
        <v>Budget</v>
      </c>
      <c r="M2670" t="str">
        <f>IF(FlipkartTable[[#This Row],[Rating]]&gt;4.5,"Excellent",IF(FlipkartTable[[#This Row],[Rating]]&gt;4,"Good",IF(FlipkartTable[[#This Row],[Rating]]&gt;3.5,"Average","Poor")))</f>
        <v>Good</v>
      </c>
    </row>
    <row r="2671" spans="1:13" x14ac:dyDescent="0.35">
      <c r="A2671" t="s">
        <v>1406</v>
      </c>
      <c r="B2671" s="9" t="s">
        <v>1422</v>
      </c>
      <c r="C2671" t="s">
        <v>1124</v>
      </c>
      <c r="D2671" t="s">
        <v>14</v>
      </c>
      <c r="E2671" t="s">
        <v>15</v>
      </c>
      <c r="F2671">
        <v>4.5</v>
      </c>
      <c r="G2671">
        <v>14499</v>
      </c>
      <c r="H2671">
        <v>16999</v>
      </c>
      <c r="I2671">
        <f>FlipkartTable[[#This Row],[Original Price]]-FlipkartTable[[#This Row],[Selling Price]]</f>
        <v>2500</v>
      </c>
      <c r="J2671" s="4">
        <f>(FlipkartTable[[#This Row],[Original Price]]-FlipkartTable[[#This Row],[Selling Price]])/FlipkartTable[[#This Row],[Original Price]]</f>
        <v>0.14706747455732691</v>
      </c>
      <c r="K2671">
        <f>(FlipkartTable[[#This Row],[Rating]]/FlipkartTable[[#This Row],[Selling Price]])*1000</f>
        <v>0.31036623215394166</v>
      </c>
      <c r="L2671" t="str">
        <f>IF(FlipkartTable[[#This Row],[Selling Price]]&lt;15000,"Budget",IF(FlipkartTable[[#This Row],[Selling Price]]&lt;50000,"Mid Range","Premium"))</f>
        <v>Budget</v>
      </c>
      <c r="M2671" t="str">
        <f>IF(FlipkartTable[[#This Row],[Rating]]&gt;4.5,"Excellent",IF(FlipkartTable[[#This Row],[Rating]]&gt;4,"Good",IF(FlipkartTable[[#This Row],[Rating]]&gt;3.5,"Average","Poor")))</f>
        <v>Good</v>
      </c>
    </row>
    <row r="2672" spans="1:13" x14ac:dyDescent="0.35">
      <c r="A2672" t="s">
        <v>1406</v>
      </c>
      <c r="B2672" s="9" t="s">
        <v>1423</v>
      </c>
      <c r="C2672" t="s">
        <v>1424</v>
      </c>
      <c r="D2672" t="s">
        <v>35</v>
      </c>
      <c r="E2672" t="s">
        <v>21</v>
      </c>
      <c r="F2672">
        <v>4.4000000000000004</v>
      </c>
      <c r="G2672">
        <v>7199</v>
      </c>
      <c r="H2672">
        <v>7999</v>
      </c>
      <c r="I2672">
        <f>FlipkartTable[[#This Row],[Original Price]]-FlipkartTable[[#This Row],[Selling Price]]</f>
        <v>800</v>
      </c>
      <c r="J2672" s="4">
        <f>(FlipkartTable[[#This Row],[Original Price]]-FlipkartTable[[#This Row],[Selling Price]])/FlipkartTable[[#This Row],[Original Price]]</f>
        <v>0.10001250156269534</v>
      </c>
      <c r="K2672">
        <f>(FlipkartTable[[#This Row],[Rating]]/FlipkartTable[[#This Row],[Selling Price]])*1000</f>
        <v>0.61119599944436731</v>
      </c>
      <c r="L2672" t="str">
        <f>IF(FlipkartTable[[#This Row],[Selling Price]]&lt;15000,"Budget",IF(FlipkartTable[[#This Row],[Selling Price]]&lt;50000,"Mid Range","Premium"))</f>
        <v>Budget</v>
      </c>
      <c r="M2672" t="str">
        <f>IF(FlipkartTable[[#This Row],[Rating]]&gt;4.5,"Excellent",IF(FlipkartTable[[#This Row],[Rating]]&gt;4,"Good",IF(FlipkartTable[[#This Row],[Rating]]&gt;3.5,"Average","Poor")))</f>
        <v>Good</v>
      </c>
    </row>
    <row r="2673" spans="1:13" x14ac:dyDescent="0.35">
      <c r="A2673" t="s">
        <v>1406</v>
      </c>
      <c r="B2673" s="9" t="s">
        <v>1423</v>
      </c>
      <c r="C2673" t="s">
        <v>68</v>
      </c>
      <c r="D2673" t="s">
        <v>35</v>
      </c>
      <c r="E2673" t="s">
        <v>21</v>
      </c>
      <c r="F2673">
        <v>4.4000000000000004</v>
      </c>
      <c r="G2673">
        <v>7199</v>
      </c>
      <c r="H2673">
        <v>7999</v>
      </c>
      <c r="I2673">
        <f>FlipkartTable[[#This Row],[Original Price]]-FlipkartTable[[#This Row],[Selling Price]]</f>
        <v>800</v>
      </c>
      <c r="J2673" s="4">
        <f>(FlipkartTable[[#This Row],[Original Price]]-FlipkartTable[[#This Row],[Selling Price]])/FlipkartTable[[#This Row],[Original Price]]</f>
        <v>0.10001250156269534</v>
      </c>
      <c r="K2673">
        <f>(FlipkartTable[[#This Row],[Rating]]/FlipkartTable[[#This Row],[Selling Price]])*1000</f>
        <v>0.61119599944436731</v>
      </c>
      <c r="L2673" t="str">
        <f>IF(FlipkartTable[[#This Row],[Selling Price]]&lt;15000,"Budget",IF(FlipkartTable[[#This Row],[Selling Price]]&lt;50000,"Mid Range","Premium"))</f>
        <v>Budget</v>
      </c>
      <c r="M2673" t="str">
        <f>IF(FlipkartTable[[#This Row],[Rating]]&gt;4.5,"Excellent",IF(FlipkartTable[[#This Row],[Rating]]&gt;4,"Good",IF(FlipkartTable[[#This Row],[Rating]]&gt;3.5,"Average","Poor")))</f>
        <v>Good</v>
      </c>
    </row>
    <row r="2674" spans="1:13" x14ac:dyDescent="0.35">
      <c r="A2674" t="s">
        <v>1406</v>
      </c>
      <c r="B2674" s="9" t="s">
        <v>1423</v>
      </c>
      <c r="C2674" t="s">
        <v>1425</v>
      </c>
      <c r="D2674" t="s">
        <v>35</v>
      </c>
      <c r="E2674" t="s">
        <v>21</v>
      </c>
      <c r="F2674">
        <v>4.4000000000000004</v>
      </c>
      <c r="G2674">
        <v>7199</v>
      </c>
      <c r="H2674">
        <v>7999</v>
      </c>
      <c r="I2674">
        <f>FlipkartTable[[#This Row],[Original Price]]-FlipkartTable[[#This Row],[Selling Price]]</f>
        <v>800</v>
      </c>
      <c r="J2674" s="4">
        <f>(FlipkartTable[[#This Row],[Original Price]]-FlipkartTable[[#This Row],[Selling Price]])/FlipkartTable[[#This Row],[Original Price]]</f>
        <v>0.10001250156269534</v>
      </c>
      <c r="K2674">
        <f>(FlipkartTable[[#This Row],[Rating]]/FlipkartTable[[#This Row],[Selling Price]])*1000</f>
        <v>0.61119599944436731</v>
      </c>
      <c r="L2674" t="str">
        <f>IF(FlipkartTable[[#This Row],[Selling Price]]&lt;15000,"Budget",IF(FlipkartTable[[#This Row],[Selling Price]]&lt;50000,"Mid Range","Premium"))</f>
        <v>Budget</v>
      </c>
      <c r="M2674" t="str">
        <f>IF(FlipkartTable[[#This Row],[Rating]]&gt;4.5,"Excellent",IF(FlipkartTable[[#This Row],[Rating]]&gt;4,"Good",IF(FlipkartTable[[#This Row],[Rating]]&gt;3.5,"Average","Poor")))</f>
        <v>Good</v>
      </c>
    </row>
    <row r="2675" spans="1:13" x14ac:dyDescent="0.35">
      <c r="A2675" t="s">
        <v>1406</v>
      </c>
      <c r="B2675" s="9" t="s">
        <v>1426</v>
      </c>
      <c r="C2675" t="s">
        <v>913</v>
      </c>
      <c r="D2675" t="s">
        <v>35</v>
      </c>
      <c r="E2675" t="s">
        <v>21</v>
      </c>
      <c r="F2675">
        <v>4.3</v>
      </c>
      <c r="G2675">
        <v>7990</v>
      </c>
      <c r="H2675">
        <v>7990</v>
      </c>
      <c r="I2675">
        <f>FlipkartTable[[#This Row],[Original Price]]-FlipkartTable[[#This Row],[Selling Price]]</f>
        <v>0</v>
      </c>
      <c r="J2675" s="4">
        <f>(FlipkartTable[[#This Row],[Original Price]]-FlipkartTable[[#This Row],[Selling Price]])/FlipkartTable[[#This Row],[Original Price]]</f>
        <v>0</v>
      </c>
      <c r="K2675">
        <f>(FlipkartTable[[#This Row],[Rating]]/FlipkartTable[[#This Row],[Selling Price]])*1000</f>
        <v>0.53817271589486848</v>
      </c>
      <c r="L2675" t="str">
        <f>IF(FlipkartTable[[#This Row],[Selling Price]]&lt;15000,"Budget",IF(FlipkartTable[[#This Row],[Selling Price]]&lt;50000,"Mid Range","Premium"))</f>
        <v>Budget</v>
      </c>
      <c r="M2675" t="str">
        <f>IF(FlipkartTable[[#This Row],[Rating]]&gt;4.5,"Excellent",IF(FlipkartTable[[#This Row],[Rating]]&gt;4,"Good",IF(FlipkartTable[[#This Row],[Rating]]&gt;3.5,"Average","Poor")))</f>
        <v>Good</v>
      </c>
    </row>
    <row r="2676" spans="1:13" x14ac:dyDescent="0.35">
      <c r="A2676" t="s">
        <v>1406</v>
      </c>
      <c r="B2676" s="9" t="s">
        <v>1411</v>
      </c>
      <c r="C2676" t="s">
        <v>1412</v>
      </c>
      <c r="D2676" t="s">
        <v>11</v>
      </c>
      <c r="E2676" t="s">
        <v>15</v>
      </c>
      <c r="F2676">
        <v>4.3</v>
      </c>
      <c r="G2676">
        <v>11999</v>
      </c>
      <c r="H2676">
        <v>14999</v>
      </c>
      <c r="I2676">
        <f>FlipkartTable[[#This Row],[Original Price]]-FlipkartTable[[#This Row],[Selling Price]]</f>
        <v>3000</v>
      </c>
      <c r="J2676" s="4">
        <f>(FlipkartTable[[#This Row],[Original Price]]-FlipkartTable[[#This Row],[Selling Price]])/FlipkartTable[[#This Row],[Original Price]]</f>
        <v>0.20001333422228149</v>
      </c>
      <c r="K2676">
        <f>(FlipkartTable[[#This Row],[Rating]]/FlipkartTable[[#This Row],[Selling Price]])*1000</f>
        <v>0.35836319693307778</v>
      </c>
      <c r="L2676" t="str">
        <f>IF(FlipkartTable[[#This Row],[Selling Price]]&lt;15000,"Budget",IF(FlipkartTable[[#This Row],[Selling Price]]&lt;50000,"Mid Range","Premium"))</f>
        <v>Budget</v>
      </c>
      <c r="M2676" t="str">
        <f>IF(FlipkartTable[[#This Row],[Rating]]&gt;4.5,"Excellent",IF(FlipkartTable[[#This Row],[Rating]]&gt;4,"Good",IF(FlipkartTable[[#This Row],[Rating]]&gt;3.5,"Average","Poor")))</f>
        <v>Good</v>
      </c>
    </row>
    <row r="2677" spans="1:13" x14ac:dyDescent="0.35">
      <c r="A2677" t="s">
        <v>1406</v>
      </c>
      <c r="B2677" s="9" t="s">
        <v>1411</v>
      </c>
      <c r="C2677" t="s">
        <v>1413</v>
      </c>
      <c r="D2677" t="s">
        <v>11</v>
      </c>
      <c r="E2677" t="s">
        <v>15</v>
      </c>
      <c r="F2677">
        <v>4.3</v>
      </c>
      <c r="G2677">
        <v>11999</v>
      </c>
      <c r="H2677">
        <v>14999</v>
      </c>
      <c r="I2677">
        <f>FlipkartTable[[#This Row],[Original Price]]-FlipkartTable[[#This Row],[Selling Price]]</f>
        <v>3000</v>
      </c>
      <c r="J2677" s="4">
        <f>(FlipkartTable[[#This Row],[Original Price]]-FlipkartTable[[#This Row],[Selling Price]])/FlipkartTable[[#This Row],[Original Price]]</f>
        <v>0.20001333422228149</v>
      </c>
      <c r="K2677">
        <f>(FlipkartTable[[#This Row],[Rating]]/FlipkartTable[[#This Row],[Selling Price]])*1000</f>
        <v>0.35836319693307778</v>
      </c>
      <c r="L2677" t="str">
        <f>IF(FlipkartTable[[#This Row],[Selling Price]]&lt;15000,"Budget",IF(FlipkartTable[[#This Row],[Selling Price]]&lt;50000,"Mid Range","Premium"))</f>
        <v>Budget</v>
      </c>
      <c r="M2677" t="str">
        <f>IF(FlipkartTable[[#This Row],[Rating]]&gt;4.5,"Excellent",IF(FlipkartTable[[#This Row],[Rating]]&gt;4,"Good",IF(FlipkartTable[[#This Row],[Rating]]&gt;3.5,"Average","Poor")))</f>
        <v>Good</v>
      </c>
    </row>
    <row r="2678" spans="1:13" x14ac:dyDescent="0.35">
      <c r="A2678" t="s">
        <v>1406</v>
      </c>
      <c r="B2678" s="9" t="s">
        <v>1411</v>
      </c>
      <c r="C2678" t="s">
        <v>1415</v>
      </c>
      <c r="D2678" t="s">
        <v>11</v>
      </c>
      <c r="E2678" t="s">
        <v>15</v>
      </c>
      <c r="F2678">
        <v>4.3</v>
      </c>
      <c r="G2678">
        <v>11999</v>
      </c>
      <c r="H2678">
        <v>14999</v>
      </c>
      <c r="I2678">
        <f>FlipkartTable[[#This Row],[Original Price]]-FlipkartTable[[#This Row],[Selling Price]]</f>
        <v>3000</v>
      </c>
      <c r="J2678" s="4">
        <f>(FlipkartTable[[#This Row],[Original Price]]-FlipkartTable[[#This Row],[Selling Price]])/FlipkartTable[[#This Row],[Original Price]]</f>
        <v>0.20001333422228149</v>
      </c>
      <c r="K2678">
        <f>(FlipkartTable[[#This Row],[Rating]]/FlipkartTable[[#This Row],[Selling Price]])*1000</f>
        <v>0.35836319693307778</v>
      </c>
      <c r="L2678" t="str">
        <f>IF(FlipkartTable[[#This Row],[Selling Price]]&lt;15000,"Budget",IF(FlipkartTable[[#This Row],[Selling Price]]&lt;50000,"Mid Range","Premium"))</f>
        <v>Budget</v>
      </c>
      <c r="M2678" t="str">
        <f>IF(FlipkartTable[[#This Row],[Rating]]&gt;4.5,"Excellent",IF(FlipkartTable[[#This Row],[Rating]]&gt;4,"Good",IF(FlipkartTable[[#This Row],[Rating]]&gt;3.5,"Average","Poor")))</f>
        <v>Good</v>
      </c>
    </row>
    <row r="2679" spans="1:13" x14ac:dyDescent="0.35">
      <c r="A2679" t="s">
        <v>1406</v>
      </c>
      <c r="B2679" s="9" t="s">
        <v>1417</v>
      </c>
      <c r="C2679" t="s">
        <v>1410</v>
      </c>
      <c r="D2679" t="s">
        <v>11</v>
      </c>
      <c r="E2679" t="s">
        <v>12</v>
      </c>
      <c r="F2679">
        <v>4.3</v>
      </c>
      <c r="G2679">
        <v>9999</v>
      </c>
      <c r="H2679">
        <v>12999</v>
      </c>
      <c r="I2679">
        <f>FlipkartTable[[#This Row],[Original Price]]-FlipkartTable[[#This Row],[Selling Price]]</f>
        <v>3000</v>
      </c>
      <c r="J2679" s="4">
        <f>(FlipkartTable[[#This Row],[Original Price]]-FlipkartTable[[#This Row],[Selling Price]])/FlipkartTable[[#This Row],[Original Price]]</f>
        <v>0.23078698361412417</v>
      </c>
      <c r="K2679">
        <f>(FlipkartTable[[#This Row],[Rating]]/FlipkartTable[[#This Row],[Selling Price]])*1000</f>
        <v>0.43004300430043002</v>
      </c>
      <c r="L2679" t="str">
        <f>IF(FlipkartTable[[#This Row],[Selling Price]]&lt;15000,"Budget",IF(FlipkartTable[[#This Row],[Selling Price]]&lt;50000,"Mid Range","Premium"))</f>
        <v>Budget</v>
      </c>
      <c r="M2679" t="str">
        <f>IF(FlipkartTable[[#This Row],[Rating]]&gt;4.5,"Excellent",IF(FlipkartTable[[#This Row],[Rating]]&gt;4,"Good",IF(FlipkartTable[[#This Row],[Rating]]&gt;3.5,"Average","Poor")))</f>
        <v>Good</v>
      </c>
    </row>
    <row r="2680" spans="1:13" x14ac:dyDescent="0.35">
      <c r="A2680" t="s">
        <v>1406</v>
      </c>
      <c r="B2680" s="9" t="s">
        <v>1422</v>
      </c>
      <c r="C2680" t="s">
        <v>1427</v>
      </c>
      <c r="D2680" t="s">
        <v>11</v>
      </c>
      <c r="E2680" t="s">
        <v>12</v>
      </c>
      <c r="F2680">
        <v>4.3</v>
      </c>
      <c r="G2680">
        <v>12499</v>
      </c>
      <c r="H2680">
        <v>14999</v>
      </c>
      <c r="I2680">
        <f>FlipkartTable[[#This Row],[Original Price]]-FlipkartTable[[#This Row],[Selling Price]]</f>
        <v>2500</v>
      </c>
      <c r="J2680" s="4">
        <f>(FlipkartTable[[#This Row],[Original Price]]-FlipkartTable[[#This Row],[Selling Price]])/FlipkartTable[[#This Row],[Original Price]]</f>
        <v>0.16667777851856791</v>
      </c>
      <c r="K2680">
        <f>(FlipkartTable[[#This Row],[Rating]]/FlipkartTable[[#This Row],[Selling Price]])*1000</f>
        <v>0.34402752220177613</v>
      </c>
      <c r="L2680" t="str">
        <f>IF(FlipkartTable[[#This Row],[Selling Price]]&lt;15000,"Budget",IF(FlipkartTable[[#This Row],[Selling Price]]&lt;50000,"Mid Range","Premium"))</f>
        <v>Budget</v>
      </c>
      <c r="M2680" t="str">
        <f>IF(FlipkartTable[[#This Row],[Rating]]&gt;4.5,"Excellent",IF(FlipkartTable[[#This Row],[Rating]]&gt;4,"Good",IF(FlipkartTable[[#This Row],[Rating]]&gt;3.5,"Average","Poor")))</f>
        <v>Good</v>
      </c>
    </row>
    <row r="2681" spans="1:13" x14ac:dyDescent="0.35">
      <c r="A2681" t="s">
        <v>1406</v>
      </c>
      <c r="B2681" s="9" t="s">
        <v>1422</v>
      </c>
      <c r="C2681" t="s">
        <v>1427</v>
      </c>
      <c r="D2681" t="s">
        <v>14</v>
      </c>
      <c r="E2681" t="s">
        <v>15</v>
      </c>
      <c r="F2681">
        <v>4.5</v>
      </c>
      <c r="G2681">
        <v>14499</v>
      </c>
      <c r="H2681">
        <v>16999</v>
      </c>
      <c r="I2681">
        <f>FlipkartTable[[#This Row],[Original Price]]-FlipkartTable[[#This Row],[Selling Price]]</f>
        <v>2500</v>
      </c>
      <c r="J2681" s="4">
        <f>(FlipkartTable[[#This Row],[Original Price]]-FlipkartTable[[#This Row],[Selling Price]])/FlipkartTable[[#This Row],[Original Price]]</f>
        <v>0.14706747455732691</v>
      </c>
      <c r="K2681">
        <f>(FlipkartTable[[#This Row],[Rating]]/FlipkartTable[[#This Row],[Selling Price]])*1000</f>
        <v>0.31036623215394166</v>
      </c>
      <c r="L2681" t="str">
        <f>IF(FlipkartTable[[#This Row],[Selling Price]]&lt;15000,"Budget",IF(FlipkartTable[[#This Row],[Selling Price]]&lt;50000,"Mid Range","Premium"))</f>
        <v>Budget</v>
      </c>
      <c r="M2681" t="str">
        <f>IF(FlipkartTable[[#This Row],[Rating]]&gt;4.5,"Excellent",IF(FlipkartTable[[#This Row],[Rating]]&gt;4,"Good",IF(FlipkartTable[[#This Row],[Rating]]&gt;3.5,"Average","Poor")))</f>
        <v>Good</v>
      </c>
    </row>
    <row r="2682" spans="1:13" x14ac:dyDescent="0.35">
      <c r="A2682" t="s">
        <v>1406</v>
      </c>
      <c r="B2682" s="9" t="s">
        <v>1428</v>
      </c>
      <c r="C2682" t="s">
        <v>1429</v>
      </c>
      <c r="D2682" t="s">
        <v>14</v>
      </c>
      <c r="E2682" t="s">
        <v>12</v>
      </c>
      <c r="F2682">
        <v>4.3</v>
      </c>
      <c r="G2682">
        <v>13999</v>
      </c>
      <c r="H2682">
        <v>16999</v>
      </c>
      <c r="I2682">
        <f>FlipkartTable[[#This Row],[Original Price]]-FlipkartTable[[#This Row],[Selling Price]]</f>
        <v>3000</v>
      </c>
      <c r="J2682" s="4">
        <f>(FlipkartTable[[#This Row],[Original Price]]-FlipkartTable[[#This Row],[Selling Price]])/FlipkartTable[[#This Row],[Original Price]]</f>
        <v>0.17648096946879227</v>
      </c>
      <c r="K2682">
        <f>(FlipkartTable[[#This Row],[Rating]]/FlipkartTable[[#This Row],[Selling Price]])*1000</f>
        <v>0.30716479748553466</v>
      </c>
      <c r="L2682" t="str">
        <f>IF(FlipkartTable[[#This Row],[Selling Price]]&lt;15000,"Budget",IF(FlipkartTable[[#This Row],[Selling Price]]&lt;50000,"Mid Range","Premium"))</f>
        <v>Budget</v>
      </c>
      <c r="M2682" t="str">
        <f>IF(FlipkartTable[[#This Row],[Rating]]&gt;4.5,"Excellent",IF(FlipkartTable[[#This Row],[Rating]]&gt;4,"Good",IF(FlipkartTable[[#This Row],[Rating]]&gt;3.5,"Average","Poor")))</f>
        <v>Good</v>
      </c>
    </row>
    <row r="2683" spans="1:13" x14ac:dyDescent="0.35">
      <c r="A2683" t="s">
        <v>1406</v>
      </c>
      <c r="B2683" s="9" t="s">
        <v>1428</v>
      </c>
      <c r="C2683" t="s">
        <v>1430</v>
      </c>
      <c r="D2683" t="s">
        <v>14</v>
      </c>
      <c r="E2683" t="s">
        <v>12</v>
      </c>
      <c r="F2683">
        <v>4.3</v>
      </c>
      <c r="G2683">
        <v>13999</v>
      </c>
      <c r="H2683">
        <v>16999</v>
      </c>
      <c r="I2683">
        <f>FlipkartTable[[#This Row],[Original Price]]-FlipkartTable[[#This Row],[Selling Price]]</f>
        <v>3000</v>
      </c>
      <c r="J2683" s="4">
        <f>(FlipkartTable[[#This Row],[Original Price]]-FlipkartTable[[#This Row],[Selling Price]])/FlipkartTable[[#This Row],[Original Price]]</f>
        <v>0.17648096946879227</v>
      </c>
      <c r="K2683">
        <f>(FlipkartTable[[#This Row],[Rating]]/FlipkartTable[[#This Row],[Selling Price]])*1000</f>
        <v>0.30716479748553466</v>
      </c>
      <c r="L2683" t="str">
        <f>IF(FlipkartTable[[#This Row],[Selling Price]]&lt;15000,"Budget",IF(FlipkartTable[[#This Row],[Selling Price]]&lt;50000,"Mid Range","Premium"))</f>
        <v>Budget</v>
      </c>
      <c r="M2683" t="str">
        <f>IF(FlipkartTable[[#This Row],[Rating]]&gt;4.5,"Excellent",IF(FlipkartTable[[#This Row],[Rating]]&gt;4,"Good",IF(FlipkartTable[[#This Row],[Rating]]&gt;3.5,"Average","Poor")))</f>
        <v>Good</v>
      </c>
    </row>
    <row r="2684" spans="1:13" x14ac:dyDescent="0.35">
      <c r="A2684" t="s">
        <v>1406</v>
      </c>
      <c r="B2684" s="9" t="s">
        <v>1431</v>
      </c>
      <c r="C2684" t="s">
        <v>1432</v>
      </c>
      <c r="D2684" t="s">
        <v>14</v>
      </c>
      <c r="E2684" t="s">
        <v>15</v>
      </c>
      <c r="F2684">
        <v>4.5</v>
      </c>
      <c r="G2684">
        <v>14999</v>
      </c>
      <c r="H2684">
        <v>16999</v>
      </c>
      <c r="I2684">
        <f>FlipkartTable[[#This Row],[Original Price]]-FlipkartTable[[#This Row],[Selling Price]]</f>
        <v>2000</v>
      </c>
      <c r="J2684" s="4">
        <f>(FlipkartTable[[#This Row],[Original Price]]-FlipkartTable[[#This Row],[Selling Price]])/FlipkartTable[[#This Row],[Original Price]]</f>
        <v>0.11765397964586152</v>
      </c>
      <c r="K2684">
        <f>(FlipkartTable[[#This Row],[Rating]]/FlipkartTable[[#This Row],[Selling Price]])*1000</f>
        <v>0.30002000133342221</v>
      </c>
      <c r="L2684" t="str">
        <f>IF(FlipkartTable[[#This Row],[Selling Price]]&lt;15000,"Budget",IF(FlipkartTable[[#This Row],[Selling Price]]&lt;50000,"Mid Range","Premium"))</f>
        <v>Budget</v>
      </c>
      <c r="M2684" t="str">
        <f>IF(FlipkartTable[[#This Row],[Rating]]&gt;4.5,"Excellent",IF(FlipkartTable[[#This Row],[Rating]]&gt;4,"Good",IF(FlipkartTable[[#This Row],[Rating]]&gt;3.5,"Average","Poor")))</f>
        <v>Good</v>
      </c>
    </row>
    <row r="2685" spans="1:13" x14ac:dyDescent="0.35">
      <c r="A2685" t="s">
        <v>1406</v>
      </c>
      <c r="B2685" s="9" t="s">
        <v>1433</v>
      </c>
      <c r="C2685" t="s">
        <v>19</v>
      </c>
      <c r="D2685" t="s">
        <v>27</v>
      </c>
      <c r="E2685" t="s">
        <v>64</v>
      </c>
      <c r="F2685">
        <v>4.2</v>
      </c>
      <c r="G2685">
        <v>16999</v>
      </c>
      <c r="H2685">
        <v>19999</v>
      </c>
      <c r="I2685">
        <f>FlipkartTable[[#This Row],[Original Price]]-FlipkartTable[[#This Row],[Selling Price]]</f>
        <v>3000</v>
      </c>
      <c r="J2685" s="4">
        <f>(FlipkartTable[[#This Row],[Original Price]]-FlipkartTable[[#This Row],[Selling Price]])/FlipkartTable[[#This Row],[Original Price]]</f>
        <v>0.15000750037501875</v>
      </c>
      <c r="K2685">
        <f>(FlipkartTable[[#This Row],[Rating]]/FlipkartTable[[#This Row],[Selling Price]])*1000</f>
        <v>0.24707335725630922</v>
      </c>
      <c r="L2685" t="str">
        <f>IF(FlipkartTable[[#This Row],[Selling Price]]&lt;15000,"Budget",IF(FlipkartTable[[#This Row],[Selling Price]]&lt;50000,"Mid Range","Premium"))</f>
        <v>Mid Range</v>
      </c>
      <c r="M2685" t="str">
        <f>IF(FlipkartTable[[#This Row],[Rating]]&gt;4.5,"Excellent",IF(FlipkartTable[[#This Row],[Rating]]&gt;4,"Good",IF(FlipkartTable[[#This Row],[Rating]]&gt;3.5,"Average","Poor")))</f>
        <v>Good</v>
      </c>
    </row>
    <row r="2686" spans="1:13" x14ac:dyDescent="0.35">
      <c r="A2686" t="s">
        <v>1406</v>
      </c>
      <c r="B2686" s="9" t="s">
        <v>1434</v>
      </c>
      <c r="C2686" t="s">
        <v>1430</v>
      </c>
      <c r="D2686" t="s">
        <v>27</v>
      </c>
      <c r="E2686" t="s">
        <v>15</v>
      </c>
      <c r="F2686">
        <v>4.3</v>
      </c>
      <c r="G2686">
        <v>15999</v>
      </c>
      <c r="H2686">
        <v>18999</v>
      </c>
      <c r="I2686">
        <f>FlipkartTable[[#This Row],[Original Price]]-FlipkartTable[[#This Row],[Selling Price]]</f>
        <v>3000</v>
      </c>
      <c r="J2686" s="4">
        <f>(FlipkartTable[[#This Row],[Original Price]]-FlipkartTable[[#This Row],[Selling Price]])/FlipkartTable[[#This Row],[Original Price]]</f>
        <v>0.15790304752881731</v>
      </c>
      <c r="K2686">
        <f>(FlipkartTable[[#This Row],[Rating]]/FlipkartTable[[#This Row],[Selling Price]])*1000</f>
        <v>0.26876679792487029</v>
      </c>
      <c r="L2686" t="str">
        <f>IF(FlipkartTable[[#This Row],[Selling Price]]&lt;15000,"Budget",IF(FlipkartTable[[#This Row],[Selling Price]]&lt;50000,"Mid Range","Premium"))</f>
        <v>Mid Range</v>
      </c>
      <c r="M2686" t="str">
        <f>IF(FlipkartTable[[#This Row],[Rating]]&gt;4.5,"Excellent",IF(FlipkartTable[[#This Row],[Rating]]&gt;4,"Good",IF(FlipkartTable[[#This Row],[Rating]]&gt;3.5,"Average","Poor")))</f>
        <v>Good</v>
      </c>
    </row>
    <row r="2687" spans="1:13" x14ac:dyDescent="0.35">
      <c r="A2687" t="s">
        <v>1406</v>
      </c>
      <c r="B2687" s="9" t="s">
        <v>1431</v>
      </c>
      <c r="C2687" t="s">
        <v>1432</v>
      </c>
      <c r="D2687" t="s">
        <v>11</v>
      </c>
      <c r="E2687" t="s">
        <v>12</v>
      </c>
      <c r="F2687">
        <v>4.3</v>
      </c>
      <c r="G2687">
        <v>12499</v>
      </c>
      <c r="H2687">
        <v>14999</v>
      </c>
      <c r="I2687">
        <f>FlipkartTable[[#This Row],[Original Price]]-FlipkartTable[[#This Row],[Selling Price]]</f>
        <v>2500</v>
      </c>
      <c r="J2687" s="4">
        <f>(FlipkartTable[[#This Row],[Original Price]]-FlipkartTable[[#This Row],[Selling Price]])/FlipkartTable[[#This Row],[Original Price]]</f>
        <v>0.16667777851856791</v>
      </c>
      <c r="K2687">
        <f>(FlipkartTable[[#This Row],[Rating]]/FlipkartTable[[#This Row],[Selling Price]])*1000</f>
        <v>0.34402752220177613</v>
      </c>
      <c r="L2687" t="str">
        <f>IF(FlipkartTable[[#This Row],[Selling Price]]&lt;15000,"Budget",IF(FlipkartTable[[#This Row],[Selling Price]]&lt;50000,"Mid Range","Premium"))</f>
        <v>Budget</v>
      </c>
      <c r="M2687" t="str">
        <f>IF(FlipkartTable[[#This Row],[Rating]]&gt;4.5,"Excellent",IF(FlipkartTable[[#This Row],[Rating]]&gt;4,"Good",IF(FlipkartTable[[#This Row],[Rating]]&gt;3.5,"Average","Poor")))</f>
        <v>Good</v>
      </c>
    </row>
    <row r="2688" spans="1:13" x14ac:dyDescent="0.35">
      <c r="A2688" t="s">
        <v>1406</v>
      </c>
      <c r="B2688" s="9" t="s">
        <v>1428</v>
      </c>
      <c r="C2688" t="s">
        <v>1435</v>
      </c>
      <c r="D2688" t="s">
        <v>14</v>
      </c>
      <c r="E2688" t="s">
        <v>12</v>
      </c>
      <c r="F2688">
        <v>4.3</v>
      </c>
      <c r="G2688">
        <v>13999</v>
      </c>
      <c r="H2688">
        <v>16999</v>
      </c>
      <c r="I2688">
        <f>FlipkartTable[[#This Row],[Original Price]]-FlipkartTable[[#This Row],[Selling Price]]</f>
        <v>3000</v>
      </c>
      <c r="J2688" s="4">
        <f>(FlipkartTable[[#This Row],[Original Price]]-FlipkartTable[[#This Row],[Selling Price]])/FlipkartTable[[#This Row],[Original Price]]</f>
        <v>0.17648096946879227</v>
      </c>
      <c r="K2688">
        <f>(FlipkartTable[[#This Row],[Rating]]/FlipkartTable[[#This Row],[Selling Price]])*1000</f>
        <v>0.30716479748553466</v>
      </c>
      <c r="L2688" t="str">
        <f>IF(FlipkartTable[[#This Row],[Selling Price]]&lt;15000,"Budget",IF(FlipkartTable[[#This Row],[Selling Price]]&lt;50000,"Mid Range","Premium"))</f>
        <v>Budget</v>
      </c>
      <c r="M2688" t="str">
        <f>IF(FlipkartTable[[#This Row],[Rating]]&gt;4.5,"Excellent",IF(FlipkartTable[[#This Row],[Rating]]&gt;4,"Good",IF(FlipkartTable[[#This Row],[Rating]]&gt;3.5,"Average","Poor")))</f>
        <v>Good</v>
      </c>
    </row>
    <row r="2689" spans="1:13" x14ac:dyDescent="0.35">
      <c r="A2689" t="s">
        <v>1406</v>
      </c>
      <c r="B2689" s="9" t="s">
        <v>1422</v>
      </c>
      <c r="C2689" t="s">
        <v>1124</v>
      </c>
      <c r="D2689" t="s">
        <v>11</v>
      </c>
      <c r="E2689" t="s">
        <v>12</v>
      </c>
      <c r="F2689">
        <v>4.3</v>
      </c>
      <c r="G2689">
        <v>12499</v>
      </c>
      <c r="H2689">
        <v>14999</v>
      </c>
      <c r="I2689">
        <f>FlipkartTable[[#This Row],[Original Price]]-FlipkartTable[[#This Row],[Selling Price]]</f>
        <v>2500</v>
      </c>
      <c r="J2689" s="4">
        <f>(FlipkartTable[[#This Row],[Original Price]]-FlipkartTable[[#This Row],[Selling Price]])/FlipkartTable[[#This Row],[Original Price]]</f>
        <v>0.16667777851856791</v>
      </c>
      <c r="K2689">
        <f>(FlipkartTable[[#This Row],[Rating]]/FlipkartTable[[#This Row],[Selling Price]])*1000</f>
        <v>0.34402752220177613</v>
      </c>
      <c r="L2689" t="str">
        <f>IF(FlipkartTable[[#This Row],[Selling Price]]&lt;15000,"Budget",IF(FlipkartTable[[#This Row],[Selling Price]]&lt;50000,"Mid Range","Premium"))</f>
        <v>Budget</v>
      </c>
      <c r="M2689" t="str">
        <f>IF(FlipkartTable[[#This Row],[Rating]]&gt;4.5,"Excellent",IF(FlipkartTable[[#This Row],[Rating]]&gt;4,"Good",IF(FlipkartTable[[#This Row],[Rating]]&gt;3.5,"Average","Poor")))</f>
        <v>Good</v>
      </c>
    </row>
    <row r="2690" spans="1:13" x14ac:dyDescent="0.35">
      <c r="A2690" t="s">
        <v>1406</v>
      </c>
      <c r="B2690" s="9" t="s">
        <v>1434</v>
      </c>
      <c r="C2690" t="s">
        <v>1429</v>
      </c>
      <c r="D2690" t="s">
        <v>27</v>
      </c>
      <c r="E2690" t="s">
        <v>15</v>
      </c>
      <c r="F2690">
        <v>4.3</v>
      </c>
      <c r="G2690">
        <v>15999</v>
      </c>
      <c r="H2690">
        <v>18999</v>
      </c>
      <c r="I2690">
        <f>FlipkartTable[[#This Row],[Original Price]]-FlipkartTable[[#This Row],[Selling Price]]</f>
        <v>3000</v>
      </c>
      <c r="J2690" s="4">
        <f>(FlipkartTable[[#This Row],[Original Price]]-FlipkartTable[[#This Row],[Selling Price]])/FlipkartTable[[#This Row],[Original Price]]</f>
        <v>0.15790304752881731</v>
      </c>
      <c r="K2690">
        <f>(FlipkartTable[[#This Row],[Rating]]/FlipkartTable[[#This Row],[Selling Price]])*1000</f>
        <v>0.26876679792487029</v>
      </c>
      <c r="L2690" t="str">
        <f>IF(FlipkartTable[[#This Row],[Selling Price]]&lt;15000,"Budget",IF(FlipkartTable[[#This Row],[Selling Price]]&lt;50000,"Mid Range","Premium"))</f>
        <v>Mid Range</v>
      </c>
      <c r="M2690" t="str">
        <f>IF(FlipkartTable[[#This Row],[Rating]]&gt;4.5,"Excellent",IF(FlipkartTable[[#This Row],[Rating]]&gt;4,"Good",IF(FlipkartTable[[#This Row],[Rating]]&gt;3.5,"Average","Poor")))</f>
        <v>Good</v>
      </c>
    </row>
    <row r="2691" spans="1:13" x14ac:dyDescent="0.35">
      <c r="A2691" t="s">
        <v>1406</v>
      </c>
      <c r="B2691" s="9" t="s">
        <v>1433</v>
      </c>
      <c r="C2691" t="s">
        <v>1436</v>
      </c>
      <c r="D2691" t="s">
        <v>27</v>
      </c>
      <c r="E2691" t="s">
        <v>64</v>
      </c>
      <c r="F2691">
        <v>4.2</v>
      </c>
      <c r="G2691">
        <v>16999</v>
      </c>
      <c r="H2691">
        <v>19999</v>
      </c>
      <c r="I2691">
        <f>FlipkartTable[[#This Row],[Original Price]]-FlipkartTable[[#This Row],[Selling Price]]</f>
        <v>3000</v>
      </c>
      <c r="J2691" s="4">
        <f>(FlipkartTable[[#This Row],[Original Price]]-FlipkartTable[[#This Row],[Selling Price]])/FlipkartTable[[#This Row],[Original Price]]</f>
        <v>0.15000750037501875</v>
      </c>
      <c r="K2691">
        <f>(FlipkartTable[[#This Row],[Rating]]/FlipkartTable[[#This Row],[Selling Price]])*1000</f>
        <v>0.24707335725630922</v>
      </c>
      <c r="L2691" t="str">
        <f>IF(FlipkartTable[[#This Row],[Selling Price]]&lt;15000,"Budget",IF(FlipkartTable[[#This Row],[Selling Price]]&lt;50000,"Mid Range","Premium"))</f>
        <v>Mid Range</v>
      </c>
      <c r="M2691" t="str">
        <f>IF(FlipkartTable[[#This Row],[Rating]]&gt;4.5,"Excellent",IF(FlipkartTable[[#This Row],[Rating]]&gt;4,"Good",IF(FlipkartTable[[#This Row],[Rating]]&gt;3.5,"Average","Poor")))</f>
        <v>Good</v>
      </c>
    </row>
    <row r="2692" spans="1:13" x14ac:dyDescent="0.35">
      <c r="A2692" t="s">
        <v>1406</v>
      </c>
      <c r="B2692" s="9" t="s">
        <v>1434</v>
      </c>
      <c r="C2692" t="s">
        <v>1435</v>
      </c>
      <c r="D2692" t="s">
        <v>27</v>
      </c>
      <c r="E2692" t="s">
        <v>15</v>
      </c>
      <c r="F2692">
        <v>4.3</v>
      </c>
      <c r="G2692">
        <v>15999</v>
      </c>
      <c r="H2692">
        <v>18999</v>
      </c>
      <c r="I2692">
        <f>FlipkartTable[[#This Row],[Original Price]]-FlipkartTable[[#This Row],[Selling Price]]</f>
        <v>3000</v>
      </c>
      <c r="J2692" s="4">
        <f>(FlipkartTable[[#This Row],[Original Price]]-FlipkartTable[[#This Row],[Selling Price]])/FlipkartTable[[#This Row],[Original Price]]</f>
        <v>0.15790304752881731</v>
      </c>
      <c r="K2692">
        <f>(FlipkartTable[[#This Row],[Rating]]/FlipkartTable[[#This Row],[Selling Price]])*1000</f>
        <v>0.26876679792487029</v>
      </c>
      <c r="L2692" t="str">
        <f>IF(FlipkartTable[[#This Row],[Selling Price]]&lt;15000,"Budget",IF(FlipkartTable[[#This Row],[Selling Price]]&lt;50000,"Mid Range","Premium"))</f>
        <v>Mid Range</v>
      </c>
      <c r="M2692" t="str">
        <f>IF(FlipkartTable[[#This Row],[Rating]]&gt;4.5,"Excellent",IF(FlipkartTable[[#This Row],[Rating]]&gt;4,"Good",IF(FlipkartTable[[#This Row],[Rating]]&gt;3.5,"Average","Poor")))</f>
        <v>Good</v>
      </c>
    </row>
    <row r="2693" spans="1:13" x14ac:dyDescent="0.35">
      <c r="A2693" t="s">
        <v>1406</v>
      </c>
      <c r="B2693" s="9" t="s">
        <v>1437</v>
      </c>
      <c r="C2693" t="s">
        <v>1424</v>
      </c>
      <c r="D2693" t="s">
        <v>35</v>
      </c>
      <c r="E2693" t="s">
        <v>21</v>
      </c>
      <c r="F2693">
        <v>4.4000000000000004</v>
      </c>
      <c r="G2693">
        <v>8999</v>
      </c>
      <c r="H2693">
        <v>8999</v>
      </c>
      <c r="I2693">
        <f>FlipkartTable[[#This Row],[Original Price]]-FlipkartTable[[#This Row],[Selling Price]]</f>
        <v>0</v>
      </c>
      <c r="J2693" s="4">
        <f>(FlipkartTable[[#This Row],[Original Price]]-FlipkartTable[[#This Row],[Selling Price]])/FlipkartTable[[#This Row],[Original Price]]</f>
        <v>0</v>
      </c>
      <c r="K2693">
        <f>(FlipkartTable[[#This Row],[Rating]]/FlipkartTable[[#This Row],[Selling Price]])*1000</f>
        <v>0.48894321591287931</v>
      </c>
      <c r="L2693" t="str">
        <f>IF(FlipkartTable[[#This Row],[Selling Price]]&lt;15000,"Budget",IF(FlipkartTable[[#This Row],[Selling Price]]&lt;50000,"Mid Range","Premium"))</f>
        <v>Budget</v>
      </c>
      <c r="M2693" t="str">
        <f>IF(FlipkartTable[[#This Row],[Rating]]&gt;4.5,"Excellent",IF(FlipkartTable[[#This Row],[Rating]]&gt;4,"Good",IF(FlipkartTable[[#This Row],[Rating]]&gt;3.5,"Average","Poor")))</f>
        <v>Good</v>
      </c>
    </row>
    <row r="2694" spans="1:13" x14ac:dyDescent="0.35">
      <c r="A2694" t="s">
        <v>1406</v>
      </c>
      <c r="B2694" s="9" t="s">
        <v>1438</v>
      </c>
      <c r="C2694" t="s">
        <v>1439</v>
      </c>
      <c r="D2694" t="s">
        <v>20</v>
      </c>
      <c r="E2694" t="s">
        <v>21</v>
      </c>
      <c r="F2694">
        <v>4.2</v>
      </c>
      <c r="G2694">
        <v>10999</v>
      </c>
      <c r="H2694">
        <v>10999</v>
      </c>
      <c r="I2694">
        <f>FlipkartTable[[#This Row],[Original Price]]-FlipkartTable[[#This Row],[Selling Price]]</f>
        <v>0</v>
      </c>
      <c r="J2694" s="4">
        <f>(FlipkartTable[[#This Row],[Original Price]]-FlipkartTable[[#This Row],[Selling Price]])/FlipkartTable[[#This Row],[Original Price]]</f>
        <v>0</v>
      </c>
      <c r="K2694">
        <f>(FlipkartTable[[#This Row],[Rating]]/FlipkartTable[[#This Row],[Selling Price]])*1000</f>
        <v>0.38185289571779252</v>
      </c>
      <c r="L2694" t="str">
        <f>IF(FlipkartTable[[#This Row],[Selling Price]]&lt;15000,"Budget",IF(FlipkartTable[[#This Row],[Selling Price]]&lt;50000,"Mid Range","Premium"))</f>
        <v>Budget</v>
      </c>
      <c r="M2694" t="str">
        <f>IF(FlipkartTable[[#This Row],[Rating]]&gt;4.5,"Excellent",IF(FlipkartTable[[#This Row],[Rating]]&gt;4,"Good",IF(FlipkartTable[[#This Row],[Rating]]&gt;3.5,"Average","Poor")))</f>
        <v>Good</v>
      </c>
    </row>
    <row r="2695" spans="1:13" x14ac:dyDescent="0.35">
      <c r="A2695" t="s">
        <v>1406</v>
      </c>
      <c r="B2695" s="9" t="s">
        <v>1440</v>
      </c>
      <c r="C2695" t="s">
        <v>1441</v>
      </c>
      <c r="D2695" t="s">
        <v>35</v>
      </c>
      <c r="E2695" t="s">
        <v>124</v>
      </c>
      <c r="F2695">
        <v>4.0999999999999996</v>
      </c>
      <c r="G2695">
        <v>6999</v>
      </c>
      <c r="H2695">
        <v>6999</v>
      </c>
      <c r="I2695">
        <f>FlipkartTable[[#This Row],[Original Price]]-FlipkartTable[[#This Row],[Selling Price]]</f>
        <v>0</v>
      </c>
      <c r="J2695" s="4">
        <f>(FlipkartTable[[#This Row],[Original Price]]-FlipkartTable[[#This Row],[Selling Price]])/FlipkartTable[[#This Row],[Original Price]]</f>
        <v>0</v>
      </c>
      <c r="K2695">
        <f>(FlipkartTable[[#This Row],[Rating]]/FlipkartTable[[#This Row],[Selling Price]])*1000</f>
        <v>0.58579797113873411</v>
      </c>
      <c r="L2695" t="str">
        <f>IF(FlipkartTable[[#This Row],[Selling Price]]&lt;15000,"Budget",IF(FlipkartTable[[#This Row],[Selling Price]]&lt;50000,"Mid Range","Premium"))</f>
        <v>Budget</v>
      </c>
      <c r="M2695" t="str">
        <f>IF(FlipkartTable[[#This Row],[Rating]]&gt;4.5,"Excellent",IF(FlipkartTable[[#This Row],[Rating]]&gt;4,"Good",IF(FlipkartTable[[#This Row],[Rating]]&gt;3.5,"Average","Poor")))</f>
        <v>Good</v>
      </c>
    </row>
    <row r="2696" spans="1:13" x14ac:dyDescent="0.35">
      <c r="A2696" t="s">
        <v>1406</v>
      </c>
      <c r="B2696" s="9" t="s">
        <v>1440</v>
      </c>
      <c r="C2696" t="s">
        <v>1441</v>
      </c>
      <c r="D2696" t="s">
        <v>20</v>
      </c>
      <c r="E2696" t="s">
        <v>21</v>
      </c>
      <c r="F2696">
        <v>4.0999999999999996</v>
      </c>
      <c r="G2696">
        <v>7946</v>
      </c>
      <c r="H2696">
        <v>7999</v>
      </c>
      <c r="I2696">
        <f>FlipkartTable[[#This Row],[Original Price]]-FlipkartTable[[#This Row],[Selling Price]]</f>
        <v>53</v>
      </c>
      <c r="J2696" s="4">
        <f>(FlipkartTable[[#This Row],[Original Price]]-FlipkartTable[[#This Row],[Selling Price]])/FlipkartTable[[#This Row],[Original Price]]</f>
        <v>6.6258282285285661E-3</v>
      </c>
      <c r="K2696">
        <f>(FlipkartTable[[#This Row],[Rating]]/FlipkartTable[[#This Row],[Selling Price]])*1000</f>
        <v>0.5159828844701736</v>
      </c>
      <c r="L2696" t="str">
        <f>IF(FlipkartTable[[#This Row],[Selling Price]]&lt;15000,"Budget",IF(FlipkartTable[[#This Row],[Selling Price]]&lt;50000,"Mid Range","Premium"))</f>
        <v>Budget</v>
      </c>
      <c r="M2696" t="str">
        <f>IF(FlipkartTable[[#This Row],[Rating]]&gt;4.5,"Excellent",IF(FlipkartTable[[#This Row],[Rating]]&gt;4,"Good",IF(FlipkartTable[[#This Row],[Rating]]&gt;3.5,"Average","Poor")))</f>
        <v>Good</v>
      </c>
    </row>
    <row r="2697" spans="1:13" x14ac:dyDescent="0.35">
      <c r="A2697" t="s">
        <v>1406</v>
      </c>
      <c r="B2697" s="9" t="s">
        <v>1442</v>
      </c>
      <c r="C2697" t="s">
        <v>1441</v>
      </c>
      <c r="D2697" t="s">
        <v>20</v>
      </c>
      <c r="E2697" t="s">
        <v>21</v>
      </c>
      <c r="F2697">
        <v>4.3</v>
      </c>
      <c r="G2697">
        <v>8999</v>
      </c>
      <c r="H2697">
        <v>8999</v>
      </c>
      <c r="I2697">
        <f>FlipkartTable[[#This Row],[Original Price]]-FlipkartTable[[#This Row],[Selling Price]]</f>
        <v>0</v>
      </c>
      <c r="J2697" s="4">
        <f>(FlipkartTable[[#This Row],[Original Price]]-FlipkartTable[[#This Row],[Selling Price]])/FlipkartTable[[#This Row],[Original Price]]</f>
        <v>0</v>
      </c>
      <c r="K2697">
        <f>(FlipkartTable[[#This Row],[Rating]]/FlipkartTable[[#This Row],[Selling Price]])*1000</f>
        <v>0.47783087009667735</v>
      </c>
      <c r="L2697" t="str">
        <f>IF(FlipkartTable[[#This Row],[Selling Price]]&lt;15000,"Budget",IF(FlipkartTable[[#This Row],[Selling Price]]&lt;50000,"Mid Range","Premium"))</f>
        <v>Budget</v>
      </c>
      <c r="M2697" t="str">
        <f>IF(FlipkartTable[[#This Row],[Rating]]&gt;4.5,"Excellent",IF(FlipkartTable[[#This Row],[Rating]]&gt;4,"Good",IF(FlipkartTable[[#This Row],[Rating]]&gt;3.5,"Average","Poor")))</f>
        <v>Good</v>
      </c>
    </row>
    <row r="2698" spans="1:13" x14ac:dyDescent="0.35">
      <c r="A2698" t="s">
        <v>1406</v>
      </c>
      <c r="B2698" s="9" t="s">
        <v>1438</v>
      </c>
      <c r="C2698" t="s">
        <v>1443</v>
      </c>
      <c r="D2698" t="s">
        <v>11</v>
      </c>
      <c r="E2698" t="s">
        <v>12</v>
      </c>
      <c r="F2698">
        <v>4.2</v>
      </c>
      <c r="G2698">
        <v>12999</v>
      </c>
      <c r="H2698">
        <v>12999</v>
      </c>
      <c r="I2698">
        <f>FlipkartTable[[#This Row],[Original Price]]-FlipkartTable[[#This Row],[Selling Price]]</f>
        <v>0</v>
      </c>
      <c r="J2698" s="4">
        <f>(FlipkartTable[[#This Row],[Original Price]]-FlipkartTable[[#This Row],[Selling Price]])/FlipkartTable[[#This Row],[Original Price]]</f>
        <v>0</v>
      </c>
      <c r="K2698">
        <f>(FlipkartTable[[#This Row],[Rating]]/FlipkartTable[[#This Row],[Selling Price]])*1000</f>
        <v>0.32310177705977383</v>
      </c>
      <c r="L2698" t="str">
        <f>IF(FlipkartTable[[#This Row],[Selling Price]]&lt;15000,"Budget",IF(FlipkartTable[[#This Row],[Selling Price]]&lt;50000,"Mid Range","Premium"))</f>
        <v>Budget</v>
      </c>
      <c r="M2698" t="str">
        <f>IF(FlipkartTable[[#This Row],[Rating]]&gt;4.5,"Excellent",IF(FlipkartTable[[#This Row],[Rating]]&gt;4,"Good",IF(FlipkartTable[[#This Row],[Rating]]&gt;3.5,"Average","Poor")))</f>
        <v>Good</v>
      </c>
    </row>
    <row r="2699" spans="1:13" x14ac:dyDescent="0.35">
      <c r="A2699" t="s">
        <v>1406</v>
      </c>
      <c r="B2699" s="9" t="s">
        <v>1444</v>
      </c>
      <c r="C2699" t="s">
        <v>1243</v>
      </c>
      <c r="D2699" t="s">
        <v>11</v>
      </c>
      <c r="E2699" t="s">
        <v>12</v>
      </c>
      <c r="F2699">
        <v>4.5</v>
      </c>
      <c r="G2699">
        <v>9999</v>
      </c>
      <c r="H2699">
        <v>9999</v>
      </c>
      <c r="I2699">
        <f>FlipkartTable[[#This Row],[Original Price]]-FlipkartTable[[#This Row],[Selling Price]]</f>
        <v>0</v>
      </c>
      <c r="J2699" s="4">
        <f>(FlipkartTable[[#This Row],[Original Price]]-FlipkartTable[[#This Row],[Selling Price]])/FlipkartTable[[#This Row],[Original Price]]</f>
        <v>0</v>
      </c>
      <c r="K2699">
        <f>(FlipkartTable[[#This Row],[Rating]]/FlipkartTable[[#This Row],[Selling Price]])*1000</f>
        <v>0.45004500450045004</v>
      </c>
      <c r="L2699" t="str">
        <f>IF(FlipkartTable[[#This Row],[Selling Price]]&lt;15000,"Budget",IF(FlipkartTable[[#This Row],[Selling Price]]&lt;50000,"Mid Range","Premium"))</f>
        <v>Budget</v>
      </c>
      <c r="M2699" t="str">
        <f>IF(FlipkartTable[[#This Row],[Rating]]&gt;4.5,"Excellent",IF(FlipkartTable[[#This Row],[Rating]]&gt;4,"Good",IF(FlipkartTable[[#This Row],[Rating]]&gt;3.5,"Average","Poor")))</f>
        <v>Good</v>
      </c>
    </row>
    <row r="2700" spans="1:13" x14ac:dyDescent="0.35">
      <c r="A2700" t="s">
        <v>1406</v>
      </c>
      <c r="B2700" s="9" t="s">
        <v>1445</v>
      </c>
      <c r="C2700" t="s">
        <v>1446</v>
      </c>
      <c r="D2700" t="s">
        <v>35</v>
      </c>
      <c r="E2700" t="s">
        <v>21</v>
      </c>
      <c r="F2700">
        <v>4.2</v>
      </c>
      <c r="G2700">
        <v>7999</v>
      </c>
      <c r="H2700">
        <v>7999</v>
      </c>
      <c r="I2700">
        <f>FlipkartTable[[#This Row],[Original Price]]-FlipkartTable[[#This Row],[Selling Price]]</f>
        <v>0</v>
      </c>
      <c r="J2700" s="4">
        <f>(FlipkartTable[[#This Row],[Original Price]]-FlipkartTable[[#This Row],[Selling Price]])/FlipkartTable[[#This Row],[Original Price]]</f>
        <v>0</v>
      </c>
      <c r="K2700">
        <f>(FlipkartTable[[#This Row],[Rating]]/FlipkartTable[[#This Row],[Selling Price]])*1000</f>
        <v>0.52506563320415056</v>
      </c>
      <c r="L2700" t="str">
        <f>IF(FlipkartTable[[#This Row],[Selling Price]]&lt;15000,"Budget",IF(FlipkartTable[[#This Row],[Selling Price]]&lt;50000,"Mid Range","Premium"))</f>
        <v>Budget</v>
      </c>
      <c r="M2700" t="str">
        <f>IF(FlipkartTable[[#This Row],[Rating]]&gt;4.5,"Excellent",IF(FlipkartTable[[#This Row],[Rating]]&gt;4,"Good",IF(FlipkartTable[[#This Row],[Rating]]&gt;3.5,"Average","Poor")))</f>
        <v>Good</v>
      </c>
    </row>
    <row r="2701" spans="1:13" x14ac:dyDescent="0.35">
      <c r="A2701" t="s">
        <v>1406</v>
      </c>
      <c r="B2701" s="9" t="s">
        <v>1447</v>
      </c>
      <c r="C2701" t="s">
        <v>1448</v>
      </c>
      <c r="D2701" t="s">
        <v>11</v>
      </c>
      <c r="E2701" t="s">
        <v>12</v>
      </c>
      <c r="F2701">
        <v>3.9</v>
      </c>
      <c r="G2701">
        <v>16999</v>
      </c>
      <c r="H2701">
        <v>16999</v>
      </c>
      <c r="I2701">
        <f>FlipkartTable[[#This Row],[Original Price]]-FlipkartTable[[#This Row],[Selling Price]]</f>
        <v>0</v>
      </c>
      <c r="J2701" s="4">
        <f>(FlipkartTable[[#This Row],[Original Price]]-FlipkartTable[[#This Row],[Selling Price]])/FlipkartTable[[#This Row],[Original Price]]</f>
        <v>0</v>
      </c>
      <c r="K2701">
        <f>(FlipkartTable[[#This Row],[Rating]]/FlipkartTable[[#This Row],[Selling Price]])*1000</f>
        <v>0.22942526030942997</v>
      </c>
      <c r="L2701" t="str">
        <f>IF(FlipkartTable[[#This Row],[Selling Price]]&lt;15000,"Budget",IF(FlipkartTable[[#This Row],[Selling Price]]&lt;50000,"Mid Range","Premium"))</f>
        <v>Mid Range</v>
      </c>
      <c r="M2701" t="str">
        <f>IF(FlipkartTable[[#This Row],[Rating]]&gt;4.5,"Excellent",IF(FlipkartTable[[#This Row],[Rating]]&gt;4,"Good",IF(FlipkartTable[[#This Row],[Rating]]&gt;3.5,"Average","Poor")))</f>
        <v>Average</v>
      </c>
    </row>
    <row r="2702" spans="1:13" x14ac:dyDescent="0.35">
      <c r="A2702" t="s">
        <v>1406</v>
      </c>
      <c r="B2702" s="9" t="s">
        <v>1449</v>
      </c>
      <c r="C2702" t="s">
        <v>1223</v>
      </c>
      <c r="D2702" t="s">
        <v>11</v>
      </c>
      <c r="E2702" t="s">
        <v>12</v>
      </c>
      <c r="F2702">
        <v>4.4000000000000004</v>
      </c>
      <c r="G2702">
        <v>12999</v>
      </c>
      <c r="H2702">
        <v>12999</v>
      </c>
      <c r="I2702">
        <f>FlipkartTable[[#This Row],[Original Price]]-FlipkartTable[[#This Row],[Selling Price]]</f>
        <v>0</v>
      </c>
      <c r="J2702" s="4">
        <f>(FlipkartTable[[#This Row],[Original Price]]-FlipkartTable[[#This Row],[Selling Price]])/FlipkartTable[[#This Row],[Original Price]]</f>
        <v>0</v>
      </c>
      <c r="K2702">
        <f>(FlipkartTable[[#This Row],[Rating]]/FlipkartTable[[#This Row],[Selling Price]])*1000</f>
        <v>0.33848757596738216</v>
      </c>
      <c r="L2702" t="str">
        <f>IF(FlipkartTable[[#This Row],[Selling Price]]&lt;15000,"Budget",IF(FlipkartTable[[#This Row],[Selling Price]]&lt;50000,"Mid Range","Premium"))</f>
        <v>Budget</v>
      </c>
      <c r="M2702" t="str">
        <f>IF(FlipkartTable[[#This Row],[Rating]]&gt;4.5,"Excellent",IF(FlipkartTable[[#This Row],[Rating]]&gt;4,"Good",IF(FlipkartTable[[#This Row],[Rating]]&gt;3.5,"Average","Poor")))</f>
        <v>Good</v>
      </c>
    </row>
    <row r="2703" spans="1:13" x14ac:dyDescent="0.35">
      <c r="A2703" t="s">
        <v>1406</v>
      </c>
      <c r="B2703" s="9" t="s">
        <v>1450</v>
      </c>
      <c r="C2703" t="s">
        <v>1137</v>
      </c>
      <c r="D2703" t="s">
        <v>20</v>
      </c>
      <c r="E2703" t="s">
        <v>21</v>
      </c>
      <c r="F2703">
        <v>4.2</v>
      </c>
      <c r="G2703">
        <v>9999</v>
      </c>
      <c r="H2703">
        <v>9999</v>
      </c>
      <c r="I2703">
        <f>FlipkartTable[[#This Row],[Original Price]]-FlipkartTable[[#This Row],[Selling Price]]</f>
        <v>0</v>
      </c>
      <c r="J2703" s="4">
        <f>(FlipkartTable[[#This Row],[Original Price]]-FlipkartTable[[#This Row],[Selling Price]])/FlipkartTable[[#This Row],[Original Price]]</f>
        <v>0</v>
      </c>
      <c r="K2703">
        <f>(FlipkartTable[[#This Row],[Rating]]/FlipkartTable[[#This Row],[Selling Price]])*1000</f>
        <v>0.42004200420042004</v>
      </c>
      <c r="L2703" t="str">
        <f>IF(FlipkartTable[[#This Row],[Selling Price]]&lt;15000,"Budget",IF(FlipkartTable[[#This Row],[Selling Price]]&lt;50000,"Mid Range","Premium"))</f>
        <v>Budget</v>
      </c>
      <c r="M2703" t="str">
        <f>IF(FlipkartTable[[#This Row],[Rating]]&gt;4.5,"Excellent",IF(FlipkartTable[[#This Row],[Rating]]&gt;4,"Good",IF(FlipkartTable[[#This Row],[Rating]]&gt;3.5,"Average","Poor")))</f>
        <v>Good</v>
      </c>
    </row>
    <row r="2704" spans="1:13" x14ac:dyDescent="0.35">
      <c r="A2704" t="s">
        <v>1406</v>
      </c>
      <c r="B2704" s="9" t="s">
        <v>1444</v>
      </c>
      <c r="C2704" t="s">
        <v>1424</v>
      </c>
      <c r="D2704" t="s">
        <v>11</v>
      </c>
      <c r="E2704" t="s">
        <v>12</v>
      </c>
      <c r="F2704">
        <v>4.5</v>
      </c>
      <c r="G2704">
        <v>9999</v>
      </c>
      <c r="H2704">
        <v>9999</v>
      </c>
      <c r="I2704">
        <f>FlipkartTable[[#This Row],[Original Price]]-FlipkartTable[[#This Row],[Selling Price]]</f>
        <v>0</v>
      </c>
      <c r="J2704" s="4">
        <f>(FlipkartTable[[#This Row],[Original Price]]-FlipkartTable[[#This Row],[Selling Price]])/FlipkartTable[[#This Row],[Original Price]]</f>
        <v>0</v>
      </c>
      <c r="K2704">
        <f>(FlipkartTable[[#This Row],[Rating]]/FlipkartTable[[#This Row],[Selling Price]])*1000</f>
        <v>0.45004500450045004</v>
      </c>
      <c r="L2704" t="str">
        <f>IF(FlipkartTable[[#This Row],[Selling Price]]&lt;15000,"Budget",IF(FlipkartTable[[#This Row],[Selling Price]]&lt;50000,"Mid Range","Premium"))</f>
        <v>Budget</v>
      </c>
      <c r="M2704" t="str">
        <f>IF(FlipkartTable[[#This Row],[Rating]]&gt;4.5,"Excellent",IF(FlipkartTable[[#This Row],[Rating]]&gt;4,"Good",IF(FlipkartTable[[#This Row],[Rating]]&gt;3.5,"Average","Poor")))</f>
        <v>Good</v>
      </c>
    </row>
    <row r="2705" spans="1:13" x14ac:dyDescent="0.35">
      <c r="A2705" t="s">
        <v>1406</v>
      </c>
      <c r="B2705" s="9" t="s">
        <v>1407</v>
      </c>
      <c r="C2705" t="s">
        <v>1409</v>
      </c>
      <c r="D2705" t="s">
        <v>11</v>
      </c>
      <c r="E2705" t="s">
        <v>12</v>
      </c>
      <c r="F2705">
        <v>4.3</v>
      </c>
      <c r="G2705">
        <v>9299</v>
      </c>
      <c r="H2705">
        <v>10999</v>
      </c>
      <c r="I2705">
        <f>FlipkartTable[[#This Row],[Original Price]]-FlipkartTable[[#This Row],[Selling Price]]</f>
        <v>1700</v>
      </c>
      <c r="J2705" s="4">
        <f>(FlipkartTable[[#This Row],[Original Price]]-FlipkartTable[[#This Row],[Selling Price]])/FlipkartTable[[#This Row],[Original Price]]</f>
        <v>0.15455950540958269</v>
      </c>
      <c r="K2705">
        <f>(FlipkartTable[[#This Row],[Rating]]/FlipkartTable[[#This Row],[Selling Price]])*1000</f>
        <v>0.46241531347456716</v>
      </c>
      <c r="L2705" t="str">
        <f>IF(FlipkartTable[[#This Row],[Selling Price]]&lt;15000,"Budget",IF(FlipkartTable[[#This Row],[Selling Price]]&lt;50000,"Mid Range","Premium"))</f>
        <v>Budget</v>
      </c>
      <c r="M2705" t="str">
        <f>IF(FlipkartTable[[#This Row],[Rating]]&gt;4.5,"Excellent",IF(FlipkartTable[[#This Row],[Rating]]&gt;4,"Good",IF(FlipkartTable[[#This Row],[Rating]]&gt;3.5,"Average","Poor")))</f>
        <v>Good</v>
      </c>
    </row>
    <row r="2706" spans="1:13" x14ac:dyDescent="0.35">
      <c r="A2706" t="s">
        <v>1406</v>
      </c>
      <c r="B2706" s="9" t="s">
        <v>1417</v>
      </c>
      <c r="C2706" t="s">
        <v>1451</v>
      </c>
      <c r="D2706" t="s">
        <v>14</v>
      </c>
      <c r="E2706" t="s">
        <v>12</v>
      </c>
      <c r="F2706">
        <v>4.3</v>
      </c>
      <c r="G2706">
        <v>10999</v>
      </c>
      <c r="H2706">
        <v>13999</v>
      </c>
      <c r="I2706">
        <f>FlipkartTable[[#This Row],[Original Price]]-FlipkartTable[[#This Row],[Selling Price]]</f>
        <v>3000</v>
      </c>
      <c r="J2706" s="4">
        <f>(FlipkartTable[[#This Row],[Original Price]]-FlipkartTable[[#This Row],[Selling Price]])/FlipkartTable[[#This Row],[Original Price]]</f>
        <v>0.21430102150153582</v>
      </c>
      <c r="K2706">
        <f>(FlipkartTable[[#This Row],[Rating]]/FlipkartTable[[#This Row],[Selling Price]])*1000</f>
        <v>0.39094463133012086</v>
      </c>
      <c r="L2706" t="str">
        <f>IF(FlipkartTable[[#This Row],[Selling Price]]&lt;15000,"Budget",IF(FlipkartTable[[#This Row],[Selling Price]]&lt;50000,"Mid Range","Premium"))</f>
        <v>Budget</v>
      </c>
      <c r="M2706" t="str">
        <f>IF(FlipkartTable[[#This Row],[Rating]]&gt;4.5,"Excellent",IF(FlipkartTable[[#This Row],[Rating]]&gt;4,"Good",IF(FlipkartTable[[#This Row],[Rating]]&gt;3.5,"Average","Poor")))</f>
        <v>Good</v>
      </c>
    </row>
    <row r="2707" spans="1:13" x14ac:dyDescent="0.35">
      <c r="A2707" t="s">
        <v>1406</v>
      </c>
      <c r="B2707" s="9" t="s">
        <v>1414</v>
      </c>
      <c r="C2707" t="s">
        <v>1416</v>
      </c>
      <c r="D2707" t="s">
        <v>11</v>
      </c>
      <c r="E2707" t="s">
        <v>12</v>
      </c>
      <c r="F2707">
        <v>4.4000000000000004</v>
      </c>
      <c r="G2707">
        <v>9999</v>
      </c>
      <c r="H2707">
        <v>11999</v>
      </c>
      <c r="I2707">
        <f>FlipkartTable[[#This Row],[Original Price]]-FlipkartTable[[#This Row],[Selling Price]]</f>
        <v>2000</v>
      </c>
      <c r="J2707" s="4">
        <f>(FlipkartTable[[#This Row],[Original Price]]-FlipkartTable[[#This Row],[Selling Price]])/FlipkartTable[[#This Row],[Original Price]]</f>
        <v>0.16668055671305942</v>
      </c>
      <c r="K2707">
        <f>(FlipkartTable[[#This Row],[Rating]]/FlipkartTable[[#This Row],[Selling Price]])*1000</f>
        <v>0.44004400440044006</v>
      </c>
      <c r="L2707" t="str">
        <f>IF(FlipkartTable[[#This Row],[Selling Price]]&lt;15000,"Budget",IF(FlipkartTable[[#This Row],[Selling Price]]&lt;50000,"Mid Range","Premium"))</f>
        <v>Budget</v>
      </c>
      <c r="M2707" t="str">
        <f>IF(FlipkartTable[[#This Row],[Rating]]&gt;4.5,"Excellent",IF(FlipkartTable[[#This Row],[Rating]]&gt;4,"Good",IF(FlipkartTable[[#This Row],[Rating]]&gt;3.5,"Average","Poor")))</f>
        <v>Good</v>
      </c>
    </row>
    <row r="2708" spans="1:13" x14ac:dyDescent="0.35">
      <c r="A2708" t="s">
        <v>1406</v>
      </c>
      <c r="B2708" s="9" t="s">
        <v>1411</v>
      </c>
      <c r="C2708" t="s">
        <v>1415</v>
      </c>
      <c r="D2708" t="s">
        <v>11</v>
      </c>
      <c r="E2708" t="s">
        <v>12</v>
      </c>
      <c r="F2708">
        <v>4.3</v>
      </c>
      <c r="G2708">
        <v>10999</v>
      </c>
      <c r="H2708">
        <v>13999</v>
      </c>
      <c r="I2708">
        <f>FlipkartTable[[#This Row],[Original Price]]-FlipkartTable[[#This Row],[Selling Price]]</f>
        <v>3000</v>
      </c>
      <c r="J2708" s="4">
        <f>(FlipkartTable[[#This Row],[Original Price]]-FlipkartTable[[#This Row],[Selling Price]])/FlipkartTable[[#This Row],[Original Price]]</f>
        <v>0.21430102150153582</v>
      </c>
      <c r="K2708">
        <f>(FlipkartTable[[#This Row],[Rating]]/FlipkartTable[[#This Row],[Selling Price]])*1000</f>
        <v>0.39094463133012086</v>
      </c>
      <c r="L2708" t="str">
        <f>IF(FlipkartTable[[#This Row],[Selling Price]]&lt;15000,"Budget",IF(FlipkartTable[[#This Row],[Selling Price]]&lt;50000,"Mid Range","Premium"))</f>
        <v>Budget</v>
      </c>
      <c r="M2708" t="str">
        <f>IF(FlipkartTable[[#This Row],[Rating]]&gt;4.5,"Excellent",IF(FlipkartTable[[#This Row],[Rating]]&gt;4,"Good",IF(FlipkartTable[[#This Row],[Rating]]&gt;3.5,"Average","Poor")))</f>
        <v>Good</v>
      </c>
    </row>
    <row r="2709" spans="1:13" x14ac:dyDescent="0.35">
      <c r="A2709" t="s">
        <v>1406</v>
      </c>
      <c r="B2709" s="9" t="s">
        <v>1417</v>
      </c>
      <c r="C2709" t="s">
        <v>1451</v>
      </c>
      <c r="D2709" t="s">
        <v>11</v>
      </c>
      <c r="E2709" t="s">
        <v>12</v>
      </c>
      <c r="F2709">
        <v>4.3</v>
      </c>
      <c r="G2709">
        <v>9999</v>
      </c>
      <c r="H2709">
        <v>12999</v>
      </c>
      <c r="I2709">
        <f>FlipkartTable[[#This Row],[Original Price]]-FlipkartTable[[#This Row],[Selling Price]]</f>
        <v>3000</v>
      </c>
      <c r="J2709" s="4">
        <f>(FlipkartTable[[#This Row],[Original Price]]-FlipkartTable[[#This Row],[Selling Price]])/FlipkartTable[[#This Row],[Original Price]]</f>
        <v>0.23078698361412417</v>
      </c>
      <c r="K2709">
        <f>(FlipkartTable[[#This Row],[Rating]]/FlipkartTable[[#This Row],[Selling Price]])*1000</f>
        <v>0.43004300430043002</v>
      </c>
      <c r="L2709" t="str">
        <f>IF(FlipkartTable[[#This Row],[Selling Price]]&lt;15000,"Budget",IF(FlipkartTable[[#This Row],[Selling Price]]&lt;50000,"Mid Range","Premium"))</f>
        <v>Budget</v>
      </c>
      <c r="M2709" t="str">
        <f>IF(FlipkartTable[[#This Row],[Rating]]&gt;4.5,"Excellent",IF(FlipkartTable[[#This Row],[Rating]]&gt;4,"Good",IF(FlipkartTable[[#This Row],[Rating]]&gt;3.5,"Average","Poor")))</f>
        <v>Good</v>
      </c>
    </row>
    <row r="2710" spans="1:13" x14ac:dyDescent="0.35">
      <c r="A2710" t="s">
        <v>1406</v>
      </c>
      <c r="B2710" s="9" t="s">
        <v>1418</v>
      </c>
      <c r="C2710" t="s">
        <v>1133</v>
      </c>
      <c r="D2710" t="s">
        <v>35</v>
      </c>
      <c r="E2710" t="s">
        <v>21</v>
      </c>
      <c r="F2710">
        <v>4.3</v>
      </c>
      <c r="G2710">
        <v>7499</v>
      </c>
      <c r="H2710">
        <v>8999</v>
      </c>
      <c r="I2710">
        <f>FlipkartTable[[#This Row],[Original Price]]-FlipkartTable[[#This Row],[Selling Price]]</f>
        <v>1500</v>
      </c>
      <c r="J2710" s="4">
        <f>(FlipkartTable[[#This Row],[Original Price]]-FlipkartTable[[#This Row],[Selling Price]])/FlipkartTable[[#This Row],[Original Price]]</f>
        <v>0.166685187243027</v>
      </c>
      <c r="K2710">
        <f>(FlipkartTable[[#This Row],[Rating]]/FlipkartTable[[#This Row],[Selling Price]])*1000</f>
        <v>0.57340978797172948</v>
      </c>
      <c r="L2710" t="str">
        <f>IF(FlipkartTable[[#This Row],[Selling Price]]&lt;15000,"Budget",IF(FlipkartTable[[#This Row],[Selling Price]]&lt;50000,"Mid Range","Premium"))</f>
        <v>Budget</v>
      </c>
      <c r="M2710" t="str">
        <f>IF(FlipkartTable[[#This Row],[Rating]]&gt;4.5,"Excellent",IF(FlipkartTable[[#This Row],[Rating]]&gt;4,"Good",IF(FlipkartTable[[#This Row],[Rating]]&gt;3.5,"Average","Poor")))</f>
        <v>Good</v>
      </c>
    </row>
    <row r="2711" spans="1:13" x14ac:dyDescent="0.35">
      <c r="A2711" t="s">
        <v>1406</v>
      </c>
      <c r="B2711" s="9" t="s">
        <v>1418</v>
      </c>
      <c r="C2711" t="s">
        <v>121</v>
      </c>
      <c r="D2711" t="s">
        <v>35</v>
      </c>
      <c r="E2711" t="s">
        <v>21</v>
      </c>
      <c r="F2711">
        <v>4.3</v>
      </c>
      <c r="G2711">
        <v>7499</v>
      </c>
      <c r="H2711">
        <v>8999</v>
      </c>
      <c r="I2711">
        <f>FlipkartTable[[#This Row],[Original Price]]-FlipkartTable[[#This Row],[Selling Price]]</f>
        <v>1500</v>
      </c>
      <c r="J2711" s="4">
        <f>(FlipkartTable[[#This Row],[Original Price]]-FlipkartTable[[#This Row],[Selling Price]])/FlipkartTable[[#This Row],[Original Price]]</f>
        <v>0.166685187243027</v>
      </c>
      <c r="K2711">
        <f>(FlipkartTable[[#This Row],[Rating]]/FlipkartTable[[#This Row],[Selling Price]])*1000</f>
        <v>0.57340978797172948</v>
      </c>
      <c r="L2711" t="str">
        <f>IF(FlipkartTable[[#This Row],[Selling Price]]&lt;15000,"Budget",IF(FlipkartTable[[#This Row],[Selling Price]]&lt;50000,"Mid Range","Premium"))</f>
        <v>Budget</v>
      </c>
      <c r="M2711" t="str">
        <f>IF(FlipkartTable[[#This Row],[Rating]]&gt;4.5,"Excellent",IF(FlipkartTable[[#This Row],[Rating]]&gt;4,"Good",IF(FlipkartTable[[#This Row],[Rating]]&gt;3.5,"Average","Poor")))</f>
        <v>Good</v>
      </c>
    </row>
    <row r="2712" spans="1:13" x14ac:dyDescent="0.35">
      <c r="A2712" t="s">
        <v>1406</v>
      </c>
      <c r="B2712" s="9" t="s">
        <v>1418</v>
      </c>
      <c r="C2712" t="s">
        <v>1408</v>
      </c>
      <c r="D2712" t="s">
        <v>35</v>
      </c>
      <c r="E2712" t="s">
        <v>21</v>
      </c>
      <c r="F2712">
        <v>4.3</v>
      </c>
      <c r="G2712">
        <v>7499</v>
      </c>
      <c r="H2712">
        <v>8999</v>
      </c>
      <c r="I2712">
        <f>FlipkartTable[[#This Row],[Original Price]]-FlipkartTable[[#This Row],[Selling Price]]</f>
        <v>1500</v>
      </c>
      <c r="J2712" s="4">
        <f>(FlipkartTable[[#This Row],[Original Price]]-FlipkartTable[[#This Row],[Selling Price]])/FlipkartTable[[#This Row],[Original Price]]</f>
        <v>0.166685187243027</v>
      </c>
      <c r="K2712">
        <f>(FlipkartTable[[#This Row],[Rating]]/FlipkartTable[[#This Row],[Selling Price]])*1000</f>
        <v>0.57340978797172948</v>
      </c>
      <c r="L2712" t="str">
        <f>IF(FlipkartTable[[#This Row],[Selling Price]]&lt;15000,"Budget",IF(FlipkartTable[[#This Row],[Selling Price]]&lt;50000,"Mid Range","Premium"))</f>
        <v>Budget</v>
      </c>
      <c r="M2712" t="str">
        <f>IF(FlipkartTable[[#This Row],[Rating]]&gt;4.5,"Excellent",IF(FlipkartTable[[#This Row],[Rating]]&gt;4,"Good",IF(FlipkartTable[[#This Row],[Rating]]&gt;3.5,"Average","Poor")))</f>
        <v>Good</v>
      </c>
    </row>
    <row r="2713" spans="1:13" x14ac:dyDescent="0.35">
      <c r="A2713" t="s">
        <v>1406</v>
      </c>
      <c r="B2713" s="9" t="s">
        <v>1452</v>
      </c>
      <c r="C2713" t="s">
        <v>465</v>
      </c>
      <c r="D2713" t="s">
        <v>11</v>
      </c>
      <c r="E2713" t="s">
        <v>12</v>
      </c>
      <c r="F2713">
        <v>4.3</v>
      </c>
      <c r="G2713">
        <v>14999</v>
      </c>
      <c r="H2713">
        <v>14999</v>
      </c>
      <c r="I2713">
        <f>FlipkartTable[[#This Row],[Original Price]]-FlipkartTable[[#This Row],[Selling Price]]</f>
        <v>0</v>
      </c>
      <c r="J2713" s="4">
        <f>(FlipkartTable[[#This Row],[Original Price]]-FlipkartTable[[#This Row],[Selling Price]])/FlipkartTable[[#This Row],[Original Price]]</f>
        <v>0</v>
      </c>
      <c r="K2713">
        <f>(FlipkartTable[[#This Row],[Rating]]/FlipkartTable[[#This Row],[Selling Price]])*1000</f>
        <v>0.28668577905193682</v>
      </c>
      <c r="L2713" t="str">
        <f>IF(FlipkartTable[[#This Row],[Selling Price]]&lt;15000,"Budget",IF(FlipkartTable[[#This Row],[Selling Price]]&lt;50000,"Mid Range","Premium"))</f>
        <v>Budget</v>
      </c>
      <c r="M2713" t="str">
        <f>IF(FlipkartTable[[#This Row],[Rating]]&gt;4.5,"Excellent",IF(FlipkartTable[[#This Row],[Rating]]&gt;4,"Good",IF(FlipkartTable[[#This Row],[Rating]]&gt;3.5,"Average","Poor")))</f>
        <v>Good</v>
      </c>
    </row>
    <row r="2714" spans="1:13" x14ac:dyDescent="0.35">
      <c r="A2714" t="s">
        <v>1406</v>
      </c>
      <c r="B2714" s="9" t="s">
        <v>1453</v>
      </c>
      <c r="C2714" t="s">
        <v>1454</v>
      </c>
      <c r="D2714" t="s">
        <v>27</v>
      </c>
      <c r="E2714" t="s">
        <v>15</v>
      </c>
      <c r="F2714">
        <v>4.2</v>
      </c>
      <c r="G2714">
        <v>18999</v>
      </c>
      <c r="H2714">
        <v>18999</v>
      </c>
      <c r="I2714">
        <f>FlipkartTable[[#This Row],[Original Price]]-FlipkartTable[[#This Row],[Selling Price]]</f>
        <v>0</v>
      </c>
      <c r="J2714" s="4">
        <f>(FlipkartTable[[#This Row],[Original Price]]-FlipkartTable[[#This Row],[Selling Price]])/FlipkartTable[[#This Row],[Original Price]]</f>
        <v>0</v>
      </c>
      <c r="K2714">
        <f>(FlipkartTable[[#This Row],[Rating]]/FlipkartTable[[#This Row],[Selling Price]])*1000</f>
        <v>0.22106426654034425</v>
      </c>
      <c r="L2714" t="str">
        <f>IF(FlipkartTable[[#This Row],[Selling Price]]&lt;15000,"Budget",IF(FlipkartTable[[#This Row],[Selling Price]]&lt;50000,"Mid Range","Premium"))</f>
        <v>Mid Range</v>
      </c>
      <c r="M2714" t="str">
        <f>IF(FlipkartTable[[#This Row],[Rating]]&gt;4.5,"Excellent",IF(FlipkartTable[[#This Row],[Rating]]&gt;4,"Good",IF(FlipkartTable[[#This Row],[Rating]]&gt;3.5,"Average","Poor")))</f>
        <v>Good</v>
      </c>
    </row>
    <row r="2715" spans="1:13" x14ac:dyDescent="0.35">
      <c r="A2715" t="s">
        <v>1406</v>
      </c>
      <c r="B2715" s="9" t="s">
        <v>1449</v>
      </c>
      <c r="C2715" t="s">
        <v>465</v>
      </c>
      <c r="D2715" t="s">
        <v>11</v>
      </c>
      <c r="E2715" t="s">
        <v>12</v>
      </c>
      <c r="F2715">
        <v>4.4000000000000004</v>
      </c>
      <c r="G2715">
        <v>12999</v>
      </c>
      <c r="H2715">
        <v>12999</v>
      </c>
      <c r="I2715">
        <f>FlipkartTable[[#This Row],[Original Price]]-FlipkartTable[[#This Row],[Selling Price]]</f>
        <v>0</v>
      </c>
      <c r="J2715" s="4">
        <f>(FlipkartTable[[#This Row],[Original Price]]-FlipkartTable[[#This Row],[Selling Price]])/FlipkartTable[[#This Row],[Original Price]]</f>
        <v>0</v>
      </c>
      <c r="K2715">
        <f>(FlipkartTable[[#This Row],[Rating]]/FlipkartTable[[#This Row],[Selling Price]])*1000</f>
        <v>0.33848757596738216</v>
      </c>
      <c r="L2715" t="str">
        <f>IF(FlipkartTable[[#This Row],[Selling Price]]&lt;15000,"Budget",IF(FlipkartTable[[#This Row],[Selling Price]]&lt;50000,"Mid Range","Premium"))</f>
        <v>Budget</v>
      </c>
      <c r="M2715" t="str">
        <f>IF(FlipkartTable[[#This Row],[Rating]]&gt;4.5,"Excellent",IF(FlipkartTable[[#This Row],[Rating]]&gt;4,"Good",IF(FlipkartTable[[#This Row],[Rating]]&gt;3.5,"Average","Poor")))</f>
        <v>Good</v>
      </c>
    </row>
    <row r="2716" spans="1:13" x14ac:dyDescent="0.35">
      <c r="A2716" t="s">
        <v>1406</v>
      </c>
      <c r="B2716" s="9" t="s">
        <v>1449</v>
      </c>
      <c r="C2716" t="s">
        <v>717</v>
      </c>
      <c r="D2716" t="s">
        <v>11</v>
      </c>
      <c r="E2716" t="s">
        <v>12</v>
      </c>
      <c r="F2716">
        <v>4.4000000000000004</v>
      </c>
      <c r="G2716">
        <v>12999</v>
      </c>
      <c r="H2716">
        <v>12999</v>
      </c>
      <c r="I2716">
        <f>FlipkartTable[[#This Row],[Original Price]]-FlipkartTable[[#This Row],[Selling Price]]</f>
        <v>0</v>
      </c>
      <c r="J2716" s="4">
        <f>(FlipkartTable[[#This Row],[Original Price]]-FlipkartTable[[#This Row],[Selling Price]])/FlipkartTable[[#This Row],[Original Price]]</f>
        <v>0</v>
      </c>
      <c r="K2716">
        <f>(FlipkartTable[[#This Row],[Rating]]/FlipkartTable[[#This Row],[Selling Price]])*1000</f>
        <v>0.33848757596738216</v>
      </c>
      <c r="L2716" t="str">
        <f>IF(FlipkartTable[[#This Row],[Selling Price]]&lt;15000,"Budget",IF(FlipkartTable[[#This Row],[Selling Price]]&lt;50000,"Mid Range","Premium"))</f>
        <v>Budget</v>
      </c>
      <c r="M2716" t="str">
        <f>IF(FlipkartTable[[#This Row],[Rating]]&gt;4.5,"Excellent",IF(FlipkartTable[[#This Row],[Rating]]&gt;4,"Good",IF(FlipkartTable[[#This Row],[Rating]]&gt;3.5,"Average","Poor")))</f>
        <v>Good</v>
      </c>
    </row>
    <row r="2717" spans="1:13" x14ac:dyDescent="0.35">
      <c r="A2717" t="s">
        <v>1406</v>
      </c>
      <c r="B2717" s="9" t="s">
        <v>1407</v>
      </c>
      <c r="C2717" t="s">
        <v>1133</v>
      </c>
      <c r="D2717" t="s">
        <v>20</v>
      </c>
      <c r="E2717" t="s">
        <v>21</v>
      </c>
      <c r="F2717">
        <v>4.3</v>
      </c>
      <c r="G2717">
        <v>8299</v>
      </c>
      <c r="H2717">
        <v>9999</v>
      </c>
      <c r="I2717">
        <f>FlipkartTable[[#This Row],[Original Price]]-FlipkartTable[[#This Row],[Selling Price]]</f>
        <v>1700</v>
      </c>
      <c r="J2717" s="4">
        <f>(FlipkartTable[[#This Row],[Original Price]]-FlipkartTable[[#This Row],[Selling Price]])/FlipkartTable[[#This Row],[Original Price]]</f>
        <v>0.17001700170017001</v>
      </c>
      <c r="K2717">
        <f>(FlipkartTable[[#This Row],[Rating]]/FlipkartTable[[#This Row],[Selling Price]])*1000</f>
        <v>0.51813471502590669</v>
      </c>
      <c r="L2717" t="str">
        <f>IF(FlipkartTable[[#This Row],[Selling Price]]&lt;15000,"Budget",IF(FlipkartTable[[#This Row],[Selling Price]]&lt;50000,"Mid Range","Premium"))</f>
        <v>Budget</v>
      </c>
      <c r="M2717" t="str">
        <f>IF(FlipkartTable[[#This Row],[Rating]]&gt;4.5,"Excellent",IF(FlipkartTable[[#This Row],[Rating]]&gt;4,"Good",IF(FlipkartTable[[#This Row],[Rating]]&gt;3.5,"Average","Poor")))</f>
        <v>Good</v>
      </c>
    </row>
    <row r="2718" spans="1:13" x14ac:dyDescent="0.35">
      <c r="A2718" t="s">
        <v>1406</v>
      </c>
      <c r="B2718" s="9" t="s">
        <v>1407</v>
      </c>
      <c r="C2718" t="s">
        <v>1408</v>
      </c>
      <c r="D2718" t="s">
        <v>11</v>
      </c>
      <c r="E2718" t="s">
        <v>12</v>
      </c>
      <c r="F2718">
        <v>4.3</v>
      </c>
      <c r="G2718">
        <v>9299</v>
      </c>
      <c r="H2718">
        <v>10999</v>
      </c>
      <c r="I2718">
        <f>FlipkartTable[[#This Row],[Original Price]]-FlipkartTable[[#This Row],[Selling Price]]</f>
        <v>1700</v>
      </c>
      <c r="J2718" s="4">
        <f>(FlipkartTable[[#This Row],[Original Price]]-FlipkartTable[[#This Row],[Selling Price]])/FlipkartTable[[#This Row],[Original Price]]</f>
        <v>0.15455950540958269</v>
      </c>
      <c r="K2718">
        <f>(FlipkartTable[[#This Row],[Rating]]/FlipkartTable[[#This Row],[Selling Price]])*1000</f>
        <v>0.46241531347456716</v>
      </c>
      <c r="L2718" t="str">
        <f>IF(FlipkartTable[[#This Row],[Selling Price]]&lt;15000,"Budget",IF(FlipkartTable[[#This Row],[Selling Price]]&lt;50000,"Mid Range","Premium"))</f>
        <v>Budget</v>
      </c>
      <c r="M2718" t="str">
        <f>IF(FlipkartTable[[#This Row],[Rating]]&gt;4.5,"Excellent",IF(FlipkartTable[[#This Row],[Rating]]&gt;4,"Good",IF(FlipkartTable[[#This Row],[Rating]]&gt;3.5,"Average","Poor")))</f>
        <v>Good</v>
      </c>
    </row>
    <row r="2719" spans="1:13" x14ac:dyDescent="0.35">
      <c r="A2719" t="s">
        <v>1406</v>
      </c>
      <c r="B2719" s="9" t="s">
        <v>1407</v>
      </c>
      <c r="C2719" t="s">
        <v>1410</v>
      </c>
      <c r="D2719" t="s">
        <v>11</v>
      </c>
      <c r="E2719" t="s">
        <v>12</v>
      </c>
      <c r="F2719">
        <v>4.3</v>
      </c>
      <c r="G2719">
        <v>9299</v>
      </c>
      <c r="H2719">
        <v>10999</v>
      </c>
      <c r="I2719">
        <f>FlipkartTable[[#This Row],[Original Price]]-FlipkartTable[[#This Row],[Selling Price]]</f>
        <v>1700</v>
      </c>
      <c r="J2719" s="4">
        <f>(FlipkartTable[[#This Row],[Original Price]]-FlipkartTable[[#This Row],[Selling Price]])/FlipkartTable[[#This Row],[Original Price]]</f>
        <v>0.15455950540958269</v>
      </c>
      <c r="K2719">
        <f>(FlipkartTable[[#This Row],[Rating]]/FlipkartTable[[#This Row],[Selling Price]])*1000</f>
        <v>0.46241531347456716</v>
      </c>
      <c r="L2719" t="str">
        <f>IF(FlipkartTable[[#This Row],[Selling Price]]&lt;15000,"Budget",IF(FlipkartTable[[#This Row],[Selling Price]]&lt;50000,"Mid Range","Premium"))</f>
        <v>Budget</v>
      </c>
      <c r="M2719" t="str">
        <f>IF(FlipkartTable[[#This Row],[Rating]]&gt;4.5,"Excellent",IF(FlipkartTable[[#This Row],[Rating]]&gt;4,"Good",IF(FlipkartTable[[#This Row],[Rating]]&gt;3.5,"Average","Poor")))</f>
        <v>Good</v>
      </c>
    </row>
    <row r="2720" spans="1:13" x14ac:dyDescent="0.35">
      <c r="A2720" t="s">
        <v>1406</v>
      </c>
      <c r="B2720" s="9" t="s">
        <v>1407</v>
      </c>
      <c r="C2720" t="s">
        <v>1133</v>
      </c>
      <c r="D2720" t="s">
        <v>11</v>
      </c>
      <c r="E2720" t="s">
        <v>12</v>
      </c>
      <c r="F2720">
        <v>4.3</v>
      </c>
      <c r="G2720">
        <v>9299</v>
      </c>
      <c r="H2720">
        <v>10999</v>
      </c>
      <c r="I2720">
        <f>FlipkartTable[[#This Row],[Original Price]]-FlipkartTable[[#This Row],[Selling Price]]</f>
        <v>1700</v>
      </c>
      <c r="J2720" s="4">
        <f>(FlipkartTable[[#This Row],[Original Price]]-FlipkartTable[[#This Row],[Selling Price]])/FlipkartTable[[#This Row],[Original Price]]</f>
        <v>0.15455950540958269</v>
      </c>
      <c r="K2720">
        <f>(FlipkartTable[[#This Row],[Rating]]/FlipkartTable[[#This Row],[Selling Price]])*1000</f>
        <v>0.46241531347456716</v>
      </c>
      <c r="L2720" t="str">
        <f>IF(FlipkartTable[[#This Row],[Selling Price]]&lt;15000,"Budget",IF(FlipkartTable[[#This Row],[Selling Price]]&lt;50000,"Mid Range","Premium"))</f>
        <v>Budget</v>
      </c>
      <c r="M2720" t="str">
        <f>IF(FlipkartTable[[#This Row],[Rating]]&gt;4.5,"Excellent",IF(FlipkartTable[[#This Row],[Rating]]&gt;4,"Good",IF(FlipkartTable[[#This Row],[Rating]]&gt;3.5,"Average","Poor")))</f>
        <v>Good</v>
      </c>
    </row>
    <row r="2721" spans="1:13" x14ac:dyDescent="0.35">
      <c r="A2721" t="s">
        <v>1406</v>
      </c>
      <c r="B2721" s="9" t="s">
        <v>1414</v>
      </c>
      <c r="C2721" t="s">
        <v>121</v>
      </c>
      <c r="D2721" t="s">
        <v>11</v>
      </c>
      <c r="E2721" t="s">
        <v>12</v>
      </c>
      <c r="F2721">
        <v>4.4000000000000004</v>
      </c>
      <c r="G2721">
        <v>9999</v>
      </c>
      <c r="H2721">
        <v>11999</v>
      </c>
      <c r="I2721">
        <f>FlipkartTable[[#This Row],[Original Price]]-FlipkartTable[[#This Row],[Selling Price]]</f>
        <v>2000</v>
      </c>
      <c r="J2721" s="4">
        <f>(FlipkartTable[[#This Row],[Original Price]]-FlipkartTable[[#This Row],[Selling Price]])/FlipkartTable[[#This Row],[Original Price]]</f>
        <v>0.16668055671305942</v>
      </c>
      <c r="K2721">
        <f>(FlipkartTable[[#This Row],[Rating]]/FlipkartTable[[#This Row],[Selling Price]])*1000</f>
        <v>0.44004400440044006</v>
      </c>
      <c r="L2721" t="str">
        <f>IF(FlipkartTable[[#This Row],[Selling Price]]&lt;15000,"Budget",IF(FlipkartTable[[#This Row],[Selling Price]]&lt;50000,"Mid Range","Premium"))</f>
        <v>Budget</v>
      </c>
      <c r="M2721" t="str">
        <f>IF(FlipkartTable[[#This Row],[Rating]]&gt;4.5,"Excellent",IF(FlipkartTable[[#This Row],[Rating]]&gt;4,"Good",IF(FlipkartTable[[#This Row],[Rating]]&gt;3.5,"Average","Poor")))</f>
        <v>Good</v>
      </c>
    </row>
    <row r="2722" spans="1:13" x14ac:dyDescent="0.35">
      <c r="A2722" t="s">
        <v>1406</v>
      </c>
      <c r="B2722" s="9" t="s">
        <v>1414</v>
      </c>
      <c r="C2722" t="s">
        <v>1412</v>
      </c>
      <c r="D2722" t="s">
        <v>11</v>
      </c>
      <c r="E2722" t="s">
        <v>12</v>
      </c>
      <c r="F2722">
        <v>4.4000000000000004</v>
      </c>
      <c r="G2722">
        <v>9999</v>
      </c>
      <c r="H2722">
        <v>11999</v>
      </c>
      <c r="I2722">
        <f>FlipkartTable[[#This Row],[Original Price]]-FlipkartTable[[#This Row],[Selling Price]]</f>
        <v>2000</v>
      </c>
      <c r="J2722" s="4">
        <f>(FlipkartTable[[#This Row],[Original Price]]-FlipkartTable[[#This Row],[Selling Price]])/FlipkartTable[[#This Row],[Original Price]]</f>
        <v>0.16668055671305942</v>
      </c>
      <c r="K2722">
        <f>(FlipkartTable[[#This Row],[Rating]]/FlipkartTable[[#This Row],[Selling Price]])*1000</f>
        <v>0.44004400440044006</v>
      </c>
      <c r="L2722" t="str">
        <f>IF(FlipkartTable[[#This Row],[Selling Price]]&lt;15000,"Budget",IF(FlipkartTable[[#This Row],[Selling Price]]&lt;50000,"Mid Range","Premium"))</f>
        <v>Budget</v>
      </c>
      <c r="M2722" t="str">
        <f>IF(FlipkartTable[[#This Row],[Rating]]&gt;4.5,"Excellent",IF(FlipkartTable[[#This Row],[Rating]]&gt;4,"Good",IF(FlipkartTable[[#This Row],[Rating]]&gt;3.5,"Average","Poor")))</f>
        <v>Good</v>
      </c>
    </row>
    <row r="2723" spans="1:13" x14ac:dyDescent="0.35">
      <c r="A2723" t="s">
        <v>1406</v>
      </c>
      <c r="B2723" s="9" t="s">
        <v>1417</v>
      </c>
      <c r="C2723" t="s">
        <v>121</v>
      </c>
      <c r="D2723" t="s">
        <v>14</v>
      </c>
      <c r="E2723" t="s">
        <v>12</v>
      </c>
      <c r="F2723">
        <v>4.3</v>
      </c>
      <c r="G2723">
        <v>10999</v>
      </c>
      <c r="H2723">
        <v>13999</v>
      </c>
      <c r="I2723">
        <f>FlipkartTable[[#This Row],[Original Price]]-FlipkartTable[[#This Row],[Selling Price]]</f>
        <v>3000</v>
      </c>
      <c r="J2723" s="4">
        <f>(FlipkartTable[[#This Row],[Original Price]]-FlipkartTable[[#This Row],[Selling Price]])/FlipkartTable[[#This Row],[Original Price]]</f>
        <v>0.21430102150153582</v>
      </c>
      <c r="K2723">
        <f>(FlipkartTable[[#This Row],[Rating]]/FlipkartTable[[#This Row],[Selling Price]])*1000</f>
        <v>0.39094463133012086</v>
      </c>
      <c r="L2723" t="str">
        <f>IF(FlipkartTable[[#This Row],[Selling Price]]&lt;15000,"Budget",IF(FlipkartTable[[#This Row],[Selling Price]]&lt;50000,"Mid Range","Premium"))</f>
        <v>Budget</v>
      </c>
      <c r="M2723" t="str">
        <f>IF(FlipkartTable[[#This Row],[Rating]]&gt;4.5,"Excellent",IF(FlipkartTable[[#This Row],[Rating]]&gt;4,"Good",IF(FlipkartTable[[#This Row],[Rating]]&gt;3.5,"Average","Poor")))</f>
        <v>Good</v>
      </c>
    </row>
    <row r="2724" spans="1:13" x14ac:dyDescent="0.35">
      <c r="A2724" t="s">
        <v>1406</v>
      </c>
      <c r="B2724" s="9" t="s">
        <v>1417</v>
      </c>
      <c r="C2724" t="s">
        <v>19</v>
      </c>
      <c r="D2724" t="s">
        <v>14</v>
      </c>
      <c r="E2724" t="s">
        <v>12</v>
      </c>
      <c r="F2724">
        <v>4.3</v>
      </c>
      <c r="G2724">
        <v>10999</v>
      </c>
      <c r="H2724">
        <v>13999</v>
      </c>
      <c r="I2724">
        <f>FlipkartTable[[#This Row],[Original Price]]-FlipkartTable[[#This Row],[Selling Price]]</f>
        <v>3000</v>
      </c>
      <c r="J2724" s="4">
        <f>(FlipkartTable[[#This Row],[Original Price]]-FlipkartTable[[#This Row],[Selling Price]])/FlipkartTable[[#This Row],[Original Price]]</f>
        <v>0.21430102150153582</v>
      </c>
      <c r="K2724">
        <f>(FlipkartTable[[#This Row],[Rating]]/FlipkartTable[[#This Row],[Selling Price]])*1000</f>
        <v>0.39094463133012086</v>
      </c>
      <c r="L2724" t="str">
        <f>IF(FlipkartTable[[#This Row],[Selling Price]]&lt;15000,"Budget",IF(FlipkartTable[[#This Row],[Selling Price]]&lt;50000,"Mid Range","Premium"))</f>
        <v>Budget</v>
      </c>
      <c r="M2724" t="str">
        <f>IF(FlipkartTable[[#This Row],[Rating]]&gt;4.5,"Excellent",IF(FlipkartTable[[#This Row],[Rating]]&gt;4,"Good",IF(FlipkartTable[[#This Row],[Rating]]&gt;3.5,"Average","Poor")))</f>
        <v>Good</v>
      </c>
    </row>
    <row r="2725" spans="1:13" x14ac:dyDescent="0.35">
      <c r="A2725" t="s">
        <v>1406</v>
      </c>
      <c r="B2725" s="9" t="s">
        <v>1417</v>
      </c>
      <c r="C2725" t="s">
        <v>19</v>
      </c>
      <c r="D2725" t="s">
        <v>11</v>
      </c>
      <c r="E2725" t="s">
        <v>12</v>
      </c>
      <c r="F2725">
        <v>4.3</v>
      </c>
      <c r="G2725">
        <v>9999</v>
      </c>
      <c r="H2725">
        <v>12999</v>
      </c>
      <c r="I2725">
        <f>FlipkartTable[[#This Row],[Original Price]]-FlipkartTable[[#This Row],[Selling Price]]</f>
        <v>3000</v>
      </c>
      <c r="J2725" s="4">
        <f>(FlipkartTable[[#This Row],[Original Price]]-FlipkartTable[[#This Row],[Selling Price]])/FlipkartTable[[#This Row],[Original Price]]</f>
        <v>0.23078698361412417</v>
      </c>
      <c r="K2725">
        <f>(FlipkartTable[[#This Row],[Rating]]/FlipkartTable[[#This Row],[Selling Price]])*1000</f>
        <v>0.43004300430043002</v>
      </c>
      <c r="L2725" t="str">
        <f>IF(FlipkartTable[[#This Row],[Selling Price]]&lt;15000,"Budget",IF(FlipkartTable[[#This Row],[Selling Price]]&lt;50000,"Mid Range","Premium"))</f>
        <v>Budget</v>
      </c>
      <c r="M2725" t="str">
        <f>IF(FlipkartTable[[#This Row],[Rating]]&gt;4.5,"Excellent",IF(FlipkartTable[[#This Row],[Rating]]&gt;4,"Good",IF(FlipkartTable[[#This Row],[Rating]]&gt;3.5,"Average","Poor")))</f>
        <v>Good</v>
      </c>
    </row>
    <row r="2726" spans="1:13" x14ac:dyDescent="0.35">
      <c r="A2726" t="s">
        <v>1406</v>
      </c>
      <c r="B2726" s="9" t="s">
        <v>1426</v>
      </c>
      <c r="C2726" t="s">
        <v>1455</v>
      </c>
      <c r="D2726" t="s">
        <v>35</v>
      </c>
      <c r="E2726" t="s">
        <v>21</v>
      </c>
      <c r="F2726">
        <v>4.3</v>
      </c>
      <c r="G2726">
        <v>7990</v>
      </c>
      <c r="H2726">
        <v>7990</v>
      </c>
      <c r="I2726">
        <f>FlipkartTable[[#This Row],[Original Price]]-FlipkartTable[[#This Row],[Selling Price]]</f>
        <v>0</v>
      </c>
      <c r="J2726" s="4">
        <f>(FlipkartTable[[#This Row],[Original Price]]-FlipkartTable[[#This Row],[Selling Price]])/FlipkartTable[[#This Row],[Original Price]]</f>
        <v>0</v>
      </c>
      <c r="K2726">
        <f>(FlipkartTable[[#This Row],[Rating]]/FlipkartTable[[#This Row],[Selling Price]])*1000</f>
        <v>0.53817271589486848</v>
      </c>
      <c r="L2726" t="str">
        <f>IF(FlipkartTable[[#This Row],[Selling Price]]&lt;15000,"Budget",IF(FlipkartTable[[#This Row],[Selling Price]]&lt;50000,"Mid Range","Premium"))</f>
        <v>Budget</v>
      </c>
      <c r="M2726" t="str">
        <f>IF(FlipkartTable[[#This Row],[Rating]]&gt;4.5,"Excellent",IF(FlipkartTable[[#This Row],[Rating]]&gt;4,"Good",IF(FlipkartTable[[#This Row],[Rating]]&gt;3.5,"Average","Poor")))</f>
        <v>Good</v>
      </c>
    </row>
    <row r="2727" spans="1:13" x14ac:dyDescent="0.35">
      <c r="A2727" t="s">
        <v>1406</v>
      </c>
      <c r="B2727" s="9" t="s">
        <v>1417</v>
      </c>
      <c r="C2727" t="s">
        <v>121</v>
      </c>
      <c r="D2727" t="s">
        <v>11</v>
      </c>
      <c r="E2727" t="s">
        <v>12</v>
      </c>
      <c r="F2727">
        <v>4.3</v>
      </c>
      <c r="G2727">
        <v>9999</v>
      </c>
      <c r="H2727">
        <v>12999</v>
      </c>
      <c r="I2727">
        <f>FlipkartTable[[#This Row],[Original Price]]-FlipkartTable[[#This Row],[Selling Price]]</f>
        <v>3000</v>
      </c>
      <c r="J2727" s="4">
        <f>(FlipkartTable[[#This Row],[Original Price]]-FlipkartTable[[#This Row],[Selling Price]])/FlipkartTable[[#This Row],[Original Price]]</f>
        <v>0.23078698361412417</v>
      </c>
      <c r="K2727">
        <f>(FlipkartTable[[#This Row],[Rating]]/FlipkartTable[[#This Row],[Selling Price]])*1000</f>
        <v>0.43004300430043002</v>
      </c>
      <c r="L2727" t="str">
        <f>IF(FlipkartTable[[#This Row],[Selling Price]]&lt;15000,"Budget",IF(FlipkartTable[[#This Row],[Selling Price]]&lt;50000,"Mid Range","Premium"))</f>
        <v>Budget</v>
      </c>
      <c r="M2727" t="str">
        <f>IF(FlipkartTable[[#This Row],[Rating]]&gt;4.5,"Excellent",IF(FlipkartTable[[#This Row],[Rating]]&gt;4,"Good",IF(FlipkartTable[[#This Row],[Rating]]&gt;3.5,"Average","Poor")))</f>
        <v>Good</v>
      </c>
    </row>
    <row r="2728" spans="1:13" x14ac:dyDescent="0.35">
      <c r="A2728" t="s">
        <v>1406</v>
      </c>
      <c r="B2728" s="9" t="s">
        <v>1433</v>
      </c>
      <c r="C2728" t="s">
        <v>121</v>
      </c>
      <c r="D2728" t="s">
        <v>27</v>
      </c>
      <c r="E2728" t="s">
        <v>64</v>
      </c>
      <c r="F2728">
        <v>4.2</v>
      </c>
      <c r="G2728">
        <v>16999</v>
      </c>
      <c r="H2728">
        <v>19999</v>
      </c>
      <c r="I2728">
        <f>FlipkartTable[[#This Row],[Original Price]]-FlipkartTable[[#This Row],[Selling Price]]</f>
        <v>3000</v>
      </c>
      <c r="J2728" s="4">
        <f>(FlipkartTable[[#This Row],[Original Price]]-FlipkartTable[[#This Row],[Selling Price]])/FlipkartTable[[#This Row],[Original Price]]</f>
        <v>0.15000750037501875</v>
      </c>
      <c r="K2728">
        <f>(FlipkartTable[[#This Row],[Rating]]/FlipkartTable[[#This Row],[Selling Price]])*1000</f>
        <v>0.24707335725630922</v>
      </c>
      <c r="L2728" t="str">
        <f>IF(FlipkartTable[[#This Row],[Selling Price]]&lt;15000,"Budget",IF(FlipkartTable[[#This Row],[Selling Price]]&lt;50000,"Mid Range","Premium"))</f>
        <v>Mid Range</v>
      </c>
      <c r="M2728" t="str">
        <f>IF(FlipkartTable[[#This Row],[Rating]]&gt;4.5,"Excellent",IF(FlipkartTable[[#This Row],[Rating]]&gt;4,"Good",IF(FlipkartTable[[#This Row],[Rating]]&gt;3.5,"Average","Poor")))</f>
        <v>Good</v>
      </c>
    </row>
    <row r="2729" spans="1:13" x14ac:dyDescent="0.35">
      <c r="A2729" t="s">
        <v>1406</v>
      </c>
      <c r="B2729" s="9" t="s">
        <v>1456</v>
      </c>
      <c r="C2729" t="s">
        <v>1133</v>
      </c>
      <c r="D2729" t="s">
        <v>11</v>
      </c>
      <c r="E2729" t="s">
        <v>12</v>
      </c>
      <c r="F2729">
        <v>4.4000000000000004</v>
      </c>
      <c r="G2729">
        <v>11999</v>
      </c>
      <c r="H2729">
        <v>11999</v>
      </c>
      <c r="I2729">
        <f>FlipkartTable[[#This Row],[Original Price]]-FlipkartTable[[#This Row],[Selling Price]]</f>
        <v>0</v>
      </c>
      <c r="J2729" s="4">
        <f>(FlipkartTable[[#This Row],[Original Price]]-FlipkartTable[[#This Row],[Selling Price]])/FlipkartTable[[#This Row],[Original Price]]</f>
        <v>0</v>
      </c>
      <c r="K2729">
        <f>(FlipkartTable[[#This Row],[Rating]]/FlipkartTable[[#This Row],[Selling Price]])*1000</f>
        <v>0.36669722476873073</v>
      </c>
      <c r="L2729" t="str">
        <f>IF(FlipkartTable[[#This Row],[Selling Price]]&lt;15000,"Budget",IF(FlipkartTable[[#This Row],[Selling Price]]&lt;50000,"Mid Range","Premium"))</f>
        <v>Budget</v>
      </c>
      <c r="M2729" t="str">
        <f>IF(FlipkartTable[[#This Row],[Rating]]&gt;4.5,"Excellent",IF(FlipkartTable[[#This Row],[Rating]]&gt;4,"Good",IF(FlipkartTable[[#This Row],[Rating]]&gt;3.5,"Average","Poor")))</f>
        <v>Good</v>
      </c>
    </row>
    <row r="2730" spans="1:13" x14ac:dyDescent="0.35">
      <c r="A2730" t="s">
        <v>1406</v>
      </c>
      <c r="B2730" s="9" t="s">
        <v>1456</v>
      </c>
      <c r="C2730" t="s">
        <v>1425</v>
      </c>
      <c r="D2730" t="s">
        <v>11</v>
      </c>
      <c r="E2730" t="s">
        <v>12</v>
      </c>
      <c r="F2730">
        <v>4.4000000000000004</v>
      </c>
      <c r="G2730">
        <v>11999</v>
      </c>
      <c r="H2730">
        <v>11999</v>
      </c>
      <c r="I2730">
        <f>FlipkartTable[[#This Row],[Original Price]]-FlipkartTable[[#This Row],[Selling Price]]</f>
        <v>0</v>
      </c>
      <c r="J2730" s="4">
        <f>(FlipkartTable[[#This Row],[Original Price]]-FlipkartTable[[#This Row],[Selling Price]])/FlipkartTable[[#This Row],[Original Price]]</f>
        <v>0</v>
      </c>
      <c r="K2730">
        <f>(FlipkartTable[[#This Row],[Rating]]/FlipkartTable[[#This Row],[Selling Price]])*1000</f>
        <v>0.36669722476873073</v>
      </c>
      <c r="L2730" t="str">
        <f>IF(FlipkartTable[[#This Row],[Selling Price]]&lt;15000,"Budget",IF(FlipkartTable[[#This Row],[Selling Price]]&lt;50000,"Mid Range","Premium"))</f>
        <v>Budget</v>
      </c>
      <c r="M2730" t="str">
        <f>IF(FlipkartTable[[#This Row],[Rating]]&gt;4.5,"Excellent",IF(FlipkartTable[[#This Row],[Rating]]&gt;4,"Good",IF(FlipkartTable[[#This Row],[Rating]]&gt;3.5,"Average","Poor")))</f>
        <v>Good</v>
      </c>
    </row>
    <row r="2731" spans="1:13" x14ac:dyDescent="0.35">
      <c r="A2731" t="s">
        <v>1406</v>
      </c>
      <c r="B2731" s="9" t="s">
        <v>1456</v>
      </c>
      <c r="C2731" t="s">
        <v>1457</v>
      </c>
      <c r="D2731" t="s">
        <v>11</v>
      </c>
      <c r="E2731" t="s">
        <v>12</v>
      </c>
      <c r="F2731">
        <v>4.4000000000000004</v>
      </c>
      <c r="G2731">
        <v>11999</v>
      </c>
      <c r="H2731">
        <v>11999</v>
      </c>
      <c r="I2731">
        <f>FlipkartTable[[#This Row],[Original Price]]-FlipkartTable[[#This Row],[Selling Price]]</f>
        <v>0</v>
      </c>
      <c r="J2731" s="4">
        <f>(FlipkartTable[[#This Row],[Original Price]]-FlipkartTable[[#This Row],[Selling Price]])/FlipkartTable[[#This Row],[Original Price]]</f>
        <v>0</v>
      </c>
      <c r="K2731">
        <f>(FlipkartTable[[#This Row],[Rating]]/FlipkartTable[[#This Row],[Selling Price]])*1000</f>
        <v>0.36669722476873073</v>
      </c>
      <c r="L2731" t="str">
        <f>IF(FlipkartTable[[#This Row],[Selling Price]]&lt;15000,"Budget",IF(FlipkartTable[[#This Row],[Selling Price]]&lt;50000,"Mid Range","Premium"))</f>
        <v>Budget</v>
      </c>
      <c r="M2731" t="str">
        <f>IF(FlipkartTable[[#This Row],[Rating]]&gt;4.5,"Excellent",IF(FlipkartTable[[#This Row],[Rating]]&gt;4,"Good",IF(FlipkartTable[[#This Row],[Rating]]&gt;3.5,"Average","Poor")))</f>
        <v>Good</v>
      </c>
    </row>
    <row r="2732" spans="1:13" x14ac:dyDescent="0.35">
      <c r="A2732" t="s">
        <v>1406</v>
      </c>
      <c r="B2732" s="9" t="s">
        <v>1456</v>
      </c>
      <c r="C2732" t="s">
        <v>1458</v>
      </c>
      <c r="D2732" t="s">
        <v>11</v>
      </c>
      <c r="E2732" t="s">
        <v>12</v>
      </c>
      <c r="F2732">
        <v>4.4000000000000004</v>
      </c>
      <c r="G2732">
        <v>11999</v>
      </c>
      <c r="H2732">
        <v>11999</v>
      </c>
      <c r="I2732">
        <f>FlipkartTable[[#This Row],[Original Price]]-FlipkartTable[[#This Row],[Selling Price]]</f>
        <v>0</v>
      </c>
      <c r="J2732" s="4">
        <f>(FlipkartTable[[#This Row],[Original Price]]-FlipkartTable[[#This Row],[Selling Price]])/FlipkartTable[[#This Row],[Original Price]]</f>
        <v>0</v>
      </c>
      <c r="K2732">
        <f>(FlipkartTable[[#This Row],[Rating]]/FlipkartTable[[#This Row],[Selling Price]])*1000</f>
        <v>0.36669722476873073</v>
      </c>
      <c r="L2732" t="str">
        <f>IF(FlipkartTable[[#This Row],[Selling Price]]&lt;15000,"Budget",IF(FlipkartTable[[#This Row],[Selling Price]]&lt;50000,"Mid Range","Premium"))</f>
        <v>Budget</v>
      </c>
      <c r="M2732" t="str">
        <f>IF(FlipkartTable[[#This Row],[Rating]]&gt;4.5,"Excellent",IF(FlipkartTable[[#This Row],[Rating]]&gt;4,"Good",IF(FlipkartTable[[#This Row],[Rating]]&gt;3.5,"Average","Poor")))</f>
        <v>Good</v>
      </c>
    </row>
    <row r="2733" spans="1:13" x14ac:dyDescent="0.35">
      <c r="A2733" t="s">
        <v>1406</v>
      </c>
      <c r="B2733" s="9" t="s">
        <v>1459</v>
      </c>
      <c r="C2733" t="s">
        <v>1425</v>
      </c>
      <c r="D2733" t="s">
        <v>20</v>
      </c>
      <c r="E2733" t="s">
        <v>21</v>
      </c>
      <c r="F2733">
        <v>4.4000000000000004</v>
      </c>
      <c r="G2733">
        <v>9999</v>
      </c>
      <c r="H2733">
        <v>9999</v>
      </c>
      <c r="I2733">
        <f>FlipkartTable[[#This Row],[Original Price]]-FlipkartTable[[#This Row],[Selling Price]]</f>
        <v>0</v>
      </c>
      <c r="J2733" s="4">
        <f>(FlipkartTable[[#This Row],[Original Price]]-FlipkartTable[[#This Row],[Selling Price]])/FlipkartTable[[#This Row],[Original Price]]</f>
        <v>0</v>
      </c>
      <c r="K2733">
        <f>(FlipkartTable[[#This Row],[Rating]]/FlipkartTable[[#This Row],[Selling Price]])*1000</f>
        <v>0.44004400440044006</v>
      </c>
      <c r="L2733" t="str">
        <f>IF(FlipkartTable[[#This Row],[Selling Price]]&lt;15000,"Budget",IF(FlipkartTable[[#This Row],[Selling Price]]&lt;50000,"Mid Range","Premium"))</f>
        <v>Budget</v>
      </c>
      <c r="M2733" t="str">
        <f>IF(FlipkartTable[[#This Row],[Rating]]&gt;4.5,"Excellent",IF(FlipkartTable[[#This Row],[Rating]]&gt;4,"Good",IF(FlipkartTable[[#This Row],[Rating]]&gt;3.5,"Average","Poor")))</f>
        <v>Good</v>
      </c>
    </row>
    <row r="2734" spans="1:13" x14ac:dyDescent="0.35">
      <c r="A2734" t="s">
        <v>1406</v>
      </c>
      <c r="B2734" s="9" t="s">
        <v>1459</v>
      </c>
      <c r="C2734" t="s">
        <v>1424</v>
      </c>
      <c r="D2734" t="s">
        <v>20</v>
      </c>
      <c r="E2734" t="s">
        <v>21</v>
      </c>
      <c r="F2734">
        <v>4.4000000000000004</v>
      </c>
      <c r="G2734">
        <v>9999</v>
      </c>
      <c r="H2734">
        <v>9999</v>
      </c>
      <c r="I2734">
        <f>FlipkartTable[[#This Row],[Original Price]]-FlipkartTable[[#This Row],[Selling Price]]</f>
        <v>0</v>
      </c>
      <c r="J2734" s="4">
        <f>(FlipkartTable[[#This Row],[Original Price]]-FlipkartTable[[#This Row],[Selling Price]])/FlipkartTable[[#This Row],[Original Price]]</f>
        <v>0</v>
      </c>
      <c r="K2734">
        <f>(FlipkartTable[[#This Row],[Rating]]/FlipkartTable[[#This Row],[Selling Price]])*1000</f>
        <v>0.44004400440044006</v>
      </c>
      <c r="L2734" t="str">
        <f>IF(FlipkartTable[[#This Row],[Selling Price]]&lt;15000,"Budget",IF(FlipkartTable[[#This Row],[Selling Price]]&lt;50000,"Mid Range","Premium"))</f>
        <v>Budget</v>
      </c>
      <c r="M2734" t="str">
        <f>IF(FlipkartTable[[#This Row],[Rating]]&gt;4.5,"Excellent",IF(FlipkartTable[[#This Row],[Rating]]&gt;4,"Good",IF(FlipkartTable[[#This Row],[Rating]]&gt;3.5,"Average","Poor")))</f>
        <v>Good</v>
      </c>
    </row>
    <row r="2735" spans="1:13" x14ac:dyDescent="0.35">
      <c r="A2735" t="s">
        <v>1406</v>
      </c>
      <c r="B2735" s="9" t="s">
        <v>1459</v>
      </c>
      <c r="C2735" t="s">
        <v>717</v>
      </c>
      <c r="D2735" t="s">
        <v>20</v>
      </c>
      <c r="E2735" t="s">
        <v>21</v>
      </c>
      <c r="F2735">
        <v>4.4000000000000004</v>
      </c>
      <c r="G2735">
        <v>9999</v>
      </c>
      <c r="H2735">
        <v>9999</v>
      </c>
      <c r="I2735">
        <f>FlipkartTable[[#This Row],[Original Price]]-FlipkartTable[[#This Row],[Selling Price]]</f>
        <v>0</v>
      </c>
      <c r="J2735" s="4">
        <f>(FlipkartTable[[#This Row],[Original Price]]-FlipkartTable[[#This Row],[Selling Price]])/FlipkartTable[[#This Row],[Original Price]]</f>
        <v>0</v>
      </c>
      <c r="K2735">
        <f>(FlipkartTable[[#This Row],[Rating]]/FlipkartTable[[#This Row],[Selling Price]])*1000</f>
        <v>0.44004400440044006</v>
      </c>
      <c r="L2735" t="str">
        <f>IF(FlipkartTable[[#This Row],[Selling Price]]&lt;15000,"Budget",IF(FlipkartTable[[#This Row],[Selling Price]]&lt;50000,"Mid Range","Premium"))</f>
        <v>Budget</v>
      </c>
      <c r="M2735" t="str">
        <f>IF(FlipkartTable[[#This Row],[Rating]]&gt;4.5,"Excellent",IF(FlipkartTable[[#This Row],[Rating]]&gt;4,"Good",IF(FlipkartTable[[#This Row],[Rating]]&gt;3.5,"Average","Poor")))</f>
        <v>Good</v>
      </c>
    </row>
    <row r="2736" spans="1:13" x14ac:dyDescent="0.35">
      <c r="A2736" t="s">
        <v>1406</v>
      </c>
      <c r="B2736" s="9" t="s">
        <v>1456</v>
      </c>
      <c r="C2736" t="s">
        <v>1425</v>
      </c>
      <c r="D2736" t="s">
        <v>14</v>
      </c>
      <c r="E2736" t="s">
        <v>15</v>
      </c>
      <c r="F2736">
        <v>4.3</v>
      </c>
      <c r="G2736">
        <v>13999</v>
      </c>
      <c r="H2736">
        <v>13999</v>
      </c>
      <c r="I2736">
        <f>FlipkartTable[[#This Row],[Original Price]]-FlipkartTable[[#This Row],[Selling Price]]</f>
        <v>0</v>
      </c>
      <c r="J2736" s="4">
        <f>(FlipkartTable[[#This Row],[Original Price]]-FlipkartTable[[#This Row],[Selling Price]])/FlipkartTable[[#This Row],[Original Price]]</f>
        <v>0</v>
      </c>
      <c r="K2736">
        <f>(FlipkartTable[[#This Row],[Rating]]/FlipkartTable[[#This Row],[Selling Price]])*1000</f>
        <v>0.30716479748553466</v>
      </c>
      <c r="L2736" t="str">
        <f>IF(FlipkartTable[[#This Row],[Selling Price]]&lt;15000,"Budget",IF(FlipkartTable[[#This Row],[Selling Price]]&lt;50000,"Mid Range","Premium"))</f>
        <v>Budget</v>
      </c>
      <c r="M2736" t="str">
        <f>IF(FlipkartTable[[#This Row],[Rating]]&gt;4.5,"Excellent",IF(FlipkartTable[[#This Row],[Rating]]&gt;4,"Good",IF(FlipkartTable[[#This Row],[Rating]]&gt;3.5,"Average","Poor")))</f>
        <v>Good</v>
      </c>
    </row>
    <row r="2737" spans="1:13" x14ac:dyDescent="0.35">
      <c r="A2737" t="s">
        <v>1406</v>
      </c>
      <c r="B2737" s="9" t="s">
        <v>1460</v>
      </c>
      <c r="C2737" t="s">
        <v>1416</v>
      </c>
      <c r="D2737" t="s">
        <v>11</v>
      </c>
      <c r="E2737" t="s">
        <v>12</v>
      </c>
      <c r="F2737">
        <v>4.2</v>
      </c>
      <c r="G2737">
        <v>10999</v>
      </c>
      <c r="H2737">
        <v>13999</v>
      </c>
      <c r="I2737">
        <f>FlipkartTable[[#This Row],[Original Price]]-FlipkartTable[[#This Row],[Selling Price]]</f>
        <v>3000</v>
      </c>
      <c r="J2737" s="4">
        <f>(FlipkartTable[[#This Row],[Original Price]]-FlipkartTable[[#This Row],[Selling Price]])/FlipkartTable[[#This Row],[Original Price]]</f>
        <v>0.21430102150153582</v>
      </c>
      <c r="K2737">
        <f>(FlipkartTable[[#This Row],[Rating]]/FlipkartTable[[#This Row],[Selling Price]])*1000</f>
        <v>0.38185289571779252</v>
      </c>
      <c r="L2737" t="str">
        <f>IF(FlipkartTable[[#This Row],[Selling Price]]&lt;15000,"Budget",IF(FlipkartTable[[#This Row],[Selling Price]]&lt;50000,"Mid Range","Premium"))</f>
        <v>Budget</v>
      </c>
      <c r="M2737" t="str">
        <f>IF(FlipkartTable[[#This Row],[Rating]]&gt;4.5,"Excellent",IF(FlipkartTable[[#This Row],[Rating]]&gt;4,"Good",IF(FlipkartTable[[#This Row],[Rating]]&gt;3.5,"Average","Poor")))</f>
        <v>Good</v>
      </c>
    </row>
    <row r="2738" spans="1:13" x14ac:dyDescent="0.35">
      <c r="A2738" t="s">
        <v>1406</v>
      </c>
      <c r="B2738" s="9" t="s">
        <v>1461</v>
      </c>
      <c r="C2738" t="s">
        <v>717</v>
      </c>
      <c r="D2738" t="s">
        <v>11</v>
      </c>
      <c r="E2738" t="s">
        <v>12</v>
      </c>
      <c r="F2738">
        <v>4.4000000000000004</v>
      </c>
      <c r="G2738">
        <v>11999</v>
      </c>
      <c r="H2738">
        <v>11999</v>
      </c>
      <c r="I2738">
        <f>FlipkartTable[[#This Row],[Original Price]]-FlipkartTable[[#This Row],[Selling Price]]</f>
        <v>0</v>
      </c>
      <c r="J2738" s="4">
        <f>(FlipkartTable[[#This Row],[Original Price]]-FlipkartTable[[#This Row],[Selling Price]])/FlipkartTable[[#This Row],[Original Price]]</f>
        <v>0</v>
      </c>
      <c r="K2738">
        <f>(FlipkartTable[[#This Row],[Rating]]/FlipkartTable[[#This Row],[Selling Price]])*1000</f>
        <v>0.36669722476873073</v>
      </c>
      <c r="L2738" t="str">
        <f>IF(FlipkartTable[[#This Row],[Selling Price]]&lt;15000,"Budget",IF(FlipkartTable[[#This Row],[Selling Price]]&lt;50000,"Mid Range","Premium"))</f>
        <v>Budget</v>
      </c>
      <c r="M2738" t="str">
        <f>IF(FlipkartTable[[#This Row],[Rating]]&gt;4.5,"Excellent",IF(FlipkartTable[[#This Row],[Rating]]&gt;4,"Good",IF(FlipkartTable[[#This Row],[Rating]]&gt;3.5,"Average","Poor")))</f>
        <v>Good</v>
      </c>
    </row>
    <row r="2739" spans="1:13" x14ac:dyDescent="0.35">
      <c r="A2739" t="s">
        <v>1406</v>
      </c>
      <c r="B2739" s="9" t="s">
        <v>1456</v>
      </c>
      <c r="C2739" t="s">
        <v>1133</v>
      </c>
      <c r="D2739" t="s">
        <v>14</v>
      </c>
      <c r="E2739" t="s">
        <v>15</v>
      </c>
      <c r="F2739">
        <v>4.3</v>
      </c>
      <c r="G2739">
        <v>13999</v>
      </c>
      <c r="H2739">
        <v>13999</v>
      </c>
      <c r="I2739">
        <f>FlipkartTable[[#This Row],[Original Price]]-FlipkartTable[[#This Row],[Selling Price]]</f>
        <v>0</v>
      </c>
      <c r="J2739" s="4">
        <f>(FlipkartTable[[#This Row],[Original Price]]-FlipkartTable[[#This Row],[Selling Price]])/FlipkartTable[[#This Row],[Original Price]]</f>
        <v>0</v>
      </c>
      <c r="K2739">
        <f>(FlipkartTable[[#This Row],[Rating]]/FlipkartTable[[#This Row],[Selling Price]])*1000</f>
        <v>0.30716479748553466</v>
      </c>
      <c r="L2739" t="str">
        <f>IF(FlipkartTable[[#This Row],[Selling Price]]&lt;15000,"Budget",IF(FlipkartTable[[#This Row],[Selling Price]]&lt;50000,"Mid Range","Premium"))</f>
        <v>Budget</v>
      </c>
      <c r="M2739" t="str">
        <f>IF(FlipkartTable[[#This Row],[Rating]]&gt;4.5,"Excellent",IF(FlipkartTable[[#This Row],[Rating]]&gt;4,"Good",IF(FlipkartTable[[#This Row],[Rating]]&gt;3.5,"Average","Poor")))</f>
        <v>Good</v>
      </c>
    </row>
    <row r="2740" spans="1:13" x14ac:dyDescent="0.35">
      <c r="A2740" t="s">
        <v>1406</v>
      </c>
      <c r="B2740" s="9" t="s">
        <v>1456</v>
      </c>
      <c r="C2740" t="s">
        <v>1457</v>
      </c>
      <c r="D2740" t="s">
        <v>14</v>
      </c>
      <c r="E2740" t="s">
        <v>15</v>
      </c>
      <c r="F2740">
        <v>4.3</v>
      </c>
      <c r="G2740">
        <v>13999</v>
      </c>
      <c r="H2740">
        <v>13999</v>
      </c>
      <c r="I2740">
        <f>FlipkartTable[[#This Row],[Original Price]]-FlipkartTable[[#This Row],[Selling Price]]</f>
        <v>0</v>
      </c>
      <c r="J2740" s="4">
        <f>(FlipkartTable[[#This Row],[Original Price]]-FlipkartTable[[#This Row],[Selling Price]])/FlipkartTable[[#This Row],[Original Price]]</f>
        <v>0</v>
      </c>
      <c r="K2740">
        <f>(FlipkartTable[[#This Row],[Rating]]/FlipkartTable[[#This Row],[Selling Price]])*1000</f>
        <v>0.30716479748553466</v>
      </c>
      <c r="L2740" t="str">
        <f>IF(FlipkartTable[[#This Row],[Selling Price]]&lt;15000,"Budget",IF(FlipkartTable[[#This Row],[Selling Price]]&lt;50000,"Mid Range","Premium"))</f>
        <v>Budget</v>
      </c>
      <c r="M2740" t="str">
        <f>IF(FlipkartTable[[#This Row],[Rating]]&gt;4.5,"Excellent",IF(FlipkartTable[[#This Row],[Rating]]&gt;4,"Good",IF(FlipkartTable[[#This Row],[Rating]]&gt;3.5,"Average","Poor")))</f>
        <v>Good</v>
      </c>
    </row>
    <row r="2741" spans="1:13" x14ac:dyDescent="0.35">
      <c r="A2741" t="s">
        <v>1406</v>
      </c>
      <c r="B2741" s="9" t="s">
        <v>1459</v>
      </c>
      <c r="C2741" t="s">
        <v>68</v>
      </c>
      <c r="D2741" t="s">
        <v>20</v>
      </c>
      <c r="E2741" t="s">
        <v>21</v>
      </c>
      <c r="F2741">
        <v>4.4000000000000004</v>
      </c>
      <c r="G2741">
        <v>9999</v>
      </c>
      <c r="H2741">
        <v>9999</v>
      </c>
      <c r="I2741">
        <f>FlipkartTable[[#This Row],[Original Price]]-FlipkartTable[[#This Row],[Selling Price]]</f>
        <v>0</v>
      </c>
      <c r="J2741" s="4">
        <f>(FlipkartTable[[#This Row],[Original Price]]-FlipkartTable[[#This Row],[Selling Price]])/FlipkartTable[[#This Row],[Original Price]]</f>
        <v>0</v>
      </c>
      <c r="K2741">
        <f>(FlipkartTable[[#This Row],[Rating]]/FlipkartTable[[#This Row],[Selling Price]])*1000</f>
        <v>0.44004400440044006</v>
      </c>
      <c r="L2741" t="str">
        <f>IF(FlipkartTable[[#This Row],[Selling Price]]&lt;15000,"Budget",IF(FlipkartTable[[#This Row],[Selling Price]]&lt;50000,"Mid Range","Premium"))</f>
        <v>Budget</v>
      </c>
      <c r="M2741" t="str">
        <f>IF(FlipkartTable[[#This Row],[Rating]]&gt;4.5,"Excellent",IF(FlipkartTable[[#This Row],[Rating]]&gt;4,"Good",IF(FlipkartTable[[#This Row],[Rating]]&gt;3.5,"Average","Poor")))</f>
        <v>Good</v>
      </c>
    </row>
    <row r="2742" spans="1:13" x14ac:dyDescent="0.35">
      <c r="A2742" t="s">
        <v>1406</v>
      </c>
      <c r="B2742" s="9" t="s">
        <v>1461</v>
      </c>
      <c r="C2742" t="s">
        <v>1424</v>
      </c>
      <c r="D2742" t="s">
        <v>11</v>
      </c>
      <c r="E2742" t="s">
        <v>12</v>
      </c>
      <c r="F2742">
        <v>4.4000000000000004</v>
      </c>
      <c r="G2742">
        <v>11999</v>
      </c>
      <c r="H2742">
        <v>11999</v>
      </c>
      <c r="I2742">
        <f>FlipkartTable[[#This Row],[Original Price]]-FlipkartTable[[#This Row],[Selling Price]]</f>
        <v>0</v>
      </c>
      <c r="J2742" s="4">
        <f>(FlipkartTable[[#This Row],[Original Price]]-FlipkartTable[[#This Row],[Selling Price]])/FlipkartTable[[#This Row],[Original Price]]</f>
        <v>0</v>
      </c>
      <c r="K2742">
        <f>(FlipkartTable[[#This Row],[Rating]]/FlipkartTable[[#This Row],[Selling Price]])*1000</f>
        <v>0.36669722476873073</v>
      </c>
      <c r="L2742" t="str">
        <f>IF(FlipkartTable[[#This Row],[Selling Price]]&lt;15000,"Budget",IF(FlipkartTable[[#This Row],[Selling Price]]&lt;50000,"Mid Range","Premium"))</f>
        <v>Budget</v>
      </c>
      <c r="M2742" t="str">
        <f>IF(FlipkartTable[[#This Row],[Rating]]&gt;4.5,"Excellent",IF(FlipkartTable[[#This Row],[Rating]]&gt;4,"Good",IF(FlipkartTable[[#This Row],[Rating]]&gt;3.5,"Average","Poor")))</f>
        <v>Good</v>
      </c>
    </row>
    <row r="2743" spans="1:13" x14ac:dyDescent="0.35">
      <c r="A2743" t="s">
        <v>1406</v>
      </c>
      <c r="B2743" s="9" t="s">
        <v>1460</v>
      </c>
      <c r="C2743" t="s">
        <v>19</v>
      </c>
      <c r="D2743" t="s">
        <v>11</v>
      </c>
      <c r="E2743" t="s">
        <v>12</v>
      </c>
      <c r="F2743">
        <v>4.2</v>
      </c>
      <c r="G2743">
        <v>10999</v>
      </c>
      <c r="H2743">
        <v>13999</v>
      </c>
      <c r="I2743">
        <f>FlipkartTable[[#This Row],[Original Price]]-FlipkartTable[[#This Row],[Selling Price]]</f>
        <v>3000</v>
      </c>
      <c r="J2743" s="4">
        <f>(FlipkartTable[[#This Row],[Original Price]]-FlipkartTable[[#This Row],[Selling Price]])/FlipkartTable[[#This Row],[Original Price]]</f>
        <v>0.21430102150153582</v>
      </c>
      <c r="K2743">
        <f>(FlipkartTable[[#This Row],[Rating]]/FlipkartTable[[#This Row],[Selling Price]])*1000</f>
        <v>0.38185289571779252</v>
      </c>
      <c r="L2743" t="str">
        <f>IF(FlipkartTable[[#This Row],[Selling Price]]&lt;15000,"Budget",IF(FlipkartTable[[#This Row],[Selling Price]]&lt;50000,"Mid Range","Premium"))</f>
        <v>Budget</v>
      </c>
      <c r="M2743" t="str">
        <f>IF(FlipkartTable[[#This Row],[Rating]]&gt;4.5,"Excellent",IF(FlipkartTable[[#This Row],[Rating]]&gt;4,"Good",IF(FlipkartTable[[#This Row],[Rating]]&gt;3.5,"Average","Poor")))</f>
        <v>Good</v>
      </c>
    </row>
    <row r="2744" spans="1:13" x14ac:dyDescent="0.35">
      <c r="A2744" t="s">
        <v>1406</v>
      </c>
      <c r="B2744" s="9" t="s">
        <v>1460</v>
      </c>
      <c r="C2744" t="s">
        <v>121</v>
      </c>
      <c r="D2744" t="s">
        <v>11</v>
      </c>
      <c r="E2744" t="s">
        <v>12</v>
      </c>
      <c r="F2744">
        <v>4.2</v>
      </c>
      <c r="G2744">
        <v>10999</v>
      </c>
      <c r="H2744">
        <v>13999</v>
      </c>
      <c r="I2744">
        <f>FlipkartTable[[#This Row],[Original Price]]-FlipkartTable[[#This Row],[Selling Price]]</f>
        <v>3000</v>
      </c>
      <c r="J2744" s="4">
        <f>(FlipkartTable[[#This Row],[Original Price]]-FlipkartTable[[#This Row],[Selling Price]])/FlipkartTable[[#This Row],[Original Price]]</f>
        <v>0.21430102150153582</v>
      </c>
      <c r="K2744">
        <f>(FlipkartTable[[#This Row],[Rating]]/FlipkartTable[[#This Row],[Selling Price]])*1000</f>
        <v>0.38185289571779252</v>
      </c>
      <c r="L2744" t="str">
        <f>IF(FlipkartTable[[#This Row],[Selling Price]]&lt;15000,"Budget",IF(FlipkartTable[[#This Row],[Selling Price]]&lt;50000,"Mid Range","Premium"))</f>
        <v>Budget</v>
      </c>
      <c r="M2744" t="str">
        <f>IF(FlipkartTable[[#This Row],[Rating]]&gt;4.5,"Excellent",IF(FlipkartTable[[#This Row],[Rating]]&gt;4,"Good",IF(FlipkartTable[[#This Row],[Rating]]&gt;3.5,"Average","Poor")))</f>
        <v>Good</v>
      </c>
    </row>
    <row r="2745" spans="1:13" x14ac:dyDescent="0.35">
      <c r="A2745" t="s">
        <v>1406</v>
      </c>
      <c r="B2745" s="9" t="s">
        <v>1437</v>
      </c>
      <c r="C2745" t="s">
        <v>1425</v>
      </c>
      <c r="D2745" t="s">
        <v>35</v>
      </c>
      <c r="E2745" t="s">
        <v>21</v>
      </c>
      <c r="F2745">
        <v>4.4000000000000004</v>
      </c>
      <c r="G2745">
        <v>8999</v>
      </c>
      <c r="H2745">
        <v>8999</v>
      </c>
      <c r="I2745">
        <f>FlipkartTable[[#This Row],[Original Price]]-FlipkartTable[[#This Row],[Selling Price]]</f>
        <v>0</v>
      </c>
      <c r="J2745" s="4">
        <f>(FlipkartTable[[#This Row],[Original Price]]-FlipkartTable[[#This Row],[Selling Price]])/FlipkartTable[[#This Row],[Original Price]]</f>
        <v>0</v>
      </c>
      <c r="K2745">
        <f>(FlipkartTable[[#This Row],[Rating]]/FlipkartTable[[#This Row],[Selling Price]])*1000</f>
        <v>0.48894321591287931</v>
      </c>
      <c r="L2745" t="str">
        <f>IF(FlipkartTable[[#This Row],[Selling Price]]&lt;15000,"Budget",IF(FlipkartTable[[#This Row],[Selling Price]]&lt;50000,"Mid Range","Premium"))</f>
        <v>Budget</v>
      </c>
      <c r="M2745" t="str">
        <f>IF(FlipkartTable[[#This Row],[Rating]]&gt;4.5,"Excellent",IF(FlipkartTable[[#This Row],[Rating]]&gt;4,"Good",IF(FlipkartTable[[#This Row],[Rating]]&gt;3.5,"Average","Poor")))</f>
        <v>Good</v>
      </c>
    </row>
    <row r="2746" spans="1:13" x14ac:dyDescent="0.35">
      <c r="A2746" t="s">
        <v>1406</v>
      </c>
      <c r="B2746" s="9" t="s">
        <v>1437</v>
      </c>
      <c r="C2746" t="s">
        <v>68</v>
      </c>
      <c r="D2746" t="s">
        <v>35</v>
      </c>
      <c r="E2746" t="s">
        <v>21</v>
      </c>
      <c r="F2746">
        <v>4.4000000000000004</v>
      </c>
      <c r="G2746">
        <v>8999</v>
      </c>
      <c r="H2746">
        <v>8999</v>
      </c>
      <c r="I2746">
        <f>FlipkartTable[[#This Row],[Original Price]]-FlipkartTable[[#This Row],[Selling Price]]</f>
        <v>0</v>
      </c>
      <c r="J2746" s="4">
        <f>(FlipkartTable[[#This Row],[Original Price]]-FlipkartTable[[#This Row],[Selling Price]])/FlipkartTable[[#This Row],[Original Price]]</f>
        <v>0</v>
      </c>
      <c r="K2746">
        <f>(FlipkartTable[[#This Row],[Rating]]/FlipkartTable[[#This Row],[Selling Price]])*1000</f>
        <v>0.48894321591287931</v>
      </c>
      <c r="L2746" t="str">
        <f>IF(FlipkartTable[[#This Row],[Selling Price]]&lt;15000,"Budget",IF(FlipkartTable[[#This Row],[Selling Price]]&lt;50000,"Mid Range","Premium"))</f>
        <v>Budget</v>
      </c>
      <c r="M2746" t="str">
        <f>IF(FlipkartTable[[#This Row],[Rating]]&gt;4.5,"Excellent",IF(FlipkartTable[[#This Row],[Rating]]&gt;4,"Good",IF(FlipkartTable[[#This Row],[Rating]]&gt;3.5,"Average","Poor")))</f>
        <v>Good</v>
      </c>
    </row>
    <row r="2747" spans="1:13" x14ac:dyDescent="0.35">
      <c r="A2747" t="s">
        <v>1406</v>
      </c>
      <c r="B2747" s="9" t="s">
        <v>1452</v>
      </c>
      <c r="C2747" t="s">
        <v>1462</v>
      </c>
      <c r="D2747" t="s">
        <v>11</v>
      </c>
      <c r="E2747" t="s">
        <v>12</v>
      </c>
      <c r="F2747">
        <v>4.3</v>
      </c>
      <c r="G2747">
        <v>14999</v>
      </c>
      <c r="H2747">
        <v>14999</v>
      </c>
      <c r="I2747">
        <f>FlipkartTable[[#This Row],[Original Price]]-FlipkartTable[[#This Row],[Selling Price]]</f>
        <v>0</v>
      </c>
      <c r="J2747" s="4">
        <f>(FlipkartTable[[#This Row],[Original Price]]-FlipkartTable[[#This Row],[Selling Price]])/FlipkartTable[[#This Row],[Original Price]]</f>
        <v>0</v>
      </c>
      <c r="K2747">
        <f>(FlipkartTable[[#This Row],[Rating]]/FlipkartTable[[#This Row],[Selling Price]])*1000</f>
        <v>0.28668577905193682</v>
      </c>
      <c r="L2747" t="str">
        <f>IF(FlipkartTable[[#This Row],[Selling Price]]&lt;15000,"Budget",IF(FlipkartTable[[#This Row],[Selling Price]]&lt;50000,"Mid Range","Premium"))</f>
        <v>Budget</v>
      </c>
      <c r="M2747" t="str">
        <f>IF(FlipkartTable[[#This Row],[Rating]]&gt;4.5,"Excellent",IF(FlipkartTable[[#This Row],[Rating]]&gt;4,"Good",IF(FlipkartTable[[#This Row],[Rating]]&gt;3.5,"Average","Poor")))</f>
        <v>Good</v>
      </c>
    </row>
    <row r="2748" spans="1:13" x14ac:dyDescent="0.35">
      <c r="A2748" t="s">
        <v>1406</v>
      </c>
      <c r="B2748" s="9" t="s">
        <v>1437</v>
      </c>
      <c r="C2748" t="s">
        <v>717</v>
      </c>
      <c r="D2748" t="s">
        <v>35</v>
      </c>
      <c r="E2748" t="s">
        <v>21</v>
      </c>
      <c r="F2748">
        <v>4.4000000000000004</v>
      </c>
      <c r="G2748">
        <v>8999</v>
      </c>
      <c r="H2748">
        <v>8999</v>
      </c>
      <c r="I2748">
        <f>FlipkartTable[[#This Row],[Original Price]]-FlipkartTable[[#This Row],[Selling Price]]</f>
        <v>0</v>
      </c>
      <c r="J2748" s="4">
        <f>(FlipkartTable[[#This Row],[Original Price]]-FlipkartTable[[#This Row],[Selling Price]])/FlipkartTable[[#This Row],[Original Price]]</f>
        <v>0</v>
      </c>
      <c r="K2748">
        <f>(FlipkartTable[[#This Row],[Rating]]/FlipkartTable[[#This Row],[Selling Price]])*1000</f>
        <v>0.48894321591287931</v>
      </c>
      <c r="L2748" t="str">
        <f>IF(FlipkartTable[[#This Row],[Selling Price]]&lt;15000,"Budget",IF(FlipkartTable[[#This Row],[Selling Price]]&lt;50000,"Mid Range","Premium"))</f>
        <v>Budget</v>
      </c>
      <c r="M2748" t="str">
        <f>IF(FlipkartTable[[#This Row],[Rating]]&gt;4.5,"Excellent",IF(FlipkartTable[[#This Row],[Rating]]&gt;4,"Good",IF(FlipkartTable[[#This Row],[Rating]]&gt;3.5,"Average","Poor")))</f>
        <v>Good</v>
      </c>
    </row>
    <row r="2749" spans="1:13" x14ac:dyDescent="0.35">
      <c r="A2749" t="s">
        <v>1406</v>
      </c>
      <c r="B2749" s="9" t="s">
        <v>1463</v>
      </c>
      <c r="C2749" t="s">
        <v>717</v>
      </c>
      <c r="D2749" t="s">
        <v>11</v>
      </c>
      <c r="E2749" t="s">
        <v>12</v>
      </c>
      <c r="F2749">
        <v>4.4000000000000004</v>
      </c>
      <c r="G2749">
        <v>12999</v>
      </c>
      <c r="H2749">
        <v>12999</v>
      </c>
      <c r="I2749">
        <f>FlipkartTable[[#This Row],[Original Price]]-FlipkartTable[[#This Row],[Selling Price]]</f>
        <v>0</v>
      </c>
      <c r="J2749" s="4">
        <f>(FlipkartTable[[#This Row],[Original Price]]-FlipkartTable[[#This Row],[Selling Price]])/FlipkartTable[[#This Row],[Original Price]]</f>
        <v>0</v>
      </c>
      <c r="K2749">
        <f>(FlipkartTable[[#This Row],[Rating]]/FlipkartTable[[#This Row],[Selling Price]])*1000</f>
        <v>0.33848757596738216</v>
      </c>
      <c r="L2749" t="str">
        <f>IF(FlipkartTable[[#This Row],[Selling Price]]&lt;15000,"Budget",IF(FlipkartTable[[#This Row],[Selling Price]]&lt;50000,"Mid Range","Premium"))</f>
        <v>Budget</v>
      </c>
      <c r="M2749" t="str">
        <f>IF(FlipkartTable[[#This Row],[Rating]]&gt;4.5,"Excellent",IF(FlipkartTable[[#This Row],[Rating]]&gt;4,"Good",IF(FlipkartTable[[#This Row],[Rating]]&gt;3.5,"Average","Poor")))</f>
        <v>Good</v>
      </c>
    </row>
    <row r="2750" spans="1:13" x14ac:dyDescent="0.35">
      <c r="A2750" t="s">
        <v>1406</v>
      </c>
      <c r="B2750" s="9" t="s">
        <v>1460</v>
      </c>
      <c r="C2750" t="s">
        <v>1416</v>
      </c>
      <c r="D2750" t="s">
        <v>14</v>
      </c>
      <c r="E2750" t="s">
        <v>15</v>
      </c>
      <c r="F2750">
        <v>4.2</v>
      </c>
      <c r="G2750">
        <v>12499</v>
      </c>
      <c r="H2750">
        <v>14999</v>
      </c>
      <c r="I2750">
        <f>FlipkartTable[[#This Row],[Original Price]]-FlipkartTable[[#This Row],[Selling Price]]</f>
        <v>2500</v>
      </c>
      <c r="J2750" s="4">
        <f>(FlipkartTable[[#This Row],[Original Price]]-FlipkartTable[[#This Row],[Selling Price]])/FlipkartTable[[#This Row],[Original Price]]</f>
        <v>0.16667777851856791</v>
      </c>
      <c r="K2750">
        <f>(FlipkartTable[[#This Row],[Rating]]/FlipkartTable[[#This Row],[Selling Price]])*1000</f>
        <v>0.33602688215057208</v>
      </c>
      <c r="L2750" t="str">
        <f>IF(FlipkartTable[[#This Row],[Selling Price]]&lt;15000,"Budget",IF(FlipkartTable[[#This Row],[Selling Price]]&lt;50000,"Mid Range","Premium"))</f>
        <v>Budget</v>
      </c>
      <c r="M2750" t="str">
        <f>IF(FlipkartTable[[#This Row],[Rating]]&gt;4.5,"Excellent",IF(FlipkartTable[[#This Row],[Rating]]&gt;4,"Good",IF(FlipkartTable[[#This Row],[Rating]]&gt;3.5,"Average","Poor")))</f>
        <v>Good</v>
      </c>
    </row>
    <row r="2751" spans="1:13" x14ac:dyDescent="0.35">
      <c r="A2751" t="s">
        <v>1406</v>
      </c>
      <c r="B2751" s="9" t="s">
        <v>1460</v>
      </c>
      <c r="C2751" t="s">
        <v>121</v>
      </c>
      <c r="D2751" t="s">
        <v>14</v>
      </c>
      <c r="E2751" t="s">
        <v>15</v>
      </c>
      <c r="F2751">
        <v>4.2</v>
      </c>
      <c r="G2751">
        <v>12499</v>
      </c>
      <c r="H2751">
        <v>14999</v>
      </c>
      <c r="I2751">
        <f>FlipkartTable[[#This Row],[Original Price]]-FlipkartTable[[#This Row],[Selling Price]]</f>
        <v>2500</v>
      </c>
      <c r="J2751" s="4">
        <f>(FlipkartTable[[#This Row],[Original Price]]-FlipkartTable[[#This Row],[Selling Price]])/FlipkartTable[[#This Row],[Original Price]]</f>
        <v>0.16667777851856791</v>
      </c>
      <c r="K2751">
        <f>(FlipkartTable[[#This Row],[Rating]]/FlipkartTable[[#This Row],[Selling Price]])*1000</f>
        <v>0.33602688215057208</v>
      </c>
      <c r="L2751" t="str">
        <f>IF(FlipkartTable[[#This Row],[Selling Price]]&lt;15000,"Budget",IF(FlipkartTable[[#This Row],[Selling Price]]&lt;50000,"Mid Range","Premium"))</f>
        <v>Budget</v>
      </c>
      <c r="M2751" t="str">
        <f>IF(FlipkartTable[[#This Row],[Rating]]&gt;4.5,"Excellent",IF(FlipkartTable[[#This Row],[Rating]]&gt;4,"Good",IF(FlipkartTable[[#This Row],[Rating]]&gt;3.5,"Average","Poor")))</f>
        <v>Good</v>
      </c>
    </row>
    <row r="2752" spans="1:13" x14ac:dyDescent="0.35">
      <c r="A2752" t="s">
        <v>1406</v>
      </c>
      <c r="B2752" s="9" t="s">
        <v>1460</v>
      </c>
      <c r="C2752" t="s">
        <v>19</v>
      </c>
      <c r="D2752" t="s">
        <v>14</v>
      </c>
      <c r="E2752" t="s">
        <v>15</v>
      </c>
      <c r="F2752">
        <v>4.2</v>
      </c>
      <c r="G2752">
        <v>12499</v>
      </c>
      <c r="H2752">
        <v>14999</v>
      </c>
      <c r="I2752">
        <f>FlipkartTable[[#This Row],[Original Price]]-FlipkartTable[[#This Row],[Selling Price]]</f>
        <v>2500</v>
      </c>
      <c r="J2752" s="4">
        <f>(FlipkartTable[[#This Row],[Original Price]]-FlipkartTable[[#This Row],[Selling Price]])/FlipkartTable[[#This Row],[Original Price]]</f>
        <v>0.16667777851856791</v>
      </c>
      <c r="K2752">
        <f>(FlipkartTable[[#This Row],[Rating]]/FlipkartTable[[#This Row],[Selling Price]])*1000</f>
        <v>0.33602688215057208</v>
      </c>
      <c r="L2752" t="str">
        <f>IF(FlipkartTable[[#This Row],[Selling Price]]&lt;15000,"Budget",IF(FlipkartTable[[#This Row],[Selling Price]]&lt;50000,"Mid Range","Premium"))</f>
        <v>Budget</v>
      </c>
      <c r="M2752" t="str">
        <f>IF(FlipkartTable[[#This Row],[Rating]]&gt;4.5,"Excellent",IF(FlipkartTable[[#This Row],[Rating]]&gt;4,"Good",IF(FlipkartTable[[#This Row],[Rating]]&gt;3.5,"Average","Poor")))</f>
        <v>Good</v>
      </c>
    </row>
    <row r="2753" spans="1:13" x14ac:dyDescent="0.35">
      <c r="A2753" t="s">
        <v>1406</v>
      </c>
      <c r="B2753" s="9" t="s">
        <v>1463</v>
      </c>
      <c r="C2753" t="s">
        <v>1424</v>
      </c>
      <c r="D2753" t="s">
        <v>11</v>
      </c>
      <c r="E2753" t="s">
        <v>12</v>
      </c>
      <c r="F2753">
        <v>4.4000000000000004</v>
      </c>
      <c r="G2753">
        <v>12999</v>
      </c>
      <c r="H2753">
        <v>12999</v>
      </c>
      <c r="I2753">
        <f>FlipkartTable[[#This Row],[Original Price]]-FlipkartTable[[#This Row],[Selling Price]]</f>
        <v>0</v>
      </c>
      <c r="J2753" s="4">
        <f>(FlipkartTable[[#This Row],[Original Price]]-FlipkartTable[[#This Row],[Selling Price]])/FlipkartTable[[#This Row],[Original Price]]</f>
        <v>0</v>
      </c>
      <c r="K2753">
        <f>(FlipkartTable[[#This Row],[Rating]]/FlipkartTable[[#This Row],[Selling Price]])*1000</f>
        <v>0.33848757596738216</v>
      </c>
      <c r="L2753" t="str">
        <f>IF(FlipkartTable[[#This Row],[Selling Price]]&lt;15000,"Budget",IF(FlipkartTable[[#This Row],[Selling Price]]&lt;50000,"Mid Range","Premium"))</f>
        <v>Budget</v>
      </c>
      <c r="M2753" t="str">
        <f>IF(FlipkartTable[[#This Row],[Rating]]&gt;4.5,"Excellent",IF(FlipkartTable[[#This Row],[Rating]]&gt;4,"Good",IF(FlipkartTable[[#This Row],[Rating]]&gt;3.5,"Average","Poor")))</f>
        <v>Good</v>
      </c>
    </row>
    <row r="2754" spans="1:13" x14ac:dyDescent="0.35">
      <c r="A2754" t="s">
        <v>1406</v>
      </c>
      <c r="B2754" s="9" t="s">
        <v>1461</v>
      </c>
      <c r="C2754" t="s">
        <v>1425</v>
      </c>
      <c r="D2754" t="s">
        <v>11</v>
      </c>
      <c r="E2754" t="s">
        <v>12</v>
      </c>
      <c r="F2754">
        <v>4.4000000000000004</v>
      </c>
      <c r="G2754">
        <v>11999</v>
      </c>
      <c r="H2754">
        <v>11999</v>
      </c>
      <c r="I2754">
        <f>FlipkartTable[[#This Row],[Original Price]]-FlipkartTable[[#This Row],[Selling Price]]</f>
        <v>0</v>
      </c>
      <c r="J2754" s="4">
        <f>(FlipkartTable[[#This Row],[Original Price]]-FlipkartTable[[#This Row],[Selling Price]])/FlipkartTable[[#This Row],[Original Price]]</f>
        <v>0</v>
      </c>
      <c r="K2754">
        <f>(FlipkartTable[[#This Row],[Rating]]/FlipkartTable[[#This Row],[Selling Price]])*1000</f>
        <v>0.36669722476873073</v>
      </c>
      <c r="L2754" t="str">
        <f>IF(FlipkartTable[[#This Row],[Selling Price]]&lt;15000,"Budget",IF(FlipkartTable[[#This Row],[Selling Price]]&lt;50000,"Mid Range","Premium"))</f>
        <v>Budget</v>
      </c>
      <c r="M2754" t="str">
        <f>IF(FlipkartTable[[#This Row],[Rating]]&gt;4.5,"Excellent",IF(FlipkartTable[[#This Row],[Rating]]&gt;4,"Good",IF(FlipkartTable[[#This Row],[Rating]]&gt;3.5,"Average","Poor")))</f>
        <v>Good</v>
      </c>
    </row>
    <row r="2755" spans="1:13" x14ac:dyDescent="0.35">
      <c r="A2755" t="s">
        <v>1406</v>
      </c>
      <c r="B2755" s="9" t="s">
        <v>1464</v>
      </c>
      <c r="C2755" t="s">
        <v>1439</v>
      </c>
      <c r="D2755" t="s">
        <v>20</v>
      </c>
      <c r="E2755" t="s">
        <v>21</v>
      </c>
      <c r="F2755">
        <v>4.2</v>
      </c>
      <c r="G2755">
        <v>10999</v>
      </c>
      <c r="H2755">
        <v>10999</v>
      </c>
      <c r="I2755">
        <f>FlipkartTable[[#This Row],[Original Price]]-FlipkartTable[[#This Row],[Selling Price]]</f>
        <v>0</v>
      </c>
      <c r="J2755" s="4">
        <f>(FlipkartTable[[#This Row],[Original Price]]-FlipkartTable[[#This Row],[Selling Price]])/FlipkartTable[[#This Row],[Original Price]]</f>
        <v>0</v>
      </c>
      <c r="K2755">
        <f>(FlipkartTable[[#This Row],[Rating]]/FlipkartTable[[#This Row],[Selling Price]])*1000</f>
        <v>0.38185289571779252</v>
      </c>
      <c r="L2755" t="str">
        <f>IF(FlipkartTable[[#This Row],[Selling Price]]&lt;15000,"Budget",IF(FlipkartTable[[#This Row],[Selling Price]]&lt;50000,"Mid Range","Premium"))</f>
        <v>Budget</v>
      </c>
      <c r="M2755" t="str">
        <f>IF(FlipkartTable[[#This Row],[Rating]]&gt;4.5,"Excellent",IF(FlipkartTable[[#This Row],[Rating]]&gt;4,"Good",IF(FlipkartTable[[#This Row],[Rating]]&gt;3.5,"Average","Poor")))</f>
        <v>Good</v>
      </c>
    </row>
    <row r="2756" spans="1:13" x14ac:dyDescent="0.35">
      <c r="A2756" t="s">
        <v>1406</v>
      </c>
      <c r="B2756" s="9" t="s">
        <v>1464</v>
      </c>
      <c r="C2756" t="s">
        <v>1465</v>
      </c>
      <c r="D2756" t="s">
        <v>20</v>
      </c>
      <c r="E2756" t="s">
        <v>21</v>
      </c>
      <c r="F2756">
        <v>4.2</v>
      </c>
      <c r="G2756">
        <v>10999</v>
      </c>
      <c r="H2756">
        <v>10999</v>
      </c>
      <c r="I2756">
        <f>FlipkartTable[[#This Row],[Original Price]]-FlipkartTable[[#This Row],[Selling Price]]</f>
        <v>0</v>
      </c>
      <c r="J2756" s="4">
        <f>(FlipkartTable[[#This Row],[Original Price]]-FlipkartTable[[#This Row],[Selling Price]])/FlipkartTable[[#This Row],[Original Price]]</f>
        <v>0</v>
      </c>
      <c r="K2756">
        <f>(FlipkartTable[[#This Row],[Rating]]/FlipkartTable[[#This Row],[Selling Price]])*1000</f>
        <v>0.38185289571779252</v>
      </c>
      <c r="L2756" t="str">
        <f>IF(FlipkartTable[[#This Row],[Selling Price]]&lt;15000,"Budget",IF(FlipkartTable[[#This Row],[Selling Price]]&lt;50000,"Mid Range","Premium"))</f>
        <v>Budget</v>
      </c>
      <c r="M2756" t="str">
        <f>IF(FlipkartTable[[#This Row],[Rating]]&gt;4.5,"Excellent",IF(FlipkartTable[[#This Row],[Rating]]&gt;4,"Good",IF(FlipkartTable[[#This Row],[Rating]]&gt;3.5,"Average","Poor")))</f>
        <v>Good</v>
      </c>
    </row>
    <row r="2757" spans="1:13" x14ac:dyDescent="0.35">
      <c r="A2757" t="s">
        <v>1406</v>
      </c>
      <c r="B2757" s="9" t="s">
        <v>1464</v>
      </c>
      <c r="C2757" t="s">
        <v>340</v>
      </c>
      <c r="D2757" t="s">
        <v>20</v>
      </c>
      <c r="E2757" t="s">
        <v>21</v>
      </c>
      <c r="F2757">
        <v>4.2</v>
      </c>
      <c r="G2757">
        <v>10999</v>
      </c>
      <c r="H2757">
        <v>10999</v>
      </c>
      <c r="I2757">
        <f>FlipkartTable[[#This Row],[Original Price]]-FlipkartTable[[#This Row],[Selling Price]]</f>
        <v>0</v>
      </c>
      <c r="J2757" s="4">
        <f>(FlipkartTable[[#This Row],[Original Price]]-FlipkartTable[[#This Row],[Selling Price]])/FlipkartTable[[#This Row],[Original Price]]</f>
        <v>0</v>
      </c>
      <c r="K2757">
        <f>(FlipkartTable[[#This Row],[Rating]]/FlipkartTable[[#This Row],[Selling Price]])*1000</f>
        <v>0.38185289571779252</v>
      </c>
      <c r="L2757" t="str">
        <f>IF(FlipkartTable[[#This Row],[Selling Price]]&lt;15000,"Budget",IF(FlipkartTable[[#This Row],[Selling Price]]&lt;50000,"Mid Range","Premium"))</f>
        <v>Budget</v>
      </c>
      <c r="M2757" t="str">
        <f>IF(FlipkartTable[[#This Row],[Rating]]&gt;4.5,"Excellent",IF(FlipkartTable[[#This Row],[Rating]]&gt;4,"Good",IF(FlipkartTable[[#This Row],[Rating]]&gt;3.5,"Average","Poor")))</f>
        <v>Good</v>
      </c>
    </row>
    <row r="2758" spans="1:13" x14ac:dyDescent="0.35">
      <c r="A2758" t="s">
        <v>1406</v>
      </c>
      <c r="B2758" s="9" t="s">
        <v>1445</v>
      </c>
      <c r="C2758" t="s">
        <v>1466</v>
      </c>
      <c r="D2758" t="s">
        <v>35</v>
      </c>
      <c r="E2758" t="s">
        <v>21</v>
      </c>
      <c r="F2758">
        <v>4.2</v>
      </c>
      <c r="G2758">
        <v>7999</v>
      </c>
      <c r="H2758">
        <v>7999</v>
      </c>
      <c r="I2758">
        <f>FlipkartTable[[#This Row],[Original Price]]-FlipkartTable[[#This Row],[Selling Price]]</f>
        <v>0</v>
      </c>
      <c r="J2758" s="4">
        <f>(FlipkartTable[[#This Row],[Original Price]]-FlipkartTable[[#This Row],[Selling Price]])/FlipkartTable[[#This Row],[Original Price]]</f>
        <v>0</v>
      </c>
      <c r="K2758">
        <f>(FlipkartTable[[#This Row],[Rating]]/FlipkartTable[[#This Row],[Selling Price]])*1000</f>
        <v>0.52506563320415056</v>
      </c>
      <c r="L2758" t="str">
        <f>IF(FlipkartTable[[#This Row],[Selling Price]]&lt;15000,"Budget",IF(FlipkartTable[[#This Row],[Selling Price]]&lt;50000,"Mid Range","Premium"))</f>
        <v>Budget</v>
      </c>
      <c r="M2758" t="str">
        <f>IF(FlipkartTable[[#This Row],[Rating]]&gt;4.5,"Excellent",IF(FlipkartTable[[#This Row],[Rating]]&gt;4,"Good",IF(FlipkartTable[[#This Row],[Rating]]&gt;3.5,"Average","Poor")))</f>
        <v>Good</v>
      </c>
    </row>
    <row r="2759" spans="1:13" x14ac:dyDescent="0.35">
      <c r="A2759" t="s">
        <v>1406</v>
      </c>
      <c r="B2759" s="9" t="s">
        <v>1467</v>
      </c>
      <c r="C2759" t="s">
        <v>1443</v>
      </c>
      <c r="D2759" t="s">
        <v>20</v>
      </c>
      <c r="E2759" t="s">
        <v>21</v>
      </c>
      <c r="F2759">
        <v>4.2</v>
      </c>
      <c r="G2759">
        <v>8999</v>
      </c>
      <c r="H2759">
        <v>8999</v>
      </c>
      <c r="I2759">
        <f>FlipkartTable[[#This Row],[Original Price]]-FlipkartTable[[#This Row],[Selling Price]]</f>
        <v>0</v>
      </c>
      <c r="J2759" s="4">
        <f>(FlipkartTable[[#This Row],[Original Price]]-FlipkartTable[[#This Row],[Selling Price]])/FlipkartTable[[#This Row],[Original Price]]</f>
        <v>0</v>
      </c>
      <c r="K2759">
        <f>(FlipkartTable[[#This Row],[Rating]]/FlipkartTable[[#This Row],[Selling Price]])*1000</f>
        <v>0.46671852428047561</v>
      </c>
      <c r="L2759" t="str">
        <f>IF(FlipkartTable[[#This Row],[Selling Price]]&lt;15000,"Budget",IF(FlipkartTable[[#This Row],[Selling Price]]&lt;50000,"Mid Range","Premium"))</f>
        <v>Budget</v>
      </c>
      <c r="M2759" t="str">
        <f>IF(FlipkartTable[[#This Row],[Rating]]&gt;4.5,"Excellent",IF(FlipkartTable[[#This Row],[Rating]]&gt;4,"Good",IF(FlipkartTable[[#This Row],[Rating]]&gt;3.5,"Average","Poor")))</f>
        <v>Good</v>
      </c>
    </row>
    <row r="2760" spans="1:13" x14ac:dyDescent="0.35">
      <c r="A2760" t="s">
        <v>1406</v>
      </c>
      <c r="B2760" s="9" t="s">
        <v>1442</v>
      </c>
      <c r="C2760" t="s">
        <v>1468</v>
      </c>
      <c r="D2760" t="s">
        <v>20</v>
      </c>
      <c r="E2760" t="s">
        <v>21</v>
      </c>
      <c r="F2760">
        <v>4.3</v>
      </c>
      <c r="G2760">
        <v>8999</v>
      </c>
      <c r="H2760">
        <v>8999</v>
      </c>
      <c r="I2760">
        <f>FlipkartTable[[#This Row],[Original Price]]-FlipkartTable[[#This Row],[Selling Price]]</f>
        <v>0</v>
      </c>
      <c r="J2760" s="4">
        <f>(FlipkartTable[[#This Row],[Original Price]]-FlipkartTable[[#This Row],[Selling Price]])/FlipkartTable[[#This Row],[Original Price]]</f>
        <v>0</v>
      </c>
      <c r="K2760">
        <f>(FlipkartTable[[#This Row],[Rating]]/FlipkartTable[[#This Row],[Selling Price]])*1000</f>
        <v>0.47783087009667735</v>
      </c>
      <c r="L2760" t="str">
        <f>IF(FlipkartTable[[#This Row],[Selling Price]]&lt;15000,"Budget",IF(FlipkartTable[[#This Row],[Selling Price]]&lt;50000,"Mid Range","Premium"))</f>
        <v>Budget</v>
      </c>
      <c r="M2760" t="str">
        <f>IF(FlipkartTable[[#This Row],[Rating]]&gt;4.5,"Excellent",IF(FlipkartTable[[#This Row],[Rating]]&gt;4,"Good",IF(FlipkartTable[[#This Row],[Rating]]&gt;3.5,"Average","Poor")))</f>
        <v>Good</v>
      </c>
    </row>
    <row r="2761" spans="1:13" x14ac:dyDescent="0.35">
      <c r="A2761" t="s">
        <v>1406</v>
      </c>
      <c r="B2761" s="9" t="s">
        <v>1440</v>
      </c>
      <c r="C2761" t="s">
        <v>1468</v>
      </c>
      <c r="D2761" t="s">
        <v>20</v>
      </c>
      <c r="E2761" t="s">
        <v>21</v>
      </c>
      <c r="F2761">
        <v>4.0999999999999996</v>
      </c>
      <c r="G2761">
        <v>7946</v>
      </c>
      <c r="H2761">
        <v>7999</v>
      </c>
      <c r="I2761">
        <f>FlipkartTable[[#This Row],[Original Price]]-FlipkartTable[[#This Row],[Selling Price]]</f>
        <v>53</v>
      </c>
      <c r="J2761" s="4">
        <f>(FlipkartTable[[#This Row],[Original Price]]-FlipkartTable[[#This Row],[Selling Price]])/FlipkartTable[[#This Row],[Original Price]]</f>
        <v>6.6258282285285661E-3</v>
      </c>
      <c r="K2761">
        <f>(FlipkartTable[[#This Row],[Rating]]/FlipkartTable[[#This Row],[Selling Price]])*1000</f>
        <v>0.5159828844701736</v>
      </c>
      <c r="L2761" t="str">
        <f>IF(FlipkartTable[[#This Row],[Selling Price]]&lt;15000,"Budget",IF(FlipkartTable[[#This Row],[Selling Price]]&lt;50000,"Mid Range","Premium"))</f>
        <v>Budget</v>
      </c>
      <c r="M2761" t="str">
        <f>IF(FlipkartTable[[#This Row],[Rating]]&gt;4.5,"Excellent",IF(FlipkartTable[[#This Row],[Rating]]&gt;4,"Good",IF(FlipkartTable[[#This Row],[Rating]]&gt;3.5,"Average","Poor")))</f>
        <v>Good</v>
      </c>
    </row>
    <row r="2762" spans="1:13" x14ac:dyDescent="0.35">
      <c r="A2762" t="s">
        <v>1406</v>
      </c>
      <c r="B2762" s="9" t="s">
        <v>1440</v>
      </c>
      <c r="C2762" t="s">
        <v>1448</v>
      </c>
      <c r="D2762" t="s">
        <v>20</v>
      </c>
      <c r="E2762" t="s">
        <v>21</v>
      </c>
      <c r="F2762">
        <v>4.0999999999999996</v>
      </c>
      <c r="G2762">
        <v>7946</v>
      </c>
      <c r="H2762">
        <v>7999</v>
      </c>
      <c r="I2762">
        <f>FlipkartTable[[#This Row],[Original Price]]-FlipkartTable[[#This Row],[Selling Price]]</f>
        <v>53</v>
      </c>
      <c r="J2762" s="4">
        <f>(FlipkartTable[[#This Row],[Original Price]]-FlipkartTable[[#This Row],[Selling Price]])/FlipkartTable[[#This Row],[Original Price]]</f>
        <v>6.6258282285285661E-3</v>
      </c>
      <c r="K2762">
        <f>(FlipkartTable[[#This Row],[Rating]]/FlipkartTable[[#This Row],[Selling Price]])*1000</f>
        <v>0.5159828844701736</v>
      </c>
      <c r="L2762" t="str">
        <f>IF(FlipkartTable[[#This Row],[Selling Price]]&lt;15000,"Budget",IF(FlipkartTable[[#This Row],[Selling Price]]&lt;50000,"Mid Range","Premium"))</f>
        <v>Budget</v>
      </c>
      <c r="M2762" t="str">
        <f>IF(FlipkartTable[[#This Row],[Rating]]&gt;4.5,"Excellent",IF(FlipkartTable[[#This Row],[Rating]]&gt;4,"Good",IF(FlipkartTable[[#This Row],[Rating]]&gt;3.5,"Average","Poor")))</f>
        <v>Good</v>
      </c>
    </row>
    <row r="2763" spans="1:13" x14ac:dyDescent="0.35">
      <c r="A2763" t="s">
        <v>1406</v>
      </c>
      <c r="B2763" s="9" t="s">
        <v>1440</v>
      </c>
      <c r="C2763" t="s">
        <v>1469</v>
      </c>
      <c r="D2763" t="s">
        <v>20</v>
      </c>
      <c r="E2763" t="s">
        <v>21</v>
      </c>
      <c r="F2763">
        <v>4.0999999999999996</v>
      </c>
      <c r="G2763">
        <v>7946</v>
      </c>
      <c r="H2763">
        <v>7999</v>
      </c>
      <c r="I2763">
        <f>FlipkartTable[[#This Row],[Original Price]]-FlipkartTable[[#This Row],[Selling Price]]</f>
        <v>53</v>
      </c>
      <c r="J2763" s="4">
        <f>(FlipkartTable[[#This Row],[Original Price]]-FlipkartTable[[#This Row],[Selling Price]])/FlipkartTable[[#This Row],[Original Price]]</f>
        <v>6.6258282285285661E-3</v>
      </c>
      <c r="K2763">
        <f>(FlipkartTable[[#This Row],[Rating]]/FlipkartTable[[#This Row],[Selling Price]])*1000</f>
        <v>0.5159828844701736</v>
      </c>
      <c r="L2763" t="str">
        <f>IF(FlipkartTable[[#This Row],[Selling Price]]&lt;15000,"Budget",IF(FlipkartTable[[#This Row],[Selling Price]]&lt;50000,"Mid Range","Premium"))</f>
        <v>Budget</v>
      </c>
      <c r="M2763" t="str">
        <f>IF(FlipkartTable[[#This Row],[Rating]]&gt;4.5,"Excellent",IF(FlipkartTable[[#This Row],[Rating]]&gt;4,"Good",IF(FlipkartTable[[#This Row],[Rating]]&gt;3.5,"Average","Poor")))</f>
        <v>Good</v>
      </c>
    </row>
    <row r="2764" spans="1:13" x14ac:dyDescent="0.35">
      <c r="A2764" t="s">
        <v>1406</v>
      </c>
      <c r="B2764" s="9" t="s">
        <v>1470</v>
      </c>
      <c r="C2764" t="s">
        <v>1471</v>
      </c>
      <c r="D2764" t="s">
        <v>11</v>
      </c>
      <c r="E2764" t="s">
        <v>12</v>
      </c>
      <c r="F2764">
        <v>4.0999999999999996</v>
      </c>
      <c r="G2764">
        <v>11999</v>
      </c>
      <c r="H2764">
        <v>11999</v>
      </c>
      <c r="I2764">
        <f>FlipkartTable[[#This Row],[Original Price]]-FlipkartTable[[#This Row],[Selling Price]]</f>
        <v>0</v>
      </c>
      <c r="J2764" s="4">
        <f>(FlipkartTable[[#This Row],[Original Price]]-FlipkartTable[[#This Row],[Selling Price]])/FlipkartTable[[#This Row],[Original Price]]</f>
        <v>0</v>
      </c>
      <c r="K2764">
        <f>(FlipkartTable[[#This Row],[Rating]]/FlipkartTable[[#This Row],[Selling Price]])*1000</f>
        <v>0.34169514126177181</v>
      </c>
      <c r="L2764" t="str">
        <f>IF(FlipkartTable[[#This Row],[Selling Price]]&lt;15000,"Budget",IF(FlipkartTable[[#This Row],[Selling Price]]&lt;50000,"Mid Range","Premium"))</f>
        <v>Budget</v>
      </c>
      <c r="M2764" t="str">
        <f>IF(FlipkartTable[[#This Row],[Rating]]&gt;4.5,"Excellent",IF(FlipkartTable[[#This Row],[Rating]]&gt;4,"Good",IF(FlipkartTable[[#This Row],[Rating]]&gt;3.5,"Average","Poor")))</f>
        <v>Good</v>
      </c>
    </row>
    <row r="2765" spans="1:13" x14ac:dyDescent="0.35">
      <c r="A2765" t="s">
        <v>1406</v>
      </c>
      <c r="B2765" s="9" t="s">
        <v>1472</v>
      </c>
      <c r="C2765" t="s">
        <v>717</v>
      </c>
      <c r="D2765" t="s">
        <v>11</v>
      </c>
      <c r="E2765" t="s">
        <v>12</v>
      </c>
      <c r="F2765">
        <v>4.3</v>
      </c>
      <c r="G2765">
        <v>9999</v>
      </c>
      <c r="H2765">
        <v>9999</v>
      </c>
      <c r="I2765">
        <f>FlipkartTable[[#This Row],[Original Price]]-FlipkartTable[[#This Row],[Selling Price]]</f>
        <v>0</v>
      </c>
      <c r="J2765" s="4">
        <f>(FlipkartTable[[#This Row],[Original Price]]-FlipkartTable[[#This Row],[Selling Price]])/FlipkartTable[[#This Row],[Original Price]]</f>
        <v>0</v>
      </c>
      <c r="K2765">
        <f>(FlipkartTable[[#This Row],[Rating]]/FlipkartTable[[#This Row],[Selling Price]])*1000</f>
        <v>0.43004300430043002</v>
      </c>
      <c r="L2765" t="str">
        <f>IF(FlipkartTable[[#This Row],[Selling Price]]&lt;15000,"Budget",IF(FlipkartTable[[#This Row],[Selling Price]]&lt;50000,"Mid Range","Premium"))</f>
        <v>Budget</v>
      </c>
      <c r="M2765" t="str">
        <f>IF(FlipkartTable[[#This Row],[Rating]]&gt;4.5,"Excellent",IF(FlipkartTable[[#This Row],[Rating]]&gt;4,"Good",IF(FlipkartTable[[#This Row],[Rating]]&gt;3.5,"Average","Poor")))</f>
        <v>Good</v>
      </c>
    </row>
    <row r="2766" spans="1:13" x14ac:dyDescent="0.35">
      <c r="A2766" t="s">
        <v>1406</v>
      </c>
      <c r="B2766" s="9" t="s">
        <v>1442</v>
      </c>
      <c r="C2766" t="s">
        <v>1473</v>
      </c>
      <c r="D2766" t="s">
        <v>20</v>
      </c>
      <c r="E2766" t="s">
        <v>21</v>
      </c>
      <c r="F2766">
        <v>4.3</v>
      </c>
      <c r="G2766">
        <v>8999</v>
      </c>
      <c r="H2766">
        <v>8999</v>
      </c>
      <c r="I2766">
        <f>FlipkartTable[[#This Row],[Original Price]]-FlipkartTable[[#This Row],[Selling Price]]</f>
        <v>0</v>
      </c>
      <c r="J2766" s="4">
        <f>(FlipkartTable[[#This Row],[Original Price]]-FlipkartTable[[#This Row],[Selling Price]])/FlipkartTable[[#This Row],[Original Price]]</f>
        <v>0</v>
      </c>
      <c r="K2766">
        <f>(FlipkartTable[[#This Row],[Rating]]/FlipkartTable[[#This Row],[Selling Price]])*1000</f>
        <v>0.47783087009667735</v>
      </c>
      <c r="L2766" t="str">
        <f>IF(FlipkartTable[[#This Row],[Selling Price]]&lt;15000,"Budget",IF(FlipkartTable[[#This Row],[Selling Price]]&lt;50000,"Mid Range","Premium"))</f>
        <v>Budget</v>
      </c>
      <c r="M2766" t="str">
        <f>IF(FlipkartTable[[#This Row],[Rating]]&gt;4.5,"Excellent",IF(FlipkartTable[[#This Row],[Rating]]&gt;4,"Good",IF(FlipkartTable[[#This Row],[Rating]]&gt;3.5,"Average","Poor")))</f>
        <v>Good</v>
      </c>
    </row>
    <row r="2767" spans="1:13" x14ac:dyDescent="0.35">
      <c r="A2767" t="s">
        <v>1406</v>
      </c>
      <c r="B2767" s="9" t="s">
        <v>1442</v>
      </c>
      <c r="C2767" t="s">
        <v>1448</v>
      </c>
      <c r="D2767" t="s">
        <v>20</v>
      </c>
      <c r="E2767" t="s">
        <v>21</v>
      </c>
      <c r="F2767">
        <v>4.3</v>
      </c>
      <c r="G2767">
        <v>8999</v>
      </c>
      <c r="H2767">
        <v>8999</v>
      </c>
      <c r="I2767">
        <f>FlipkartTable[[#This Row],[Original Price]]-FlipkartTable[[#This Row],[Selling Price]]</f>
        <v>0</v>
      </c>
      <c r="J2767" s="4">
        <f>(FlipkartTable[[#This Row],[Original Price]]-FlipkartTable[[#This Row],[Selling Price]])/FlipkartTable[[#This Row],[Original Price]]</f>
        <v>0</v>
      </c>
      <c r="K2767">
        <f>(FlipkartTable[[#This Row],[Rating]]/FlipkartTable[[#This Row],[Selling Price]])*1000</f>
        <v>0.47783087009667735</v>
      </c>
      <c r="L2767" t="str">
        <f>IF(FlipkartTable[[#This Row],[Selling Price]]&lt;15000,"Budget",IF(FlipkartTable[[#This Row],[Selling Price]]&lt;50000,"Mid Range","Premium"))</f>
        <v>Budget</v>
      </c>
      <c r="M2767" t="str">
        <f>IF(FlipkartTable[[#This Row],[Rating]]&gt;4.5,"Excellent",IF(FlipkartTable[[#This Row],[Rating]]&gt;4,"Good",IF(FlipkartTable[[#This Row],[Rating]]&gt;3.5,"Average","Poor")))</f>
        <v>Good</v>
      </c>
    </row>
    <row r="2768" spans="1:13" x14ac:dyDescent="0.35">
      <c r="A2768" t="s">
        <v>1406</v>
      </c>
      <c r="B2768" s="9" t="s">
        <v>1444</v>
      </c>
      <c r="C2768" t="s">
        <v>1474</v>
      </c>
      <c r="D2768" t="s">
        <v>11</v>
      </c>
      <c r="E2768" t="s">
        <v>12</v>
      </c>
      <c r="F2768">
        <v>4.5</v>
      </c>
      <c r="G2768">
        <v>9999</v>
      </c>
      <c r="H2768">
        <v>9999</v>
      </c>
      <c r="I2768">
        <f>FlipkartTable[[#This Row],[Original Price]]-FlipkartTable[[#This Row],[Selling Price]]</f>
        <v>0</v>
      </c>
      <c r="J2768" s="4">
        <f>(FlipkartTable[[#This Row],[Original Price]]-FlipkartTable[[#This Row],[Selling Price]])/FlipkartTable[[#This Row],[Original Price]]</f>
        <v>0</v>
      </c>
      <c r="K2768">
        <f>(FlipkartTable[[#This Row],[Rating]]/FlipkartTable[[#This Row],[Selling Price]])*1000</f>
        <v>0.45004500450045004</v>
      </c>
      <c r="L2768" t="str">
        <f>IF(FlipkartTable[[#This Row],[Selling Price]]&lt;15000,"Budget",IF(FlipkartTable[[#This Row],[Selling Price]]&lt;50000,"Mid Range","Premium"))</f>
        <v>Budget</v>
      </c>
      <c r="M2768" t="str">
        <f>IF(FlipkartTable[[#This Row],[Rating]]&gt;4.5,"Excellent",IF(FlipkartTable[[#This Row],[Rating]]&gt;4,"Good",IF(FlipkartTable[[#This Row],[Rating]]&gt;3.5,"Average","Poor")))</f>
        <v>Good</v>
      </c>
    </row>
    <row r="2769" spans="1:13" x14ac:dyDescent="0.35">
      <c r="A2769" t="s">
        <v>1406</v>
      </c>
      <c r="B2769" s="9" t="s">
        <v>1475</v>
      </c>
      <c r="C2769" t="s">
        <v>1476</v>
      </c>
      <c r="D2769" t="s">
        <v>20</v>
      </c>
      <c r="E2769" t="s">
        <v>124</v>
      </c>
      <c r="F2769">
        <v>4</v>
      </c>
      <c r="G2769">
        <v>7499</v>
      </c>
      <c r="H2769">
        <v>7499</v>
      </c>
      <c r="I2769">
        <f>FlipkartTable[[#This Row],[Original Price]]-FlipkartTable[[#This Row],[Selling Price]]</f>
        <v>0</v>
      </c>
      <c r="J2769" s="4">
        <f>(FlipkartTable[[#This Row],[Original Price]]-FlipkartTable[[#This Row],[Selling Price]])/FlipkartTable[[#This Row],[Original Price]]</f>
        <v>0</v>
      </c>
      <c r="K2769">
        <f>(FlipkartTable[[#This Row],[Rating]]/FlipkartTable[[#This Row],[Selling Price]])*1000</f>
        <v>0.53340445392719038</v>
      </c>
      <c r="L2769" t="str">
        <f>IF(FlipkartTable[[#This Row],[Selling Price]]&lt;15000,"Budget",IF(FlipkartTable[[#This Row],[Selling Price]]&lt;50000,"Mid Range","Premium"))</f>
        <v>Budget</v>
      </c>
      <c r="M2769" t="str">
        <f>IF(FlipkartTable[[#This Row],[Rating]]&gt;4.5,"Excellent",IF(FlipkartTable[[#This Row],[Rating]]&gt;4,"Good",IF(FlipkartTable[[#This Row],[Rating]]&gt;3.5,"Average","Poor")))</f>
        <v>Average</v>
      </c>
    </row>
    <row r="2770" spans="1:13" x14ac:dyDescent="0.35">
      <c r="A2770" t="s">
        <v>1406</v>
      </c>
      <c r="B2770" s="9" t="s">
        <v>1475</v>
      </c>
      <c r="C2770" t="s">
        <v>1473</v>
      </c>
      <c r="D2770" t="s">
        <v>20</v>
      </c>
      <c r="E2770" t="s">
        <v>124</v>
      </c>
      <c r="F2770">
        <v>4</v>
      </c>
      <c r="G2770">
        <v>7499</v>
      </c>
      <c r="H2770">
        <v>7499</v>
      </c>
      <c r="I2770">
        <f>FlipkartTable[[#This Row],[Original Price]]-FlipkartTable[[#This Row],[Selling Price]]</f>
        <v>0</v>
      </c>
      <c r="J2770" s="4">
        <f>(FlipkartTable[[#This Row],[Original Price]]-FlipkartTable[[#This Row],[Selling Price]])/FlipkartTable[[#This Row],[Original Price]]</f>
        <v>0</v>
      </c>
      <c r="K2770">
        <f>(FlipkartTable[[#This Row],[Rating]]/FlipkartTable[[#This Row],[Selling Price]])*1000</f>
        <v>0.53340445392719038</v>
      </c>
      <c r="L2770" t="str">
        <f>IF(FlipkartTable[[#This Row],[Selling Price]]&lt;15000,"Budget",IF(FlipkartTable[[#This Row],[Selling Price]]&lt;50000,"Mid Range","Premium"))</f>
        <v>Budget</v>
      </c>
      <c r="M2770" t="str">
        <f>IF(FlipkartTable[[#This Row],[Rating]]&gt;4.5,"Excellent",IF(FlipkartTable[[#This Row],[Rating]]&gt;4,"Good",IF(FlipkartTable[[#This Row],[Rating]]&gt;3.5,"Average","Poor")))</f>
        <v>Average</v>
      </c>
    </row>
    <row r="2771" spans="1:13" x14ac:dyDescent="0.35">
      <c r="A2771" t="s">
        <v>1406</v>
      </c>
      <c r="B2771" s="9" t="s">
        <v>1472</v>
      </c>
      <c r="C2771" t="s">
        <v>1424</v>
      </c>
      <c r="D2771" t="s">
        <v>11</v>
      </c>
      <c r="E2771" t="s">
        <v>12</v>
      </c>
      <c r="F2771">
        <v>4.3</v>
      </c>
      <c r="G2771">
        <v>9999</v>
      </c>
      <c r="H2771">
        <v>9999</v>
      </c>
      <c r="I2771">
        <f>FlipkartTable[[#This Row],[Original Price]]-FlipkartTable[[#This Row],[Selling Price]]</f>
        <v>0</v>
      </c>
      <c r="J2771" s="4">
        <f>(FlipkartTable[[#This Row],[Original Price]]-FlipkartTable[[#This Row],[Selling Price]])/FlipkartTable[[#This Row],[Original Price]]</f>
        <v>0</v>
      </c>
      <c r="K2771">
        <f>(FlipkartTable[[#This Row],[Rating]]/FlipkartTable[[#This Row],[Selling Price]])*1000</f>
        <v>0.43004300430043002</v>
      </c>
      <c r="L2771" t="str">
        <f>IF(FlipkartTable[[#This Row],[Selling Price]]&lt;15000,"Budget",IF(FlipkartTable[[#This Row],[Selling Price]]&lt;50000,"Mid Range","Premium"))</f>
        <v>Budget</v>
      </c>
      <c r="M2771" t="str">
        <f>IF(FlipkartTable[[#This Row],[Rating]]&gt;4.5,"Excellent",IF(FlipkartTable[[#This Row],[Rating]]&gt;4,"Good",IF(FlipkartTable[[#This Row],[Rating]]&gt;3.5,"Average","Poor")))</f>
        <v>Good</v>
      </c>
    </row>
    <row r="2772" spans="1:13" x14ac:dyDescent="0.35">
      <c r="A2772" t="s">
        <v>1406</v>
      </c>
      <c r="B2772" s="9" t="s">
        <v>1472</v>
      </c>
      <c r="C2772" t="s">
        <v>68</v>
      </c>
      <c r="D2772" t="s">
        <v>11</v>
      </c>
      <c r="E2772" t="s">
        <v>12</v>
      </c>
      <c r="F2772">
        <v>4.3</v>
      </c>
      <c r="G2772">
        <v>9999</v>
      </c>
      <c r="H2772">
        <v>9999</v>
      </c>
      <c r="I2772">
        <f>FlipkartTable[[#This Row],[Original Price]]-FlipkartTable[[#This Row],[Selling Price]]</f>
        <v>0</v>
      </c>
      <c r="J2772" s="4">
        <f>(FlipkartTable[[#This Row],[Original Price]]-FlipkartTable[[#This Row],[Selling Price]])/FlipkartTable[[#This Row],[Original Price]]</f>
        <v>0</v>
      </c>
      <c r="K2772">
        <f>(FlipkartTable[[#This Row],[Rating]]/FlipkartTable[[#This Row],[Selling Price]])*1000</f>
        <v>0.43004300430043002</v>
      </c>
      <c r="L2772" t="str">
        <f>IF(FlipkartTable[[#This Row],[Selling Price]]&lt;15000,"Budget",IF(FlipkartTable[[#This Row],[Selling Price]]&lt;50000,"Mid Range","Premium"))</f>
        <v>Budget</v>
      </c>
      <c r="M2772" t="str">
        <f>IF(FlipkartTable[[#This Row],[Rating]]&gt;4.5,"Excellent",IF(FlipkartTable[[#This Row],[Rating]]&gt;4,"Good",IF(FlipkartTable[[#This Row],[Rating]]&gt;3.5,"Average","Poor")))</f>
        <v>Good</v>
      </c>
    </row>
    <row r="2773" spans="1:13" x14ac:dyDescent="0.35">
      <c r="A2773" t="s">
        <v>1406</v>
      </c>
      <c r="B2773" s="9" t="s">
        <v>1438</v>
      </c>
      <c r="C2773" t="s">
        <v>1439</v>
      </c>
      <c r="D2773" t="s">
        <v>11</v>
      </c>
      <c r="E2773" t="s">
        <v>12</v>
      </c>
      <c r="F2773">
        <v>4.2</v>
      </c>
      <c r="G2773">
        <v>12999</v>
      </c>
      <c r="H2773">
        <v>12999</v>
      </c>
      <c r="I2773">
        <f>FlipkartTable[[#This Row],[Original Price]]-FlipkartTable[[#This Row],[Selling Price]]</f>
        <v>0</v>
      </c>
      <c r="J2773" s="4">
        <f>(FlipkartTable[[#This Row],[Original Price]]-FlipkartTable[[#This Row],[Selling Price]])/FlipkartTable[[#This Row],[Original Price]]</f>
        <v>0</v>
      </c>
      <c r="K2773">
        <f>(FlipkartTable[[#This Row],[Rating]]/FlipkartTable[[#This Row],[Selling Price]])*1000</f>
        <v>0.32310177705977383</v>
      </c>
      <c r="L2773" t="str">
        <f>IF(FlipkartTable[[#This Row],[Selling Price]]&lt;15000,"Budget",IF(FlipkartTable[[#This Row],[Selling Price]]&lt;50000,"Mid Range","Premium"))</f>
        <v>Budget</v>
      </c>
      <c r="M2773" t="str">
        <f>IF(FlipkartTable[[#This Row],[Rating]]&gt;4.5,"Excellent",IF(FlipkartTable[[#This Row],[Rating]]&gt;4,"Good",IF(FlipkartTable[[#This Row],[Rating]]&gt;3.5,"Average","Poor")))</f>
        <v>Good</v>
      </c>
    </row>
    <row r="2774" spans="1:13" x14ac:dyDescent="0.35">
      <c r="A2774" t="s">
        <v>1406</v>
      </c>
      <c r="B2774" s="9" t="s">
        <v>1470</v>
      </c>
      <c r="C2774" t="s">
        <v>1455</v>
      </c>
      <c r="D2774" t="s">
        <v>11</v>
      </c>
      <c r="E2774" t="s">
        <v>12</v>
      </c>
      <c r="F2774">
        <v>4.0999999999999996</v>
      </c>
      <c r="G2774">
        <v>11999</v>
      </c>
      <c r="H2774">
        <v>11999</v>
      </c>
      <c r="I2774">
        <f>FlipkartTable[[#This Row],[Original Price]]-FlipkartTable[[#This Row],[Selling Price]]</f>
        <v>0</v>
      </c>
      <c r="J2774" s="4">
        <f>(FlipkartTable[[#This Row],[Original Price]]-FlipkartTable[[#This Row],[Selling Price]])/FlipkartTable[[#This Row],[Original Price]]</f>
        <v>0</v>
      </c>
      <c r="K2774">
        <f>(FlipkartTable[[#This Row],[Rating]]/FlipkartTable[[#This Row],[Selling Price]])*1000</f>
        <v>0.34169514126177181</v>
      </c>
      <c r="L2774" t="str">
        <f>IF(FlipkartTable[[#This Row],[Selling Price]]&lt;15000,"Budget",IF(FlipkartTable[[#This Row],[Selling Price]]&lt;50000,"Mid Range","Premium"))</f>
        <v>Budget</v>
      </c>
      <c r="M2774" t="str">
        <f>IF(FlipkartTable[[#This Row],[Rating]]&gt;4.5,"Excellent",IF(FlipkartTable[[#This Row],[Rating]]&gt;4,"Good",IF(FlipkartTable[[#This Row],[Rating]]&gt;3.5,"Average","Poor")))</f>
        <v>Good</v>
      </c>
    </row>
    <row r="2775" spans="1:13" x14ac:dyDescent="0.35">
      <c r="A2775" t="s">
        <v>1406</v>
      </c>
      <c r="B2775" s="9" t="s">
        <v>1470</v>
      </c>
      <c r="C2775" t="s">
        <v>1448</v>
      </c>
      <c r="D2775" t="s">
        <v>20</v>
      </c>
      <c r="E2775" t="s">
        <v>21</v>
      </c>
      <c r="F2775">
        <v>4.2</v>
      </c>
      <c r="G2775">
        <v>9999</v>
      </c>
      <c r="H2775">
        <v>9999</v>
      </c>
      <c r="I2775">
        <f>FlipkartTable[[#This Row],[Original Price]]-FlipkartTable[[#This Row],[Selling Price]]</f>
        <v>0</v>
      </c>
      <c r="J2775" s="4">
        <f>(FlipkartTable[[#This Row],[Original Price]]-FlipkartTable[[#This Row],[Selling Price]])/FlipkartTable[[#This Row],[Original Price]]</f>
        <v>0</v>
      </c>
      <c r="K2775">
        <f>(FlipkartTable[[#This Row],[Rating]]/FlipkartTable[[#This Row],[Selling Price]])*1000</f>
        <v>0.42004200420042004</v>
      </c>
      <c r="L2775" t="str">
        <f>IF(FlipkartTable[[#This Row],[Selling Price]]&lt;15000,"Budget",IF(FlipkartTable[[#This Row],[Selling Price]]&lt;50000,"Mid Range","Premium"))</f>
        <v>Budget</v>
      </c>
      <c r="M2775" t="str">
        <f>IF(FlipkartTable[[#This Row],[Rating]]&gt;4.5,"Excellent",IF(FlipkartTable[[#This Row],[Rating]]&gt;4,"Good",IF(FlipkartTable[[#This Row],[Rating]]&gt;3.5,"Average","Poor")))</f>
        <v>Good</v>
      </c>
    </row>
    <row r="2776" spans="1:13" x14ac:dyDescent="0.35">
      <c r="A2776" t="s">
        <v>1406</v>
      </c>
      <c r="B2776" s="9" t="s">
        <v>1475</v>
      </c>
      <c r="C2776" t="s">
        <v>1448</v>
      </c>
      <c r="D2776" t="s">
        <v>20</v>
      </c>
      <c r="E2776" t="s">
        <v>124</v>
      </c>
      <c r="F2776">
        <v>4</v>
      </c>
      <c r="G2776">
        <v>7499</v>
      </c>
      <c r="H2776">
        <v>7499</v>
      </c>
      <c r="I2776">
        <f>FlipkartTable[[#This Row],[Original Price]]-FlipkartTable[[#This Row],[Selling Price]]</f>
        <v>0</v>
      </c>
      <c r="J2776" s="4">
        <f>(FlipkartTable[[#This Row],[Original Price]]-FlipkartTable[[#This Row],[Selling Price]])/FlipkartTable[[#This Row],[Original Price]]</f>
        <v>0</v>
      </c>
      <c r="K2776">
        <f>(FlipkartTable[[#This Row],[Rating]]/FlipkartTable[[#This Row],[Selling Price]])*1000</f>
        <v>0.53340445392719038</v>
      </c>
      <c r="L2776" t="str">
        <f>IF(FlipkartTable[[#This Row],[Selling Price]]&lt;15000,"Budget",IF(FlipkartTable[[#This Row],[Selling Price]]&lt;50000,"Mid Range","Premium"))</f>
        <v>Budget</v>
      </c>
      <c r="M2776" t="str">
        <f>IF(FlipkartTable[[#This Row],[Rating]]&gt;4.5,"Excellent",IF(FlipkartTable[[#This Row],[Rating]]&gt;4,"Good",IF(FlipkartTable[[#This Row],[Rating]]&gt;3.5,"Average","Poor")))</f>
        <v>Average</v>
      </c>
    </row>
    <row r="2777" spans="1:13" x14ac:dyDescent="0.35">
      <c r="A2777" t="s">
        <v>1406</v>
      </c>
      <c r="B2777" s="9" t="s">
        <v>1477</v>
      </c>
      <c r="C2777" t="s">
        <v>717</v>
      </c>
      <c r="D2777" t="s">
        <v>11</v>
      </c>
      <c r="E2777" t="s">
        <v>12</v>
      </c>
      <c r="F2777">
        <v>4.3</v>
      </c>
      <c r="G2777">
        <v>10999</v>
      </c>
      <c r="H2777">
        <v>10999</v>
      </c>
      <c r="I2777">
        <f>FlipkartTable[[#This Row],[Original Price]]-FlipkartTable[[#This Row],[Selling Price]]</f>
        <v>0</v>
      </c>
      <c r="J2777" s="4">
        <f>(FlipkartTable[[#This Row],[Original Price]]-FlipkartTable[[#This Row],[Selling Price]])/FlipkartTable[[#This Row],[Original Price]]</f>
        <v>0</v>
      </c>
      <c r="K2777">
        <f>(FlipkartTable[[#This Row],[Rating]]/FlipkartTable[[#This Row],[Selling Price]])*1000</f>
        <v>0.39094463133012086</v>
      </c>
      <c r="L2777" t="str">
        <f>IF(FlipkartTable[[#This Row],[Selling Price]]&lt;15000,"Budget",IF(FlipkartTable[[#This Row],[Selling Price]]&lt;50000,"Mid Range","Premium"))</f>
        <v>Budget</v>
      </c>
      <c r="M2777" t="str">
        <f>IF(FlipkartTable[[#This Row],[Rating]]&gt;4.5,"Excellent",IF(FlipkartTable[[#This Row],[Rating]]&gt;4,"Good",IF(FlipkartTable[[#This Row],[Rating]]&gt;3.5,"Average","Poor")))</f>
        <v>Good</v>
      </c>
    </row>
    <row r="2778" spans="1:13" x14ac:dyDescent="0.35">
      <c r="A2778" t="s">
        <v>1406</v>
      </c>
      <c r="B2778" s="9" t="s">
        <v>1470</v>
      </c>
      <c r="C2778" t="s">
        <v>1455</v>
      </c>
      <c r="D2778" t="s">
        <v>20</v>
      </c>
      <c r="E2778" t="s">
        <v>21</v>
      </c>
      <c r="F2778">
        <v>4.2</v>
      </c>
      <c r="G2778">
        <v>9999</v>
      </c>
      <c r="H2778">
        <v>9999</v>
      </c>
      <c r="I2778">
        <f>FlipkartTable[[#This Row],[Original Price]]-FlipkartTable[[#This Row],[Selling Price]]</f>
        <v>0</v>
      </c>
      <c r="J2778" s="4">
        <f>(FlipkartTable[[#This Row],[Original Price]]-FlipkartTable[[#This Row],[Selling Price]])/FlipkartTable[[#This Row],[Original Price]]</f>
        <v>0</v>
      </c>
      <c r="K2778">
        <f>(FlipkartTable[[#This Row],[Rating]]/FlipkartTable[[#This Row],[Selling Price]])*1000</f>
        <v>0.42004200420042004</v>
      </c>
      <c r="L2778" t="str">
        <f>IF(FlipkartTable[[#This Row],[Selling Price]]&lt;15000,"Budget",IF(FlipkartTable[[#This Row],[Selling Price]]&lt;50000,"Mid Range","Premium"))</f>
        <v>Budget</v>
      </c>
      <c r="M2778" t="str">
        <f>IF(FlipkartTable[[#This Row],[Rating]]&gt;4.5,"Excellent",IF(FlipkartTable[[#This Row],[Rating]]&gt;4,"Good",IF(FlipkartTable[[#This Row],[Rating]]&gt;3.5,"Average","Poor")))</f>
        <v>Good</v>
      </c>
    </row>
    <row r="2779" spans="1:13" x14ac:dyDescent="0.35">
      <c r="A2779" t="s">
        <v>1406</v>
      </c>
      <c r="B2779" s="9" t="s">
        <v>1470</v>
      </c>
      <c r="C2779" t="s">
        <v>1471</v>
      </c>
      <c r="D2779" t="s">
        <v>20</v>
      </c>
      <c r="E2779" t="s">
        <v>21</v>
      </c>
      <c r="F2779">
        <v>4.2</v>
      </c>
      <c r="G2779">
        <v>9999</v>
      </c>
      <c r="H2779">
        <v>9999</v>
      </c>
      <c r="I2779">
        <f>FlipkartTable[[#This Row],[Original Price]]-FlipkartTable[[#This Row],[Selling Price]]</f>
        <v>0</v>
      </c>
      <c r="J2779" s="4">
        <f>(FlipkartTable[[#This Row],[Original Price]]-FlipkartTable[[#This Row],[Selling Price]])/FlipkartTable[[#This Row],[Original Price]]</f>
        <v>0</v>
      </c>
      <c r="K2779">
        <f>(FlipkartTable[[#This Row],[Rating]]/FlipkartTable[[#This Row],[Selling Price]])*1000</f>
        <v>0.42004200420042004</v>
      </c>
      <c r="L2779" t="str">
        <f>IF(FlipkartTable[[#This Row],[Selling Price]]&lt;15000,"Budget",IF(FlipkartTable[[#This Row],[Selling Price]]&lt;50000,"Mid Range","Premium"))</f>
        <v>Budget</v>
      </c>
      <c r="M2779" t="str">
        <f>IF(FlipkartTable[[#This Row],[Rating]]&gt;4.5,"Excellent",IF(FlipkartTable[[#This Row],[Rating]]&gt;4,"Good",IF(FlipkartTable[[#This Row],[Rating]]&gt;3.5,"Average","Poor")))</f>
        <v>Good</v>
      </c>
    </row>
    <row r="2780" spans="1:13" x14ac:dyDescent="0.35">
      <c r="A2780" t="s">
        <v>1406</v>
      </c>
      <c r="B2780" s="9" t="s">
        <v>1440</v>
      </c>
      <c r="C2780" t="s">
        <v>1448</v>
      </c>
      <c r="D2780" t="s">
        <v>35</v>
      </c>
      <c r="E2780" t="s">
        <v>124</v>
      </c>
      <c r="F2780">
        <v>4.0999999999999996</v>
      </c>
      <c r="G2780">
        <v>6999</v>
      </c>
      <c r="H2780">
        <v>6999</v>
      </c>
      <c r="I2780">
        <f>FlipkartTable[[#This Row],[Original Price]]-FlipkartTable[[#This Row],[Selling Price]]</f>
        <v>0</v>
      </c>
      <c r="J2780" s="4">
        <f>(FlipkartTable[[#This Row],[Original Price]]-FlipkartTable[[#This Row],[Selling Price]])/FlipkartTable[[#This Row],[Original Price]]</f>
        <v>0</v>
      </c>
      <c r="K2780">
        <f>(FlipkartTable[[#This Row],[Rating]]/FlipkartTable[[#This Row],[Selling Price]])*1000</f>
        <v>0.58579797113873411</v>
      </c>
      <c r="L2780" t="str">
        <f>IF(FlipkartTable[[#This Row],[Selling Price]]&lt;15000,"Budget",IF(FlipkartTable[[#This Row],[Selling Price]]&lt;50000,"Mid Range","Premium"))</f>
        <v>Budget</v>
      </c>
      <c r="M2780" t="str">
        <f>IF(FlipkartTable[[#This Row],[Rating]]&gt;4.5,"Excellent",IF(FlipkartTable[[#This Row],[Rating]]&gt;4,"Good",IF(FlipkartTable[[#This Row],[Rating]]&gt;3.5,"Average","Poor")))</f>
        <v>Good</v>
      </c>
    </row>
    <row r="2781" spans="1:13" x14ac:dyDescent="0.35">
      <c r="A2781" t="s">
        <v>1406</v>
      </c>
      <c r="B2781" s="9" t="s">
        <v>1447</v>
      </c>
      <c r="C2781" t="s">
        <v>1478</v>
      </c>
      <c r="D2781" t="s">
        <v>11</v>
      </c>
      <c r="E2781" t="s">
        <v>12</v>
      </c>
      <c r="F2781">
        <v>3.9</v>
      </c>
      <c r="G2781">
        <v>16999</v>
      </c>
      <c r="H2781">
        <v>16999</v>
      </c>
      <c r="I2781">
        <f>FlipkartTable[[#This Row],[Original Price]]-FlipkartTable[[#This Row],[Selling Price]]</f>
        <v>0</v>
      </c>
      <c r="J2781" s="4">
        <f>(FlipkartTable[[#This Row],[Original Price]]-FlipkartTable[[#This Row],[Selling Price]])/FlipkartTable[[#This Row],[Original Price]]</f>
        <v>0</v>
      </c>
      <c r="K2781">
        <f>(FlipkartTable[[#This Row],[Rating]]/FlipkartTable[[#This Row],[Selling Price]])*1000</f>
        <v>0.22942526030942997</v>
      </c>
      <c r="L2781" t="str">
        <f>IF(FlipkartTable[[#This Row],[Selling Price]]&lt;15000,"Budget",IF(FlipkartTable[[#This Row],[Selling Price]]&lt;50000,"Mid Range","Premium"))</f>
        <v>Mid Range</v>
      </c>
      <c r="M2781" t="str">
        <f>IF(FlipkartTable[[#This Row],[Rating]]&gt;4.5,"Excellent",IF(FlipkartTable[[#This Row],[Rating]]&gt;4,"Good",IF(FlipkartTable[[#This Row],[Rating]]&gt;3.5,"Average","Poor")))</f>
        <v>Average</v>
      </c>
    </row>
    <row r="2782" spans="1:13" x14ac:dyDescent="0.35">
      <c r="A2782" t="s">
        <v>1406</v>
      </c>
      <c r="B2782" s="9" t="s">
        <v>1445</v>
      </c>
      <c r="C2782" t="s">
        <v>68</v>
      </c>
      <c r="D2782" t="s">
        <v>35</v>
      </c>
      <c r="E2782" t="s">
        <v>21</v>
      </c>
      <c r="F2782">
        <v>4.2</v>
      </c>
      <c r="G2782">
        <v>7999</v>
      </c>
      <c r="H2782">
        <v>7999</v>
      </c>
      <c r="I2782">
        <f>FlipkartTable[[#This Row],[Original Price]]-FlipkartTable[[#This Row],[Selling Price]]</f>
        <v>0</v>
      </c>
      <c r="J2782" s="4">
        <f>(FlipkartTable[[#This Row],[Original Price]]-FlipkartTable[[#This Row],[Selling Price]])/FlipkartTable[[#This Row],[Original Price]]</f>
        <v>0</v>
      </c>
      <c r="K2782">
        <f>(FlipkartTable[[#This Row],[Rating]]/FlipkartTable[[#This Row],[Selling Price]])*1000</f>
        <v>0.52506563320415056</v>
      </c>
      <c r="L2782" t="str">
        <f>IF(FlipkartTable[[#This Row],[Selling Price]]&lt;15000,"Budget",IF(FlipkartTable[[#This Row],[Selling Price]]&lt;50000,"Mid Range","Premium"))</f>
        <v>Budget</v>
      </c>
      <c r="M2782" t="str">
        <f>IF(FlipkartTable[[#This Row],[Rating]]&gt;4.5,"Excellent",IF(FlipkartTable[[#This Row],[Rating]]&gt;4,"Good",IF(FlipkartTable[[#This Row],[Rating]]&gt;3.5,"Average","Poor")))</f>
        <v>Good</v>
      </c>
    </row>
    <row r="2783" spans="1:13" x14ac:dyDescent="0.35">
      <c r="A2783" t="s">
        <v>1406</v>
      </c>
      <c r="B2783" s="9" t="s">
        <v>1438</v>
      </c>
      <c r="C2783" t="s">
        <v>1443</v>
      </c>
      <c r="D2783" t="s">
        <v>20</v>
      </c>
      <c r="E2783" t="s">
        <v>21</v>
      </c>
      <c r="F2783">
        <v>4.2</v>
      </c>
      <c r="G2783">
        <v>10399</v>
      </c>
      <c r="H2783">
        <v>10399</v>
      </c>
      <c r="I2783">
        <f>FlipkartTable[[#This Row],[Original Price]]-FlipkartTable[[#This Row],[Selling Price]]</f>
        <v>0</v>
      </c>
      <c r="J2783" s="4">
        <f>(FlipkartTable[[#This Row],[Original Price]]-FlipkartTable[[#This Row],[Selling Price]])/FlipkartTable[[#This Row],[Original Price]]</f>
        <v>0</v>
      </c>
      <c r="K2783">
        <f>(FlipkartTable[[#This Row],[Rating]]/FlipkartTable[[#This Row],[Selling Price]])*1000</f>
        <v>0.40388498894124436</v>
      </c>
      <c r="L2783" t="str">
        <f>IF(FlipkartTable[[#This Row],[Selling Price]]&lt;15000,"Budget",IF(FlipkartTable[[#This Row],[Selling Price]]&lt;50000,"Mid Range","Premium"))</f>
        <v>Budget</v>
      </c>
      <c r="M2783" t="str">
        <f>IF(FlipkartTable[[#This Row],[Rating]]&gt;4.5,"Excellent",IF(FlipkartTable[[#This Row],[Rating]]&gt;4,"Good",IF(FlipkartTable[[#This Row],[Rating]]&gt;3.5,"Average","Poor")))</f>
        <v>Good</v>
      </c>
    </row>
    <row r="2784" spans="1:13" x14ac:dyDescent="0.35">
      <c r="A2784" t="s">
        <v>1406</v>
      </c>
      <c r="B2784" s="9" t="s">
        <v>1463</v>
      </c>
      <c r="C2784" t="s">
        <v>1425</v>
      </c>
      <c r="D2784" t="s">
        <v>11</v>
      </c>
      <c r="E2784" t="s">
        <v>12</v>
      </c>
      <c r="F2784">
        <v>4.4000000000000004</v>
      </c>
      <c r="G2784">
        <v>12999</v>
      </c>
      <c r="H2784">
        <v>12999</v>
      </c>
      <c r="I2784">
        <f>FlipkartTable[[#This Row],[Original Price]]-FlipkartTable[[#This Row],[Selling Price]]</f>
        <v>0</v>
      </c>
      <c r="J2784" s="4">
        <f>(FlipkartTable[[#This Row],[Original Price]]-FlipkartTable[[#This Row],[Selling Price]])/FlipkartTable[[#This Row],[Original Price]]</f>
        <v>0</v>
      </c>
      <c r="K2784">
        <f>(FlipkartTable[[#This Row],[Rating]]/FlipkartTable[[#This Row],[Selling Price]])*1000</f>
        <v>0.33848757596738216</v>
      </c>
      <c r="L2784" t="str">
        <f>IF(FlipkartTable[[#This Row],[Selling Price]]&lt;15000,"Budget",IF(FlipkartTable[[#This Row],[Selling Price]]&lt;50000,"Mid Range","Premium"))</f>
        <v>Budget</v>
      </c>
      <c r="M2784" t="str">
        <f>IF(FlipkartTable[[#This Row],[Rating]]&gt;4.5,"Excellent",IF(FlipkartTable[[#This Row],[Rating]]&gt;4,"Good",IF(FlipkartTable[[#This Row],[Rating]]&gt;3.5,"Average","Poor")))</f>
        <v>Good</v>
      </c>
    </row>
    <row r="2785" spans="1:13" x14ac:dyDescent="0.35">
      <c r="A2785" t="s">
        <v>1406</v>
      </c>
      <c r="B2785" s="9" t="s">
        <v>1477</v>
      </c>
      <c r="C2785" t="s">
        <v>1424</v>
      </c>
      <c r="D2785" t="s">
        <v>11</v>
      </c>
      <c r="E2785" t="s">
        <v>12</v>
      </c>
      <c r="F2785">
        <v>4.3</v>
      </c>
      <c r="G2785">
        <v>10999</v>
      </c>
      <c r="H2785">
        <v>10999</v>
      </c>
      <c r="I2785">
        <f>FlipkartTable[[#This Row],[Original Price]]-FlipkartTable[[#This Row],[Selling Price]]</f>
        <v>0</v>
      </c>
      <c r="J2785" s="4">
        <f>(FlipkartTable[[#This Row],[Original Price]]-FlipkartTable[[#This Row],[Selling Price]])/FlipkartTable[[#This Row],[Original Price]]</f>
        <v>0</v>
      </c>
      <c r="K2785">
        <f>(FlipkartTable[[#This Row],[Rating]]/FlipkartTable[[#This Row],[Selling Price]])*1000</f>
        <v>0.39094463133012086</v>
      </c>
      <c r="L2785" t="str">
        <f>IF(FlipkartTable[[#This Row],[Selling Price]]&lt;15000,"Budget",IF(FlipkartTable[[#This Row],[Selling Price]]&lt;50000,"Mid Range","Premium"))</f>
        <v>Budget</v>
      </c>
      <c r="M2785" t="str">
        <f>IF(FlipkartTable[[#This Row],[Rating]]&gt;4.5,"Excellent",IF(FlipkartTable[[#This Row],[Rating]]&gt;4,"Good",IF(FlipkartTable[[#This Row],[Rating]]&gt;3.5,"Average","Poor")))</f>
        <v>Good</v>
      </c>
    </row>
    <row r="2786" spans="1:13" x14ac:dyDescent="0.35">
      <c r="A2786" t="s">
        <v>1406</v>
      </c>
      <c r="B2786" s="9" t="s">
        <v>1470</v>
      </c>
      <c r="C2786" t="s">
        <v>1441</v>
      </c>
      <c r="D2786" t="s">
        <v>20</v>
      </c>
      <c r="E2786" t="s">
        <v>21</v>
      </c>
      <c r="F2786">
        <v>4.2</v>
      </c>
      <c r="G2786">
        <v>9999</v>
      </c>
      <c r="H2786">
        <v>9999</v>
      </c>
      <c r="I2786">
        <f>FlipkartTable[[#This Row],[Original Price]]-FlipkartTable[[#This Row],[Selling Price]]</f>
        <v>0</v>
      </c>
      <c r="J2786" s="4">
        <f>(FlipkartTable[[#This Row],[Original Price]]-FlipkartTable[[#This Row],[Selling Price]])/FlipkartTable[[#This Row],[Original Price]]</f>
        <v>0</v>
      </c>
      <c r="K2786">
        <f>(FlipkartTable[[#This Row],[Rating]]/FlipkartTable[[#This Row],[Selling Price]])*1000</f>
        <v>0.42004200420042004</v>
      </c>
      <c r="L2786" t="str">
        <f>IF(FlipkartTable[[#This Row],[Selling Price]]&lt;15000,"Budget",IF(FlipkartTable[[#This Row],[Selling Price]]&lt;50000,"Mid Range","Premium"))</f>
        <v>Budget</v>
      </c>
      <c r="M2786" t="str">
        <f>IF(FlipkartTable[[#This Row],[Rating]]&gt;4.5,"Excellent",IF(FlipkartTable[[#This Row],[Rating]]&gt;4,"Good",IF(FlipkartTable[[#This Row],[Rating]]&gt;3.5,"Average","Poor")))</f>
        <v>Good</v>
      </c>
    </row>
    <row r="2787" spans="1:13" x14ac:dyDescent="0.35">
      <c r="A2787" t="s">
        <v>1406</v>
      </c>
      <c r="B2787" s="9" t="s">
        <v>1479</v>
      </c>
      <c r="C2787" t="s">
        <v>340</v>
      </c>
      <c r="D2787" t="s">
        <v>11</v>
      </c>
      <c r="E2787" t="s">
        <v>12</v>
      </c>
      <c r="F2787">
        <v>4.2</v>
      </c>
      <c r="G2787">
        <v>9999</v>
      </c>
      <c r="H2787">
        <v>9999</v>
      </c>
      <c r="I2787">
        <f>FlipkartTable[[#This Row],[Original Price]]-FlipkartTable[[#This Row],[Selling Price]]</f>
        <v>0</v>
      </c>
      <c r="J2787" s="4">
        <f>(FlipkartTable[[#This Row],[Original Price]]-FlipkartTable[[#This Row],[Selling Price]])/FlipkartTable[[#This Row],[Original Price]]</f>
        <v>0</v>
      </c>
      <c r="K2787">
        <f>(FlipkartTable[[#This Row],[Rating]]/FlipkartTable[[#This Row],[Selling Price]])*1000</f>
        <v>0.42004200420042004</v>
      </c>
      <c r="L2787" t="str">
        <f>IF(FlipkartTable[[#This Row],[Selling Price]]&lt;15000,"Budget",IF(FlipkartTable[[#This Row],[Selling Price]]&lt;50000,"Mid Range","Premium"))</f>
        <v>Budget</v>
      </c>
      <c r="M2787" t="str">
        <f>IF(FlipkartTable[[#This Row],[Rating]]&gt;4.5,"Excellent",IF(FlipkartTable[[#This Row],[Rating]]&gt;4,"Good",IF(FlipkartTable[[#This Row],[Rating]]&gt;3.5,"Average","Poor")))</f>
        <v>Good</v>
      </c>
    </row>
    <row r="2788" spans="1:13" x14ac:dyDescent="0.35">
      <c r="A2788" t="s">
        <v>1406</v>
      </c>
      <c r="B2788" s="9" t="s">
        <v>1440</v>
      </c>
      <c r="C2788" t="s">
        <v>1468</v>
      </c>
      <c r="D2788" t="s">
        <v>35</v>
      </c>
      <c r="E2788" t="s">
        <v>124</v>
      </c>
      <c r="F2788">
        <v>4.0999999999999996</v>
      </c>
      <c r="G2788">
        <v>6949</v>
      </c>
      <c r="H2788">
        <v>6999</v>
      </c>
      <c r="I2788">
        <f>FlipkartTable[[#This Row],[Original Price]]-FlipkartTable[[#This Row],[Selling Price]]</f>
        <v>50</v>
      </c>
      <c r="J2788" s="4">
        <f>(FlipkartTable[[#This Row],[Original Price]]-FlipkartTable[[#This Row],[Selling Price]])/FlipkartTable[[#This Row],[Original Price]]</f>
        <v>7.1438776968138305E-3</v>
      </c>
      <c r="K2788">
        <f>(FlipkartTable[[#This Row],[Rating]]/FlipkartTable[[#This Row],[Selling Price]])*1000</f>
        <v>0.5900129515038135</v>
      </c>
      <c r="L2788" t="str">
        <f>IF(FlipkartTable[[#This Row],[Selling Price]]&lt;15000,"Budget",IF(FlipkartTable[[#This Row],[Selling Price]]&lt;50000,"Mid Range","Premium"))</f>
        <v>Budget</v>
      </c>
      <c r="M2788" t="str">
        <f>IF(FlipkartTable[[#This Row],[Rating]]&gt;4.5,"Excellent",IF(FlipkartTable[[#This Row],[Rating]]&gt;4,"Good",IF(FlipkartTable[[#This Row],[Rating]]&gt;3.5,"Average","Poor")))</f>
        <v>Good</v>
      </c>
    </row>
    <row r="2789" spans="1:13" x14ac:dyDescent="0.35">
      <c r="A2789" t="s">
        <v>1406</v>
      </c>
      <c r="B2789" s="9" t="s">
        <v>1440</v>
      </c>
      <c r="C2789" t="s">
        <v>1469</v>
      </c>
      <c r="D2789" t="s">
        <v>35</v>
      </c>
      <c r="E2789" t="s">
        <v>124</v>
      </c>
      <c r="F2789">
        <v>4.0999999999999996</v>
      </c>
      <c r="G2789">
        <v>6949</v>
      </c>
      <c r="H2789">
        <v>6999</v>
      </c>
      <c r="I2789">
        <f>FlipkartTable[[#This Row],[Original Price]]-FlipkartTable[[#This Row],[Selling Price]]</f>
        <v>50</v>
      </c>
      <c r="J2789" s="4">
        <f>(FlipkartTable[[#This Row],[Original Price]]-FlipkartTable[[#This Row],[Selling Price]])/FlipkartTable[[#This Row],[Original Price]]</f>
        <v>7.1438776968138305E-3</v>
      </c>
      <c r="K2789">
        <f>(FlipkartTable[[#This Row],[Rating]]/FlipkartTable[[#This Row],[Selling Price]])*1000</f>
        <v>0.5900129515038135</v>
      </c>
      <c r="L2789" t="str">
        <f>IF(FlipkartTable[[#This Row],[Selling Price]]&lt;15000,"Budget",IF(FlipkartTable[[#This Row],[Selling Price]]&lt;50000,"Mid Range","Premium"))</f>
        <v>Budget</v>
      </c>
      <c r="M2789" t="str">
        <f>IF(FlipkartTable[[#This Row],[Rating]]&gt;4.5,"Excellent",IF(FlipkartTable[[#This Row],[Rating]]&gt;4,"Good",IF(FlipkartTable[[#This Row],[Rating]]&gt;3.5,"Average","Poor")))</f>
        <v>Good</v>
      </c>
    </row>
    <row r="2790" spans="1:13" x14ac:dyDescent="0.35">
      <c r="A2790" t="s">
        <v>1406</v>
      </c>
      <c r="B2790" s="9" t="s">
        <v>1450</v>
      </c>
      <c r="C2790" t="s">
        <v>649</v>
      </c>
      <c r="D2790" t="s">
        <v>20</v>
      </c>
      <c r="E2790" t="s">
        <v>21</v>
      </c>
      <c r="F2790">
        <v>4.2</v>
      </c>
      <c r="G2790">
        <v>9999</v>
      </c>
      <c r="H2790">
        <v>9999</v>
      </c>
      <c r="I2790">
        <f>FlipkartTable[[#This Row],[Original Price]]-FlipkartTable[[#This Row],[Selling Price]]</f>
        <v>0</v>
      </c>
      <c r="J2790" s="4">
        <f>(FlipkartTable[[#This Row],[Original Price]]-FlipkartTable[[#This Row],[Selling Price]])/FlipkartTable[[#This Row],[Original Price]]</f>
        <v>0</v>
      </c>
      <c r="K2790">
        <f>(FlipkartTable[[#This Row],[Rating]]/FlipkartTable[[#This Row],[Selling Price]])*1000</f>
        <v>0.42004200420042004</v>
      </c>
      <c r="L2790" t="str">
        <f>IF(FlipkartTable[[#This Row],[Selling Price]]&lt;15000,"Budget",IF(FlipkartTable[[#This Row],[Selling Price]]&lt;50000,"Mid Range","Premium"))</f>
        <v>Budget</v>
      </c>
      <c r="M2790" t="str">
        <f>IF(FlipkartTable[[#This Row],[Rating]]&gt;4.5,"Excellent",IF(FlipkartTable[[#This Row],[Rating]]&gt;4,"Good",IF(FlipkartTable[[#This Row],[Rating]]&gt;3.5,"Average","Poor")))</f>
        <v>Good</v>
      </c>
    </row>
    <row r="2791" spans="1:13" x14ac:dyDescent="0.35">
      <c r="A2791" t="s">
        <v>1406</v>
      </c>
      <c r="B2791" s="9" t="s">
        <v>1453</v>
      </c>
      <c r="C2791" t="s">
        <v>1480</v>
      </c>
      <c r="D2791" t="s">
        <v>27</v>
      </c>
      <c r="E2791" t="s">
        <v>15</v>
      </c>
      <c r="F2791">
        <v>4.2</v>
      </c>
      <c r="G2791">
        <v>18999</v>
      </c>
      <c r="H2791">
        <v>18999</v>
      </c>
      <c r="I2791">
        <f>FlipkartTable[[#This Row],[Original Price]]-FlipkartTable[[#This Row],[Selling Price]]</f>
        <v>0</v>
      </c>
      <c r="J2791" s="4">
        <f>(FlipkartTable[[#This Row],[Original Price]]-FlipkartTable[[#This Row],[Selling Price]])/FlipkartTable[[#This Row],[Original Price]]</f>
        <v>0</v>
      </c>
      <c r="K2791">
        <f>(FlipkartTable[[#This Row],[Rating]]/FlipkartTable[[#This Row],[Selling Price]])*1000</f>
        <v>0.22106426654034425</v>
      </c>
      <c r="L2791" t="str">
        <f>IF(FlipkartTable[[#This Row],[Selling Price]]&lt;15000,"Budget",IF(FlipkartTable[[#This Row],[Selling Price]]&lt;50000,"Mid Range","Premium"))</f>
        <v>Mid Range</v>
      </c>
      <c r="M2791" t="str">
        <f>IF(FlipkartTable[[#This Row],[Rating]]&gt;4.5,"Excellent",IF(FlipkartTable[[#This Row],[Rating]]&gt;4,"Good",IF(FlipkartTable[[#This Row],[Rating]]&gt;3.5,"Average","Poor")))</f>
        <v>Good</v>
      </c>
    </row>
    <row r="2792" spans="1:13" x14ac:dyDescent="0.35">
      <c r="A2792" t="s">
        <v>1406</v>
      </c>
      <c r="B2792" s="9" t="s">
        <v>1481</v>
      </c>
      <c r="C2792" t="s">
        <v>1448</v>
      </c>
      <c r="D2792" t="s">
        <v>14</v>
      </c>
      <c r="E2792" t="s">
        <v>12</v>
      </c>
      <c r="F2792">
        <v>4.3</v>
      </c>
      <c r="G2792">
        <v>17999</v>
      </c>
      <c r="H2792">
        <v>17999</v>
      </c>
      <c r="I2792">
        <f>FlipkartTable[[#This Row],[Original Price]]-FlipkartTable[[#This Row],[Selling Price]]</f>
        <v>0</v>
      </c>
      <c r="J2792" s="4">
        <f>(FlipkartTable[[#This Row],[Original Price]]-FlipkartTable[[#This Row],[Selling Price]])/FlipkartTable[[#This Row],[Original Price]]</f>
        <v>0</v>
      </c>
      <c r="K2792">
        <f>(FlipkartTable[[#This Row],[Rating]]/FlipkartTable[[#This Row],[Selling Price]])*1000</f>
        <v>0.23890216123117949</v>
      </c>
      <c r="L2792" t="str">
        <f>IF(FlipkartTable[[#This Row],[Selling Price]]&lt;15000,"Budget",IF(FlipkartTable[[#This Row],[Selling Price]]&lt;50000,"Mid Range","Premium"))</f>
        <v>Mid Range</v>
      </c>
      <c r="M2792" t="str">
        <f>IF(FlipkartTable[[#This Row],[Rating]]&gt;4.5,"Excellent",IF(FlipkartTable[[#This Row],[Rating]]&gt;4,"Good",IF(FlipkartTable[[#This Row],[Rating]]&gt;3.5,"Average","Poor")))</f>
        <v>Good</v>
      </c>
    </row>
    <row r="2793" spans="1:13" x14ac:dyDescent="0.35">
      <c r="A2793" t="s">
        <v>1406</v>
      </c>
      <c r="B2793" s="9" t="s">
        <v>1438</v>
      </c>
      <c r="C2793" t="s">
        <v>1482</v>
      </c>
      <c r="D2793" t="s">
        <v>11</v>
      </c>
      <c r="E2793" t="s">
        <v>12</v>
      </c>
      <c r="F2793">
        <v>4.2</v>
      </c>
      <c r="G2793">
        <v>12999</v>
      </c>
      <c r="H2793">
        <v>12999</v>
      </c>
      <c r="I2793">
        <f>FlipkartTable[[#This Row],[Original Price]]-FlipkartTable[[#This Row],[Selling Price]]</f>
        <v>0</v>
      </c>
      <c r="J2793" s="4">
        <f>(FlipkartTable[[#This Row],[Original Price]]-FlipkartTable[[#This Row],[Selling Price]])/FlipkartTable[[#This Row],[Original Price]]</f>
        <v>0</v>
      </c>
      <c r="K2793">
        <f>(FlipkartTable[[#This Row],[Rating]]/FlipkartTable[[#This Row],[Selling Price]])*1000</f>
        <v>0.32310177705977383</v>
      </c>
      <c r="L2793" t="str">
        <f>IF(FlipkartTable[[#This Row],[Selling Price]]&lt;15000,"Budget",IF(FlipkartTable[[#This Row],[Selling Price]]&lt;50000,"Mid Range","Premium"))</f>
        <v>Budget</v>
      </c>
      <c r="M2793" t="str">
        <f>IF(FlipkartTable[[#This Row],[Rating]]&gt;4.5,"Excellent",IF(FlipkartTable[[#This Row],[Rating]]&gt;4,"Good",IF(FlipkartTable[[#This Row],[Rating]]&gt;3.5,"Average","Poor")))</f>
        <v>Good</v>
      </c>
    </row>
    <row r="2794" spans="1:13" x14ac:dyDescent="0.35">
      <c r="A2794" t="s">
        <v>1406</v>
      </c>
      <c r="B2794" s="9" t="s">
        <v>1450</v>
      </c>
      <c r="C2794" t="s">
        <v>1483</v>
      </c>
      <c r="D2794" t="s">
        <v>11</v>
      </c>
      <c r="E2794" t="s">
        <v>12</v>
      </c>
      <c r="F2794">
        <v>4.3</v>
      </c>
      <c r="G2794">
        <v>10999</v>
      </c>
      <c r="H2794">
        <v>10999</v>
      </c>
      <c r="I2794">
        <f>FlipkartTable[[#This Row],[Original Price]]-FlipkartTable[[#This Row],[Selling Price]]</f>
        <v>0</v>
      </c>
      <c r="J2794" s="4">
        <f>(FlipkartTable[[#This Row],[Original Price]]-FlipkartTable[[#This Row],[Selling Price]])/FlipkartTable[[#This Row],[Original Price]]</f>
        <v>0</v>
      </c>
      <c r="K2794">
        <f>(FlipkartTable[[#This Row],[Rating]]/FlipkartTable[[#This Row],[Selling Price]])*1000</f>
        <v>0.39094463133012086</v>
      </c>
      <c r="L2794" t="str">
        <f>IF(FlipkartTable[[#This Row],[Selling Price]]&lt;15000,"Budget",IF(FlipkartTable[[#This Row],[Selling Price]]&lt;50000,"Mid Range","Premium"))</f>
        <v>Budget</v>
      </c>
      <c r="M2794" t="str">
        <f>IF(FlipkartTable[[#This Row],[Rating]]&gt;4.5,"Excellent",IF(FlipkartTable[[#This Row],[Rating]]&gt;4,"Good",IF(FlipkartTable[[#This Row],[Rating]]&gt;3.5,"Average","Poor")))</f>
        <v>Good</v>
      </c>
    </row>
    <row r="2795" spans="1:13" x14ac:dyDescent="0.35">
      <c r="A2795" t="s">
        <v>1406</v>
      </c>
      <c r="B2795" s="9" t="s">
        <v>1450</v>
      </c>
      <c r="C2795" t="s">
        <v>1137</v>
      </c>
      <c r="D2795" t="s">
        <v>11</v>
      </c>
      <c r="E2795" t="s">
        <v>12</v>
      </c>
      <c r="F2795">
        <v>4.3</v>
      </c>
      <c r="G2795">
        <v>10999</v>
      </c>
      <c r="H2795">
        <v>10999</v>
      </c>
      <c r="I2795">
        <f>FlipkartTable[[#This Row],[Original Price]]-FlipkartTable[[#This Row],[Selling Price]]</f>
        <v>0</v>
      </c>
      <c r="J2795" s="4">
        <f>(FlipkartTable[[#This Row],[Original Price]]-FlipkartTable[[#This Row],[Selling Price]])/FlipkartTable[[#This Row],[Original Price]]</f>
        <v>0</v>
      </c>
      <c r="K2795">
        <f>(FlipkartTable[[#This Row],[Rating]]/FlipkartTable[[#This Row],[Selling Price]])*1000</f>
        <v>0.39094463133012086</v>
      </c>
      <c r="L2795" t="str">
        <f>IF(FlipkartTable[[#This Row],[Selling Price]]&lt;15000,"Budget",IF(FlipkartTable[[#This Row],[Selling Price]]&lt;50000,"Mid Range","Premium"))</f>
        <v>Budget</v>
      </c>
      <c r="M2795" t="str">
        <f>IF(FlipkartTable[[#This Row],[Rating]]&gt;4.5,"Excellent",IF(FlipkartTable[[#This Row],[Rating]]&gt;4,"Good",IF(FlipkartTable[[#This Row],[Rating]]&gt;3.5,"Average","Poor")))</f>
        <v>Good</v>
      </c>
    </row>
    <row r="2796" spans="1:13" x14ac:dyDescent="0.35">
      <c r="A2796" t="s">
        <v>1406</v>
      </c>
      <c r="B2796" s="9" t="s">
        <v>1467</v>
      </c>
      <c r="C2796" t="s">
        <v>536</v>
      </c>
      <c r="D2796" t="s">
        <v>20</v>
      </c>
      <c r="E2796" t="s">
        <v>21</v>
      </c>
      <c r="F2796">
        <v>4.2</v>
      </c>
      <c r="G2796">
        <v>8999</v>
      </c>
      <c r="H2796">
        <v>8999</v>
      </c>
      <c r="I2796">
        <f>FlipkartTable[[#This Row],[Original Price]]-FlipkartTable[[#This Row],[Selling Price]]</f>
        <v>0</v>
      </c>
      <c r="J2796" s="4">
        <f>(FlipkartTable[[#This Row],[Original Price]]-FlipkartTable[[#This Row],[Selling Price]])/FlipkartTable[[#This Row],[Original Price]]</f>
        <v>0</v>
      </c>
      <c r="K2796">
        <f>(FlipkartTable[[#This Row],[Rating]]/FlipkartTable[[#This Row],[Selling Price]])*1000</f>
        <v>0.46671852428047561</v>
      </c>
      <c r="L2796" t="str">
        <f>IF(FlipkartTable[[#This Row],[Selling Price]]&lt;15000,"Budget",IF(FlipkartTable[[#This Row],[Selling Price]]&lt;50000,"Mid Range","Premium"))</f>
        <v>Budget</v>
      </c>
      <c r="M2796" t="str">
        <f>IF(FlipkartTable[[#This Row],[Rating]]&gt;4.5,"Excellent",IF(FlipkartTable[[#This Row],[Rating]]&gt;4,"Good",IF(FlipkartTable[[#This Row],[Rating]]&gt;3.5,"Average","Poor")))</f>
        <v>Good</v>
      </c>
    </row>
    <row r="2797" spans="1:13" x14ac:dyDescent="0.35">
      <c r="A2797" t="s">
        <v>1406</v>
      </c>
      <c r="B2797" s="9" t="s">
        <v>1452</v>
      </c>
      <c r="C2797" t="s">
        <v>1484</v>
      </c>
      <c r="D2797" t="s">
        <v>11</v>
      </c>
      <c r="E2797" t="s">
        <v>12</v>
      </c>
      <c r="F2797">
        <v>4.3</v>
      </c>
      <c r="G2797">
        <v>14999</v>
      </c>
      <c r="H2797">
        <v>14999</v>
      </c>
      <c r="I2797">
        <f>FlipkartTable[[#This Row],[Original Price]]-FlipkartTable[[#This Row],[Selling Price]]</f>
        <v>0</v>
      </c>
      <c r="J2797" s="4">
        <f>(FlipkartTable[[#This Row],[Original Price]]-FlipkartTable[[#This Row],[Selling Price]])/FlipkartTable[[#This Row],[Original Price]]</f>
        <v>0</v>
      </c>
      <c r="K2797">
        <f>(FlipkartTable[[#This Row],[Rating]]/FlipkartTable[[#This Row],[Selling Price]])*1000</f>
        <v>0.28668577905193682</v>
      </c>
      <c r="L2797" t="str">
        <f>IF(FlipkartTable[[#This Row],[Selling Price]]&lt;15000,"Budget",IF(FlipkartTable[[#This Row],[Selling Price]]&lt;50000,"Mid Range","Premium"))</f>
        <v>Budget</v>
      </c>
      <c r="M2797" t="str">
        <f>IF(FlipkartTable[[#This Row],[Rating]]&gt;4.5,"Excellent",IF(FlipkartTable[[#This Row],[Rating]]&gt;4,"Good",IF(FlipkartTable[[#This Row],[Rating]]&gt;3.5,"Average","Poor")))</f>
        <v>Good</v>
      </c>
    </row>
    <row r="2798" spans="1:13" x14ac:dyDescent="0.35">
      <c r="A2798" t="s">
        <v>1406</v>
      </c>
      <c r="B2798" s="9" t="s">
        <v>1470</v>
      </c>
      <c r="C2798" t="s">
        <v>1441</v>
      </c>
      <c r="D2798" t="s">
        <v>11</v>
      </c>
      <c r="E2798" t="s">
        <v>12</v>
      </c>
      <c r="F2798">
        <v>4.0999999999999996</v>
      </c>
      <c r="G2798">
        <v>11999</v>
      </c>
      <c r="H2798">
        <v>11999</v>
      </c>
      <c r="I2798">
        <f>FlipkartTable[[#This Row],[Original Price]]-FlipkartTable[[#This Row],[Selling Price]]</f>
        <v>0</v>
      </c>
      <c r="J2798" s="4">
        <f>(FlipkartTable[[#This Row],[Original Price]]-FlipkartTable[[#This Row],[Selling Price]])/FlipkartTable[[#This Row],[Original Price]]</f>
        <v>0</v>
      </c>
      <c r="K2798">
        <f>(FlipkartTable[[#This Row],[Rating]]/FlipkartTable[[#This Row],[Selling Price]])*1000</f>
        <v>0.34169514126177181</v>
      </c>
      <c r="L2798" t="str">
        <f>IF(FlipkartTable[[#This Row],[Selling Price]]&lt;15000,"Budget",IF(FlipkartTable[[#This Row],[Selling Price]]&lt;50000,"Mid Range","Premium"))</f>
        <v>Budget</v>
      </c>
      <c r="M2798" t="str">
        <f>IF(FlipkartTable[[#This Row],[Rating]]&gt;4.5,"Excellent",IF(FlipkartTable[[#This Row],[Rating]]&gt;4,"Good",IF(FlipkartTable[[#This Row],[Rating]]&gt;3.5,"Average","Poor")))</f>
        <v>Good</v>
      </c>
    </row>
    <row r="2799" spans="1:13" x14ac:dyDescent="0.35">
      <c r="A2799" t="s">
        <v>1406</v>
      </c>
      <c r="B2799" s="9" t="s">
        <v>1485</v>
      </c>
      <c r="C2799" t="s">
        <v>1486</v>
      </c>
      <c r="D2799" t="s">
        <v>14</v>
      </c>
      <c r="E2799" t="s">
        <v>15</v>
      </c>
      <c r="F2799">
        <v>4.3</v>
      </c>
      <c r="G2799">
        <v>19999</v>
      </c>
      <c r="H2799">
        <v>19999</v>
      </c>
      <c r="I2799">
        <f>FlipkartTable[[#This Row],[Original Price]]-FlipkartTable[[#This Row],[Selling Price]]</f>
        <v>0</v>
      </c>
      <c r="J2799" s="4">
        <f>(FlipkartTable[[#This Row],[Original Price]]-FlipkartTable[[#This Row],[Selling Price]])/FlipkartTable[[#This Row],[Original Price]]</f>
        <v>0</v>
      </c>
      <c r="K2799">
        <f>(FlipkartTable[[#This Row],[Rating]]/FlipkartTable[[#This Row],[Selling Price]])*1000</f>
        <v>0.21501075053752686</v>
      </c>
      <c r="L2799" t="str">
        <f>IF(FlipkartTable[[#This Row],[Selling Price]]&lt;15000,"Budget",IF(FlipkartTable[[#This Row],[Selling Price]]&lt;50000,"Mid Range","Premium"))</f>
        <v>Mid Range</v>
      </c>
      <c r="M2799" t="str">
        <f>IF(FlipkartTable[[#This Row],[Rating]]&gt;4.5,"Excellent",IF(FlipkartTable[[#This Row],[Rating]]&gt;4,"Good",IF(FlipkartTable[[#This Row],[Rating]]&gt;3.5,"Average","Poor")))</f>
        <v>Good</v>
      </c>
    </row>
    <row r="2800" spans="1:13" x14ac:dyDescent="0.35">
      <c r="A2800" t="s">
        <v>1406</v>
      </c>
      <c r="B2800" s="9" t="s">
        <v>1467</v>
      </c>
      <c r="C2800" t="s">
        <v>1439</v>
      </c>
      <c r="D2800" t="s">
        <v>20</v>
      </c>
      <c r="E2800" t="s">
        <v>21</v>
      </c>
      <c r="F2800">
        <v>4.2</v>
      </c>
      <c r="G2800">
        <v>8999</v>
      </c>
      <c r="H2800">
        <v>8999</v>
      </c>
      <c r="I2800">
        <f>FlipkartTable[[#This Row],[Original Price]]-FlipkartTable[[#This Row],[Selling Price]]</f>
        <v>0</v>
      </c>
      <c r="J2800" s="4">
        <f>(FlipkartTable[[#This Row],[Original Price]]-FlipkartTable[[#This Row],[Selling Price]])/FlipkartTable[[#This Row],[Original Price]]</f>
        <v>0</v>
      </c>
      <c r="K2800">
        <f>(FlipkartTable[[#This Row],[Rating]]/FlipkartTable[[#This Row],[Selling Price]])*1000</f>
        <v>0.46671852428047561</v>
      </c>
      <c r="L2800" t="str">
        <f>IF(FlipkartTable[[#This Row],[Selling Price]]&lt;15000,"Budget",IF(FlipkartTable[[#This Row],[Selling Price]]&lt;50000,"Mid Range","Premium"))</f>
        <v>Budget</v>
      </c>
      <c r="M2800" t="str">
        <f>IF(FlipkartTable[[#This Row],[Rating]]&gt;4.5,"Excellent",IF(FlipkartTable[[#This Row],[Rating]]&gt;4,"Good",IF(FlipkartTable[[#This Row],[Rating]]&gt;3.5,"Average","Poor")))</f>
        <v>Good</v>
      </c>
    </row>
    <row r="2801" spans="1:13" x14ac:dyDescent="0.35">
      <c r="A2801" t="s">
        <v>1406</v>
      </c>
      <c r="B2801" s="9" t="s">
        <v>1450</v>
      </c>
      <c r="C2801" t="s">
        <v>1483</v>
      </c>
      <c r="D2801" t="s">
        <v>20</v>
      </c>
      <c r="E2801" t="s">
        <v>21</v>
      </c>
      <c r="F2801">
        <v>4.2</v>
      </c>
      <c r="G2801">
        <v>9999</v>
      </c>
      <c r="H2801">
        <v>9999</v>
      </c>
      <c r="I2801">
        <f>FlipkartTable[[#This Row],[Original Price]]-FlipkartTable[[#This Row],[Selling Price]]</f>
        <v>0</v>
      </c>
      <c r="J2801" s="4">
        <f>(FlipkartTable[[#This Row],[Original Price]]-FlipkartTable[[#This Row],[Selling Price]])/FlipkartTable[[#This Row],[Original Price]]</f>
        <v>0</v>
      </c>
      <c r="K2801">
        <f>(FlipkartTable[[#This Row],[Rating]]/FlipkartTable[[#This Row],[Selling Price]])*1000</f>
        <v>0.42004200420042004</v>
      </c>
      <c r="L2801" t="str">
        <f>IF(FlipkartTable[[#This Row],[Selling Price]]&lt;15000,"Budget",IF(FlipkartTable[[#This Row],[Selling Price]]&lt;50000,"Mid Range","Premium"))</f>
        <v>Budget</v>
      </c>
      <c r="M2801" t="str">
        <f>IF(FlipkartTable[[#This Row],[Rating]]&gt;4.5,"Excellent",IF(FlipkartTable[[#This Row],[Rating]]&gt;4,"Good",IF(FlipkartTable[[#This Row],[Rating]]&gt;3.5,"Average","Poor")))</f>
        <v>Good</v>
      </c>
    </row>
    <row r="2802" spans="1:13" x14ac:dyDescent="0.35">
      <c r="A2802" t="s">
        <v>1406</v>
      </c>
      <c r="B2802" s="9" t="s">
        <v>1487</v>
      </c>
      <c r="C2802" t="s">
        <v>68</v>
      </c>
      <c r="D2802" t="s">
        <v>14</v>
      </c>
      <c r="E2802" t="s">
        <v>12</v>
      </c>
      <c r="F2802">
        <v>4.2</v>
      </c>
      <c r="G2802">
        <v>10999</v>
      </c>
      <c r="H2802">
        <v>10999</v>
      </c>
      <c r="I2802">
        <f>FlipkartTable[[#This Row],[Original Price]]-FlipkartTable[[#This Row],[Selling Price]]</f>
        <v>0</v>
      </c>
      <c r="J2802" s="4">
        <f>(FlipkartTable[[#This Row],[Original Price]]-FlipkartTable[[#This Row],[Selling Price]])/FlipkartTable[[#This Row],[Original Price]]</f>
        <v>0</v>
      </c>
      <c r="K2802">
        <f>(FlipkartTable[[#This Row],[Rating]]/FlipkartTable[[#This Row],[Selling Price]])*1000</f>
        <v>0.38185289571779252</v>
      </c>
      <c r="L2802" t="str">
        <f>IF(FlipkartTable[[#This Row],[Selling Price]]&lt;15000,"Budget",IF(FlipkartTable[[#This Row],[Selling Price]]&lt;50000,"Mid Range","Premium"))</f>
        <v>Budget</v>
      </c>
      <c r="M2802" t="str">
        <f>IF(FlipkartTable[[#This Row],[Rating]]&gt;4.5,"Excellent",IF(FlipkartTable[[#This Row],[Rating]]&gt;4,"Good",IF(FlipkartTable[[#This Row],[Rating]]&gt;3.5,"Average","Poor")))</f>
        <v>Good</v>
      </c>
    </row>
    <row r="2803" spans="1:13" x14ac:dyDescent="0.35">
      <c r="A2803" t="s">
        <v>1406</v>
      </c>
      <c r="B2803" s="9" t="s">
        <v>1487</v>
      </c>
      <c r="C2803" t="s">
        <v>340</v>
      </c>
      <c r="D2803" t="s">
        <v>14</v>
      </c>
      <c r="E2803" t="s">
        <v>12</v>
      </c>
      <c r="F2803">
        <v>4.2</v>
      </c>
      <c r="G2803">
        <v>10999</v>
      </c>
      <c r="H2803">
        <v>10999</v>
      </c>
      <c r="I2803">
        <f>FlipkartTable[[#This Row],[Original Price]]-FlipkartTable[[#This Row],[Selling Price]]</f>
        <v>0</v>
      </c>
      <c r="J2803" s="4">
        <f>(FlipkartTable[[#This Row],[Original Price]]-FlipkartTable[[#This Row],[Selling Price]])/FlipkartTable[[#This Row],[Original Price]]</f>
        <v>0</v>
      </c>
      <c r="K2803">
        <f>(FlipkartTable[[#This Row],[Rating]]/FlipkartTable[[#This Row],[Selling Price]])*1000</f>
        <v>0.38185289571779252</v>
      </c>
      <c r="L2803" t="str">
        <f>IF(FlipkartTable[[#This Row],[Selling Price]]&lt;15000,"Budget",IF(FlipkartTable[[#This Row],[Selling Price]]&lt;50000,"Mid Range","Premium"))</f>
        <v>Budget</v>
      </c>
      <c r="M2803" t="str">
        <f>IF(FlipkartTable[[#This Row],[Rating]]&gt;4.5,"Excellent",IF(FlipkartTable[[#This Row],[Rating]]&gt;4,"Good",IF(FlipkartTable[[#This Row],[Rating]]&gt;3.5,"Average","Poor")))</f>
        <v>Good</v>
      </c>
    </row>
    <row r="2804" spans="1:13" x14ac:dyDescent="0.35">
      <c r="A2804" t="s">
        <v>1406</v>
      </c>
      <c r="B2804" s="9" t="s">
        <v>1487</v>
      </c>
      <c r="C2804" t="s">
        <v>1466</v>
      </c>
      <c r="D2804" t="s">
        <v>14</v>
      </c>
      <c r="E2804" t="s">
        <v>12</v>
      </c>
      <c r="F2804">
        <v>4.2</v>
      </c>
      <c r="G2804">
        <v>10999</v>
      </c>
      <c r="H2804">
        <v>10999</v>
      </c>
      <c r="I2804">
        <f>FlipkartTable[[#This Row],[Original Price]]-FlipkartTable[[#This Row],[Selling Price]]</f>
        <v>0</v>
      </c>
      <c r="J2804" s="4">
        <f>(FlipkartTable[[#This Row],[Original Price]]-FlipkartTable[[#This Row],[Selling Price]])/FlipkartTable[[#This Row],[Original Price]]</f>
        <v>0</v>
      </c>
      <c r="K2804">
        <f>(FlipkartTable[[#This Row],[Rating]]/FlipkartTable[[#This Row],[Selling Price]])*1000</f>
        <v>0.38185289571779252</v>
      </c>
      <c r="L2804" t="str">
        <f>IF(FlipkartTable[[#This Row],[Selling Price]]&lt;15000,"Budget",IF(FlipkartTable[[#This Row],[Selling Price]]&lt;50000,"Mid Range","Premium"))</f>
        <v>Budget</v>
      </c>
      <c r="M2804" t="str">
        <f>IF(FlipkartTable[[#This Row],[Rating]]&gt;4.5,"Excellent",IF(FlipkartTable[[#This Row],[Rating]]&gt;4,"Good",IF(FlipkartTable[[#This Row],[Rating]]&gt;3.5,"Average","Poor")))</f>
        <v>Good</v>
      </c>
    </row>
    <row r="2805" spans="1:13" x14ac:dyDescent="0.35">
      <c r="A2805" t="s">
        <v>1406</v>
      </c>
      <c r="B2805" s="9" t="s">
        <v>1479</v>
      </c>
      <c r="C2805" t="s">
        <v>1466</v>
      </c>
      <c r="D2805" t="s">
        <v>11</v>
      </c>
      <c r="E2805" t="s">
        <v>12</v>
      </c>
      <c r="F2805">
        <v>4.2</v>
      </c>
      <c r="G2805">
        <v>9999</v>
      </c>
      <c r="H2805">
        <v>9999</v>
      </c>
      <c r="I2805">
        <f>FlipkartTable[[#This Row],[Original Price]]-FlipkartTable[[#This Row],[Selling Price]]</f>
        <v>0</v>
      </c>
      <c r="J2805" s="4">
        <f>(FlipkartTable[[#This Row],[Original Price]]-FlipkartTable[[#This Row],[Selling Price]])/FlipkartTable[[#This Row],[Original Price]]</f>
        <v>0</v>
      </c>
      <c r="K2805">
        <f>(FlipkartTable[[#This Row],[Rating]]/FlipkartTable[[#This Row],[Selling Price]])*1000</f>
        <v>0.42004200420042004</v>
      </c>
      <c r="L2805" t="str">
        <f>IF(FlipkartTable[[#This Row],[Selling Price]]&lt;15000,"Budget",IF(FlipkartTable[[#This Row],[Selling Price]]&lt;50000,"Mid Range","Premium"))</f>
        <v>Budget</v>
      </c>
      <c r="M2805" t="str">
        <f>IF(FlipkartTable[[#This Row],[Rating]]&gt;4.5,"Excellent",IF(FlipkartTable[[#This Row],[Rating]]&gt;4,"Good",IF(FlipkartTable[[#This Row],[Rating]]&gt;3.5,"Average","Poor")))</f>
        <v>Good</v>
      </c>
    </row>
    <row r="2806" spans="1:13" x14ac:dyDescent="0.35">
      <c r="A2806" t="s">
        <v>1406</v>
      </c>
      <c r="B2806" s="9" t="s">
        <v>1481</v>
      </c>
      <c r="C2806" t="s">
        <v>1441</v>
      </c>
      <c r="D2806" t="s">
        <v>14</v>
      </c>
      <c r="E2806" t="s">
        <v>12</v>
      </c>
      <c r="F2806">
        <v>4.3</v>
      </c>
      <c r="G2806">
        <v>17999</v>
      </c>
      <c r="H2806">
        <v>17999</v>
      </c>
      <c r="I2806">
        <f>FlipkartTable[[#This Row],[Original Price]]-FlipkartTable[[#This Row],[Selling Price]]</f>
        <v>0</v>
      </c>
      <c r="J2806" s="4">
        <f>(FlipkartTable[[#This Row],[Original Price]]-FlipkartTable[[#This Row],[Selling Price]])/FlipkartTable[[#This Row],[Original Price]]</f>
        <v>0</v>
      </c>
      <c r="K2806">
        <f>(FlipkartTable[[#This Row],[Rating]]/FlipkartTable[[#This Row],[Selling Price]])*1000</f>
        <v>0.23890216123117949</v>
      </c>
      <c r="L2806" t="str">
        <f>IF(FlipkartTable[[#This Row],[Selling Price]]&lt;15000,"Budget",IF(FlipkartTable[[#This Row],[Selling Price]]&lt;50000,"Mid Range","Premium"))</f>
        <v>Mid Range</v>
      </c>
      <c r="M2806" t="str">
        <f>IF(FlipkartTable[[#This Row],[Rating]]&gt;4.5,"Excellent",IF(FlipkartTable[[#This Row],[Rating]]&gt;4,"Good",IF(FlipkartTable[[#This Row],[Rating]]&gt;3.5,"Average","Poor")))</f>
        <v>Good</v>
      </c>
    </row>
    <row r="2807" spans="1:13" x14ac:dyDescent="0.35">
      <c r="A2807" t="s">
        <v>1406</v>
      </c>
      <c r="B2807" s="9" t="s">
        <v>1481</v>
      </c>
      <c r="C2807" t="s">
        <v>536</v>
      </c>
      <c r="D2807" t="s">
        <v>14</v>
      </c>
      <c r="E2807" t="s">
        <v>12</v>
      </c>
      <c r="F2807">
        <v>4.3</v>
      </c>
      <c r="G2807">
        <v>17999</v>
      </c>
      <c r="H2807">
        <v>17999</v>
      </c>
      <c r="I2807">
        <f>FlipkartTable[[#This Row],[Original Price]]-FlipkartTable[[#This Row],[Selling Price]]</f>
        <v>0</v>
      </c>
      <c r="J2807" s="4">
        <f>(FlipkartTable[[#This Row],[Original Price]]-FlipkartTable[[#This Row],[Selling Price]])/FlipkartTable[[#This Row],[Original Price]]</f>
        <v>0</v>
      </c>
      <c r="K2807">
        <f>(FlipkartTable[[#This Row],[Rating]]/FlipkartTable[[#This Row],[Selling Price]])*1000</f>
        <v>0.23890216123117949</v>
      </c>
      <c r="L2807" t="str">
        <f>IF(FlipkartTable[[#This Row],[Selling Price]]&lt;15000,"Budget",IF(FlipkartTable[[#This Row],[Selling Price]]&lt;50000,"Mid Range","Premium"))</f>
        <v>Mid Range</v>
      </c>
      <c r="M2807" t="str">
        <f>IF(FlipkartTable[[#This Row],[Rating]]&gt;4.5,"Excellent",IF(FlipkartTable[[#This Row],[Rating]]&gt;4,"Good",IF(FlipkartTable[[#This Row],[Rating]]&gt;3.5,"Average","Poor")))</f>
        <v>Good</v>
      </c>
    </row>
    <row r="2808" spans="1:13" x14ac:dyDescent="0.35">
      <c r="A2808" t="s">
        <v>1406</v>
      </c>
      <c r="B2808" s="9" t="s">
        <v>1450</v>
      </c>
      <c r="C2808" t="s">
        <v>649</v>
      </c>
      <c r="D2808" t="s">
        <v>11</v>
      </c>
      <c r="E2808" t="s">
        <v>12</v>
      </c>
      <c r="F2808">
        <v>4.3</v>
      </c>
      <c r="G2808">
        <v>10999</v>
      </c>
      <c r="H2808">
        <v>10999</v>
      </c>
      <c r="I2808">
        <f>FlipkartTable[[#This Row],[Original Price]]-FlipkartTable[[#This Row],[Selling Price]]</f>
        <v>0</v>
      </c>
      <c r="J2808" s="4">
        <f>(FlipkartTable[[#This Row],[Original Price]]-FlipkartTable[[#This Row],[Selling Price]])/FlipkartTable[[#This Row],[Original Price]]</f>
        <v>0</v>
      </c>
      <c r="K2808">
        <f>(FlipkartTable[[#This Row],[Rating]]/FlipkartTable[[#This Row],[Selling Price]])*1000</f>
        <v>0.39094463133012086</v>
      </c>
      <c r="L2808" t="str">
        <f>IF(FlipkartTable[[#This Row],[Selling Price]]&lt;15000,"Budget",IF(FlipkartTable[[#This Row],[Selling Price]]&lt;50000,"Mid Range","Premium"))</f>
        <v>Budget</v>
      </c>
      <c r="M2808" t="str">
        <f>IF(FlipkartTable[[#This Row],[Rating]]&gt;4.5,"Excellent",IF(FlipkartTable[[#This Row],[Rating]]&gt;4,"Good",IF(FlipkartTable[[#This Row],[Rating]]&gt;3.5,"Average","Poor")))</f>
        <v>Good</v>
      </c>
    </row>
    <row r="2809" spans="1:13" x14ac:dyDescent="0.35">
      <c r="A2809" t="s">
        <v>8</v>
      </c>
      <c r="B2809" s="9" t="s">
        <v>1488</v>
      </c>
      <c r="C2809" t="s">
        <v>1489</v>
      </c>
      <c r="D2809" t="s">
        <v>63</v>
      </c>
      <c r="E2809" t="s">
        <v>64</v>
      </c>
      <c r="F2809">
        <v>4.2</v>
      </c>
      <c r="G2809">
        <v>39999</v>
      </c>
      <c r="H2809">
        <v>47990</v>
      </c>
      <c r="I2809">
        <f>FlipkartTable[[#This Row],[Original Price]]-FlipkartTable[[#This Row],[Selling Price]]</f>
        <v>7991</v>
      </c>
      <c r="J2809" s="4">
        <f>(FlipkartTable[[#This Row],[Original Price]]-FlipkartTable[[#This Row],[Selling Price]])/FlipkartTable[[#This Row],[Original Price]]</f>
        <v>0.16651385705355282</v>
      </c>
      <c r="K2809">
        <f>(FlipkartTable[[#This Row],[Rating]]/FlipkartTable[[#This Row],[Selling Price]])*1000</f>
        <v>0.10500262506562665</v>
      </c>
      <c r="L2809" t="str">
        <f>IF(FlipkartTable[[#This Row],[Selling Price]]&lt;15000,"Budget",IF(FlipkartTable[[#This Row],[Selling Price]]&lt;50000,"Mid Range","Premium"))</f>
        <v>Mid Range</v>
      </c>
      <c r="M2809" t="str">
        <f>IF(FlipkartTable[[#This Row],[Rating]]&gt;4.5,"Excellent",IF(FlipkartTable[[#This Row],[Rating]]&gt;4,"Good",IF(FlipkartTable[[#This Row],[Rating]]&gt;3.5,"Average","Poor")))</f>
        <v>Good</v>
      </c>
    </row>
    <row r="2810" spans="1:13" x14ac:dyDescent="0.35">
      <c r="A2810" t="s">
        <v>1181</v>
      </c>
      <c r="B2810" s="9" t="s">
        <v>1394</v>
      </c>
      <c r="C2810" t="s">
        <v>1396</v>
      </c>
      <c r="D2810" t="s">
        <v>27</v>
      </c>
      <c r="E2810" t="s">
        <v>15</v>
      </c>
      <c r="F2810">
        <v>4.3</v>
      </c>
      <c r="G2810">
        <v>28999</v>
      </c>
      <c r="H2810">
        <v>33999</v>
      </c>
      <c r="I2810">
        <f>FlipkartTable[[#This Row],[Original Price]]-FlipkartTable[[#This Row],[Selling Price]]</f>
        <v>5000</v>
      </c>
      <c r="J2810" s="4">
        <f>(FlipkartTable[[#This Row],[Original Price]]-FlipkartTable[[#This Row],[Selling Price]])/FlipkartTable[[#This Row],[Original Price]]</f>
        <v>0.14706314891614458</v>
      </c>
      <c r="K2810">
        <f>(FlipkartTable[[#This Row],[Rating]]/FlipkartTable[[#This Row],[Selling Price]])*1000</f>
        <v>0.14828097520604158</v>
      </c>
      <c r="L2810" t="str">
        <f>IF(FlipkartTable[[#This Row],[Selling Price]]&lt;15000,"Budget",IF(FlipkartTable[[#This Row],[Selling Price]]&lt;50000,"Mid Range","Premium"))</f>
        <v>Mid Range</v>
      </c>
      <c r="M2810" t="str">
        <f>IF(FlipkartTable[[#This Row],[Rating]]&gt;4.5,"Excellent",IF(FlipkartTable[[#This Row],[Rating]]&gt;4,"Good",IF(FlipkartTable[[#This Row],[Rating]]&gt;3.5,"Average","Poor")))</f>
        <v>Good</v>
      </c>
    </row>
    <row r="2811" spans="1:13" x14ac:dyDescent="0.35">
      <c r="A2811" t="s">
        <v>1122</v>
      </c>
      <c r="B2811" s="9" t="s">
        <v>1490</v>
      </c>
      <c r="C2811" t="s">
        <v>477</v>
      </c>
      <c r="D2811" t="s">
        <v>20</v>
      </c>
      <c r="E2811" t="s">
        <v>21</v>
      </c>
      <c r="F2811">
        <v>4.4000000000000004</v>
      </c>
      <c r="G2811">
        <v>7999</v>
      </c>
      <c r="H2811">
        <v>10999</v>
      </c>
      <c r="I2811">
        <f>FlipkartTable[[#This Row],[Original Price]]-FlipkartTable[[#This Row],[Selling Price]]</f>
        <v>3000</v>
      </c>
      <c r="J2811" s="4">
        <f>(FlipkartTable[[#This Row],[Original Price]]-FlipkartTable[[#This Row],[Selling Price]])/FlipkartTable[[#This Row],[Original Price]]</f>
        <v>0.27275206836985183</v>
      </c>
      <c r="K2811">
        <f>(FlipkartTable[[#This Row],[Rating]]/FlipkartTable[[#This Row],[Selling Price]])*1000</f>
        <v>0.55006875859482429</v>
      </c>
      <c r="L2811" t="str">
        <f>IF(FlipkartTable[[#This Row],[Selling Price]]&lt;15000,"Budget",IF(FlipkartTable[[#This Row],[Selling Price]]&lt;50000,"Mid Range","Premium"))</f>
        <v>Budget</v>
      </c>
      <c r="M2811" t="str">
        <f>IF(FlipkartTable[[#This Row],[Rating]]&gt;4.5,"Excellent",IF(FlipkartTable[[#This Row],[Rating]]&gt;4,"Good",IF(FlipkartTable[[#This Row],[Rating]]&gt;3.5,"Average","Poor")))</f>
        <v>Good</v>
      </c>
    </row>
    <row r="2812" spans="1:13" x14ac:dyDescent="0.35">
      <c r="A2812" t="s">
        <v>1122</v>
      </c>
      <c r="B2812" s="9" t="s">
        <v>1490</v>
      </c>
      <c r="C2812" t="s">
        <v>1491</v>
      </c>
      <c r="D2812" t="s">
        <v>20</v>
      </c>
      <c r="E2812" t="s">
        <v>21</v>
      </c>
      <c r="F2812">
        <v>4.4000000000000004</v>
      </c>
      <c r="G2812">
        <v>7999</v>
      </c>
      <c r="H2812">
        <v>10999</v>
      </c>
      <c r="I2812">
        <f>FlipkartTable[[#This Row],[Original Price]]-FlipkartTable[[#This Row],[Selling Price]]</f>
        <v>3000</v>
      </c>
      <c r="J2812" s="4">
        <f>(FlipkartTable[[#This Row],[Original Price]]-FlipkartTable[[#This Row],[Selling Price]])/FlipkartTable[[#This Row],[Original Price]]</f>
        <v>0.27275206836985183</v>
      </c>
      <c r="K2812">
        <f>(FlipkartTable[[#This Row],[Rating]]/FlipkartTable[[#This Row],[Selling Price]])*1000</f>
        <v>0.55006875859482429</v>
      </c>
      <c r="L2812" t="str">
        <f>IF(FlipkartTable[[#This Row],[Selling Price]]&lt;15000,"Budget",IF(FlipkartTable[[#This Row],[Selling Price]]&lt;50000,"Mid Range","Premium"))</f>
        <v>Budget</v>
      </c>
      <c r="M2812" t="str">
        <f>IF(FlipkartTable[[#This Row],[Rating]]&gt;4.5,"Excellent",IF(FlipkartTable[[#This Row],[Rating]]&gt;4,"Good",IF(FlipkartTable[[#This Row],[Rating]]&gt;3.5,"Average","Poor")))</f>
        <v>Good</v>
      </c>
    </row>
    <row r="2813" spans="1:13" x14ac:dyDescent="0.35">
      <c r="A2813" t="s">
        <v>1122</v>
      </c>
      <c r="B2813" s="9" t="s">
        <v>1490</v>
      </c>
      <c r="C2813" t="s">
        <v>477</v>
      </c>
      <c r="D2813" t="s">
        <v>11</v>
      </c>
      <c r="E2813" t="s">
        <v>12</v>
      </c>
      <c r="F2813">
        <v>4.4000000000000004</v>
      </c>
      <c r="G2813">
        <v>8999</v>
      </c>
      <c r="H2813">
        <v>11999</v>
      </c>
      <c r="I2813">
        <f>FlipkartTable[[#This Row],[Original Price]]-FlipkartTable[[#This Row],[Selling Price]]</f>
        <v>3000</v>
      </c>
      <c r="J2813" s="4">
        <f>(FlipkartTable[[#This Row],[Original Price]]-FlipkartTable[[#This Row],[Selling Price]])/FlipkartTable[[#This Row],[Original Price]]</f>
        <v>0.25002083506958911</v>
      </c>
      <c r="K2813">
        <f>(FlipkartTable[[#This Row],[Rating]]/FlipkartTable[[#This Row],[Selling Price]])*1000</f>
        <v>0.48894321591287931</v>
      </c>
      <c r="L2813" t="str">
        <f>IF(FlipkartTable[[#This Row],[Selling Price]]&lt;15000,"Budget",IF(FlipkartTable[[#This Row],[Selling Price]]&lt;50000,"Mid Range","Premium"))</f>
        <v>Budget</v>
      </c>
      <c r="M2813" t="str">
        <f>IF(FlipkartTable[[#This Row],[Rating]]&gt;4.5,"Excellent",IF(FlipkartTable[[#This Row],[Rating]]&gt;4,"Good",IF(FlipkartTable[[#This Row],[Rating]]&gt;3.5,"Average","Poor")))</f>
        <v>Good</v>
      </c>
    </row>
    <row r="2814" spans="1:13" x14ac:dyDescent="0.35">
      <c r="A2814" t="s">
        <v>1122</v>
      </c>
      <c r="B2814" s="9" t="s">
        <v>1490</v>
      </c>
      <c r="C2814" t="s">
        <v>1491</v>
      </c>
      <c r="D2814" t="s">
        <v>11</v>
      </c>
      <c r="E2814" t="s">
        <v>12</v>
      </c>
      <c r="F2814">
        <v>4.4000000000000004</v>
      </c>
      <c r="G2814">
        <v>8999</v>
      </c>
      <c r="H2814">
        <v>11999</v>
      </c>
      <c r="I2814">
        <f>FlipkartTable[[#This Row],[Original Price]]-FlipkartTable[[#This Row],[Selling Price]]</f>
        <v>3000</v>
      </c>
      <c r="J2814" s="4">
        <f>(FlipkartTable[[#This Row],[Original Price]]-FlipkartTable[[#This Row],[Selling Price]])/FlipkartTable[[#This Row],[Original Price]]</f>
        <v>0.25002083506958911</v>
      </c>
      <c r="K2814">
        <f>(FlipkartTable[[#This Row],[Rating]]/FlipkartTable[[#This Row],[Selling Price]])*1000</f>
        <v>0.48894321591287931</v>
      </c>
      <c r="L2814" t="str">
        <f>IF(FlipkartTable[[#This Row],[Selling Price]]&lt;15000,"Budget",IF(FlipkartTable[[#This Row],[Selling Price]]&lt;50000,"Mid Range","Premium"))</f>
        <v>Budget</v>
      </c>
      <c r="M2814" t="str">
        <f>IF(FlipkartTable[[#This Row],[Rating]]&gt;4.5,"Excellent",IF(FlipkartTable[[#This Row],[Rating]]&gt;4,"Good",IF(FlipkartTable[[#This Row],[Rating]]&gt;3.5,"Average","Poor")))</f>
        <v>Good</v>
      </c>
    </row>
    <row r="2815" spans="1:13" x14ac:dyDescent="0.35">
      <c r="A2815" t="s">
        <v>1131</v>
      </c>
      <c r="B2815" s="9" t="s">
        <v>1343</v>
      </c>
      <c r="C2815" t="s">
        <v>1141</v>
      </c>
      <c r="D2815" t="s">
        <v>11</v>
      </c>
      <c r="E2815" t="s">
        <v>12</v>
      </c>
      <c r="F2815">
        <v>4.0999999999999996</v>
      </c>
      <c r="G2815">
        <v>14449</v>
      </c>
      <c r="H2815">
        <v>14449</v>
      </c>
      <c r="I2815">
        <f>FlipkartTable[[#This Row],[Original Price]]-FlipkartTable[[#This Row],[Selling Price]]</f>
        <v>0</v>
      </c>
      <c r="J2815" s="4">
        <f>(FlipkartTable[[#This Row],[Original Price]]-FlipkartTable[[#This Row],[Selling Price]])/FlipkartTable[[#This Row],[Original Price]]</f>
        <v>0</v>
      </c>
      <c r="K2815">
        <f>(FlipkartTable[[#This Row],[Rating]]/FlipkartTable[[#This Row],[Selling Price]])*1000</f>
        <v>0.28375666136064776</v>
      </c>
      <c r="L2815" t="str">
        <f>IF(FlipkartTable[[#This Row],[Selling Price]]&lt;15000,"Budget",IF(FlipkartTable[[#This Row],[Selling Price]]&lt;50000,"Mid Range","Premium"))</f>
        <v>Budget</v>
      </c>
      <c r="M2815" t="str">
        <f>IF(FlipkartTable[[#This Row],[Rating]]&gt;4.5,"Excellent",IF(FlipkartTable[[#This Row],[Rating]]&gt;4,"Good",IF(FlipkartTable[[#This Row],[Rating]]&gt;3.5,"Average","Poor")))</f>
        <v>Good</v>
      </c>
    </row>
    <row r="2816" spans="1:13" x14ac:dyDescent="0.35">
      <c r="A2816" t="s">
        <v>8</v>
      </c>
      <c r="B2816" s="9" t="s">
        <v>1493</v>
      </c>
      <c r="C2816" t="s">
        <v>22</v>
      </c>
      <c r="D2816" t="s">
        <v>20</v>
      </c>
      <c r="E2816" t="s">
        <v>21</v>
      </c>
      <c r="F2816">
        <v>4.0999999999999996</v>
      </c>
      <c r="G2816">
        <v>10490</v>
      </c>
      <c r="H2816">
        <v>10490</v>
      </c>
      <c r="I2816">
        <f>FlipkartTable[[#This Row],[Original Price]]-FlipkartTable[[#This Row],[Selling Price]]</f>
        <v>0</v>
      </c>
      <c r="J2816" s="4">
        <f>(FlipkartTable[[#This Row],[Original Price]]-FlipkartTable[[#This Row],[Selling Price]])/FlipkartTable[[#This Row],[Original Price]]</f>
        <v>0</v>
      </c>
      <c r="K2816">
        <f>(FlipkartTable[[#This Row],[Rating]]/FlipkartTable[[#This Row],[Selling Price]])*1000</f>
        <v>0.39084842707340317</v>
      </c>
      <c r="L2816" t="str">
        <f>IF(FlipkartTable[[#This Row],[Selling Price]]&lt;15000,"Budget",IF(FlipkartTable[[#This Row],[Selling Price]]&lt;50000,"Mid Range","Premium"))</f>
        <v>Budget</v>
      </c>
      <c r="M2816" t="str">
        <f>IF(FlipkartTable[[#This Row],[Rating]]&gt;4.5,"Excellent",IF(FlipkartTable[[#This Row],[Rating]]&gt;4,"Good",IF(FlipkartTable[[#This Row],[Rating]]&gt;3.5,"Average","Poor")))</f>
        <v>Good</v>
      </c>
    </row>
    <row r="2817" spans="1:13" x14ac:dyDescent="0.35">
      <c r="A2817" t="s">
        <v>8</v>
      </c>
      <c r="B2817" s="9" t="s">
        <v>1493</v>
      </c>
      <c r="C2817" t="s">
        <v>152</v>
      </c>
      <c r="D2817" t="s">
        <v>20</v>
      </c>
      <c r="E2817" t="s">
        <v>21</v>
      </c>
      <c r="F2817">
        <v>4.0999999999999996</v>
      </c>
      <c r="G2817">
        <v>10490</v>
      </c>
      <c r="H2817">
        <v>10490</v>
      </c>
      <c r="I2817">
        <f>FlipkartTable[[#This Row],[Original Price]]-FlipkartTable[[#This Row],[Selling Price]]</f>
        <v>0</v>
      </c>
      <c r="J2817" s="4">
        <f>(FlipkartTable[[#This Row],[Original Price]]-FlipkartTable[[#This Row],[Selling Price]])/FlipkartTable[[#This Row],[Original Price]]</f>
        <v>0</v>
      </c>
      <c r="K2817">
        <f>(FlipkartTable[[#This Row],[Rating]]/FlipkartTable[[#This Row],[Selling Price]])*1000</f>
        <v>0.39084842707340317</v>
      </c>
      <c r="L2817" t="str">
        <f>IF(FlipkartTable[[#This Row],[Selling Price]]&lt;15000,"Budget",IF(FlipkartTable[[#This Row],[Selling Price]]&lt;50000,"Mid Range","Premium"))</f>
        <v>Budget</v>
      </c>
      <c r="M2817" t="str">
        <f>IF(FlipkartTable[[#This Row],[Rating]]&gt;4.5,"Excellent",IF(FlipkartTable[[#This Row],[Rating]]&gt;4,"Good",IF(FlipkartTable[[#This Row],[Rating]]&gt;3.5,"Average","Poor")))</f>
        <v>Good</v>
      </c>
    </row>
    <row r="2818" spans="1:13" x14ac:dyDescent="0.35">
      <c r="A2818" t="s">
        <v>8</v>
      </c>
      <c r="B2818" s="9" t="s">
        <v>1493</v>
      </c>
      <c r="C2818" t="s">
        <v>19</v>
      </c>
      <c r="D2818" t="s">
        <v>20</v>
      </c>
      <c r="E2818" t="s">
        <v>21</v>
      </c>
      <c r="F2818">
        <v>4.0999999999999996</v>
      </c>
      <c r="G2818">
        <v>10490</v>
      </c>
      <c r="H2818">
        <v>10490</v>
      </c>
      <c r="I2818">
        <f>FlipkartTable[[#This Row],[Original Price]]-FlipkartTable[[#This Row],[Selling Price]]</f>
        <v>0</v>
      </c>
      <c r="J2818" s="4">
        <f>(FlipkartTable[[#This Row],[Original Price]]-FlipkartTable[[#This Row],[Selling Price]])/FlipkartTable[[#This Row],[Original Price]]</f>
        <v>0</v>
      </c>
      <c r="K2818">
        <f>(FlipkartTable[[#This Row],[Rating]]/FlipkartTable[[#This Row],[Selling Price]])*1000</f>
        <v>0.39084842707340317</v>
      </c>
      <c r="L2818" t="str">
        <f>IF(FlipkartTable[[#This Row],[Selling Price]]&lt;15000,"Budget",IF(FlipkartTable[[#This Row],[Selling Price]]&lt;50000,"Mid Range","Premium"))</f>
        <v>Budget</v>
      </c>
      <c r="M2818" t="str">
        <f>IF(FlipkartTable[[#This Row],[Rating]]&gt;4.5,"Excellent",IF(FlipkartTable[[#This Row],[Rating]]&gt;4,"Good",IF(FlipkartTable[[#This Row],[Rating]]&gt;3.5,"Average","Poor")))</f>
        <v>Good</v>
      </c>
    </row>
    <row r="2819" spans="1:13" x14ac:dyDescent="0.35">
      <c r="A2819" t="s">
        <v>8</v>
      </c>
      <c r="B2819" s="9" t="s">
        <v>51</v>
      </c>
      <c r="C2819" t="s">
        <v>1494</v>
      </c>
      <c r="D2819" t="s">
        <v>11</v>
      </c>
      <c r="E2819" t="s">
        <v>12</v>
      </c>
      <c r="F2819">
        <v>4.3</v>
      </c>
      <c r="G2819">
        <v>13490</v>
      </c>
      <c r="H2819">
        <v>13490</v>
      </c>
      <c r="I2819">
        <f>FlipkartTable[[#This Row],[Original Price]]-FlipkartTable[[#This Row],[Selling Price]]</f>
        <v>0</v>
      </c>
      <c r="J2819" s="4">
        <f>(FlipkartTable[[#This Row],[Original Price]]-FlipkartTable[[#This Row],[Selling Price]])/FlipkartTable[[#This Row],[Original Price]]</f>
        <v>0</v>
      </c>
      <c r="K2819">
        <f>(FlipkartTable[[#This Row],[Rating]]/FlipkartTable[[#This Row],[Selling Price]])*1000</f>
        <v>0.31875463306152707</v>
      </c>
      <c r="L2819" t="str">
        <f>IF(FlipkartTable[[#This Row],[Selling Price]]&lt;15000,"Budget",IF(FlipkartTable[[#This Row],[Selling Price]]&lt;50000,"Mid Range","Premium"))</f>
        <v>Budget</v>
      </c>
      <c r="M2819" t="str">
        <f>IF(FlipkartTable[[#This Row],[Rating]]&gt;4.5,"Excellent",IF(FlipkartTable[[#This Row],[Rating]]&gt;4,"Good",IF(FlipkartTable[[#This Row],[Rating]]&gt;3.5,"Average","Poor")))</f>
        <v>Good</v>
      </c>
    </row>
    <row r="2820" spans="1:13" x14ac:dyDescent="0.35">
      <c r="A2820" t="s">
        <v>8</v>
      </c>
      <c r="B2820" s="9" t="s">
        <v>1309</v>
      </c>
      <c r="C2820" t="s">
        <v>410</v>
      </c>
      <c r="D2820" t="s">
        <v>14</v>
      </c>
      <c r="E2820" t="s">
        <v>15</v>
      </c>
      <c r="F2820">
        <v>4.0999999999999996</v>
      </c>
      <c r="G2820">
        <v>17790</v>
      </c>
      <c r="H2820">
        <v>17790</v>
      </c>
      <c r="I2820">
        <f>FlipkartTable[[#This Row],[Original Price]]-FlipkartTable[[#This Row],[Selling Price]]</f>
        <v>0</v>
      </c>
      <c r="J2820" s="4">
        <f>(FlipkartTable[[#This Row],[Original Price]]-FlipkartTable[[#This Row],[Selling Price]])/FlipkartTable[[#This Row],[Original Price]]</f>
        <v>0</v>
      </c>
      <c r="K2820">
        <f>(FlipkartTable[[#This Row],[Rating]]/FlipkartTable[[#This Row],[Selling Price]])*1000</f>
        <v>0.23046655424395726</v>
      </c>
      <c r="L2820" t="str">
        <f>IF(FlipkartTable[[#This Row],[Selling Price]]&lt;15000,"Budget",IF(FlipkartTable[[#This Row],[Selling Price]]&lt;50000,"Mid Range","Premium"))</f>
        <v>Mid Range</v>
      </c>
      <c r="M2820" t="str">
        <f>IF(FlipkartTable[[#This Row],[Rating]]&gt;4.5,"Excellent",IF(FlipkartTable[[#This Row],[Rating]]&gt;4,"Good",IF(FlipkartTable[[#This Row],[Rating]]&gt;3.5,"Average","Poor")))</f>
        <v>Good</v>
      </c>
    </row>
    <row r="2821" spans="1:13" x14ac:dyDescent="0.35">
      <c r="A2821" t="s">
        <v>633</v>
      </c>
      <c r="B2821" s="9" t="s">
        <v>641</v>
      </c>
      <c r="C2821" t="s">
        <v>139</v>
      </c>
      <c r="D2821" t="s">
        <v>637</v>
      </c>
      <c r="E2821" t="s">
        <v>338</v>
      </c>
      <c r="F2821">
        <v>4.7</v>
      </c>
      <c r="G2821">
        <v>104900</v>
      </c>
      <c r="H2821">
        <v>109900</v>
      </c>
      <c r="I2821">
        <f>FlipkartTable[[#This Row],[Original Price]]-FlipkartTable[[#This Row],[Selling Price]]</f>
        <v>5000</v>
      </c>
      <c r="J2821" s="4">
        <f>(FlipkartTable[[#This Row],[Original Price]]-FlipkartTable[[#This Row],[Selling Price]])/FlipkartTable[[#This Row],[Original Price]]</f>
        <v>4.5495905368516831E-2</v>
      </c>
      <c r="K2821">
        <f>(FlipkartTable[[#This Row],[Rating]]/FlipkartTable[[#This Row],[Selling Price]])*1000</f>
        <v>4.4804575786463303E-2</v>
      </c>
      <c r="L2821" t="str">
        <f>IF(FlipkartTable[[#This Row],[Selling Price]]&lt;15000,"Budget",IF(FlipkartTable[[#This Row],[Selling Price]]&lt;50000,"Mid Range","Premium"))</f>
        <v>Premium</v>
      </c>
      <c r="M2821" t="str">
        <f>IF(FlipkartTable[[#This Row],[Rating]]&gt;4.5,"Excellent",IF(FlipkartTable[[#This Row],[Rating]]&gt;4,"Good",IF(FlipkartTable[[#This Row],[Rating]]&gt;3.5,"Average","Poor")))</f>
        <v>Excellent</v>
      </c>
    </row>
    <row r="2822" spans="1:13" x14ac:dyDescent="0.35">
      <c r="A2822" t="s">
        <v>633</v>
      </c>
      <c r="B2822" s="9" t="s">
        <v>1495</v>
      </c>
      <c r="C2822" t="s">
        <v>1496</v>
      </c>
      <c r="D2822" t="s">
        <v>637</v>
      </c>
      <c r="E2822" t="s">
        <v>64</v>
      </c>
      <c r="F2822">
        <v>4.7</v>
      </c>
      <c r="G2822">
        <v>139900</v>
      </c>
      <c r="H2822">
        <v>139900</v>
      </c>
      <c r="I2822">
        <f>FlipkartTable[[#This Row],[Original Price]]-FlipkartTable[[#This Row],[Selling Price]]</f>
        <v>0</v>
      </c>
      <c r="J2822" s="4">
        <f>(FlipkartTable[[#This Row],[Original Price]]-FlipkartTable[[#This Row],[Selling Price]])/FlipkartTable[[#This Row],[Original Price]]</f>
        <v>0</v>
      </c>
      <c r="K2822">
        <f>(FlipkartTable[[#This Row],[Rating]]/FlipkartTable[[#This Row],[Selling Price]])*1000</f>
        <v>3.3595425303788423E-2</v>
      </c>
      <c r="L2822" t="str">
        <f>IF(FlipkartTable[[#This Row],[Selling Price]]&lt;15000,"Budget",IF(FlipkartTable[[#This Row],[Selling Price]]&lt;50000,"Mid Range","Premium"))</f>
        <v>Premium</v>
      </c>
      <c r="M2822" t="str">
        <f>IF(FlipkartTable[[#This Row],[Rating]]&gt;4.5,"Excellent",IF(FlipkartTable[[#This Row],[Rating]]&gt;4,"Good",IF(FlipkartTable[[#This Row],[Rating]]&gt;3.5,"Average","Poor")))</f>
        <v>Excellent</v>
      </c>
    </row>
    <row r="2823" spans="1:13" x14ac:dyDescent="0.35">
      <c r="A2823" t="s">
        <v>633</v>
      </c>
      <c r="B2823" s="9" t="s">
        <v>1495</v>
      </c>
      <c r="C2823" t="s">
        <v>1496</v>
      </c>
      <c r="D2823" t="s">
        <v>637</v>
      </c>
      <c r="E2823" t="s">
        <v>653</v>
      </c>
      <c r="F2823">
        <v>4.7</v>
      </c>
      <c r="G2823">
        <v>169900</v>
      </c>
      <c r="H2823">
        <v>169900</v>
      </c>
      <c r="I2823">
        <f>FlipkartTable[[#This Row],[Original Price]]-FlipkartTable[[#This Row],[Selling Price]]</f>
        <v>0</v>
      </c>
      <c r="J2823" s="4">
        <f>(FlipkartTable[[#This Row],[Original Price]]-FlipkartTable[[#This Row],[Selling Price]])/FlipkartTable[[#This Row],[Original Price]]</f>
        <v>0</v>
      </c>
      <c r="K2823">
        <f>(FlipkartTable[[#This Row],[Rating]]/FlipkartTable[[#This Row],[Selling Price]])*1000</f>
        <v>2.7663331371394938E-2</v>
      </c>
      <c r="L2823" t="str">
        <f>IF(FlipkartTable[[#This Row],[Selling Price]]&lt;15000,"Budget",IF(FlipkartTable[[#This Row],[Selling Price]]&lt;50000,"Mid Range","Premium"))</f>
        <v>Premium</v>
      </c>
      <c r="M2823" t="str">
        <f>IF(FlipkartTable[[#This Row],[Rating]]&gt;4.5,"Excellent",IF(FlipkartTable[[#This Row],[Rating]]&gt;4,"Good",IF(FlipkartTable[[#This Row],[Rating]]&gt;3.5,"Average","Poor")))</f>
        <v>Excellent</v>
      </c>
    </row>
    <row r="2824" spans="1:13" x14ac:dyDescent="0.35">
      <c r="A2824" t="s">
        <v>633</v>
      </c>
      <c r="B2824" s="9" t="s">
        <v>1495</v>
      </c>
      <c r="C2824" t="s">
        <v>1496</v>
      </c>
      <c r="D2824" t="s">
        <v>637</v>
      </c>
      <c r="E2824" t="s">
        <v>338</v>
      </c>
      <c r="F2824">
        <v>4.7</v>
      </c>
      <c r="G2824">
        <v>159900</v>
      </c>
      <c r="H2824">
        <v>159900</v>
      </c>
      <c r="I2824">
        <f>FlipkartTable[[#This Row],[Original Price]]-FlipkartTable[[#This Row],[Selling Price]]</f>
        <v>0</v>
      </c>
      <c r="J2824" s="4">
        <f>(FlipkartTable[[#This Row],[Original Price]]-FlipkartTable[[#This Row],[Selling Price]])/FlipkartTable[[#This Row],[Original Price]]</f>
        <v>0</v>
      </c>
      <c r="K2824">
        <f>(FlipkartTable[[#This Row],[Rating]]/FlipkartTable[[#This Row],[Selling Price]])*1000</f>
        <v>2.9393370856785492E-2</v>
      </c>
      <c r="L2824" t="str">
        <f>IF(FlipkartTable[[#This Row],[Selling Price]]&lt;15000,"Budget",IF(FlipkartTable[[#This Row],[Selling Price]]&lt;50000,"Mid Range","Premium"))</f>
        <v>Premium</v>
      </c>
      <c r="M2824" t="str">
        <f>IF(FlipkartTable[[#This Row],[Rating]]&gt;4.5,"Excellent",IF(FlipkartTable[[#This Row],[Rating]]&gt;4,"Good",IF(FlipkartTable[[#This Row],[Rating]]&gt;3.5,"Average","Poor")))</f>
        <v>Excellent</v>
      </c>
    </row>
    <row r="2825" spans="1:13" x14ac:dyDescent="0.35">
      <c r="A2825" t="s">
        <v>633</v>
      </c>
      <c r="B2825" s="9" t="s">
        <v>1497</v>
      </c>
      <c r="C2825" t="s">
        <v>1496</v>
      </c>
      <c r="D2825" t="s">
        <v>637</v>
      </c>
      <c r="E2825" t="s">
        <v>338</v>
      </c>
      <c r="F2825">
        <v>4.7</v>
      </c>
      <c r="G2825">
        <v>149900</v>
      </c>
      <c r="H2825">
        <v>149900</v>
      </c>
      <c r="I2825">
        <f>FlipkartTable[[#This Row],[Original Price]]-FlipkartTable[[#This Row],[Selling Price]]</f>
        <v>0</v>
      </c>
      <c r="J2825" s="4">
        <f>(FlipkartTable[[#This Row],[Original Price]]-FlipkartTable[[#This Row],[Selling Price]])/FlipkartTable[[#This Row],[Original Price]]</f>
        <v>0</v>
      </c>
      <c r="K2825">
        <f>(FlipkartTable[[#This Row],[Rating]]/FlipkartTable[[#This Row],[Selling Price]])*1000</f>
        <v>3.1354236157438299E-2</v>
      </c>
      <c r="L2825" t="str">
        <f>IF(FlipkartTable[[#This Row],[Selling Price]]&lt;15000,"Budget",IF(FlipkartTable[[#This Row],[Selling Price]]&lt;50000,"Mid Range","Premium"))</f>
        <v>Premium</v>
      </c>
      <c r="M2825" t="str">
        <f>IF(FlipkartTable[[#This Row],[Rating]]&gt;4.5,"Excellent",IF(FlipkartTable[[#This Row],[Rating]]&gt;4,"Good",IF(FlipkartTable[[#This Row],[Rating]]&gt;3.5,"Average","Poor")))</f>
        <v>Excellent</v>
      </c>
    </row>
    <row r="2826" spans="1:13" x14ac:dyDescent="0.35">
      <c r="A2826" t="s">
        <v>633</v>
      </c>
      <c r="B2826" s="9" t="s">
        <v>1498</v>
      </c>
      <c r="C2826" t="s">
        <v>139</v>
      </c>
      <c r="D2826" t="s">
        <v>637</v>
      </c>
      <c r="E2826" t="s">
        <v>15</v>
      </c>
      <c r="F2826">
        <v>4.5999999999999996</v>
      </c>
      <c r="G2826">
        <v>64900</v>
      </c>
      <c r="H2826">
        <v>69900</v>
      </c>
      <c r="I2826">
        <f>FlipkartTable[[#This Row],[Original Price]]-FlipkartTable[[#This Row],[Selling Price]]</f>
        <v>5000</v>
      </c>
      <c r="J2826" s="4">
        <f>(FlipkartTable[[#This Row],[Original Price]]-FlipkartTable[[#This Row],[Selling Price]])/FlipkartTable[[#This Row],[Original Price]]</f>
        <v>7.1530758226037203E-2</v>
      </c>
      <c r="K2826">
        <f>(FlipkartTable[[#This Row],[Rating]]/FlipkartTable[[#This Row],[Selling Price]])*1000</f>
        <v>7.0878274268104779E-2</v>
      </c>
      <c r="L2826" t="str">
        <f>IF(FlipkartTable[[#This Row],[Selling Price]]&lt;15000,"Budget",IF(FlipkartTable[[#This Row],[Selling Price]]&lt;50000,"Mid Range","Premium"))</f>
        <v>Premium</v>
      </c>
      <c r="M2826" t="str">
        <f>IF(FlipkartTable[[#This Row],[Rating]]&gt;4.5,"Excellent",IF(FlipkartTable[[#This Row],[Rating]]&gt;4,"Good",IF(FlipkartTable[[#This Row],[Rating]]&gt;3.5,"Average","Poor")))</f>
        <v>Excellent</v>
      </c>
    </row>
    <row r="2827" spans="1:13" x14ac:dyDescent="0.35">
      <c r="A2827" t="s">
        <v>633</v>
      </c>
      <c r="B2827" s="9" t="s">
        <v>1495</v>
      </c>
      <c r="C2827" t="s">
        <v>1496</v>
      </c>
      <c r="D2827" t="s">
        <v>637</v>
      </c>
      <c r="E2827" t="s">
        <v>15</v>
      </c>
      <c r="F2827">
        <v>4.5</v>
      </c>
      <c r="G2827">
        <v>119900</v>
      </c>
      <c r="H2827">
        <v>119900</v>
      </c>
      <c r="I2827">
        <f>FlipkartTable[[#This Row],[Original Price]]-FlipkartTable[[#This Row],[Selling Price]]</f>
        <v>0</v>
      </c>
      <c r="J2827" s="4">
        <f>(FlipkartTable[[#This Row],[Original Price]]-FlipkartTable[[#This Row],[Selling Price]])/FlipkartTable[[#This Row],[Original Price]]</f>
        <v>0</v>
      </c>
      <c r="K2827">
        <f>(FlipkartTable[[#This Row],[Rating]]/FlipkartTable[[#This Row],[Selling Price]])*1000</f>
        <v>3.753127606338616E-2</v>
      </c>
      <c r="L2827" t="str">
        <f>IF(FlipkartTable[[#This Row],[Selling Price]]&lt;15000,"Budget",IF(FlipkartTable[[#This Row],[Selling Price]]&lt;50000,"Mid Range","Premium"))</f>
        <v>Premium</v>
      </c>
      <c r="M2827" t="str">
        <f>IF(FlipkartTable[[#This Row],[Rating]]&gt;4.5,"Excellent",IF(FlipkartTable[[#This Row],[Rating]]&gt;4,"Good",IF(FlipkartTable[[#This Row],[Rating]]&gt;3.5,"Average","Poor")))</f>
        <v>Good</v>
      </c>
    </row>
    <row r="2828" spans="1:13" x14ac:dyDescent="0.35">
      <c r="A2828" t="s">
        <v>633</v>
      </c>
      <c r="B2828" s="9" t="s">
        <v>1498</v>
      </c>
      <c r="C2828" t="s">
        <v>139</v>
      </c>
      <c r="D2828" t="s">
        <v>637</v>
      </c>
      <c r="E2828" t="s">
        <v>338</v>
      </c>
      <c r="F2828">
        <v>4.5999999999999996</v>
      </c>
      <c r="G2828">
        <v>94900</v>
      </c>
      <c r="H2828">
        <v>99900</v>
      </c>
      <c r="I2828">
        <f>FlipkartTable[[#This Row],[Original Price]]-FlipkartTable[[#This Row],[Selling Price]]</f>
        <v>5000</v>
      </c>
      <c r="J2828" s="4">
        <f>(FlipkartTable[[#This Row],[Original Price]]-FlipkartTable[[#This Row],[Selling Price]])/FlipkartTable[[#This Row],[Original Price]]</f>
        <v>5.0050050050050053E-2</v>
      </c>
      <c r="K2828">
        <f>(FlipkartTable[[#This Row],[Rating]]/FlipkartTable[[#This Row],[Selling Price]])*1000</f>
        <v>4.8472075869336141E-2</v>
      </c>
      <c r="L2828" t="str">
        <f>IF(FlipkartTable[[#This Row],[Selling Price]]&lt;15000,"Budget",IF(FlipkartTable[[#This Row],[Selling Price]]&lt;50000,"Mid Range","Premium"))</f>
        <v>Premium</v>
      </c>
      <c r="M2828" t="str">
        <f>IF(FlipkartTable[[#This Row],[Rating]]&gt;4.5,"Excellent",IF(FlipkartTable[[#This Row],[Rating]]&gt;4,"Good",IF(FlipkartTable[[#This Row],[Rating]]&gt;3.5,"Average","Poor")))</f>
        <v>Excellent</v>
      </c>
    </row>
    <row r="2829" spans="1:13" x14ac:dyDescent="0.35">
      <c r="A2829" t="s">
        <v>633</v>
      </c>
      <c r="B2829" s="9" t="s">
        <v>1495</v>
      </c>
      <c r="C2829" t="s">
        <v>170</v>
      </c>
      <c r="D2829" t="s">
        <v>637</v>
      </c>
      <c r="E2829" t="s">
        <v>653</v>
      </c>
      <c r="F2829">
        <v>4.7</v>
      </c>
      <c r="G2829">
        <v>179900</v>
      </c>
      <c r="H2829">
        <v>179900</v>
      </c>
      <c r="I2829">
        <f>FlipkartTable[[#This Row],[Original Price]]-FlipkartTable[[#This Row],[Selling Price]]</f>
        <v>0</v>
      </c>
      <c r="J2829" s="4">
        <f>(FlipkartTable[[#This Row],[Original Price]]-FlipkartTable[[#This Row],[Selling Price]])/FlipkartTable[[#This Row],[Original Price]]</f>
        <v>0</v>
      </c>
      <c r="K2829">
        <f>(FlipkartTable[[#This Row],[Rating]]/FlipkartTable[[#This Row],[Selling Price]])*1000</f>
        <v>2.6125625347415235E-2</v>
      </c>
      <c r="L2829" t="str">
        <f>IF(FlipkartTable[[#This Row],[Selling Price]]&lt;15000,"Budget",IF(FlipkartTable[[#This Row],[Selling Price]]&lt;50000,"Mid Range","Premium"))</f>
        <v>Premium</v>
      </c>
      <c r="M2829" t="str">
        <f>IF(FlipkartTable[[#This Row],[Rating]]&gt;4.5,"Excellent",IF(FlipkartTable[[#This Row],[Rating]]&gt;4,"Good",IF(FlipkartTable[[#This Row],[Rating]]&gt;3.5,"Average","Poor")))</f>
        <v>Excellent</v>
      </c>
    </row>
    <row r="2830" spans="1:13" x14ac:dyDescent="0.35">
      <c r="A2830" t="s">
        <v>633</v>
      </c>
      <c r="B2830" s="9" t="s">
        <v>1495</v>
      </c>
      <c r="C2830" t="s">
        <v>638</v>
      </c>
      <c r="D2830" t="s">
        <v>637</v>
      </c>
      <c r="E2830" t="s">
        <v>64</v>
      </c>
      <c r="F2830">
        <v>4.7</v>
      </c>
      <c r="G2830">
        <v>139900</v>
      </c>
      <c r="H2830">
        <v>139900</v>
      </c>
      <c r="I2830">
        <f>FlipkartTable[[#This Row],[Original Price]]-FlipkartTable[[#This Row],[Selling Price]]</f>
        <v>0</v>
      </c>
      <c r="J2830" s="4">
        <f>(FlipkartTable[[#This Row],[Original Price]]-FlipkartTable[[#This Row],[Selling Price]])/FlipkartTable[[#This Row],[Original Price]]</f>
        <v>0</v>
      </c>
      <c r="K2830">
        <f>(FlipkartTable[[#This Row],[Rating]]/FlipkartTable[[#This Row],[Selling Price]])*1000</f>
        <v>3.3595425303788423E-2</v>
      </c>
      <c r="L2830" t="str">
        <f>IF(FlipkartTable[[#This Row],[Selling Price]]&lt;15000,"Budget",IF(FlipkartTable[[#This Row],[Selling Price]]&lt;50000,"Mid Range","Premium"))</f>
        <v>Premium</v>
      </c>
      <c r="M2830" t="str">
        <f>IF(FlipkartTable[[#This Row],[Rating]]&gt;4.5,"Excellent",IF(FlipkartTable[[#This Row],[Rating]]&gt;4,"Good",IF(FlipkartTable[[#This Row],[Rating]]&gt;3.5,"Average","Poor")))</f>
        <v>Excellent</v>
      </c>
    </row>
    <row r="2831" spans="1:13" x14ac:dyDescent="0.35">
      <c r="A2831" t="s">
        <v>633</v>
      </c>
      <c r="B2831" s="9" t="s">
        <v>1495</v>
      </c>
      <c r="C2831" t="s">
        <v>116</v>
      </c>
      <c r="D2831" t="s">
        <v>637</v>
      </c>
      <c r="E2831" t="s">
        <v>64</v>
      </c>
      <c r="F2831">
        <v>4.7</v>
      </c>
      <c r="G2831">
        <v>139900</v>
      </c>
      <c r="H2831">
        <v>139900</v>
      </c>
      <c r="I2831">
        <f>FlipkartTable[[#This Row],[Original Price]]-FlipkartTable[[#This Row],[Selling Price]]</f>
        <v>0</v>
      </c>
      <c r="J2831" s="4">
        <f>(FlipkartTable[[#This Row],[Original Price]]-FlipkartTable[[#This Row],[Selling Price]])/FlipkartTable[[#This Row],[Original Price]]</f>
        <v>0</v>
      </c>
      <c r="K2831">
        <f>(FlipkartTable[[#This Row],[Rating]]/FlipkartTable[[#This Row],[Selling Price]])*1000</f>
        <v>3.3595425303788423E-2</v>
      </c>
      <c r="L2831" t="str">
        <f>IF(FlipkartTable[[#This Row],[Selling Price]]&lt;15000,"Budget",IF(FlipkartTable[[#This Row],[Selling Price]]&lt;50000,"Mid Range","Premium"))</f>
        <v>Premium</v>
      </c>
      <c r="M2831" t="str">
        <f>IF(FlipkartTable[[#This Row],[Rating]]&gt;4.5,"Excellent",IF(FlipkartTable[[#This Row],[Rating]]&gt;4,"Good",IF(FlipkartTable[[#This Row],[Rating]]&gt;3.5,"Average","Poor")))</f>
        <v>Excellent</v>
      </c>
    </row>
    <row r="2832" spans="1:13" x14ac:dyDescent="0.35">
      <c r="A2832" t="s">
        <v>633</v>
      </c>
      <c r="B2832" s="9" t="s">
        <v>1495</v>
      </c>
      <c r="C2832" t="s">
        <v>170</v>
      </c>
      <c r="D2832" t="s">
        <v>637</v>
      </c>
      <c r="E2832" t="s">
        <v>338</v>
      </c>
      <c r="F2832">
        <v>4.7</v>
      </c>
      <c r="G2832">
        <v>159900</v>
      </c>
      <c r="H2832">
        <v>159900</v>
      </c>
      <c r="I2832">
        <f>FlipkartTable[[#This Row],[Original Price]]-FlipkartTable[[#This Row],[Selling Price]]</f>
        <v>0</v>
      </c>
      <c r="J2832" s="4">
        <f>(FlipkartTable[[#This Row],[Original Price]]-FlipkartTable[[#This Row],[Selling Price]])/FlipkartTable[[#This Row],[Original Price]]</f>
        <v>0</v>
      </c>
      <c r="K2832">
        <f>(FlipkartTable[[#This Row],[Rating]]/FlipkartTable[[#This Row],[Selling Price]])*1000</f>
        <v>2.9393370856785492E-2</v>
      </c>
      <c r="L2832" t="str">
        <f>IF(FlipkartTable[[#This Row],[Selling Price]]&lt;15000,"Budget",IF(FlipkartTable[[#This Row],[Selling Price]]&lt;50000,"Mid Range","Premium"))</f>
        <v>Premium</v>
      </c>
      <c r="M2832" t="str">
        <f>IF(FlipkartTable[[#This Row],[Rating]]&gt;4.5,"Excellent",IF(FlipkartTable[[#This Row],[Rating]]&gt;4,"Good",IF(FlipkartTable[[#This Row],[Rating]]&gt;3.5,"Average","Poor")))</f>
        <v>Excellent</v>
      </c>
    </row>
    <row r="2833" spans="1:13" x14ac:dyDescent="0.35">
      <c r="A2833" t="s">
        <v>633</v>
      </c>
      <c r="B2833" s="9" t="s">
        <v>1495</v>
      </c>
      <c r="C2833" t="s">
        <v>647</v>
      </c>
      <c r="D2833" t="s">
        <v>637</v>
      </c>
      <c r="E2833" t="s">
        <v>338</v>
      </c>
      <c r="F2833">
        <v>4.7</v>
      </c>
      <c r="G2833">
        <v>159900</v>
      </c>
      <c r="H2833">
        <v>159900</v>
      </c>
      <c r="I2833">
        <f>FlipkartTable[[#This Row],[Original Price]]-FlipkartTable[[#This Row],[Selling Price]]</f>
        <v>0</v>
      </c>
      <c r="J2833" s="4">
        <f>(FlipkartTable[[#This Row],[Original Price]]-FlipkartTable[[#This Row],[Selling Price]])/FlipkartTable[[#This Row],[Original Price]]</f>
        <v>0</v>
      </c>
      <c r="K2833">
        <f>(FlipkartTable[[#This Row],[Rating]]/FlipkartTable[[#This Row],[Selling Price]])*1000</f>
        <v>2.9393370856785492E-2</v>
      </c>
      <c r="L2833" t="str">
        <f>IF(FlipkartTable[[#This Row],[Selling Price]]&lt;15000,"Budget",IF(FlipkartTable[[#This Row],[Selling Price]]&lt;50000,"Mid Range","Premium"))</f>
        <v>Premium</v>
      </c>
      <c r="M2833" t="str">
        <f>IF(FlipkartTable[[#This Row],[Rating]]&gt;4.5,"Excellent",IF(FlipkartTable[[#This Row],[Rating]]&gt;4,"Good",IF(FlipkartTable[[#This Row],[Rating]]&gt;3.5,"Average","Poor")))</f>
        <v>Excellent</v>
      </c>
    </row>
    <row r="2834" spans="1:13" x14ac:dyDescent="0.35">
      <c r="A2834" t="s">
        <v>633</v>
      </c>
      <c r="B2834" s="9" t="s">
        <v>1495</v>
      </c>
      <c r="C2834" t="s">
        <v>170</v>
      </c>
      <c r="D2834" t="s">
        <v>637</v>
      </c>
      <c r="E2834" t="s">
        <v>15</v>
      </c>
      <c r="F2834">
        <v>4.7</v>
      </c>
      <c r="G2834">
        <v>129900</v>
      </c>
      <c r="H2834">
        <v>129900</v>
      </c>
      <c r="I2834">
        <f>FlipkartTable[[#This Row],[Original Price]]-FlipkartTable[[#This Row],[Selling Price]]</f>
        <v>0</v>
      </c>
      <c r="J2834" s="4">
        <f>(FlipkartTable[[#This Row],[Original Price]]-FlipkartTable[[#This Row],[Selling Price]])/FlipkartTable[[#This Row],[Original Price]]</f>
        <v>0</v>
      </c>
      <c r="K2834">
        <f>(FlipkartTable[[#This Row],[Rating]]/FlipkartTable[[#This Row],[Selling Price]])*1000</f>
        <v>3.6181678214010783E-2</v>
      </c>
      <c r="L2834" t="str">
        <f>IF(FlipkartTable[[#This Row],[Selling Price]]&lt;15000,"Budget",IF(FlipkartTable[[#This Row],[Selling Price]]&lt;50000,"Mid Range","Premium"))</f>
        <v>Premium</v>
      </c>
      <c r="M2834" t="str">
        <f>IF(FlipkartTable[[#This Row],[Rating]]&gt;4.5,"Excellent",IF(FlipkartTable[[#This Row],[Rating]]&gt;4,"Good",IF(FlipkartTable[[#This Row],[Rating]]&gt;3.5,"Average","Poor")))</f>
        <v>Excellent</v>
      </c>
    </row>
    <row r="2835" spans="1:13" x14ac:dyDescent="0.35">
      <c r="A2835" t="s">
        <v>633</v>
      </c>
      <c r="B2835" s="9" t="s">
        <v>1495</v>
      </c>
      <c r="C2835" t="s">
        <v>116</v>
      </c>
      <c r="D2835" t="s">
        <v>637</v>
      </c>
      <c r="E2835" t="s">
        <v>15</v>
      </c>
      <c r="F2835">
        <v>4.7</v>
      </c>
      <c r="G2835">
        <v>129900</v>
      </c>
      <c r="H2835">
        <v>129900</v>
      </c>
      <c r="I2835">
        <f>FlipkartTable[[#This Row],[Original Price]]-FlipkartTable[[#This Row],[Selling Price]]</f>
        <v>0</v>
      </c>
      <c r="J2835" s="4">
        <f>(FlipkartTable[[#This Row],[Original Price]]-FlipkartTable[[#This Row],[Selling Price]])/FlipkartTable[[#This Row],[Original Price]]</f>
        <v>0</v>
      </c>
      <c r="K2835">
        <f>(FlipkartTable[[#This Row],[Rating]]/FlipkartTable[[#This Row],[Selling Price]])*1000</f>
        <v>3.6181678214010783E-2</v>
      </c>
      <c r="L2835" t="str">
        <f>IF(FlipkartTable[[#This Row],[Selling Price]]&lt;15000,"Budget",IF(FlipkartTable[[#This Row],[Selling Price]]&lt;50000,"Mid Range","Premium"))</f>
        <v>Premium</v>
      </c>
      <c r="M2835" t="str">
        <f>IF(FlipkartTable[[#This Row],[Rating]]&gt;4.5,"Excellent",IF(FlipkartTable[[#This Row],[Rating]]&gt;4,"Good",IF(FlipkartTable[[#This Row],[Rating]]&gt;3.5,"Average","Poor")))</f>
        <v>Excellent</v>
      </c>
    </row>
    <row r="2836" spans="1:13" x14ac:dyDescent="0.35">
      <c r="A2836" t="s">
        <v>633</v>
      </c>
      <c r="B2836" s="9" t="s">
        <v>1495</v>
      </c>
      <c r="C2836" t="s">
        <v>116</v>
      </c>
      <c r="D2836" t="s">
        <v>637</v>
      </c>
      <c r="E2836" t="s">
        <v>653</v>
      </c>
      <c r="F2836">
        <v>4.7</v>
      </c>
      <c r="G2836">
        <v>179900</v>
      </c>
      <c r="H2836">
        <v>179900</v>
      </c>
      <c r="I2836">
        <f>FlipkartTable[[#This Row],[Original Price]]-FlipkartTable[[#This Row],[Selling Price]]</f>
        <v>0</v>
      </c>
      <c r="J2836" s="4">
        <f>(FlipkartTable[[#This Row],[Original Price]]-FlipkartTable[[#This Row],[Selling Price]])/FlipkartTable[[#This Row],[Original Price]]</f>
        <v>0</v>
      </c>
      <c r="K2836">
        <f>(FlipkartTable[[#This Row],[Rating]]/FlipkartTable[[#This Row],[Selling Price]])*1000</f>
        <v>2.6125625347415235E-2</v>
      </c>
      <c r="L2836" t="str">
        <f>IF(FlipkartTable[[#This Row],[Selling Price]]&lt;15000,"Budget",IF(FlipkartTable[[#This Row],[Selling Price]]&lt;50000,"Mid Range","Premium"))</f>
        <v>Premium</v>
      </c>
      <c r="M2836" t="str">
        <f>IF(FlipkartTable[[#This Row],[Rating]]&gt;4.5,"Excellent",IF(FlipkartTable[[#This Row],[Rating]]&gt;4,"Good",IF(FlipkartTable[[#This Row],[Rating]]&gt;3.5,"Average","Poor")))</f>
        <v>Excellent</v>
      </c>
    </row>
    <row r="2837" spans="1:13" x14ac:dyDescent="0.35">
      <c r="A2837" t="s">
        <v>633</v>
      </c>
      <c r="B2837" s="9" t="s">
        <v>1495</v>
      </c>
      <c r="C2837" t="s">
        <v>647</v>
      </c>
      <c r="D2837" t="s">
        <v>637</v>
      </c>
      <c r="E2837" t="s">
        <v>15</v>
      </c>
      <c r="F2837">
        <v>4.7</v>
      </c>
      <c r="G2837">
        <v>129900</v>
      </c>
      <c r="H2837">
        <v>129900</v>
      </c>
      <c r="I2837">
        <f>FlipkartTable[[#This Row],[Original Price]]-FlipkartTable[[#This Row],[Selling Price]]</f>
        <v>0</v>
      </c>
      <c r="J2837" s="4">
        <f>(FlipkartTable[[#This Row],[Original Price]]-FlipkartTable[[#This Row],[Selling Price]])/FlipkartTable[[#This Row],[Original Price]]</f>
        <v>0</v>
      </c>
      <c r="K2837">
        <f>(FlipkartTable[[#This Row],[Rating]]/FlipkartTable[[#This Row],[Selling Price]])*1000</f>
        <v>3.6181678214010783E-2</v>
      </c>
      <c r="L2837" t="str">
        <f>IF(FlipkartTable[[#This Row],[Selling Price]]&lt;15000,"Budget",IF(FlipkartTable[[#This Row],[Selling Price]]&lt;50000,"Mid Range","Premium"))</f>
        <v>Premium</v>
      </c>
      <c r="M2837" t="str">
        <f>IF(FlipkartTable[[#This Row],[Rating]]&gt;4.5,"Excellent",IF(FlipkartTable[[#This Row],[Rating]]&gt;4,"Good",IF(FlipkartTable[[#This Row],[Rating]]&gt;3.5,"Average","Poor")))</f>
        <v>Excellent</v>
      </c>
    </row>
    <row r="2838" spans="1:13" x14ac:dyDescent="0.35">
      <c r="A2838" t="s">
        <v>633</v>
      </c>
      <c r="B2838" s="9" t="s">
        <v>1495</v>
      </c>
      <c r="C2838" t="s">
        <v>647</v>
      </c>
      <c r="D2838" t="s">
        <v>637</v>
      </c>
      <c r="E2838" t="s">
        <v>64</v>
      </c>
      <c r="F2838">
        <v>4.7</v>
      </c>
      <c r="G2838">
        <v>139900</v>
      </c>
      <c r="H2838">
        <v>139900</v>
      </c>
      <c r="I2838">
        <f>FlipkartTable[[#This Row],[Original Price]]-FlipkartTable[[#This Row],[Selling Price]]</f>
        <v>0</v>
      </c>
      <c r="J2838" s="4">
        <f>(FlipkartTable[[#This Row],[Original Price]]-FlipkartTable[[#This Row],[Selling Price]])/FlipkartTable[[#This Row],[Original Price]]</f>
        <v>0</v>
      </c>
      <c r="K2838">
        <f>(FlipkartTable[[#This Row],[Rating]]/FlipkartTable[[#This Row],[Selling Price]])*1000</f>
        <v>3.3595425303788423E-2</v>
      </c>
      <c r="L2838" t="str">
        <f>IF(FlipkartTable[[#This Row],[Selling Price]]&lt;15000,"Budget",IF(FlipkartTable[[#This Row],[Selling Price]]&lt;50000,"Mid Range","Premium"))</f>
        <v>Premium</v>
      </c>
      <c r="M2838" t="str">
        <f>IF(FlipkartTable[[#This Row],[Rating]]&gt;4.5,"Excellent",IF(FlipkartTable[[#This Row],[Rating]]&gt;4,"Good",IF(FlipkartTable[[#This Row],[Rating]]&gt;3.5,"Average","Poor")))</f>
        <v>Excellent</v>
      </c>
    </row>
    <row r="2839" spans="1:13" x14ac:dyDescent="0.35">
      <c r="A2839" t="s">
        <v>633</v>
      </c>
      <c r="B2839" s="9" t="s">
        <v>1495</v>
      </c>
      <c r="C2839" t="s">
        <v>170</v>
      </c>
      <c r="D2839" t="s">
        <v>637</v>
      </c>
      <c r="E2839" t="s">
        <v>64</v>
      </c>
      <c r="F2839">
        <v>4.7</v>
      </c>
      <c r="G2839">
        <v>139900</v>
      </c>
      <c r="H2839">
        <v>139900</v>
      </c>
      <c r="I2839">
        <f>FlipkartTable[[#This Row],[Original Price]]-FlipkartTable[[#This Row],[Selling Price]]</f>
        <v>0</v>
      </c>
      <c r="J2839" s="4">
        <f>(FlipkartTable[[#This Row],[Original Price]]-FlipkartTable[[#This Row],[Selling Price]])/FlipkartTable[[#This Row],[Original Price]]</f>
        <v>0</v>
      </c>
      <c r="K2839">
        <f>(FlipkartTable[[#This Row],[Rating]]/FlipkartTable[[#This Row],[Selling Price]])*1000</f>
        <v>3.3595425303788423E-2</v>
      </c>
      <c r="L2839" t="str">
        <f>IF(FlipkartTable[[#This Row],[Selling Price]]&lt;15000,"Budget",IF(FlipkartTable[[#This Row],[Selling Price]]&lt;50000,"Mid Range","Premium"))</f>
        <v>Premium</v>
      </c>
      <c r="M2839" t="str">
        <f>IF(FlipkartTable[[#This Row],[Rating]]&gt;4.5,"Excellent",IF(FlipkartTable[[#This Row],[Rating]]&gt;4,"Good",IF(FlipkartTable[[#This Row],[Rating]]&gt;3.5,"Average","Poor")))</f>
        <v>Excellent</v>
      </c>
    </row>
    <row r="2840" spans="1:13" x14ac:dyDescent="0.35">
      <c r="A2840" t="s">
        <v>633</v>
      </c>
      <c r="B2840" s="9" t="s">
        <v>1495</v>
      </c>
      <c r="C2840" t="s">
        <v>638</v>
      </c>
      <c r="D2840" t="s">
        <v>637</v>
      </c>
      <c r="E2840" t="s">
        <v>338</v>
      </c>
      <c r="F2840">
        <v>4.7</v>
      </c>
      <c r="G2840">
        <v>159900</v>
      </c>
      <c r="H2840">
        <v>159900</v>
      </c>
      <c r="I2840">
        <f>FlipkartTable[[#This Row],[Original Price]]-FlipkartTable[[#This Row],[Selling Price]]</f>
        <v>0</v>
      </c>
      <c r="J2840" s="4">
        <f>(FlipkartTable[[#This Row],[Original Price]]-FlipkartTable[[#This Row],[Selling Price]])/FlipkartTable[[#This Row],[Original Price]]</f>
        <v>0</v>
      </c>
      <c r="K2840">
        <f>(FlipkartTable[[#This Row],[Rating]]/FlipkartTable[[#This Row],[Selling Price]])*1000</f>
        <v>2.9393370856785492E-2</v>
      </c>
      <c r="L2840" t="str">
        <f>IF(FlipkartTable[[#This Row],[Selling Price]]&lt;15000,"Budget",IF(FlipkartTable[[#This Row],[Selling Price]]&lt;50000,"Mid Range","Premium"))</f>
        <v>Premium</v>
      </c>
      <c r="M2840" t="str">
        <f>IF(FlipkartTable[[#This Row],[Rating]]&gt;4.5,"Excellent",IF(FlipkartTable[[#This Row],[Rating]]&gt;4,"Good",IF(FlipkartTable[[#This Row],[Rating]]&gt;3.5,"Average","Poor")))</f>
        <v>Excellent</v>
      </c>
    </row>
    <row r="2841" spans="1:13" x14ac:dyDescent="0.35">
      <c r="A2841" t="s">
        <v>633</v>
      </c>
      <c r="B2841" s="9" t="s">
        <v>1495</v>
      </c>
      <c r="C2841" t="s">
        <v>116</v>
      </c>
      <c r="D2841" t="s">
        <v>637</v>
      </c>
      <c r="E2841" t="s">
        <v>338</v>
      </c>
      <c r="F2841">
        <v>4.7</v>
      </c>
      <c r="G2841">
        <v>159900</v>
      </c>
      <c r="H2841">
        <v>159900</v>
      </c>
      <c r="I2841">
        <f>FlipkartTable[[#This Row],[Original Price]]-FlipkartTable[[#This Row],[Selling Price]]</f>
        <v>0</v>
      </c>
      <c r="J2841" s="4">
        <f>(FlipkartTable[[#This Row],[Original Price]]-FlipkartTable[[#This Row],[Selling Price]])/FlipkartTable[[#This Row],[Original Price]]</f>
        <v>0</v>
      </c>
      <c r="K2841">
        <f>(FlipkartTable[[#This Row],[Rating]]/FlipkartTable[[#This Row],[Selling Price]])*1000</f>
        <v>2.9393370856785492E-2</v>
      </c>
      <c r="L2841" t="str">
        <f>IF(FlipkartTable[[#This Row],[Selling Price]]&lt;15000,"Budget",IF(FlipkartTable[[#This Row],[Selling Price]]&lt;50000,"Mid Range","Premium"))</f>
        <v>Premium</v>
      </c>
      <c r="M2841" t="str">
        <f>IF(FlipkartTable[[#This Row],[Rating]]&gt;4.5,"Excellent",IF(FlipkartTable[[#This Row],[Rating]]&gt;4,"Good",IF(FlipkartTable[[#This Row],[Rating]]&gt;3.5,"Average","Poor")))</f>
        <v>Excellent</v>
      </c>
    </row>
    <row r="2842" spans="1:13" x14ac:dyDescent="0.35">
      <c r="A2842" t="s">
        <v>633</v>
      </c>
      <c r="B2842" s="9" t="s">
        <v>1495</v>
      </c>
      <c r="C2842" t="s">
        <v>647</v>
      </c>
      <c r="D2842" t="s">
        <v>637</v>
      </c>
      <c r="E2842" t="s">
        <v>653</v>
      </c>
      <c r="F2842">
        <v>4.7</v>
      </c>
      <c r="G2842">
        <v>179900</v>
      </c>
      <c r="H2842">
        <v>179900</v>
      </c>
      <c r="I2842">
        <f>FlipkartTable[[#This Row],[Original Price]]-FlipkartTable[[#This Row],[Selling Price]]</f>
        <v>0</v>
      </c>
      <c r="J2842" s="4">
        <f>(FlipkartTable[[#This Row],[Original Price]]-FlipkartTable[[#This Row],[Selling Price]])/FlipkartTable[[#This Row],[Original Price]]</f>
        <v>0</v>
      </c>
      <c r="K2842">
        <f>(FlipkartTable[[#This Row],[Rating]]/FlipkartTable[[#This Row],[Selling Price]])*1000</f>
        <v>2.6125625347415235E-2</v>
      </c>
      <c r="L2842" t="str">
        <f>IF(FlipkartTable[[#This Row],[Selling Price]]&lt;15000,"Budget",IF(FlipkartTable[[#This Row],[Selling Price]]&lt;50000,"Mid Range","Premium"))</f>
        <v>Premium</v>
      </c>
      <c r="M2842" t="str">
        <f>IF(FlipkartTable[[#This Row],[Rating]]&gt;4.5,"Excellent",IF(FlipkartTable[[#This Row],[Rating]]&gt;4,"Good",IF(FlipkartTable[[#This Row],[Rating]]&gt;3.5,"Average","Poor")))</f>
        <v>Excellent</v>
      </c>
    </row>
    <row r="2843" spans="1:13" x14ac:dyDescent="0.35">
      <c r="A2843" t="s">
        <v>633</v>
      </c>
      <c r="B2843" s="9" t="s">
        <v>1495</v>
      </c>
      <c r="C2843" t="s">
        <v>638</v>
      </c>
      <c r="D2843" t="s">
        <v>637</v>
      </c>
      <c r="E2843" t="s">
        <v>653</v>
      </c>
      <c r="F2843">
        <v>4.7</v>
      </c>
      <c r="G2843">
        <v>179900</v>
      </c>
      <c r="H2843">
        <v>179900</v>
      </c>
      <c r="I2843">
        <f>FlipkartTable[[#This Row],[Original Price]]-FlipkartTable[[#This Row],[Selling Price]]</f>
        <v>0</v>
      </c>
      <c r="J2843" s="4">
        <f>(FlipkartTable[[#This Row],[Original Price]]-FlipkartTable[[#This Row],[Selling Price]])/FlipkartTable[[#This Row],[Original Price]]</f>
        <v>0</v>
      </c>
      <c r="K2843">
        <f>(FlipkartTable[[#This Row],[Rating]]/FlipkartTable[[#This Row],[Selling Price]])*1000</f>
        <v>2.6125625347415235E-2</v>
      </c>
      <c r="L2843" t="str">
        <f>IF(FlipkartTable[[#This Row],[Selling Price]]&lt;15000,"Budget",IF(FlipkartTable[[#This Row],[Selling Price]]&lt;50000,"Mid Range","Premium"))</f>
        <v>Premium</v>
      </c>
      <c r="M2843" t="str">
        <f>IF(FlipkartTable[[#This Row],[Rating]]&gt;4.5,"Excellent",IF(FlipkartTable[[#This Row],[Rating]]&gt;4,"Good",IF(FlipkartTable[[#This Row],[Rating]]&gt;3.5,"Average","Poor")))</f>
        <v>Excellent</v>
      </c>
    </row>
    <row r="2844" spans="1:13" x14ac:dyDescent="0.35">
      <c r="A2844" t="s">
        <v>1131</v>
      </c>
      <c r="B2844" s="9" t="s">
        <v>1499</v>
      </c>
      <c r="C2844" t="s">
        <v>1492</v>
      </c>
      <c r="D2844" t="s">
        <v>27</v>
      </c>
      <c r="E2844" t="s">
        <v>15</v>
      </c>
      <c r="F2844">
        <v>4.3</v>
      </c>
      <c r="G2844">
        <v>21990</v>
      </c>
      <c r="H2844">
        <v>21990</v>
      </c>
      <c r="I2844">
        <f>FlipkartTable[[#This Row],[Original Price]]-FlipkartTable[[#This Row],[Selling Price]]</f>
        <v>0</v>
      </c>
      <c r="J2844" s="4">
        <f>(FlipkartTable[[#This Row],[Original Price]]-FlipkartTable[[#This Row],[Selling Price]])/FlipkartTable[[#This Row],[Original Price]]</f>
        <v>0</v>
      </c>
      <c r="K2844">
        <f>(FlipkartTable[[#This Row],[Rating]]/FlipkartTable[[#This Row],[Selling Price]])*1000</f>
        <v>0.19554342883128695</v>
      </c>
      <c r="L2844" t="str">
        <f>IF(FlipkartTable[[#This Row],[Selling Price]]&lt;15000,"Budget",IF(FlipkartTable[[#This Row],[Selling Price]]&lt;50000,"Mid Range","Premium"))</f>
        <v>Mid Range</v>
      </c>
      <c r="M2844" t="str">
        <f>IF(FlipkartTable[[#This Row],[Rating]]&gt;4.5,"Excellent",IF(FlipkartTable[[#This Row],[Rating]]&gt;4,"Good",IF(FlipkartTable[[#This Row],[Rating]]&gt;3.5,"Average","Poor")))</f>
        <v>Good</v>
      </c>
    </row>
    <row r="2845" spans="1:13" x14ac:dyDescent="0.35">
      <c r="A2845" t="s">
        <v>1131</v>
      </c>
      <c r="B2845" s="9" t="s">
        <v>1499</v>
      </c>
      <c r="C2845" t="s">
        <v>1500</v>
      </c>
      <c r="D2845" t="s">
        <v>27</v>
      </c>
      <c r="E2845" t="s">
        <v>15</v>
      </c>
      <c r="F2845">
        <v>4.3</v>
      </c>
      <c r="G2845">
        <v>22490</v>
      </c>
      <c r="H2845">
        <v>22490</v>
      </c>
      <c r="I2845">
        <f>FlipkartTable[[#This Row],[Original Price]]-FlipkartTable[[#This Row],[Selling Price]]</f>
        <v>0</v>
      </c>
      <c r="J2845" s="4">
        <f>(FlipkartTable[[#This Row],[Original Price]]-FlipkartTable[[#This Row],[Selling Price]])/FlipkartTable[[#This Row],[Original Price]]</f>
        <v>0</v>
      </c>
      <c r="K2845">
        <f>(FlipkartTable[[#This Row],[Rating]]/FlipkartTable[[#This Row],[Selling Price]])*1000</f>
        <v>0.19119608714984437</v>
      </c>
      <c r="L2845" t="str">
        <f>IF(FlipkartTable[[#This Row],[Selling Price]]&lt;15000,"Budget",IF(FlipkartTable[[#This Row],[Selling Price]]&lt;50000,"Mid Range","Premium"))</f>
        <v>Mid Range</v>
      </c>
      <c r="M2845" t="str">
        <f>IF(FlipkartTable[[#This Row],[Rating]]&gt;4.5,"Excellent",IF(FlipkartTable[[#This Row],[Rating]]&gt;4,"Good",IF(FlipkartTable[[#This Row],[Rating]]&gt;3.5,"Average","Poor")))</f>
        <v>Good</v>
      </c>
    </row>
    <row r="2846" spans="1:13" x14ac:dyDescent="0.35">
      <c r="A2846" t="s">
        <v>343</v>
      </c>
      <c r="B2846" s="9" t="s">
        <v>1501</v>
      </c>
      <c r="C2846" t="s">
        <v>1502</v>
      </c>
      <c r="D2846" t="s">
        <v>14</v>
      </c>
      <c r="E2846" t="s">
        <v>15</v>
      </c>
      <c r="F2846">
        <v>4.8</v>
      </c>
      <c r="G2846">
        <v>17499</v>
      </c>
      <c r="H2846">
        <v>20999</v>
      </c>
      <c r="I2846">
        <f>FlipkartTable[[#This Row],[Original Price]]-FlipkartTable[[#This Row],[Selling Price]]</f>
        <v>3500</v>
      </c>
      <c r="J2846" s="4">
        <f>(FlipkartTable[[#This Row],[Original Price]]-FlipkartTable[[#This Row],[Selling Price]])/FlipkartTable[[#This Row],[Original Price]]</f>
        <v>0.16667460355255012</v>
      </c>
      <c r="K2846">
        <f>(FlipkartTable[[#This Row],[Rating]]/FlipkartTable[[#This Row],[Selling Price]])*1000</f>
        <v>0.27430138865078002</v>
      </c>
      <c r="L2846" t="str">
        <f>IF(FlipkartTable[[#This Row],[Selling Price]]&lt;15000,"Budget",IF(FlipkartTable[[#This Row],[Selling Price]]&lt;50000,"Mid Range","Premium"))</f>
        <v>Mid Range</v>
      </c>
      <c r="M2846" t="str">
        <f>IF(FlipkartTable[[#This Row],[Rating]]&gt;4.5,"Excellent",IF(FlipkartTable[[#This Row],[Rating]]&gt;4,"Good",IF(FlipkartTable[[#This Row],[Rating]]&gt;3.5,"Average","Poor")))</f>
        <v>Excellent</v>
      </c>
    </row>
    <row r="2847" spans="1:13" x14ac:dyDescent="0.35">
      <c r="A2847" t="s">
        <v>343</v>
      </c>
      <c r="B2847" s="9" t="s">
        <v>1501</v>
      </c>
      <c r="C2847" t="s">
        <v>1503</v>
      </c>
      <c r="D2847" t="s">
        <v>14</v>
      </c>
      <c r="E2847" t="s">
        <v>15</v>
      </c>
      <c r="F2847">
        <v>4.8</v>
      </c>
      <c r="G2847">
        <v>17499</v>
      </c>
      <c r="H2847">
        <v>20999</v>
      </c>
      <c r="I2847">
        <f>FlipkartTable[[#This Row],[Original Price]]-FlipkartTable[[#This Row],[Selling Price]]</f>
        <v>3500</v>
      </c>
      <c r="J2847" s="4">
        <f>(FlipkartTable[[#This Row],[Original Price]]-FlipkartTable[[#This Row],[Selling Price]])/FlipkartTable[[#This Row],[Original Price]]</f>
        <v>0.16667460355255012</v>
      </c>
      <c r="K2847">
        <f>(FlipkartTable[[#This Row],[Rating]]/FlipkartTable[[#This Row],[Selling Price]])*1000</f>
        <v>0.27430138865078002</v>
      </c>
      <c r="L2847" t="str">
        <f>IF(FlipkartTable[[#This Row],[Selling Price]]&lt;15000,"Budget",IF(FlipkartTable[[#This Row],[Selling Price]]&lt;50000,"Mid Range","Premium"))</f>
        <v>Mid Range</v>
      </c>
      <c r="M2847" t="str">
        <f>IF(FlipkartTable[[#This Row],[Rating]]&gt;4.5,"Excellent",IF(FlipkartTable[[#This Row],[Rating]]&gt;4,"Good",IF(FlipkartTable[[#This Row],[Rating]]&gt;3.5,"Average","Poor")))</f>
        <v>Excellent</v>
      </c>
    </row>
    <row r="2848" spans="1:13" x14ac:dyDescent="0.35">
      <c r="A2848" t="s">
        <v>343</v>
      </c>
      <c r="B2848" s="9" t="s">
        <v>1501</v>
      </c>
      <c r="C2848" t="s">
        <v>1502</v>
      </c>
      <c r="D2848" t="s">
        <v>11</v>
      </c>
      <c r="E2848" t="s">
        <v>12</v>
      </c>
      <c r="F2848">
        <v>4.5</v>
      </c>
      <c r="G2848">
        <v>14999</v>
      </c>
      <c r="H2848">
        <v>18999</v>
      </c>
      <c r="I2848">
        <f>FlipkartTable[[#This Row],[Original Price]]-FlipkartTable[[#This Row],[Selling Price]]</f>
        <v>4000</v>
      </c>
      <c r="J2848" s="4">
        <f>(FlipkartTable[[#This Row],[Original Price]]-FlipkartTable[[#This Row],[Selling Price]])/FlipkartTable[[#This Row],[Original Price]]</f>
        <v>0.21053739670508975</v>
      </c>
      <c r="K2848">
        <f>(FlipkartTable[[#This Row],[Rating]]/FlipkartTable[[#This Row],[Selling Price]])*1000</f>
        <v>0.30002000133342221</v>
      </c>
      <c r="L2848" t="str">
        <f>IF(FlipkartTable[[#This Row],[Selling Price]]&lt;15000,"Budget",IF(FlipkartTable[[#This Row],[Selling Price]]&lt;50000,"Mid Range","Premium"))</f>
        <v>Budget</v>
      </c>
      <c r="M2848" t="str">
        <f>IF(FlipkartTable[[#This Row],[Rating]]&gt;4.5,"Excellent",IF(FlipkartTable[[#This Row],[Rating]]&gt;4,"Good",IF(FlipkartTable[[#This Row],[Rating]]&gt;3.5,"Average","Poor")))</f>
        <v>Good</v>
      </c>
    </row>
    <row r="2849" spans="1:13" x14ac:dyDescent="0.35">
      <c r="A2849" t="s">
        <v>343</v>
      </c>
      <c r="B2849" s="9" t="s">
        <v>1501</v>
      </c>
      <c r="C2849" t="s">
        <v>1503</v>
      </c>
      <c r="D2849" t="s">
        <v>11</v>
      </c>
      <c r="E2849" t="s">
        <v>12</v>
      </c>
      <c r="F2849">
        <v>4.5</v>
      </c>
      <c r="G2849">
        <v>14999</v>
      </c>
      <c r="H2849">
        <v>18999</v>
      </c>
      <c r="I2849">
        <f>FlipkartTable[[#This Row],[Original Price]]-FlipkartTable[[#This Row],[Selling Price]]</f>
        <v>4000</v>
      </c>
      <c r="J2849" s="4">
        <f>(FlipkartTable[[#This Row],[Original Price]]-FlipkartTable[[#This Row],[Selling Price]])/FlipkartTable[[#This Row],[Original Price]]</f>
        <v>0.21053739670508975</v>
      </c>
      <c r="K2849">
        <f>(FlipkartTable[[#This Row],[Rating]]/FlipkartTable[[#This Row],[Selling Price]])*1000</f>
        <v>0.30002000133342221</v>
      </c>
      <c r="L2849" t="str">
        <f>IF(FlipkartTable[[#This Row],[Selling Price]]&lt;15000,"Budget",IF(FlipkartTable[[#This Row],[Selling Price]]&lt;50000,"Mid Range","Premium"))</f>
        <v>Budget</v>
      </c>
      <c r="M2849" t="str">
        <f>IF(FlipkartTable[[#This Row],[Rating]]&gt;4.5,"Excellent",IF(FlipkartTable[[#This Row],[Rating]]&gt;4,"Good",IF(FlipkartTable[[#This Row],[Rating]]&gt;3.5,"Average","Poor")))</f>
        <v>Good</v>
      </c>
    </row>
    <row r="2850" spans="1:13" x14ac:dyDescent="0.35">
      <c r="A2850" t="s">
        <v>343</v>
      </c>
      <c r="B2850" s="9" t="s">
        <v>1504</v>
      </c>
      <c r="C2850" t="s">
        <v>163</v>
      </c>
      <c r="D2850" t="s">
        <v>14</v>
      </c>
      <c r="E2850" t="s">
        <v>15</v>
      </c>
      <c r="F2850">
        <v>4.4000000000000004</v>
      </c>
      <c r="G2850">
        <v>17999</v>
      </c>
      <c r="H2850">
        <v>21999</v>
      </c>
      <c r="I2850">
        <f>FlipkartTable[[#This Row],[Original Price]]-FlipkartTable[[#This Row],[Selling Price]]</f>
        <v>4000</v>
      </c>
      <c r="J2850" s="4">
        <f>(FlipkartTable[[#This Row],[Original Price]]-FlipkartTable[[#This Row],[Selling Price]])/FlipkartTable[[#This Row],[Original Price]]</f>
        <v>0.18182644665666622</v>
      </c>
      <c r="K2850">
        <f>(FlipkartTable[[#This Row],[Rating]]/FlipkartTable[[#This Row],[Selling Price]])*1000</f>
        <v>0.24445802544585812</v>
      </c>
      <c r="L2850" t="str">
        <f>IF(FlipkartTable[[#This Row],[Selling Price]]&lt;15000,"Budget",IF(FlipkartTable[[#This Row],[Selling Price]]&lt;50000,"Mid Range","Premium"))</f>
        <v>Mid Range</v>
      </c>
      <c r="M2850" t="str">
        <f>IF(FlipkartTable[[#This Row],[Rating]]&gt;4.5,"Excellent",IF(FlipkartTable[[#This Row],[Rating]]&gt;4,"Good",IF(FlipkartTable[[#This Row],[Rating]]&gt;3.5,"Average","Poor")))</f>
        <v>Good</v>
      </c>
    </row>
    <row r="2851" spans="1:13" x14ac:dyDescent="0.35">
      <c r="A2851" t="s">
        <v>343</v>
      </c>
      <c r="B2851" s="9" t="s">
        <v>1504</v>
      </c>
      <c r="C2851" t="s">
        <v>68</v>
      </c>
      <c r="D2851" t="s">
        <v>14</v>
      </c>
      <c r="E2851" t="s">
        <v>15</v>
      </c>
      <c r="F2851">
        <v>4.4000000000000004</v>
      </c>
      <c r="G2851">
        <v>17999</v>
      </c>
      <c r="H2851">
        <v>21999</v>
      </c>
      <c r="I2851">
        <f>FlipkartTable[[#This Row],[Original Price]]-FlipkartTable[[#This Row],[Selling Price]]</f>
        <v>4000</v>
      </c>
      <c r="J2851" s="4">
        <f>(FlipkartTable[[#This Row],[Original Price]]-FlipkartTable[[#This Row],[Selling Price]])/FlipkartTable[[#This Row],[Original Price]]</f>
        <v>0.18182644665666622</v>
      </c>
      <c r="K2851">
        <f>(FlipkartTable[[#This Row],[Rating]]/FlipkartTable[[#This Row],[Selling Price]])*1000</f>
        <v>0.24445802544585812</v>
      </c>
      <c r="L2851" t="str">
        <f>IF(FlipkartTable[[#This Row],[Selling Price]]&lt;15000,"Budget",IF(FlipkartTable[[#This Row],[Selling Price]]&lt;50000,"Mid Range","Premium"))</f>
        <v>Mid Range</v>
      </c>
      <c r="M2851" t="str">
        <f>IF(FlipkartTable[[#This Row],[Rating]]&gt;4.5,"Excellent",IF(FlipkartTable[[#This Row],[Rating]]&gt;4,"Good",IF(FlipkartTable[[#This Row],[Rating]]&gt;3.5,"Average","Poor")))</f>
        <v>Good</v>
      </c>
    </row>
    <row r="2852" spans="1:13" x14ac:dyDescent="0.35">
      <c r="A2852" t="s">
        <v>343</v>
      </c>
      <c r="B2852" s="9" t="s">
        <v>1504</v>
      </c>
      <c r="C2852" t="s">
        <v>1505</v>
      </c>
      <c r="D2852" t="s">
        <v>14</v>
      </c>
      <c r="E2852" t="s">
        <v>15</v>
      </c>
      <c r="F2852">
        <v>4.4000000000000004</v>
      </c>
      <c r="G2852">
        <v>17999</v>
      </c>
      <c r="H2852">
        <v>21999</v>
      </c>
      <c r="I2852">
        <f>FlipkartTable[[#This Row],[Original Price]]-FlipkartTable[[#This Row],[Selling Price]]</f>
        <v>4000</v>
      </c>
      <c r="J2852" s="4">
        <f>(FlipkartTable[[#This Row],[Original Price]]-FlipkartTable[[#This Row],[Selling Price]])/FlipkartTable[[#This Row],[Original Price]]</f>
        <v>0.18182644665666622</v>
      </c>
      <c r="K2852">
        <f>(FlipkartTable[[#This Row],[Rating]]/FlipkartTable[[#This Row],[Selling Price]])*1000</f>
        <v>0.24445802544585812</v>
      </c>
      <c r="L2852" t="str">
        <f>IF(FlipkartTable[[#This Row],[Selling Price]]&lt;15000,"Budget",IF(FlipkartTable[[#This Row],[Selling Price]]&lt;50000,"Mid Range","Premium"))</f>
        <v>Mid Range</v>
      </c>
      <c r="M2852" t="str">
        <f>IF(FlipkartTable[[#This Row],[Rating]]&gt;4.5,"Excellent",IF(FlipkartTable[[#This Row],[Rating]]&gt;4,"Good",IF(FlipkartTable[[#This Row],[Rating]]&gt;3.5,"Average","Poor")))</f>
        <v>Good</v>
      </c>
    </row>
    <row r="2853" spans="1:13" x14ac:dyDescent="0.35">
      <c r="A2853" t="s">
        <v>343</v>
      </c>
      <c r="B2853" s="9" t="s">
        <v>1504</v>
      </c>
      <c r="C2853" t="s">
        <v>163</v>
      </c>
      <c r="D2853" t="s">
        <v>27</v>
      </c>
      <c r="E2853" t="s">
        <v>15</v>
      </c>
      <c r="F2853">
        <v>4.4000000000000004</v>
      </c>
      <c r="G2853">
        <v>20999</v>
      </c>
      <c r="H2853">
        <v>23999</v>
      </c>
      <c r="I2853">
        <f>FlipkartTable[[#This Row],[Original Price]]-FlipkartTable[[#This Row],[Selling Price]]</f>
        <v>3000</v>
      </c>
      <c r="J2853" s="4">
        <f>(FlipkartTable[[#This Row],[Original Price]]-FlipkartTable[[#This Row],[Selling Price]])/FlipkartTable[[#This Row],[Original Price]]</f>
        <v>0.12500520855035627</v>
      </c>
      <c r="K2853">
        <f>(FlipkartTable[[#This Row],[Rating]]/FlipkartTable[[#This Row],[Selling Price]])*1000</f>
        <v>0.20953378732320588</v>
      </c>
      <c r="L2853" t="str">
        <f>IF(FlipkartTable[[#This Row],[Selling Price]]&lt;15000,"Budget",IF(FlipkartTable[[#This Row],[Selling Price]]&lt;50000,"Mid Range","Premium"))</f>
        <v>Mid Range</v>
      </c>
      <c r="M2853" t="str">
        <f>IF(FlipkartTable[[#This Row],[Rating]]&gt;4.5,"Excellent",IF(FlipkartTable[[#This Row],[Rating]]&gt;4,"Good",IF(FlipkartTable[[#This Row],[Rating]]&gt;3.5,"Average","Poor")))</f>
        <v>Good</v>
      </c>
    </row>
    <row r="2854" spans="1:13" x14ac:dyDescent="0.35">
      <c r="A2854" t="s">
        <v>343</v>
      </c>
      <c r="B2854" s="9" t="s">
        <v>1506</v>
      </c>
      <c r="C2854" t="s">
        <v>68</v>
      </c>
      <c r="D2854" t="s">
        <v>14</v>
      </c>
      <c r="E2854" t="s">
        <v>15</v>
      </c>
      <c r="F2854">
        <v>4.4000000000000004</v>
      </c>
      <c r="G2854">
        <v>24999</v>
      </c>
      <c r="H2854">
        <v>27999</v>
      </c>
      <c r="I2854">
        <f>FlipkartTable[[#This Row],[Original Price]]-FlipkartTable[[#This Row],[Selling Price]]</f>
        <v>3000</v>
      </c>
      <c r="J2854" s="4">
        <f>(FlipkartTable[[#This Row],[Original Price]]-FlipkartTable[[#This Row],[Selling Price]])/FlipkartTable[[#This Row],[Original Price]]</f>
        <v>0.10714668381013608</v>
      </c>
      <c r="K2854">
        <f>(FlipkartTable[[#This Row],[Rating]]/FlipkartTable[[#This Row],[Selling Price]])*1000</f>
        <v>0.17600704028161127</v>
      </c>
      <c r="L2854" t="str">
        <f>IF(FlipkartTable[[#This Row],[Selling Price]]&lt;15000,"Budget",IF(FlipkartTable[[#This Row],[Selling Price]]&lt;50000,"Mid Range","Premium"))</f>
        <v>Mid Range</v>
      </c>
      <c r="M2854" t="str">
        <f>IF(FlipkartTable[[#This Row],[Rating]]&gt;4.5,"Excellent",IF(FlipkartTable[[#This Row],[Rating]]&gt;4,"Good",IF(FlipkartTable[[#This Row],[Rating]]&gt;3.5,"Average","Poor")))</f>
        <v>Good</v>
      </c>
    </row>
    <row r="2855" spans="1:13" x14ac:dyDescent="0.35">
      <c r="A2855" t="s">
        <v>343</v>
      </c>
      <c r="B2855" s="9" t="s">
        <v>1506</v>
      </c>
      <c r="C2855" t="s">
        <v>163</v>
      </c>
      <c r="D2855" t="s">
        <v>27</v>
      </c>
      <c r="E2855" t="s">
        <v>64</v>
      </c>
      <c r="F2855">
        <v>4.4000000000000004</v>
      </c>
      <c r="G2855">
        <v>28999</v>
      </c>
      <c r="H2855">
        <v>31999</v>
      </c>
      <c r="I2855">
        <f>FlipkartTable[[#This Row],[Original Price]]-FlipkartTable[[#This Row],[Selling Price]]</f>
        <v>3000</v>
      </c>
      <c r="J2855" s="4">
        <f>(FlipkartTable[[#This Row],[Original Price]]-FlipkartTable[[#This Row],[Selling Price]])/FlipkartTable[[#This Row],[Original Price]]</f>
        <v>9.3752929779055597E-2</v>
      </c>
      <c r="K2855">
        <f>(FlipkartTable[[#This Row],[Rating]]/FlipkartTable[[#This Row],[Selling Price]])*1000</f>
        <v>0.15172936997827513</v>
      </c>
      <c r="L2855" t="str">
        <f>IF(FlipkartTable[[#This Row],[Selling Price]]&lt;15000,"Budget",IF(FlipkartTable[[#This Row],[Selling Price]]&lt;50000,"Mid Range","Premium"))</f>
        <v>Mid Range</v>
      </c>
      <c r="M2855" t="str">
        <f>IF(FlipkartTable[[#This Row],[Rating]]&gt;4.5,"Excellent",IF(FlipkartTable[[#This Row],[Rating]]&gt;4,"Good",IF(FlipkartTable[[#This Row],[Rating]]&gt;3.5,"Average","Poor")))</f>
        <v>Good</v>
      </c>
    </row>
    <row r="2856" spans="1:13" x14ac:dyDescent="0.35">
      <c r="A2856" t="s">
        <v>343</v>
      </c>
      <c r="B2856" s="9" t="s">
        <v>1506</v>
      </c>
      <c r="C2856" t="s">
        <v>163</v>
      </c>
      <c r="D2856" t="s">
        <v>14</v>
      </c>
      <c r="E2856" t="s">
        <v>15</v>
      </c>
      <c r="F2856">
        <v>4.4000000000000004</v>
      </c>
      <c r="G2856">
        <v>24999</v>
      </c>
      <c r="H2856">
        <v>27999</v>
      </c>
      <c r="I2856">
        <f>FlipkartTable[[#This Row],[Original Price]]-FlipkartTable[[#This Row],[Selling Price]]</f>
        <v>3000</v>
      </c>
      <c r="J2856" s="4">
        <f>(FlipkartTable[[#This Row],[Original Price]]-FlipkartTable[[#This Row],[Selling Price]])/FlipkartTable[[#This Row],[Original Price]]</f>
        <v>0.10714668381013608</v>
      </c>
      <c r="K2856">
        <f>(FlipkartTable[[#This Row],[Rating]]/FlipkartTable[[#This Row],[Selling Price]])*1000</f>
        <v>0.17600704028161127</v>
      </c>
      <c r="L2856" t="str">
        <f>IF(FlipkartTable[[#This Row],[Selling Price]]&lt;15000,"Budget",IF(FlipkartTable[[#This Row],[Selling Price]]&lt;50000,"Mid Range","Premium"))</f>
        <v>Mid Range</v>
      </c>
      <c r="M2856" t="str">
        <f>IF(FlipkartTable[[#This Row],[Rating]]&gt;4.5,"Excellent",IF(FlipkartTable[[#This Row],[Rating]]&gt;4,"Good",IF(FlipkartTable[[#This Row],[Rating]]&gt;3.5,"Average","Poor")))</f>
        <v>Good</v>
      </c>
    </row>
    <row r="2857" spans="1:13" x14ac:dyDescent="0.35">
      <c r="A2857" t="s">
        <v>343</v>
      </c>
      <c r="B2857" s="9" t="s">
        <v>1506</v>
      </c>
      <c r="C2857" t="s">
        <v>68</v>
      </c>
      <c r="D2857" t="s">
        <v>27</v>
      </c>
      <c r="E2857" t="s">
        <v>15</v>
      </c>
      <c r="F2857">
        <v>4.4000000000000004</v>
      </c>
      <c r="G2857">
        <v>26999</v>
      </c>
      <c r="H2857">
        <v>29999</v>
      </c>
      <c r="I2857">
        <f>FlipkartTable[[#This Row],[Original Price]]-FlipkartTable[[#This Row],[Selling Price]]</f>
        <v>3000</v>
      </c>
      <c r="J2857" s="4">
        <f>(FlipkartTable[[#This Row],[Original Price]]-FlipkartTable[[#This Row],[Selling Price]])/FlipkartTable[[#This Row],[Original Price]]</f>
        <v>0.10000333344444814</v>
      </c>
      <c r="K2857">
        <f>(FlipkartTable[[#This Row],[Rating]]/FlipkartTable[[#This Row],[Selling Price]])*1000</f>
        <v>0.16296899885180932</v>
      </c>
      <c r="L2857" t="str">
        <f>IF(FlipkartTable[[#This Row],[Selling Price]]&lt;15000,"Budget",IF(FlipkartTable[[#This Row],[Selling Price]]&lt;50000,"Mid Range","Premium"))</f>
        <v>Mid Range</v>
      </c>
      <c r="M2857" t="str">
        <f>IF(FlipkartTable[[#This Row],[Rating]]&gt;4.5,"Excellent",IF(FlipkartTable[[#This Row],[Rating]]&gt;4,"Good",IF(FlipkartTable[[#This Row],[Rating]]&gt;3.5,"Average","Poor")))</f>
        <v>Good</v>
      </c>
    </row>
    <row r="2858" spans="1:13" x14ac:dyDescent="0.35">
      <c r="A2858" t="s">
        <v>343</v>
      </c>
      <c r="B2858" s="9" t="s">
        <v>1504</v>
      </c>
      <c r="C2858" t="s">
        <v>68</v>
      </c>
      <c r="D2858" t="s">
        <v>27</v>
      </c>
      <c r="E2858" t="s">
        <v>15</v>
      </c>
      <c r="F2858">
        <v>4.4000000000000004</v>
      </c>
      <c r="G2858">
        <v>20999</v>
      </c>
      <c r="H2858">
        <v>23999</v>
      </c>
      <c r="I2858">
        <f>FlipkartTable[[#This Row],[Original Price]]-FlipkartTable[[#This Row],[Selling Price]]</f>
        <v>3000</v>
      </c>
      <c r="J2858" s="4">
        <f>(FlipkartTable[[#This Row],[Original Price]]-FlipkartTable[[#This Row],[Selling Price]])/FlipkartTable[[#This Row],[Original Price]]</f>
        <v>0.12500520855035627</v>
      </c>
      <c r="K2858">
        <f>(FlipkartTable[[#This Row],[Rating]]/FlipkartTable[[#This Row],[Selling Price]])*1000</f>
        <v>0.20953378732320588</v>
      </c>
      <c r="L2858" t="str">
        <f>IF(FlipkartTable[[#This Row],[Selling Price]]&lt;15000,"Budget",IF(FlipkartTable[[#This Row],[Selling Price]]&lt;50000,"Mid Range","Premium"))</f>
        <v>Mid Range</v>
      </c>
      <c r="M2858" t="str">
        <f>IF(FlipkartTable[[#This Row],[Rating]]&gt;4.5,"Excellent",IF(FlipkartTable[[#This Row],[Rating]]&gt;4,"Good",IF(FlipkartTable[[#This Row],[Rating]]&gt;3.5,"Average","Poor")))</f>
        <v>Good</v>
      </c>
    </row>
    <row r="2859" spans="1:13" x14ac:dyDescent="0.35">
      <c r="A2859" t="s">
        <v>343</v>
      </c>
      <c r="B2859" s="9" t="s">
        <v>1507</v>
      </c>
      <c r="C2859" t="s">
        <v>1508</v>
      </c>
      <c r="D2859" t="s">
        <v>27</v>
      </c>
      <c r="E2859" t="s">
        <v>15</v>
      </c>
      <c r="F2859">
        <v>4.5</v>
      </c>
      <c r="G2859">
        <v>22999</v>
      </c>
      <c r="H2859">
        <v>26999</v>
      </c>
      <c r="I2859">
        <f>FlipkartTable[[#This Row],[Original Price]]-FlipkartTable[[#This Row],[Selling Price]]</f>
        <v>4000</v>
      </c>
      <c r="J2859" s="4">
        <f>(FlipkartTable[[#This Row],[Original Price]]-FlipkartTable[[#This Row],[Selling Price]])/FlipkartTable[[#This Row],[Original Price]]</f>
        <v>0.14815363531982667</v>
      </c>
      <c r="K2859">
        <f>(FlipkartTable[[#This Row],[Rating]]/FlipkartTable[[#This Row],[Selling Price]])*1000</f>
        <v>0.19566068089916952</v>
      </c>
      <c r="L2859" t="str">
        <f>IF(FlipkartTable[[#This Row],[Selling Price]]&lt;15000,"Budget",IF(FlipkartTable[[#This Row],[Selling Price]]&lt;50000,"Mid Range","Premium"))</f>
        <v>Mid Range</v>
      </c>
      <c r="M2859" t="str">
        <f>IF(FlipkartTable[[#This Row],[Rating]]&gt;4.5,"Excellent",IF(FlipkartTable[[#This Row],[Rating]]&gt;4,"Good",IF(FlipkartTable[[#This Row],[Rating]]&gt;3.5,"Average","Poor")))</f>
        <v>Good</v>
      </c>
    </row>
    <row r="2860" spans="1:13" x14ac:dyDescent="0.35">
      <c r="A2860" t="s">
        <v>343</v>
      </c>
      <c r="B2860" s="9" t="s">
        <v>1507</v>
      </c>
      <c r="C2860" t="s">
        <v>1509</v>
      </c>
      <c r="D2860" t="s">
        <v>14</v>
      </c>
      <c r="E2860" t="s">
        <v>15</v>
      </c>
      <c r="F2860">
        <v>4.5</v>
      </c>
      <c r="G2860">
        <v>19999</v>
      </c>
      <c r="H2860">
        <v>24999</v>
      </c>
      <c r="I2860">
        <f>FlipkartTable[[#This Row],[Original Price]]-FlipkartTable[[#This Row],[Selling Price]]</f>
        <v>5000</v>
      </c>
      <c r="J2860" s="4">
        <f>(FlipkartTable[[#This Row],[Original Price]]-FlipkartTable[[#This Row],[Selling Price]])/FlipkartTable[[#This Row],[Original Price]]</f>
        <v>0.20000800032001281</v>
      </c>
      <c r="K2860">
        <f>(FlipkartTable[[#This Row],[Rating]]/FlipkartTable[[#This Row],[Selling Price]])*1000</f>
        <v>0.2250112505625281</v>
      </c>
      <c r="L2860" t="str">
        <f>IF(FlipkartTable[[#This Row],[Selling Price]]&lt;15000,"Budget",IF(FlipkartTable[[#This Row],[Selling Price]]&lt;50000,"Mid Range","Premium"))</f>
        <v>Mid Range</v>
      </c>
      <c r="M2860" t="str">
        <f>IF(FlipkartTable[[#This Row],[Rating]]&gt;4.5,"Excellent",IF(FlipkartTable[[#This Row],[Rating]]&gt;4,"Good",IF(FlipkartTable[[#This Row],[Rating]]&gt;3.5,"Average","Poor")))</f>
        <v>Good</v>
      </c>
    </row>
    <row r="2861" spans="1:13" x14ac:dyDescent="0.35">
      <c r="A2861" t="s">
        <v>343</v>
      </c>
      <c r="B2861" s="9" t="s">
        <v>1507</v>
      </c>
      <c r="C2861" t="s">
        <v>1508</v>
      </c>
      <c r="D2861" t="s">
        <v>14</v>
      </c>
      <c r="E2861" t="s">
        <v>15</v>
      </c>
      <c r="F2861">
        <v>4.5</v>
      </c>
      <c r="G2861">
        <v>19999</v>
      </c>
      <c r="H2861">
        <v>24999</v>
      </c>
      <c r="I2861">
        <f>FlipkartTable[[#This Row],[Original Price]]-FlipkartTable[[#This Row],[Selling Price]]</f>
        <v>5000</v>
      </c>
      <c r="J2861" s="4">
        <f>(FlipkartTable[[#This Row],[Original Price]]-FlipkartTable[[#This Row],[Selling Price]])/FlipkartTable[[#This Row],[Original Price]]</f>
        <v>0.20000800032001281</v>
      </c>
      <c r="K2861">
        <f>(FlipkartTable[[#This Row],[Rating]]/FlipkartTable[[#This Row],[Selling Price]])*1000</f>
        <v>0.2250112505625281</v>
      </c>
      <c r="L2861" t="str">
        <f>IF(FlipkartTable[[#This Row],[Selling Price]]&lt;15000,"Budget",IF(FlipkartTable[[#This Row],[Selling Price]]&lt;50000,"Mid Range","Premium"))</f>
        <v>Mid Range</v>
      </c>
      <c r="M2861" t="str">
        <f>IF(FlipkartTable[[#This Row],[Rating]]&gt;4.5,"Excellent",IF(FlipkartTable[[#This Row],[Rating]]&gt;4,"Good",IF(FlipkartTable[[#This Row],[Rating]]&gt;3.5,"Average","Poor")))</f>
        <v>Good</v>
      </c>
    </row>
    <row r="2862" spans="1:13" x14ac:dyDescent="0.35">
      <c r="A2862" t="s">
        <v>343</v>
      </c>
      <c r="B2862" s="9" t="s">
        <v>1507</v>
      </c>
      <c r="C2862" t="s">
        <v>1509</v>
      </c>
      <c r="D2862" t="s">
        <v>27</v>
      </c>
      <c r="E2862" t="s">
        <v>15</v>
      </c>
      <c r="F2862">
        <v>4.5</v>
      </c>
      <c r="G2862">
        <v>22999</v>
      </c>
      <c r="H2862">
        <v>26999</v>
      </c>
      <c r="I2862">
        <f>FlipkartTable[[#This Row],[Original Price]]-FlipkartTable[[#This Row],[Selling Price]]</f>
        <v>4000</v>
      </c>
      <c r="J2862" s="4">
        <f>(FlipkartTable[[#This Row],[Original Price]]-FlipkartTable[[#This Row],[Selling Price]])/FlipkartTable[[#This Row],[Original Price]]</f>
        <v>0.14815363531982667</v>
      </c>
      <c r="K2862">
        <f>(FlipkartTable[[#This Row],[Rating]]/FlipkartTable[[#This Row],[Selling Price]])*1000</f>
        <v>0.19566068089916952</v>
      </c>
      <c r="L2862" t="str">
        <f>IF(FlipkartTable[[#This Row],[Selling Price]]&lt;15000,"Budget",IF(FlipkartTable[[#This Row],[Selling Price]]&lt;50000,"Mid Range","Premium"))</f>
        <v>Mid Range</v>
      </c>
      <c r="M2862" t="str">
        <f>IF(FlipkartTable[[#This Row],[Rating]]&gt;4.5,"Excellent",IF(FlipkartTable[[#This Row],[Rating]]&gt;4,"Good",IF(FlipkartTable[[#This Row],[Rating]]&gt;3.5,"Average","Poor")))</f>
        <v>Good</v>
      </c>
    </row>
    <row r="2863" spans="1:13" x14ac:dyDescent="0.35">
      <c r="A2863" t="s">
        <v>343</v>
      </c>
      <c r="B2863" s="9" t="s">
        <v>1506</v>
      </c>
      <c r="C2863" t="s">
        <v>68</v>
      </c>
      <c r="D2863" t="s">
        <v>27</v>
      </c>
      <c r="E2863" t="s">
        <v>64</v>
      </c>
      <c r="F2863">
        <v>4.4000000000000004</v>
      </c>
      <c r="G2863">
        <v>28999</v>
      </c>
      <c r="H2863">
        <v>31999</v>
      </c>
      <c r="I2863">
        <f>FlipkartTable[[#This Row],[Original Price]]-FlipkartTable[[#This Row],[Selling Price]]</f>
        <v>3000</v>
      </c>
      <c r="J2863" s="4">
        <f>(FlipkartTable[[#This Row],[Original Price]]-FlipkartTable[[#This Row],[Selling Price]])/FlipkartTable[[#This Row],[Original Price]]</f>
        <v>9.3752929779055597E-2</v>
      </c>
      <c r="K2863">
        <f>(FlipkartTable[[#This Row],[Rating]]/FlipkartTable[[#This Row],[Selling Price]])*1000</f>
        <v>0.15172936997827513</v>
      </c>
      <c r="L2863" t="str">
        <f>IF(FlipkartTable[[#This Row],[Selling Price]]&lt;15000,"Budget",IF(FlipkartTable[[#This Row],[Selling Price]]&lt;50000,"Mid Range","Premium"))</f>
        <v>Mid Range</v>
      </c>
      <c r="M2863" t="str">
        <f>IF(FlipkartTable[[#This Row],[Rating]]&gt;4.5,"Excellent",IF(FlipkartTable[[#This Row],[Rating]]&gt;4,"Good",IF(FlipkartTable[[#This Row],[Rating]]&gt;3.5,"Average","Poor")))</f>
        <v>Good</v>
      </c>
    </row>
    <row r="2864" spans="1:13" x14ac:dyDescent="0.35">
      <c r="A2864" t="s">
        <v>343</v>
      </c>
      <c r="B2864" s="9" t="s">
        <v>1506</v>
      </c>
      <c r="C2864" t="s">
        <v>163</v>
      </c>
      <c r="D2864" t="s">
        <v>27</v>
      </c>
      <c r="E2864" t="s">
        <v>15</v>
      </c>
      <c r="F2864">
        <v>4.4000000000000004</v>
      </c>
      <c r="G2864">
        <v>26999</v>
      </c>
      <c r="H2864">
        <v>29999</v>
      </c>
      <c r="I2864">
        <f>FlipkartTable[[#This Row],[Original Price]]-FlipkartTable[[#This Row],[Selling Price]]</f>
        <v>3000</v>
      </c>
      <c r="J2864" s="4">
        <f>(FlipkartTable[[#This Row],[Original Price]]-FlipkartTable[[#This Row],[Selling Price]])/FlipkartTable[[#This Row],[Original Price]]</f>
        <v>0.10000333344444814</v>
      </c>
      <c r="K2864">
        <f>(FlipkartTable[[#This Row],[Rating]]/FlipkartTable[[#This Row],[Selling Price]])*1000</f>
        <v>0.16296899885180932</v>
      </c>
      <c r="L2864" t="str">
        <f>IF(FlipkartTable[[#This Row],[Selling Price]]&lt;15000,"Budget",IF(FlipkartTable[[#This Row],[Selling Price]]&lt;50000,"Mid Range","Premium"))</f>
        <v>Mid Range</v>
      </c>
      <c r="M2864" t="str">
        <f>IF(FlipkartTable[[#This Row],[Rating]]&gt;4.5,"Excellent",IF(FlipkartTable[[#This Row],[Rating]]&gt;4,"Good",IF(FlipkartTable[[#This Row],[Rating]]&gt;3.5,"Average","Poor")))</f>
        <v>Good</v>
      </c>
    </row>
    <row r="2865" spans="1:13" x14ac:dyDescent="0.35">
      <c r="A2865" t="s">
        <v>343</v>
      </c>
      <c r="B2865" s="9" t="s">
        <v>1510</v>
      </c>
      <c r="C2865" t="s">
        <v>1511</v>
      </c>
      <c r="D2865" t="s">
        <v>11</v>
      </c>
      <c r="E2865" t="s">
        <v>15</v>
      </c>
      <c r="F2865">
        <v>4.5</v>
      </c>
      <c r="G2865">
        <v>12999</v>
      </c>
      <c r="H2865">
        <v>14999</v>
      </c>
      <c r="I2865">
        <f>FlipkartTable[[#This Row],[Original Price]]-FlipkartTable[[#This Row],[Selling Price]]</f>
        <v>2000</v>
      </c>
      <c r="J2865" s="4">
        <f>(FlipkartTable[[#This Row],[Original Price]]-FlipkartTable[[#This Row],[Selling Price]])/FlipkartTable[[#This Row],[Original Price]]</f>
        <v>0.13334222281485433</v>
      </c>
      <c r="K2865">
        <f>(FlipkartTable[[#This Row],[Rating]]/FlipkartTable[[#This Row],[Selling Price]])*1000</f>
        <v>0.34618047542118624</v>
      </c>
      <c r="L2865" t="str">
        <f>IF(FlipkartTable[[#This Row],[Selling Price]]&lt;15000,"Budget",IF(FlipkartTable[[#This Row],[Selling Price]]&lt;50000,"Mid Range","Premium"))</f>
        <v>Budget</v>
      </c>
      <c r="M2865" t="str">
        <f>IF(FlipkartTable[[#This Row],[Rating]]&gt;4.5,"Excellent",IF(FlipkartTable[[#This Row],[Rating]]&gt;4,"Good",IF(FlipkartTable[[#This Row],[Rating]]&gt;3.5,"Average","Poor")))</f>
        <v>Good</v>
      </c>
    </row>
    <row r="2866" spans="1:13" x14ac:dyDescent="0.35">
      <c r="A2866" t="s">
        <v>343</v>
      </c>
      <c r="B2866" s="9" t="s">
        <v>1510</v>
      </c>
      <c r="C2866" t="s">
        <v>1511</v>
      </c>
      <c r="D2866" t="s">
        <v>11</v>
      </c>
      <c r="E2866" t="s">
        <v>12</v>
      </c>
      <c r="F2866">
        <v>4.5</v>
      </c>
      <c r="G2866">
        <v>11999</v>
      </c>
      <c r="H2866">
        <v>13999</v>
      </c>
      <c r="I2866">
        <f>FlipkartTable[[#This Row],[Original Price]]-FlipkartTable[[#This Row],[Selling Price]]</f>
        <v>2000</v>
      </c>
      <c r="J2866" s="4">
        <f>(FlipkartTable[[#This Row],[Original Price]]-FlipkartTable[[#This Row],[Selling Price]])/FlipkartTable[[#This Row],[Original Price]]</f>
        <v>0.14286734766769055</v>
      </c>
      <c r="K2866">
        <f>(FlipkartTable[[#This Row],[Rating]]/FlipkartTable[[#This Row],[Selling Price]])*1000</f>
        <v>0.37503125260438369</v>
      </c>
      <c r="L2866" t="str">
        <f>IF(FlipkartTable[[#This Row],[Selling Price]]&lt;15000,"Budget",IF(FlipkartTable[[#This Row],[Selling Price]]&lt;50000,"Mid Range","Premium"))</f>
        <v>Budget</v>
      </c>
      <c r="M2866" t="str">
        <f>IF(FlipkartTable[[#This Row],[Rating]]&gt;4.5,"Excellent",IF(FlipkartTable[[#This Row],[Rating]]&gt;4,"Good",IF(FlipkartTable[[#This Row],[Rating]]&gt;3.5,"Average","Poor")))</f>
        <v>Good</v>
      </c>
    </row>
    <row r="2867" spans="1:13" x14ac:dyDescent="0.35">
      <c r="A2867" t="s">
        <v>343</v>
      </c>
      <c r="B2867" s="9" t="s">
        <v>1510</v>
      </c>
      <c r="C2867" t="s">
        <v>146</v>
      </c>
      <c r="D2867" t="s">
        <v>11</v>
      </c>
      <c r="E2867" t="s">
        <v>15</v>
      </c>
      <c r="F2867">
        <v>4.5</v>
      </c>
      <c r="G2867">
        <v>12999</v>
      </c>
      <c r="H2867">
        <v>14999</v>
      </c>
      <c r="I2867">
        <f>FlipkartTable[[#This Row],[Original Price]]-FlipkartTable[[#This Row],[Selling Price]]</f>
        <v>2000</v>
      </c>
      <c r="J2867" s="4">
        <f>(FlipkartTable[[#This Row],[Original Price]]-FlipkartTable[[#This Row],[Selling Price]])/FlipkartTable[[#This Row],[Original Price]]</f>
        <v>0.13334222281485433</v>
      </c>
      <c r="K2867">
        <f>(FlipkartTable[[#This Row],[Rating]]/FlipkartTable[[#This Row],[Selling Price]])*1000</f>
        <v>0.34618047542118624</v>
      </c>
      <c r="L2867" t="str">
        <f>IF(FlipkartTable[[#This Row],[Selling Price]]&lt;15000,"Budget",IF(FlipkartTable[[#This Row],[Selling Price]]&lt;50000,"Mid Range","Premium"))</f>
        <v>Budget</v>
      </c>
      <c r="M2867" t="str">
        <f>IF(FlipkartTable[[#This Row],[Rating]]&gt;4.5,"Excellent",IF(FlipkartTable[[#This Row],[Rating]]&gt;4,"Good",IF(FlipkartTable[[#This Row],[Rating]]&gt;3.5,"Average","Poor")))</f>
        <v>Good</v>
      </c>
    </row>
    <row r="2868" spans="1:13" x14ac:dyDescent="0.35">
      <c r="A2868" t="s">
        <v>1122</v>
      </c>
      <c r="B2868" s="9" t="s">
        <v>1512</v>
      </c>
      <c r="C2868" t="s">
        <v>1127</v>
      </c>
      <c r="D2868" t="s">
        <v>14</v>
      </c>
      <c r="E2868" t="s">
        <v>12</v>
      </c>
      <c r="F2868">
        <v>4.4000000000000004</v>
      </c>
      <c r="G2868">
        <v>14999</v>
      </c>
      <c r="H2868">
        <v>17999</v>
      </c>
      <c r="I2868">
        <f>FlipkartTable[[#This Row],[Original Price]]-FlipkartTable[[#This Row],[Selling Price]]</f>
        <v>3000</v>
      </c>
      <c r="J2868" s="4">
        <f>(FlipkartTable[[#This Row],[Original Price]]-FlipkartTable[[#This Row],[Selling Price]])/FlipkartTable[[#This Row],[Original Price]]</f>
        <v>0.16667592644035781</v>
      </c>
      <c r="K2868">
        <f>(FlipkartTable[[#This Row],[Rating]]/FlipkartTable[[#This Row],[Selling Price]])*1000</f>
        <v>0.29335289019267952</v>
      </c>
      <c r="L2868" t="str">
        <f>IF(FlipkartTable[[#This Row],[Selling Price]]&lt;15000,"Budget",IF(FlipkartTable[[#This Row],[Selling Price]]&lt;50000,"Mid Range","Premium"))</f>
        <v>Budget</v>
      </c>
      <c r="M2868" t="str">
        <f>IF(FlipkartTable[[#This Row],[Rating]]&gt;4.5,"Excellent",IF(FlipkartTable[[#This Row],[Rating]]&gt;4,"Good",IF(FlipkartTable[[#This Row],[Rating]]&gt;3.5,"Average","Poor")))</f>
        <v>Good</v>
      </c>
    </row>
    <row r="2869" spans="1:13" x14ac:dyDescent="0.35">
      <c r="A2869" t="s">
        <v>1122</v>
      </c>
      <c r="B2869" s="9" t="s">
        <v>1512</v>
      </c>
      <c r="C2869" t="s">
        <v>345</v>
      </c>
      <c r="D2869" t="s">
        <v>14</v>
      </c>
      <c r="E2869" t="s">
        <v>12</v>
      </c>
      <c r="F2869">
        <v>4.4000000000000004</v>
      </c>
      <c r="G2869">
        <v>14999</v>
      </c>
      <c r="H2869">
        <v>17999</v>
      </c>
      <c r="I2869">
        <f>FlipkartTable[[#This Row],[Original Price]]-FlipkartTable[[#This Row],[Selling Price]]</f>
        <v>3000</v>
      </c>
      <c r="J2869" s="4">
        <f>(FlipkartTable[[#This Row],[Original Price]]-FlipkartTable[[#This Row],[Selling Price]])/FlipkartTable[[#This Row],[Original Price]]</f>
        <v>0.16667592644035781</v>
      </c>
      <c r="K2869">
        <f>(FlipkartTable[[#This Row],[Rating]]/FlipkartTable[[#This Row],[Selling Price]])*1000</f>
        <v>0.29335289019267952</v>
      </c>
      <c r="L2869" t="str">
        <f>IF(FlipkartTable[[#This Row],[Selling Price]]&lt;15000,"Budget",IF(FlipkartTable[[#This Row],[Selling Price]]&lt;50000,"Mid Range","Premium"))</f>
        <v>Budget</v>
      </c>
      <c r="M2869" t="str">
        <f>IF(FlipkartTable[[#This Row],[Rating]]&gt;4.5,"Excellent",IF(FlipkartTable[[#This Row],[Rating]]&gt;4,"Good",IF(FlipkartTable[[#This Row],[Rating]]&gt;3.5,"Average","Poor")))</f>
        <v>Good</v>
      </c>
    </row>
    <row r="2870" spans="1:13" x14ac:dyDescent="0.35">
      <c r="A2870" t="s">
        <v>1122</v>
      </c>
      <c r="B2870" s="9" t="s">
        <v>1512</v>
      </c>
      <c r="C2870" t="s">
        <v>345</v>
      </c>
      <c r="D2870" t="s">
        <v>14</v>
      </c>
      <c r="E2870" t="s">
        <v>15</v>
      </c>
      <c r="F2870">
        <v>4.4000000000000004</v>
      </c>
      <c r="G2870">
        <v>16499</v>
      </c>
      <c r="H2870">
        <v>19999</v>
      </c>
      <c r="I2870">
        <f>FlipkartTable[[#This Row],[Original Price]]-FlipkartTable[[#This Row],[Selling Price]]</f>
        <v>3500</v>
      </c>
      <c r="J2870" s="4">
        <f>(FlipkartTable[[#This Row],[Original Price]]-FlipkartTable[[#This Row],[Selling Price]])/FlipkartTable[[#This Row],[Original Price]]</f>
        <v>0.17500875043752187</v>
      </c>
      <c r="K2870">
        <f>(FlipkartTable[[#This Row],[Rating]]/FlipkartTable[[#This Row],[Selling Price]])*1000</f>
        <v>0.26668282926237952</v>
      </c>
      <c r="L2870" t="str">
        <f>IF(FlipkartTable[[#This Row],[Selling Price]]&lt;15000,"Budget",IF(FlipkartTable[[#This Row],[Selling Price]]&lt;50000,"Mid Range","Premium"))</f>
        <v>Mid Range</v>
      </c>
      <c r="M2870" t="str">
        <f>IF(FlipkartTable[[#This Row],[Rating]]&gt;4.5,"Excellent",IF(FlipkartTable[[#This Row],[Rating]]&gt;4,"Good",IF(FlipkartTable[[#This Row],[Rating]]&gt;3.5,"Average","Poor")))</f>
        <v>Good</v>
      </c>
    </row>
    <row r="2871" spans="1:13" x14ac:dyDescent="0.35">
      <c r="A2871" t="s">
        <v>1122</v>
      </c>
      <c r="B2871" s="9" t="s">
        <v>1512</v>
      </c>
      <c r="C2871" t="s">
        <v>1127</v>
      </c>
      <c r="D2871" t="s">
        <v>27</v>
      </c>
      <c r="E2871" t="s">
        <v>15</v>
      </c>
      <c r="F2871">
        <v>4.4000000000000004</v>
      </c>
      <c r="G2871">
        <v>17999</v>
      </c>
      <c r="H2871">
        <v>21999</v>
      </c>
      <c r="I2871">
        <f>FlipkartTable[[#This Row],[Original Price]]-FlipkartTable[[#This Row],[Selling Price]]</f>
        <v>4000</v>
      </c>
      <c r="J2871" s="4">
        <f>(FlipkartTable[[#This Row],[Original Price]]-FlipkartTable[[#This Row],[Selling Price]])/FlipkartTable[[#This Row],[Original Price]]</f>
        <v>0.18182644665666622</v>
      </c>
      <c r="K2871">
        <f>(FlipkartTable[[#This Row],[Rating]]/FlipkartTable[[#This Row],[Selling Price]])*1000</f>
        <v>0.24445802544585812</v>
      </c>
      <c r="L2871" t="str">
        <f>IF(FlipkartTable[[#This Row],[Selling Price]]&lt;15000,"Budget",IF(FlipkartTable[[#This Row],[Selling Price]]&lt;50000,"Mid Range","Premium"))</f>
        <v>Mid Range</v>
      </c>
      <c r="M2871" t="str">
        <f>IF(FlipkartTable[[#This Row],[Rating]]&gt;4.5,"Excellent",IF(FlipkartTable[[#This Row],[Rating]]&gt;4,"Good",IF(FlipkartTable[[#This Row],[Rating]]&gt;3.5,"Average","Poor")))</f>
        <v>Good</v>
      </c>
    </row>
    <row r="2872" spans="1:13" x14ac:dyDescent="0.35">
      <c r="A2872" t="s">
        <v>1122</v>
      </c>
      <c r="B2872" s="9" t="s">
        <v>1512</v>
      </c>
      <c r="C2872" t="s">
        <v>345</v>
      </c>
      <c r="D2872" t="s">
        <v>27</v>
      </c>
      <c r="E2872" t="s">
        <v>15</v>
      </c>
      <c r="F2872">
        <v>4.4000000000000004</v>
      </c>
      <c r="G2872">
        <v>17999</v>
      </c>
      <c r="H2872">
        <v>21999</v>
      </c>
      <c r="I2872">
        <f>FlipkartTable[[#This Row],[Original Price]]-FlipkartTable[[#This Row],[Selling Price]]</f>
        <v>4000</v>
      </c>
      <c r="J2872" s="4">
        <f>(FlipkartTable[[#This Row],[Original Price]]-FlipkartTable[[#This Row],[Selling Price]])/FlipkartTable[[#This Row],[Original Price]]</f>
        <v>0.18182644665666622</v>
      </c>
      <c r="K2872">
        <f>(FlipkartTable[[#This Row],[Rating]]/FlipkartTable[[#This Row],[Selling Price]])*1000</f>
        <v>0.24445802544585812</v>
      </c>
      <c r="L2872" t="str">
        <f>IF(FlipkartTable[[#This Row],[Selling Price]]&lt;15000,"Budget",IF(FlipkartTable[[#This Row],[Selling Price]]&lt;50000,"Mid Range","Premium"))</f>
        <v>Mid Range</v>
      </c>
      <c r="M2872" t="str">
        <f>IF(FlipkartTable[[#This Row],[Rating]]&gt;4.5,"Excellent",IF(FlipkartTable[[#This Row],[Rating]]&gt;4,"Good",IF(FlipkartTable[[#This Row],[Rating]]&gt;3.5,"Average","Poor")))</f>
        <v>Good</v>
      </c>
    </row>
    <row r="2873" spans="1:13" x14ac:dyDescent="0.35">
      <c r="A2873" t="s">
        <v>1122</v>
      </c>
      <c r="B2873" s="9" t="s">
        <v>1512</v>
      </c>
      <c r="C2873" t="s">
        <v>1127</v>
      </c>
      <c r="D2873" t="s">
        <v>14</v>
      </c>
      <c r="E2873" t="s">
        <v>15</v>
      </c>
      <c r="F2873">
        <v>4.4000000000000004</v>
      </c>
      <c r="G2873">
        <v>16499</v>
      </c>
      <c r="H2873">
        <v>19999</v>
      </c>
      <c r="I2873">
        <f>FlipkartTable[[#This Row],[Original Price]]-FlipkartTable[[#This Row],[Selling Price]]</f>
        <v>3500</v>
      </c>
      <c r="J2873" s="4">
        <f>(FlipkartTable[[#This Row],[Original Price]]-FlipkartTable[[#This Row],[Selling Price]])/FlipkartTable[[#This Row],[Original Price]]</f>
        <v>0.17500875043752187</v>
      </c>
      <c r="K2873">
        <f>(FlipkartTable[[#This Row],[Rating]]/FlipkartTable[[#This Row],[Selling Price]])*1000</f>
        <v>0.26668282926237952</v>
      </c>
      <c r="L2873" t="str">
        <f>IF(FlipkartTable[[#This Row],[Selling Price]]&lt;15000,"Budget",IF(FlipkartTable[[#This Row],[Selling Price]]&lt;50000,"Mid Range","Premium"))</f>
        <v>Mid Range</v>
      </c>
      <c r="M2873" t="str">
        <f>IF(FlipkartTable[[#This Row],[Rating]]&gt;4.5,"Excellent",IF(FlipkartTable[[#This Row],[Rating]]&gt;4,"Good",IF(FlipkartTable[[#This Row],[Rating]]&gt;3.5,"Average","Poor")))</f>
        <v>Good</v>
      </c>
    </row>
    <row r="2874" spans="1:13" x14ac:dyDescent="0.35">
      <c r="A2874" t="s">
        <v>1122</v>
      </c>
      <c r="B2874" s="9" t="s">
        <v>1513</v>
      </c>
      <c r="C2874" t="s">
        <v>345</v>
      </c>
      <c r="D2874" t="s">
        <v>11</v>
      </c>
      <c r="E2874" t="s">
        <v>12</v>
      </c>
      <c r="F2874">
        <v>4.5</v>
      </c>
      <c r="G2874">
        <v>14999</v>
      </c>
      <c r="H2874">
        <v>16999</v>
      </c>
      <c r="I2874">
        <f>FlipkartTable[[#This Row],[Original Price]]-FlipkartTable[[#This Row],[Selling Price]]</f>
        <v>2000</v>
      </c>
      <c r="J2874" s="4">
        <f>(FlipkartTable[[#This Row],[Original Price]]-FlipkartTable[[#This Row],[Selling Price]])/FlipkartTable[[#This Row],[Original Price]]</f>
        <v>0.11765397964586152</v>
      </c>
      <c r="K2874">
        <f>(FlipkartTable[[#This Row],[Rating]]/FlipkartTable[[#This Row],[Selling Price]])*1000</f>
        <v>0.30002000133342221</v>
      </c>
      <c r="L2874" t="str">
        <f>IF(FlipkartTable[[#This Row],[Selling Price]]&lt;15000,"Budget",IF(FlipkartTable[[#This Row],[Selling Price]]&lt;50000,"Mid Range","Premium"))</f>
        <v>Budget</v>
      </c>
      <c r="M2874" t="str">
        <f>IF(FlipkartTable[[#This Row],[Rating]]&gt;4.5,"Excellent",IF(FlipkartTable[[#This Row],[Rating]]&gt;4,"Good",IF(FlipkartTable[[#This Row],[Rating]]&gt;3.5,"Average","Poor")))</f>
        <v>Good</v>
      </c>
    </row>
    <row r="2875" spans="1:13" x14ac:dyDescent="0.35">
      <c r="A2875" t="s">
        <v>1122</v>
      </c>
      <c r="B2875" s="9" t="s">
        <v>1513</v>
      </c>
      <c r="C2875" t="s">
        <v>1127</v>
      </c>
      <c r="D2875" t="s">
        <v>27</v>
      </c>
      <c r="E2875" t="s">
        <v>15</v>
      </c>
      <c r="F2875">
        <v>4.4000000000000004</v>
      </c>
      <c r="G2875">
        <v>18999</v>
      </c>
      <c r="H2875">
        <v>21999</v>
      </c>
      <c r="I2875">
        <f>FlipkartTable[[#This Row],[Original Price]]-FlipkartTable[[#This Row],[Selling Price]]</f>
        <v>3000</v>
      </c>
      <c r="J2875" s="4">
        <f>(FlipkartTable[[#This Row],[Original Price]]-FlipkartTable[[#This Row],[Selling Price]])/FlipkartTable[[#This Row],[Original Price]]</f>
        <v>0.13636983499249966</v>
      </c>
      <c r="K2875">
        <f>(FlipkartTable[[#This Row],[Rating]]/FlipkartTable[[#This Row],[Selling Price]])*1000</f>
        <v>0.23159113637559872</v>
      </c>
      <c r="L2875" t="str">
        <f>IF(FlipkartTable[[#This Row],[Selling Price]]&lt;15000,"Budget",IF(FlipkartTable[[#This Row],[Selling Price]]&lt;50000,"Mid Range","Premium"))</f>
        <v>Mid Range</v>
      </c>
      <c r="M2875" t="str">
        <f>IF(FlipkartTable[[#This Row],[Rating]]&gt;4.5,"Excellent",IF(FlipkartTable[[#This Row],[Rating]]&gt;4,"Good",IF(FlipkartTable[[#This Row],[Rating]]&gt;3.5,"Average","Poor")))</f>
        <v>Good</v>
      </c>
    </row>
    <row r="2876" spans="1:13" x14ac:dyDescent="0.35">
      <c r="A2876" t="s">
        <v>1122</v>
      </c>
      <c r="B2876" s="9" t="s">
        <v>1513</v>
      </c>
      <c r="C2876" t="s">
        <v>329</v>
      </c>
      <c r="D2876" t="s">
        <v>14</v>
      </c>
      <c r="E2876" t="s">
        <v>15</v>
      </c>
      <c r="F2876">
        <v>4.4000000000000004</v>
      </c>
      <c r="G2876">
        <v>16999</v>
      </c>
      <c r="H2876">
        <v>19999</v>
      </c>
      <c r="I2876">
        <f>FlipkartTable[[#This Row],[Original Price]]-FlipkartTable[[#This Row],[Selling Price]]</f>
        <v>3000</v>
      </c>
      <c r="J2876" s="4">
        <f>(FlipkartTable[[#This Row],[Original Price]]-FlipkartTable[[#This Row],[Selling Price]])/FlipkartTable[[#This Row],[Original Price]]</f>
        <v>0.15000750037501875</v>
      </c>
      <c r="K2876">
        <f>(FlipkartTable[[#This Row],[Rating]]/FlipkartTable[[#This Row],[Selling Price]])*1000</f>
        <v>0.25883875522089539</v>
      </c>
      <c r="L2876" t="str">
        <f>IF(FlipkartTable[[#This Row],[Selling Price]]&lt;15000,"Budget",IF(FlipkartTable[[#This Row],[Selling Price]]&lt;50000,"Mid Range","Premium"))</f>
        <v>Mid Range</v>
      </c>
      <c r="M2876" t="str">
        <f>IF(FlipkartTable[[#This Row],[Rating]]&gt;4.5,"Excellent",IF(FlipkartTable[[#This Row],[Rating]]&gt;4,"Good",IF(FlipkartTable[[#This Row],[Rating]]&gt;3.5,"Average","Poor")))</f>
        <v>Good</v>
      </c>
    </row>
    <row r="2877" spans="1:13" x14ac:dyDescent="0.35">
      <c r="A2877" t="s">
        <v>1122</v>
      </c>
      <c r="B2877" s="9" t="s">
        <v>1513</v>
      </c>
      <c r="C2877" t="s">
        <v>345</v>
      </c>
      <c r="D2877" t="s">
        <v>14</v>
      </c>
      <c r="E2877" t="s">
        <v>15</v>
      </c>
      <c r="F2877">
        <v>4.4000000000000004</v>
      </c>
      <c r="G2877">
        <v>16999</v>
      </c>
      <c r="H2877">
        <v>19999</v>
      </c>
      <c r="I2877">
        <f>FlipkartTable[[#This Row],[Original Price]]-FlipkartTable[[#This Row],[Selling Price]]</f>
        <v>3000</v>
      </c>
      <c r="J2877" s="4">
        <f>(FlipkartTable[[#This Row],[Original Price]]-FlipkartTable[[#This Row],[Selling Price]])/FlipkartTable[[#This Row],[Original Price]]</f>
        <v>0.15000750037501875</v>
      </c>
      <c r="K2877">
        <f>(FlipkartTable[[#This Row],[Rating]]/FlipkartTable[[#This Row],[Selling Price]])*1000</f>
        <v>0.25883875522089539</v>
      </c>
      <c r="L2877" t="str">
        <f>IF(FlipkartTable[[#This Row],[Selling Price]]&lt;15000,"Budget",IF(FlipkartTable[[#This Row],[Selling Price]]&lt;50000,"Mid Range","Premium"))</f>
        <v>Mid Range</v>
      </c>
      <c r="M2877" t="str">
        <f>IF(FlipkartTable[[#This Row],[Rating]]&gt;4.5,"Excellent",IF(FlipkartTable[[#This Row],[Rating]]&gt;4,"Good",IF(FlipkartTable[[#This Row],[Rating]]&gt;3.5,"Average","Poor")))</f>
        <v>Good</v>
      </c>
    </row>
    <row r="2878" spans="1:13" x14ac:dyDescent="0.35">
      <c r="A2878" t="s">
        <v>1122</v>
      </c>
      <c r="B2878" s="9" t="s">
        <v>1513</v>
      </c>
      <c r="C2878" t="s">
        <v>329</v>
      </c>
      <c r="D2878" t="s">
        <v>11</v>
      </c>
      <c r="E2878" t="s">
        <v>12</v>
      </c>
      <c r="F2878">
        <v>4.5</v>
      </c>
      <c r="G2878">
        <v>14999</v>
      </c>
      <c r="H2878">
        <v>16999</v>
      </c>
      <c r="I2878">
        <f>FlipkartTable[[#This Row],[Original Price]]-FlipkartTable[[#This Row],[Selling Price]]</f>
        <v>2000</v>
      </c>
      <c r="J2878" s="4">
        <f>(FlipkartTable[[#This Row],[Original Price]]-FlipkartTable[[#This Row],[Selling Price]])/FlipkartTable[[#This Row],[Original Price]]</f>
        <v>0.11765397964586152</v>
      </c>
      <c r="K2878">
        <f>(FlipkartTable[[#This Row],[Rating]]/FlipkartTable[[#This Row],[Selling Price]])*1000</f>
        <v>0.30002000133342221</v>
      </c>
      <c r="L2878" t="str">
        <f>IF(FlipkartTable[[#This Row],[Selling Price]]&lt;15000,"Budget",IF(FlipkartTable[[#This Row],[Selling Price]]&lt;50000,"Mid Range","Premium"))</f>
        <v>Budget</v>
      </c>
      <c r="M2878" t="str">
        <f>IF(FlipkartTable[[#This Row],[Rating]]&gt;4.5,"Excellent",IF(FlipkartTable[[#This Row],[Rating]]&gt;4,"Good",IF(FlipkartTable[[#This Row],[Rating]]&gt;3.5,"Average","Poor")))</f>
        <v>Good</v>
      </c>
    </row>
    <row r="2879" spans="1:13" x14ac:dyDescent="0.35">
      <c r="A2879" t="s">
        <v>1122</v>
      </c>
      <c r="B2879" s="9" t="s">
        <v>1513</v>
      </c>
      <c r="C2879" t="s">
        <v>345</v>
      </c>
      <c r="D2879" t="s">
        <v>27</v>
      </c>
      <c r="E2879" t="s">
        <v>15</v>
      </c>
      <c r="F2879">
        <v>4.4000000000000004</v>
      </c>
      <c r="G2879">
        <v>18999</v>
      </c>
      <c r="H2879">
        <v>21999</v>
      </c>
      <c r="I2879">
        <f>FlipkartTable[[#This Row],[Original Price]]-FlipkartTable[[#This Row],[Selling Price]]</f>
        <v>3000</v>
      </c>
      <c r="J2879" s="4">
        <f>(FlipkartTable[[#This Row],[Original Price]]-FlipkartTable[[#This Row],[Selling Price]])/FlipkartTable[[#This Row],[Original Price]]</f>
        <v>0.13636983499249966</v>
      </c>
      <c r="K2879">
        <f>(FlipkartTable[[#This Row],[Rating]]/FlipkartTable[[#This Row],[Selling Price]])*1000</f>
        <v>0.23159113637559872</v>
      </c>
      <c r="L2879" t="str">
        <f>IF(FlipkartTable[[#This Row],[Selling Price]]&lt;15000,"Budget",IF(FlipkartTable[[#This Row],[Selling Price]]&lt;50000,"Mid Range","Premium"))</f>
        <v>Mid Range</v>
      </c>
      <c r="M2879" t="str">
        <f>IF(FlipkartTable[[#This Row],[Rating]]&gt;4.5,"Excellent",IF(FlipkartTable[[#This Row],[Rating]]&gt;4,"Good",IF(FlipkartTable[[#This Row],[Rating]]&gt;3.5,"Average","Poor")))</f>
        <v>Good</v>
      </c>
    </row>
    <row r="2880" spans="1:13" x14ac:dyDescent="0.35">
      <c r="A2880" t="s">
        <v>1122</v>
      </c>
      <c r="B2880" s="9" t="s">
        <v>1513</v>
      </c>
      <c r="C2880" t="s">
        <v>1127</v>
      </c>
      <c r="D2880" t="s">
        <v>11</v>
      </c>
      <c r="E2880" t="s">
        <v>12</v>
      </c>
      <c r="F2880">
        <v>4.5</v>
      </c>
      <c r="G2880">
        <v>14999</v>
      </c>
      <c r="H2880">
        <v>16999</v>
      </c>
      <c r="I2880">
        <f>FlipkartTable[[#This Row],[Original Price]]-FlipkartTable[[#This Row],[Selling Price]]</f>
        <v>2000</v>
      </c>
      <c r="J2880" s="4">
        <f>(FlipkartTable[[#This Row],[Original Price]]-FlipkartTable[[#This Row],[Selling Price]])/FlipkartTable[[#This Row],[Original Price]]</f>
        <v>0.11765397964586152</v>
      </c>
      <c r="K2880">
        <f>(FlipkartTable[[#This Row],[Rating]]/FlipkartTable[[#This Row],[Selling Price]])*1000</f>
        <v>0.30002000133342221</v>
      </c>
      <c r="L2880" t="str">
        <f>IF(FlipkartTable[[#This Row],[Selling Price]]&lt;15000,"Budget",IF(FlipkartTable[[#This Row],[Selling Price]]&lt;50000,"Mid Range","Premium"))</f>
        <v>Budget</v>
      </c>
      <c r="M2880" t="str">
        <f>IF(FlipkartTable[[#This Row],[Rating]]&gt;4.5,"Excellent",IF(FlipkartTable[[#This Row],[Rating]]&gt;4,"Good",IF(FlipkartTable[[#This Row],[Rating]]&gt;3.5,"Average","Poor")))</f>
        <v>Good</v>
      </c>
    </row>
    <row r="2881" spans="1:13" x14ac:dyDescent="0.35">
      <c r="A2881" t="s">
        <v>1122</v>
      </c>
      <c r="B2881" s="9" t="s">
        <v>1513</v>
      </c>
      <c r="C2881" t="s">
        <v>329</v>
      </c>
      <c r="D2881" t="s">
        <v>27</v>
      </c>
      <c r="E2881" t="s">
        <v>15</v>
      </c>
      <c r="F2881">
        <v>4.4000000000000004</v>
      </c>
      <c r="G2881">
        <v>18999</v>
      </c>
      <c r="H2881">
        <v>21999</v>
      </c>
      <c r="I2881">
        <f>FlipkartTable[[#This Row],[Original Price]]-FlipkartTable[[#This Row],[Selling Price]]</f>
        <v>3000</v>
      </c>
      <c r="J2881" s="4">
        <f>(FlipkartTable[[#This Row],[Original Price]]-FlipkartTable[[#This Row],[Selling Price]])/FlipkartTable[[#This Row],[Original Price]]</f>
        <v>0.13636983499249966</v>
      </c>
      <c r="K2881">
        <f>(FlipkartTable[[#This Row],[Rating]]/FlipkartTable[[#This Row],[Selling Price]])*1000</f>
        <v>0.23159113637559872</v>
      </c>
      <c r="L2881" t="str">
        <f>IF(FlipkartTable[[#This Row],[Selling Price]]&lt;15000,"Budget",IF(FlipkartTable[[#This Row],[Selling Price]]&lt;50000,"Mid Range","Premium"))</f>
        <v>Mid Range</v>
      </c>
      <c r="M2881" t="str">
        <f>IF(FlipkartTable[[#This Row],[Rating]]&gt;4.5,"Excellent",IF(FlipkartTable[[#This Row],[Rating]]&gt;4,"Good",IF(FlipkartTable[[#This Row],[Rating]]&gt;3.5,"Average","Poor")))</f>
        <v>Good</v>
      </c>
    </row>
    <row r="2882" spans="1:13" x14ac:dyDescent="0.35">
      <c r="A2882" t="s">
        <v>1122</v>
      </c>
      <c r="B2882" s="9" t="s">
        <v>1513</v>
      </c>
      <c r="C2882" t="s">
        <v>1127</v>
      </c>
      <c r="D2882" t="s">
        <v>14</v>
      </c>
      <c r="E2882" t="s">
        <v>15</v>
      </c>
      <c r="F2882">
        <v>4.4000000000000004</v>
      </c>
      <c r="G2882">
        <v>16999</v>
      </c>
      <c r="H2882">
        <v>19999</v>
      </c>
      <c r="I2882">
        <f>FlipkartTable[[#This Row],[Original Price]]-FlipkartTable[[#This Row],[Selling Price]]</f>
        <v>3000</v>
      </c>
      <c r="J2882" s="4">
        <f>(FlipkartTable[[#This Row],[Original Price]]-FlipkartTable[[#This Row],[Selling Price]])/FlipkartTable[[#This Row],[Original Price]]</f>
        <v>0.15000750037501875</v>
      </c>
      <c r="K2882">
        <f>(FlipkartTable[[#This Row],[Rating]]/FlipkartTable[[#This Row],[Selling Price]])*1000</f>
        <v>0.25883875522089539</v>
      </c>
      <c r="L2882" t="str">
        <f>IF(FlipkartTable[[#This Row],[Selling Price]]&lt;15000,"Budget",IF(FlipkartTable[[#This Row],[Selling Price]]&lt;50000,"Mid Range","Premium"))</f>
        <v>Mid Range</v>
      </c>
      <c r="M2882" t="str">
        <f>IF(FlipkartTable[[#This Row],[Rating]]&gt;4.5,"Excellent",IF(FlipkartTable[[#This Row],[Rating]]&gt;4,"Good",IF(FlipkartTable[[#This Row],[Rating]]&gt;3.5,"Average","Poor")))</f>
        <v>Good</v>
      </c>
    </row>
    <row r="2883" spans="1:13" x14ac:dyDescent="0.35">
      <c r="A2883" t="s">
        <v>663</v>
      </c>
      <c r="B2883" s="9" t="s">
        <v>1514</v>
      </c>
      <c r="C2883" t="s">
        <v>647</v>
      </c>
      <c r="D2883" t="s">
        <v>27</v>
      </c>
      <c r="E2883" t="s">
        <v>15</v>
      </c>
      <c r="F2883">
        <v>4.3</v>
      </c>
      <c r="G2883">
        <v>54990</v>
      </c>
      <c r="H2883">
        <v>54990</v>
      </c>
      <c r="I2883">
        <f>FlipkartTable[[#This Row],[Original Price]]-FlipkartTable[[#This Row],[Selling Price]]</f>
        <v>0</v>
      </c>
      <c r="J2883" s="4">
        <f>(FlipkartTable[[#This Row],[Original Price]]-FlipkartTable[[#This Row],[Selling Price]])/FlipkartTable[[#This Row],[Original Price]]</f>
        <v>0</v>
      </c>
      <c r="K2883">
        <f>(FlipkartTable[[#This Row],[Rating]]/FlipkartTable[[#This Row],[Selling Price]])*1000</f>
        <v>7.819603564284415E-2</v>
      </c>
      <c r="L2883" t="str">
        <f>IF(FlipkartTable[[#This Row],[Selling Price]]&lt;15000,"Budget",IF(FlipkartTable[[#This Row],[Selling Price]]&lt;50000,"Mid Range","Premium"))</f>
        <v>Premium</v>
      </c>
      <c r="M2883" t="str">
        <f>IF(FlipkartTable[[#This Row],[Rating]]&gt;4.5,"Excellent",IF(FlipkartTable[[#This Row],[Rating]]&gt;4,"Good",IF(FlipkartTable[[#This Row],[Rating]]&gt;3.5,"Average","Poor")))</f>
        <v>Good</v>
      </c>
    </row>
    <row r="2884" spans="1:13" x14ac:dyDescent="0.35">
      <c r="A2884" t="s">
        <v>663</v>
      </c>
      <c r="B2884" s="9" t="s">
        <v>1515</v>
      </c>
      <c r="C2884" t="s">
        <v>340</v>
      </c>
      <c r="D2884" t="s">
        <v>11</v>
      </c>
      <c r="E2884" t="s">
        <v>15</v>
      </c>
      <c r="F2884">
        <v>4</v>
      </c>
      <c r="G2884">
        <v>15999</v>
      </c>
      <c r="H2884">
        <v>22999</v>
      </c>
      <c r="I2884">
        <f>FlipkartTable[[#This Row],[Original Price]]-FlipkartTable[[#This Row],[Selling Price]]</f>
        <v>7000</v>
      </c>
      <c r="J2884" s="4">
        <f>(FlipkartTable[[#This Row],[Original Price]]-FlipkartTable[[#This Row],[Selling Price]])/FlipkartTable[[#This Row],[Original Price]]</f>
        <v>0.30436105917648593</v>
      </c>
      <c r="K2884">
        <f>(FlipkartTable[[#This Row],[Rating]]/FlipkartTable[[#This Row],[Selling Price]])*1000</f>
        <v>0.25001562597662352</v>
      </c>
      <c r="L2884" t="str">
        <f>IF(FlipkartTable[[#This Row],[Selling Price]]&lt;15000,"Budget",IF(FlipkartTable[[#This Row],[Selling Price]]&lt;50000,"Mid Range","Premium"))</f>
        <v>Mid Range</v>
      </c>
      <c r="M2884" t="str">
        <f>IF(FlipkartTable[[#This Row],[Rating]]&gt;4.5,"Excellent",IF(FlipkartTable[[#This Row],[Rating]]&gt;4,"Good",IF(FlipkartTable[[#This Row],[Rating]]&gt;3.5,"Average","Poor")))</f>
        <v>Average</v>
      </c>
    </row>
    <row r="2885" spans="1:13" x14ac:dyDescent="0.35">
      <c r="A2885" t="s">
        <v>663</v>
      </c>
      <c r="B2885" s="9" t="s">
        <v>1514</v>
      </c>
      <c r="C2885" t="s">
        <v>1340</v>
      </c>
      <c r="D2885" t="s">
        <v>27</v>
      </c>
      <c r="E2885" t="s">
        <v>15</v>
      </c>
      <c r="F2885">
        <v>4.3</v>
      </c>
      <c r="G2885">
        <v>59990</v>
      </c>
      <c r="H2885">
        <v>59990</v>
      </c>
      <c r="I2885">
        <f>FlipkartTable[[#This Row],[Original Price]]-FlipkartTable[[#This Row],[Selling Price]]</f>
        <v>0</v>
      </c>
      <c r="J2885" s="4">
        <f>(FlipkartTable[[#This Row],[Original Price]]-FlipkartTable[[#This Row],[Selling Price]])/FlipkartTable[[#This Row],[Original Price]]</f>
        <v>0</v>
      </c>
      <c r="K2885">
        <f>(FlipkartTable[[#This Row],[Rating]]/FlipkartTable[[#This Row],[Selling Price]])*1000</f>
        <v>7.1678613102183694E-2</v>
      </c>
      <c r="L2885" t="str">
        <f>IF(FlipkartTable[[#This Row],[Selling Price]]&lt;15000,"Budget",IF(FlipkartTable[[#This Row],[Selling Price]]&lt;50000,"Mid Range","Premium"))</f>
        <v>Premium</v>
      </c>
      <c r="M2885" t="str">
        <f>IF(FlipkartTable[[#This Row],[Rating]]&gt;4.5,"Excellent",IF(FlipkartTable[[#This Row],[Rating]]&gt;4,"Good",IF(FlipkartTable[[#This Row],[Rating]]&gt;3.5,"Average","Poor")))</f>
        <v>Good</v>
      </c>
    </row>
    <row r="2886" spans="1:13" x14ac:dyDescent="0.35">
      <c r="A2886" t="s">
        <v>663</v>
      </c>
      <c r="B2886" s="9" t="s">
        <v>1515</v>
      </c>
      <c r="C2886" t="s">
        <v>465</v>
      </c>
      <c r="D2886" t="s">
        <v>14</v>
      </c>
      <c r="E2886" t="s">
        <v>15</v>
      </c>
      <c r="F2886">
        <v>4</v>
      </c>
      <c r="G2886">
        <v>16999</v>
      </c>
      <c r="H2886">
        <v>23999</v>
      </c>
      <c r="I2886">
        <f>FlipkartTable[[#This Row],[Original Price]]-FlipkartTable[[#This Row],[Selling Price]]</f>
        <v>7000</v>
      </c>
      <c r="J2886" s="4">
        <f>(FlipkartTable[[#This Row],[Original Price]]-FlipkartTable[[#This Row],[Selling Price]])/FlipkartTable[[#This Row],[Original Price]]</f>
        <v>0.29167881995083128</v>
      </c>
      <c r="K2886">
        <f>(FlipkartTable[[#This Row],[Rating]]/FlipkartTable[[#This Row],[Selling Price]])*1000</f>
        <v>0.23530795929172305</v>
      </c>
      <c r="L2886" t="str">
        <f>IF(FlipkartTable[[#This Row],[Selling Price]]&lt;15000,"Budget",IF(FlipkartTable[[#This Row],[Selling Price]]&lt;50000,"Mid Range","Premium"))</f>
        <v>Mid Range</v>
      </c>
      <c r="M2886" t="str">
        <f>IF(FlipkartTable[[#This Row],[Rating]]&gt;4.5,"Excellent",IF(FlipkartTable[[#This Row],[Rating]]&gt;4,"Good",IF(FlipkartTable[[#This Row],[Rating]]&gt;3.5,"Average","Poor")))</f>
        <v>Average</v>
      </c>
    </row>
    <row r="2887" spans="1:13" x14ac:dyDescent="0.35">
      <c r="A2887" t="s">
        <v>663</v>
      </c>
      <c r="B2887" s="9" t="s">
        <v>1515</v>
      </c>
      <c r="C2887" t="s">
        <v>340</v>
      </c>
      <c r="D2887" t="s">
        <v>14</v>
      </c>
      <c r="E2887" t="s">
        <v>15</v>
      </c>
      <c r="F2887">
        <v>4</v>
      </c>
      <c r="G2887">
        <v>16999</v>
      </c>
      <c r="H2887">
        <v>23999</v>
      </c>
      <c r="I2887">
        <f>FlipkartTable[[#This Row],[Original Price]]-FlipkartTable[[#This Row],[Selling Price]]</f>
        <v>7000</v>
      </c>
      <c r="J2887" s="4">
        <f>(FlipkartTable[[#This Row],[Original Price]]-FlipkartTable[[#This Row],[Selling Price]])/FlipkartTable[[#This Row],[Original Price]]</f>
        <v>0.29167881995083128</v>
      </c>
      <c r="K2887">
        <f>(FlipkartTable[[#This Row],[Rating]]/FlipkartTable[[#This Row],[Selling Price]])*1000</f>
        <v>0.23530795929172305</v>
      </c>
      <c r="L2887" t="str">
        <f>IF(FlipkartTable[[#This Row],[Selling Price]]&lt;15000,"Budget",IF(FlipkartTable[[#This Row],[Selling Price]]&lt;50000,"Mid Range","Premium"))</f>
        <v>Mid Range</v>
      </c>
      <c r="M2887" t="str">
        <f>IF(FlipkartTable[[#This Row],[Rating]]&gt;4.5,"Excellent",IF(FlipkartTable[[#This Row],[Rating]]&gt;4,"Good",IF(FlipkartTable[[#This Row],[Rating]]&gt;3.5,"Average","Poor")))</f>
        <v>Average</v>
      </c>
    </row>
    <row r="2888" spans="1:13" x14ac:dyDescent="0.35">
      <c r="A2888" t="s">
        <v>663</v>
      </c>
      <c r="B2888" s="9" t="s">
        <v>1515</v>
      </c>
      <c r="C2888" t="s">
        <v>465</v>
      </c>
      <c r="D2888" t="s">
        <v>11</v>
      </c>
      <c r="E2888" t="s">
        <v>15</v>
      </c>
      <c r="F2888">
        <v>4</v>
      </c>
      <c r="G2888">
        <v>15999</v>
      </c>
      <c r="H2888">
        <v>22999</v>
      </c>
      <c r="I2888">
        <f>FlipkartTable[[#This Row],[Original Price]]-FlipkartTable[[#This Row],[Selling Price]]</f>
        <v>7000</v>
      </c>
      <c r="J2888" s="4">
        <f>(FlipkartTable[[#This Row],[Original Price]]-FlipkartTable[[#This Row],[Selling Price]])/FlipkartTable[[#This Row],[Original Price]]</f>
        <v>0.30436105917648593</v>
      </c>
      <c r="K2888">
        <f>(FlipkartTable[[#This Row],[Rating]]/FlipkartTable[[#This Row],[Selling Price]])*1000</f>
        <v>0.25001562597662352</v>
      </c>
      <c r="L2888" t="str">
        <f>IF(FlipkartTable[[#This Row],[Selling Price]]&lt;15000,"Budget",IF(FlipkartTable[[#This Row],[Selling Price]]&lt;50000,"Mid Range","Premium"))</f>
        <v>Mid Range</v>
      </c>
      <c r="M2888" t="str">
        <f>IF(FlipkartTable[[#This Row],[Rating]]&gt;4.5,"Excellent",IF(FlipkartTable[[#This Row],[Rating]]&gt;4,"Good",IF(FlipkartTable[[#This Row],[Rating]]&gt;3.5,"Average","Poor")))</f>
        <v>Average</v>
      </c>
    </row>
    <row r="2889" spans="1:13" x14ac:dyDescent="0.35">
      <c r="A2889" t="s">
        <v>663</v>
      </c>
      <c r="B2889" s="9" t="s">
        <v>1516</v>
      </c>
      <c r="C2889" t="s">
        <v>22</v>
      </c>
      <c r="D2889" t="s">
        <v>35</v>
      </c>
      <c r="E2889" t="s">
        <v>21</v>
      </c>
      <c r="F2889">
        <v>4</v>
      </c>
      <c r="G2889">
        <v>7999</v>
      </c>
      <c r="H2889">
        <v>10499</v>
      </c>
      <c r="I2889">
        <f>FlipkartTable[[#This Row],[Original Price]]-FlipkartTable[[#This Row],[Selling Price]]</f>
        <v>2500</v>
      </c>
      <c r="J2889" s="4">
        <f>(FlipkartTable[[#This Row],[Original Price]]-FlipkartTable[[#This Row],[Selling Price]])/FlipkartTable[[#This Row],[Original Price]]</f>
        <v>0.23811791599199925</v>
      </c>
      <c r="K2889">
        <f>(FlipkartTable[[#This Row],[Rating]]/FlipkartTable[[#This Row],[Selling Price]])*1000</f>
        <v>0.50006250781347672</v>
      </c>
      <c r="L2889" t="str">
        <f>IF(FlipkartTable[[#This Row],[Selling Price]]&lt;15000,"Budget",IF(FlipkartTable[[#This Row],[Selling Price]]&lt;50000,"Mid Range","Premium"))</f>
        <v>Budget</v>
      </c>
      <c r="M2889" t="str">
        <f>IF(FlipkartTable[[#This Row],[Rating]]&gt;4.5,"Excellent",IF(FlipkartTable[[#This Row],[Rating]]&gt;4,"Good",IF(FlipkartTable[[#This Row],[Rating]]&gt;3.5,"Average","Poor")))</f>
        <v>Average</v>
      </c>
    </row>
    <row r="2890" spans="1:13" x14ac:dyDescent="0.35">
      <c r="A2890" t="s">
        <v>663</v>
      </c>
      <c r="B2890" s="9" t="s">
        <v>1516</v>
      </c>
      <c r="C2890" t="s">
        <v>19</v>
      </c>
      <c r="D2890" t="s">
        <v>35</v>
      </c>
      <c r="E2890" t="s">
        <v>21</v>
      </c>
      <c r="F2890">
        <v>4</v>
      </c>
      <c r="G2890">
        <v>7999</v>
      </c>
      <c r="H2890">
        <v>10499</v>
      </c>
      <c r="I2890">
        <f>FlipkartTable[[#This Row],[Original Price]]-FlipkartTable[[#This Row],[Selling Price]]</f>
        <v>2500</v>
      </c>
      <c r="J2890" s="4">
        <f>(FlipkartTable[[#This Row],[Original Price]]-FlipkartTable[[#This Row],[Selling Price]])/FlipkartTable[[#This Row],[Original Price]]</f>
        <v>0.23811791599199925</v>
      </c>
      <c r="K2890">
        <f>(FlipkartTable[[#This Row],[Rating]]/FlipkartTable[[#This Row],[Selling Price]])*1000</f>
        <v>0.50006250781347672</v>
      </c>
      <c r="L2890" t="str">
        <f>IF(FlipkartTable[[#This Row],[Selling Price]]&lt;15000,"Budget",IF(FlipkartTable[[#This Row],[Selling Price]]&lt;50000,"Mid Range","Premium"))</f>
        <v>Budget</v>
      </c>
      <c r="M2890" t="str">
        <f>IF(FlipkartTable[[#This Row],[Rating]]&gt;4.5,"Excellent",IF(FlipkartTable[[#This Row],[Rating]]&gt;4,"Good",IF(FlipkartTable[[#This Row],[Rating]]&gt;3.5,"Average","Poor")))</f>
        <v>Average</v>
      </c>
    </row>
    <row r="2891" spans="1:13" x14ac:dyDescent="0.35">
      <c r="A2891" t="s">
        <v>663</v>
      </c>
      <c r="B2891" s="9" t="s">
        <v>712</v>
      </c>
      <c r="C2891" t="s">
        <v>713</v>
      </c>
      <c r="D2891" t="s">
        <v>27</v>
      </c>
      <c r="E2891" t="s">
        <v>15</v>
      </c>
      <c r="F2891">
        <v>4.4000000000000004</v>
      </c>
      <c r="G2891">
        <v>22910</v>
      </c>
      <c r="H2891">
        <v>23900</v>
      </c>
      <c r="I2891">
        <f>FlipkartTable[[#This Row],[Original Price]]-FlipkartTable[[#This Row],[Selling Price]]</f>
        <v>990</v>
      </c>
      <c r="J2891" s="4">
        <f>(FlipkartTable[[#This Row],[Original Price]]-FlipkartTable[[#This Row],[Selling Price]])/FlipkartTable[[#This Row],[Original Price]]</f>
        <v>4.1422594142259413E-2</v>
      </c>
      <c r="K2891">
        <f>(FlipkartTable[[#This Row],[Rating]]/FlipkartTable[[#This Row],[Selling Price]])*1000</f>
        <v>0.19205587079877784</v>
      </c>
      <c r="L2891" t="str">
        <f>IF(FlipkartTable[[#This Row],[Selling Price]]&lt;15000,"Budget",IF(FlipkartTable[[#This Row],[Selling Price]]&lt;50000,"Mid Range","Premium"))</f>
        <v>Mid Range</v>
      </c>
      <c r="M2891" t="str">
        <f>IF(FlipkartTable[[#This Row],[Rating]]&gt;4.5,"Excellent",IF(FlipkartTable[[#This Row],[Rating]]&gt;4,"Good",IF(FlipkartTable[[#This Row],[Rating]]&gt;3.5,"Average","Poor")))</f>
        <v>Good</v>
      </c>
    </row>
    <row r="2892" spans="1:13" x14ac:dyDescent="0.35">
      <c r="A2892" t="s">
        <v>663</v>
      </c>
      <c r="B2892" s="9" t="s">
        <v>712</v>
      </c>
      <c r="C2892" t="s">
        <v>694</v>
      </c>
      <c r="D2892" t="s">
        <v>27</v>
      </c>
      <c r="E2892" t="s">
        <v>15</v>
      </c>
      <c r="F2892">
        <v>4.4000000000000004</v>
      </c>
      <c r="G2892">
        <v>22930</v>
      </c>
      <c r="H2892">
        <v>26990</v>
      </c>
      <c r="I2892">
        <f>FlipkartTable[[#This Row],[Original Price]]-FlipkartTable[[#This Row],[Selling Price]]</f>
        <v>4060</v>
      </c>
      <c r="J2892" s="4">
        <f>(FlipkartTable[[#This Row],[Original Price]]-FlipkartTable[[#This Row],[Selling Price]])/FlipkartTable[[#This Row],[Original Price]]</f>
        <v>0.15042608373471655</v>
      </c>
      <c r="K2892">
        <f>(FlipkartTable[[#This Row],[Rating]]/FlipkartTable[[#This Row],[Selling Price]])*1000</f>
        <v>0.19188835586567815</v>
      </c>
      <c r="L2892" t="str">
        <f>IF(FlipkartTable[[#This Row],[Selling Price]]&lt;15000,"Budget",IF(FlipkartTable[[#This Row],[Selling Price]]&lt;50000,"Mid Range","Premium"))</f>
        <v>Mid Range</v>
      </c>
      <c r="M2892" t="str">
        <f>IF(FlipkartTable[[#This Row],[Rating]]&gt;4.5,"Excellent",IF(FlipkartTable[[#This Row],[Rating]]&gt;4,"Good",IF(FlipkartTable[[#This Row],[Rating]]&gt;3.5,"Average","Poor")))</f>
        <v>Good</v>
      </c>
    </row>
    <row r="2893" spans="1:13" x14ac:dyDescent="0.35">
      <c r="A2893" t="s">
        <v>663</v>
      </c>
      <c r="B2893" s="9" t="s">
        <v>1517</v>
      </c>
      <c r="C2893" t="s">
        <v>1518</v>
      </c>
      <c r="D2893" t="s">
        <v>27</v>
      </c>
      <c r="E2893" t="s">
        <v>15</v>
      </c>
      <c r="F2893">
        <v>4.3</v>
      </c>
      <c r="G2893">
        <v>27839</v>
      </c>
      <c r="H2893">
        <v>31889</v>
      </c>
      <c r="I2893">
        <f>FlipkartTable[[#This Row],[Original Price]]-FlipkartTable[[#This Row],[Selling Price]]</f>
        <v>4050</v>
      </c>
      <c r="J2893" s="4">
        <f>(FlipkartTable[[#This Row],[Original Price]]-FlipkartTable[[#This Row],[Selling Price]])/FlipkartTable[[#This Row],[Original Price]]</f>
        <v>0.12700304180124808</v>
      </c>
      <c r="K2893">
        <f>(FlipkartTable[[#This Row],[Rating]]/FlipkartTable[[#This Row],[Selling Price]])*1000</f>
        <v>0.15445957110528397</v>
      </c>
      <c r="L2893" t="str">
        <f>IF(FlipkartTable[[#This Row],[Selling Price]]&lt;15000,"Budget",IF(FlipkartTable[[#This Row],[Selling Price]]&lt;50000,"Mid Range","Premium"))</f>
        <v>Mid Range</v>
      </c>
      <c r="M2893" t="str">
        <f>IF(FlipkartTable[[#This Row],[Rating]]&gt;4.5,"Excellent",IF(FlipkartTable[[#This Row],[Rating]]&gt;4,"Good",IF(FlipkartTable[[#This Row],[Rating]]&gt;3.5,"Average","Poor")))</f>
        <v>Good</v>
      </c>
    </row>
    <row r="2894" spans="1:13" x14ac:dyDescent="0.35">
      <c r="A2894" t="s">
        <v>663</v>
      </c>
      <c r="B2894" s="9" t="s">
        <v>1517</v>
      </c>
      <c r="C2894" t="s">
        <v>1518</v>
      </c>
      <c r="D2894" t="s">
        <v>14</v>
      </c>
      <c r="E2894" t="s">
        <v>15</v>
      </c>
      <c r="F2894">
        <v>4.3</v>
      </c>
      <c r="G2894">
        <v>25990</v>
      </c>
      <c r="H2894">
        <v>25990</v>
      </c>
      <c r="I2894">
        <f>FlipkartTable[[#This Row],[Original Price]]-FlipkartTable[[#This Row],[Selling Price]]</f>
        <v>0</v>
      </c>
      <c r="J2894" s="4">
        <f>(FlipkartTable[[#This Row],[Original Price]]-FlipkartTable[[#This Row],[Selling Price]])/FlipkartTable[[#This Row],[Original Price]]</f>
        <v>0</v>
      </c>
      <c r="K2894">
        <f>(FlipkartTable[[#This Row],[Rating]]/FlipkartTable[[#This Row],[Selling Price]])*1000</f>
        <v>0.16544824932666408</v>
      </c>
      <c r="L2894" t="str">
        <f>IF(FlipkartTable[[#This Row],[Selling Price]]&lt;15000,"Budget",IF(FlipkartTable[[#This Row],[Selling Price]]&lt;50000,"Mid Range","Premium"))</f>
        <v>Mid Range</v>
      </c>
      <c r="M2894" t="str">
        <f>IF(FlipkartTable[[#This Row],[Rating]]&gt;4.5,"Excellent",IF(FlipkartTable[[#This Row],[Rating]]&gt;4,"Good",IF(FlipkartTable[[#This Row],[Rating]]&gt;3.5,"Average","Poor")))</f>
        <v>Good</v>
      </c>
    </row>
    <row r="2895" spans="1:13" x14ac:dyDescent="0.35">
      <c r="A2895" t="s">
        <v>663</v>
      </c>
      <c r="B2895" s="9" t="s">
        <v>1517</v>
      </c>
      <c r="C2895" t="s">
        <v>1519</v>
      </c>
      <c r="D2895" t="s">
        <v>14</v>
      </c>
      <c r="E2895" t="s">
        <v>15</v>
      </c>
      <c r="F2895">
        <v>4.3</v>
      </c>
      <c r="G2895">
        <v>25489</v>
      </c>
      <c r="H2895">
        <v>28449</v>
      </c>
      <c r="I2895">
        <f>FlipkartTable[[#This Row],[Original Price]]-FlipkartTable[[#This Row],[Selling Price]]</f>
        <v>2960</v>
      </c>
      <c r="J2895" s="4">
        <f>(FlipkartTable[[#This Row],[Original Price]]-FlipkartTable[[#This Row],[Selling Price]])/FlipkartTable[[#This Row],[Original Price]]</f>
        <v>0.10404583640901262</v>
      </c>
      <c r="K2895">
        <f>(FlipkartTable[[#This Row],[Rating]]/FlipkartTable[[#This Row],[Selling Price]])*1000</f>
        <v>0.16870022362587783</v>
      </c>
      <c r="L2895" t="str">
        <f>IF(FlipkartTable[[#This Row],[Selling Price]]&lt;15000,"Budget",IF(FlipkartTable[[#This Row],[Selling Price]]&lt;50000,"Mid Range","Premium"))</f>
        <v>Mid Range</v>
      </c>
      <c r="M2895" t="str">
        <f>IF(FlipkartTable[[#This Row],[Rating]]&gt;4.5,"Excellent",IF(FlipkartTable[[#This Row],[Rating]]&gt;4,"Good",IF(FlipkartTable[[#This Row],[Rating]]&gt;3.5,"Average","Poor")))</f>
        <v>Good</v>
      </c>
    </row>
    <row r="2896" spans="1:13" x14ac:dyDescent="0.35">
      <c r="A2896" t="s">
        <v>663</v>
      </c>
      <c r="B2896" s="9" t="s">
        <v>1517</v>
      </c>
      <c r="C2896" t="s">
        <v>1519</v>
      </c>
      <c r="D2896" t="s">
        <v>27</v>
      </c>
      <c r="E2896" t="s">
        <v>15</v>
      </c>
      <c r="F2896">
        <v>4.3</v>
      </c>
      <c r="G2896">
        <v>27239</v>
      </c>
      <c r="H2896">
        <v>31489</v>
      </c>
      <c r="I2896">
        <f>FlipkartTable[[#This Row],[Original Price]]-FlipkartTable[[#This Row],[Selling Price]]</f>
        <v>4250</v>
      </c>
      <c r="J2896" s="4">
        <f>(FlipkartTable[[#This Row],[Original Price]]-FlipkartTable[[#This Row],[Selling Price]])/FlipkartTable[[#This Row],[Original Price]]</f>
        <v>0.13496776652164247</v>
      </c>
      <c r="K2896">
        <f>(FlipkartTable[[#This Row],[Rating]]/FlipkartTable[[#This Row],[Selling Price]])*1000</f>
        <v>0.15786188920298103</v>
      </c>
      <c r="L2896" t="str">
        <f>IF(FlipkartTable[[#This Row],[Selling Price]]&lt;15000,"Budget",IF(FlipkartTable[[#This Row],[Selling Price]]&lt;50000,"Mid Range","Premium"))</f>
        <v>Mid Range</v>
      </c>
      <c r="M2896" t="str">
        <f>IF(FlipkartTable[[#This Row],[Rating]]&gt;4.5,"Excellent",IF(FlipkartTable[[#This Row],[Rating]]&gt;4,"Good",IF(FlipkartTable[[#This Row],[Rating]]&gt;3.5,"Average","Poor")))</f>
        <v>Good</v>
      </c>
    </row>
    <row r="2897" spans="1:13" x14ac:dyDescent="0.35">
      <c r="A2897" t="s">
        <v>663</v>
      </c>
      <c r="B2897" s="9" t="s">
        <v>1517</v>
      </c>
      <c r="C2897" t="s">
        <v>707</v>
      </c>
      <c r="D2897" t="s">
        <v>27</v>
      </c>
      <c r="E2897" t="s">
        <v>15</v>
      </c>
      <c r="F2897">
        <v>4.2</v>
      </c>
      <c r="G2897">
        <v>22989</v>
      </c>
      <c r="H2897">
        <v>22989</v>
      </c>
      <c r="I2897">
        <f>FlipkartTable[[#This Row],[Original Price]]-FlipkartTable[[#This Row],[Selling Price]]</f>
        <v>0</v>
      </c>
      <c r="J2897" s="4">
        <f>(FlipkartTable[[#This Row],[Original Price]]-FlipkartTable[[#This Row],[Selling Price]])/FlipkartTable[[#This Row],[Original Price]]</f>
        <v>0</v>
      </c>
      <c r="K2897">
        <f>(FlipkartTable[[#This Row],[Rating]]/FlipkartTable[[#This Row],[Selling Price]])*1000</f>
        <v>0.18269607203445129</v>
      </c>
      <c r="L2897" t="str">
        <f>IF(FlipkartTable[[#This Row],[Selling Price]]&lt;15000,"Budget",IF(FlipkartTable[[#This Row],[Selling Price]]&lt;50000,"Mid Range","Premium"))</f>
        <v>Mid Range</v>
      </c>
      <c r="M2897" t="str">
        <f>IF(FlipkartTable[[#This Row],[Rating]]&gt;4.5,"Excellent",IF(FlipkartTable[[#This Row],[Rating]]&gt;4,"Good",IF(FlipkartTable[[#This Row],[Rating]]&gt;3.5,"Average","Poor")))</f>
        <v>Good</v>
      </c>
    </row>
    <row r="2898" spans="1:13" x14ac:dyDescent="0.35">
      <c r="A2898" t="s">
        <v>663</v>
      </c>
      <c r="B2898" s="9" t="s">
        <v>1517</v>
      </c>
      <c r="C2898" t="s">
        <v>668</v>
      </c>
      <c r="D2898" t="s">
        <v>27</v>
      </c>
      <c r="E2898" t="s">
        <v>15</v>
      </c>
      <c r="F2898">
        <v>4.2</v>
      </c>
      <c r="G2898">
        <v>20350</v>
      </c>
      <c r="H2898">
        <v>22595</v>
      </c>
      <c r="I2898">
        <f>FlipkartTable[[#This Row],[Original Price]]-FlipkartTable[[#This Row],[Selling Price]]</f>
        <v>2245</v>
      </c>
      <c r="J2898" s="4">
        <f>(FlipkartTable[[#This Row],[Original Price]]-FlipkartTable[[#This Row],[Selling Price]])/FlipkartTable[[#This Row],[Original Price]]</f>
        <v>9.9358265102898871E-2</v>
      </c>
      <c r="K2898">
        <f>(FlipkartTable[[#This Row],[Rating]]/FlipkartTable[[#This Row],[Selling Price]])*1000</f>
        <v>0.20638820638820637</v>
      </c>
      <c r="L2898" t="str">
        <f>IF(FlipkartTable[[#This Row],[Selling Price]]&lt;15000,"Budget",IF(FlipkartTable[[#This Row],[Selling Price]]&lt;50000,"Mid Range","Premium"))</f>
        <v>Mid Range</v>
      </c>
      <c r="M2898" t="str">
        <f>IF(FlipkartTable[[#This Row],[Rating]]&gt;4.5,"Excellent",IF(FlipkartTable[[#This Row],[Rating]]&gt;4,"Good",IF(FlipkartTable[[#This Row],[Rating]]&gt;3.5,"Average","Poor")))</f>
        <v>Good</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04C3C-5E95-46C6-A5EC-2D56638B234D}">
  <dimension ref="A5:E49"/>
  <sheetViews>
    <sheetView topLeftCell="A28" workbookViewId="0">
      <selection activeCell="A2" sqref="A2"/>
    </sheetView>
  </sheetViews>
  <sheetFormatPr defaultRowHeight="14.5" x14ac:dyDescent="0.35"/>
  <cols>
    <col min="1" max="1" width="14" bestFit="1" customWidth="1"/>
    <col min="2" max="2" width="5.08984375" bestFit="1" customWidth="1"/>
    <col min="3" max="3" width="17.7265625" bestFit="1" customWidth="1"/>
    <col min="4" max="4" width="35" bestFit="1" customWidth="1"/>
    <col min="5" max="5" width="15.54296875" bestFit="1" customWidth="1"/>
  </cols>
  <sheetData>
    <row r="5" spans="1:5" x14ac:dyDescent="0.35">
      <c r="B5" s="2" t="s">
        <v>1527</v>
      </c>
    </row>
    <row r="6" spans="1:5" x14ac:dyDescent="0.35">
      <c r="A6" s="2" t="s">
        <v>0</v>
      </c>
      <c r="B6" t="s">
        <v>1522</v>
      </c>
      <c r="C6" t="s">
        <v>1528</v>
      </c>
      <c r="D6" t="s">
        <v>1529</v>
      </c>
      <c r="E6" t="s">
        <v>1524</v>
      </c>
    </row>
    <row r="7" spans="1:5" x14ac:dyDescent="0.35">
      <c r="A7" t="s">
        <v>663</v>
      </c>
      <c r="B7" s="13">
        <v>685</v>
      </c>
      <c r="C7" s="4">
        <v>5.9986411625973957E-2</v>
      </c>
      <c r="D7" s="13">
        <v>0.35338604819624175</v>
      </c>
      <c r="E7" s="13">
        <v>4.2080291970802977</v>
      </c>
    </row>
    <row r="8" spans="1:5" x14ac:dyDescent="0.35">
      <c r="A8" t="s">
        <v>633</v>
      </c>
      <c r="B8" s="13">
        <v>319</v>
      </c>
      <c r="C8" s="4">
        <v>4.7044463947948721E-2</v>
      </c>
      <c r="D8" s="13">
        <v>7.7970038641410402E-2</v>
      </c>
      <c r="E8" s="13">
        <v>4.5702194357366865</v>
      </c>
    </row>
    <row r="9" spans="1:5" x14ac:dyDescent="0.35">
      <c r="A9" t="s">
        <v>343</v>
      </c>
      <c r="B9" s="13">
        <v>281</v>
      </c>
      <c r="C9" s="4">
        <v>8.3662394651547858E-2</v>
      </c>
      <c r="D9" s="13">
        <v>0.31945468429103224</v>
      </c>
      <c r="E9" s="13">
        <v>4.3928825622775776</v>
      </c>
    </row>
    <row r="10" spans="1:5" x14ac:dyDescent="0.35">
      <c r="A10" t="s">
        <v>8</v>
      </c>
      <c r="B10" s="13">
        <v>251</v>
      </c>
      <c r="C10" s="4">
        <v>8.4334795257961254E-2</v>
      </c>
      <c r="D10" s="13">
        <v>0.27443196846656009</v>
      </c>
      <c r="E10" s="13">
        <v>4.2984063745019796</v>
      </c>
    </row>
    <row r="11" spans="1:5" x14ac:dyDescent="0.35">
      <c r="A11" t="s">
        <v>1181</v>
      </c>
      <c r="B11" s="13">
        <v>191</v>
      </c>
      <c r="C11" s="4">
        <v>3.9333911724524787E-2</v>
      </c>
      <c r="D11" s="13">
        <v>0.3139478900891533</v>
      </c>
      <c r="E11" s="13">
        <v>4.304712041884807</v>
      </c>
    </row>
    <row r="12" spans="1:5" x14ac:dyDescent="0.35">
      <c r="A12" t="s">
        <v>550</v>
      </c>
      <c r="B12" s="13">
        <v>184</v>
      </c>
      <c r="C12" s="4">
        <v>5.7713313139495029E-2</v>
      </c>
      <c r="D12" s="13">
        <v>0.89400558418866571</v>
      </c>
      <c r="E12" s="13">
        <v>4.0059782608695649</v>
      </c>
    </row>
    <row r="13" spans="1:5" x14ac:dyDescent="0.35">
      <c r="A13" t="s">
        <v>1406</v>
      </c>
      <c r="B13" s="13">
        <v>151</v>
      </c>
      <c r="C13" s="4">
        <v>6.877392729358521E-2</v>
      </c>
      <c r="D13" s="13">
        <v>0.40941448228463523</v>
      </c>
      <c r="E13" s="13">
        <v>4.2768211920529815</v>
      </c>
    </row>
    <row r="14" spans="1:5" x14ac:dyDescent="0.35">
      <c r="A14" t="s">
        <v>475</v>
      </c>
      <c r="B14" s="13">
        <v>127</v>
      </c>
      <c r="C14" s="4">
        <v>5.9939770069674325E-2</v>
      </c>
      <c r="D14" s="13">
        <v>0.72471697300429849</v>
      </c>
      <c r="E14" s="13">
        <v>3.8511811023622085</v>
      </c>
    </row>
    <row r="15" spans="1:5" x14ac:dyDescent="0.35">
      <c r="A15" t="s">
        <v>975</v>
      </c>
      <c r="B15" s="13">
        <v>120</v>
      </c>
      <c r="C15" s="4">
        <v>2.4345998601385723E-2</v>
      </c>
      <c r="D15" s="13">
        <v>0.46105361407163764</v>
      </c>
      <c r="E15" s="13">
        <v>3.9750000000000028</v>
      </c>
    </row>
    <row r="16" spans="1:5" x14ac:dyDescent="0.35">
      <c r="A16" t="s">
        <v>1131</v>
      </c>
      <c r="B16" s="13">
        <v>114</v>
      </c>
      <c r="C16" s="4">
        <v>4.8011495855403513E-2</v>
      </c>
      <c r="D16" s="13">
        <v>0.22996464236432124</v>
      </c>
      <c r="E16" s="13">
        <v>4.3929824561403494</v>
      </c>
    </row>
    <row r="17" spans="1:5" x14ac:dyDescent="0.35">
      <c r="A17" t="s">
        <v>305</v>
      </c>
      <c r="B17" s="13">
        <v>111</v>
      </c>
      <c r="C17" s="4">
        <v>1.3569269868716295E-2</v>
      </c>
      <c r="D17" s="13">
        <v>0.38558594638283622</v>
      </c>
      <c r="E17" s="13">
        <v>4.0828828828828865</v>
      </c>
    </row>
    <row r="18" spans="1:5" x14ac:dyDescent="0.35">
      <c r="A18" t="s">
        <v>1036</v>
      </c>
      <c r="B18" s="13">
        <v>103</v>
      </c>
      <c r="C18" s="4">
        <v>0.12774220137163519</v>
      </c>
      <c r="D18" s="13">
        <v>0.34551100389569905</v>
      </c>
      <c r="E18" s="13">
        <v>4.1427184466019407</v>
      </c>
    </row>
    <row r="19" spans="1:5" x14ac:dyDescent="0.35">
      <c r="A19" t="s">
        <v>207</v>
      </c>
      <c r="B19" s="13">
        <v>98</v>
      </c>
      <c r="C19" s="4">
        <v>8.8069980071286413E-2</v>
      </c>
      <c r="D19" s="13">
        <v>0.30264099274117329</v>
      </c>
      <c r="E19" s="13">
        <v>3.9816326530612249</v>
      </c>
    </row>
    <row r="20" spans="1:5" x14ac:dyDescent="0.35">
      <c r="A20" t="s">
        <v>1122</v>
      </c>
      <c r="B20" s="13">
        <v>73</v>
      </c>
      <c r="C20" s="4">
        <v>0.14543372004409699</v>
      </c>
      <c r="D20" s="13">
        <v>0.3007888105638501</v>
      </c>
      <c r="E20" s="13">
        <v>4.38767123287671</v>
      </c>
    </row>
    <row r="21" spans="1:5" x14ac:dyDescent="0.35">
      <c r="A21" t="s">
        <v>186</v>
      </c>
      <c r="B21" s="13">
        <v>55</v>
      </c>
      <c r="C21" s="4">
        <v>0</v>
      </c>
      <c r="D21" s="13">
        <v>0.20625698820207466</v>
      </c>
      <c r="E21" s="13">
        <v>3.969090909090911</v>
      </c>
    </row>
    <row r="22" spans="1:5" x14ac:dyDescent="0.35">
      <c r="A22" t="s">
        <v>195</v>
      </c>
      <c r="B22" s="13">
        <v>29</v>
      </c>
      <c r="C22" s="4">
        <v>2.0685055938186293E-2</v>
      </c>
      <c r="D22" s="13">
        <v>9.4281063606020218E-2</v>
      </c>
      <c r="E22" s="13">
        <v>4.5068965517241377</v>
      </c>
    </row>
    <row r="23" spans="1:5" x14ac:dyDescent="0.35">
      <c r="A23" t="s">
        <v>191</v>
      </c>
      <c r="B23" s="13">
        <v>5</v>
      </c>
      <c r="C23" s="4">
        <v>9.0656265938318548E-2</v>
      </c>
      <c r="D23" s="13">
        <v>0.11863356816177047</v>
      </c>
      <c r="E23" s="13">
        <v>4.4000000000000004</v>
      </c>
    </row>
    <row r="24" spans="1:5" x14ac:dyDescent="0.35">
      <c r="A24" t="s">
        <v>1520</v>
      </c>
      <c r="B24" s="13">
        <v>2897</v>
      </c>
      <c r="C24" s="4">
        <v>6.22241686799258E-2</v>
      </c>
      <c r="D24" s="13">
        <v>0.3555853374077898</v>
      </c>
      <c r="E24" s="13">
        <v>4.241318605453845</v>
      </c>
    </row>
    <row r="30" spans="1:5" x14ac:dyDescent="0.35">
      <c r="A30" s="2" t="s">
        <v>1522</v>
      </c>
    </row>
    <row r="31" spans="1:5" x14ac:dyDescent="0.35">
      <c r="A31" s="2" t="s">
        <v>0</v>
      </c>
      <c r="B31" t="s">
        <v>1521</v>
      </c>
    </row>
    <row r="32" spans="1:5" x14ac:dyDescent="0.35">
      <c r="A32" t="s">
        <v>663</v>
      </c>
      <c r="B32" s="13">
        <v>685</v>
      </c>
    </row>
    <row r="33" spans="1:2" x14ac:dyDescent="0.35">
      <c r="A33" t="s">
        <v>633</v>
      </c>
      <c r="B33" s="13">
        <v>319</v>
      </c>
    </row>
    <row r="34" spans="1:2" x14ac:dyDescent="0.35">
      <c r="A34" t="s">
        <v>343</v>
      </c>
      <c r="B34" s="13">
        <v>281</v>
      </c>
    </row>
    <row r="35" spans="1:2" x14ac:dyDescent="0.35">
      <c r="A35" t="s">
        <v>8</v>
      </c>
      <c r="B35" s="13">
        <v>251</v>
      </c>
    </row>
    <row r="36" spans="1:2" x14ac:dyDescent="0.35">
      <c r="A36" t="s">
        <v>1181</v>
      </c>
      <c r="B36" s="13">
        <v>191</v>
      </c>
    </row>
    <row r="37" spans="1:2" x14ac:dyDescent="0.35">
      <c r="A37" t="s">
        <v>550</v>
      </c>
      <c r="B37" s="13">
        <v>184</v>
      </c>
    </row>
    <row r="38" spans="1:2" x14ac:dyDescent="0.35">
      <c r="A38" t="s">
        <v>1406</v>
      </c>
      <c r="B38" s="13">
        <v>151</v>
      </c>
    </row>
    <row r="39" spans="1:2" x14ac:dyDescent="0.35">
      <c r="A39" t="s">
        <v>475</v>
      </c>
      <c r="B39" s="13">
        <v>127</v>
      </c>
    </row>
    <row r="40" spans="1:2" x14ac:dyDescent="0.35">
      <c r="A40" t="s">
        <v>975</v>
      </c>
      <c r="B40" s="13">
        <v>120</v>
      </c>
    </row>
    <row r="41" spans="1:2" x14ac:dyDescent="0.35">
      <c r="A41" t="s">
        <v>1131</v>
      </c>
      <c r="B41" s="13">
        <v>114</v>
      </c>
    </row>
    <row r="42" spans="1:2" x14ac:dyDescent="0.35">
      <c r="A42" t="s">
        <v>305</v>
      </c>
      <c r="B42" s="13">
        <v>111</v>
      </c>
    </row>
    <row r="43" spans="1:2" x14ac:dyDescent="0.35">
      <c r="A43" t="s">
        <v>1036</v>
      </c>
      <c r="B43" s="13">
        <v>103</v>
      </c>
    </row>
    <row r="44" spans="1:2" x14ac:dyDescent="0.35">
      <c r="A44" t="s">
        <v>207</v>
      </c>
      <c r="B44" s="13">
        <v>98</v>
      </c>
    </row>
    <row r="45" spans="1:2" x14ac:dyDescent="0.35">
      <c r="A45" t="s">
        <v>1122</v>
      </c>
      <c r="B45" s="13">
        <v>73</v>
      </c>
    </row>
    <row r="46" spans="1:2" x14ac:dyDescent="0.35">
      <c r="A46" t="s">
        <v>186</v>
      </c>
      <c r="B46" s="13">
        <v>55</v>
      </c>
    </row>
    <row r="47" spans="1:2" x14ac:dyDescent="0.35">
      <c r="A47" t="s">
        <v>195</v>
      </c>
      <c r="B47" s="13">
        <v>29</v>
      </c>
    </row>
    <row r="48" spans="1:2" x14ac:dyDescent="0.35">
      <c r="A48" t="s">
        <v>191</v>
      </c>
      <c r="B48" s="13">
        <v>5</v>
      </c>
    </row>
    <row r="49" spans="1:2" x14ac:dyDescent="0.35">
      <c r="A49" t="s">
        <v>1520</v>
      </c>
      <c r="B49" s="13">
        <v>2897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6D51B-1BB2-4DFC-880E-D3CF8820C858}">
  <dimension ref="A5:J24"/>
  <sheetViews>
    <sheetView topLeftCell="A4" workbookViewId="0">
      <selection activeCell="A2" sqref="A2"/>
    </sheetView>
  </sheetViews>
  <sheetFormatPr defaultRowHeight="14.5" x14ac:dyDescent="0.35"/>
  <cols>
    <col min="1" max="1" width="15.54296875" bestFit="1" customWidth="1"/>
    <col min="2" max="3" width="5.08984375" bestFit="1" customWidth="1"/>
    <col min="4" max="4" width="22.54296875" bestFit="1" customWidth="1"/>
    <col min="5" max="5" width="21.81640625" bestFit="1" customWidth="1"/>
    <col min="6" max="9" width="16.1796875" bestFit="1" customWidth="1"/>
    <col min="10" max="11" width="10.7265625" bestFit="1" customWidth="1"/>
  </cols>
  <sheetData>
    <row r="5" spans="1:10" x14ac:dyDescent="0.35">
      <c r="A5" s="2" t="s">
        <v>1524</v>
      </c>
      <c r="E5" s="2" t="s">
        <v>1539</v>
      </c>
      <c r="F5" s="2" t="s">
        <v>1534</v>
      </c>
    </row>
    <row r="6" spans="1:10" x14ac:dyDescent="0.35">
      <c r="A6" s="2" t="s">
        <v>0</v>
      </c>
      <c r="B6" t="s">
        <v>1521</v>
      </c>
      <c r="E6" s="2" t="s">
        <v>0</v>
      </c>
      <c r="F6" t="s">
        <v>1535</v>
      </c>
      <c r="G6" t="s">
        <v>1536</v>
      </c>
      <c r="H6" t="s">
        <v>1537</v>
      </c>
      <c r="I6" t="s">
        <v>1538</v>
      </c>
      <c r="J6" t="s">
        <v>1520</v>
      </c>
    </row>
    <row r="7" spans="1:10" x14ac:dyDescent="0.35">
      <c r="A7" t="s">
        <v>633</v>
      </c>
      <c r="B7" s="3">
        <v>4.5702194357366865</v>
      </c>
      <c r="E7" t="s">
        <v>633</v>
      </c>
      <c r="F7" s="5"/>
      <c r="G7" s="5">
        <v>191</v>
      </c>
      <c r="H7" s="5">
        <v>128</v>
      </c>
      <c r="I7" s="5"/>
      <c r="J7" s="5">
        <v>319</v>
      </c>
    </row>
    <row r="8" spans="1:10" x14ac:dyDescent="0.35">
      <c r="A8" t="s">
        <v>195</v>
      </c>
      <c r="B8" s="3">
        <v>4.5068965517241377</v>
      </c>
      <c r="E8" t="s">
        <v>305</v>
      </c>
      <c r="F8" s="5">
        <v>51</v>
      </c>
      <c r="G8" s="5">
        <v>2</v>
      </c>
      <c r="H8" s="5">
        <v>58</v>
      </c>
      <c r="I8" s="5"/>
      <c r="J8" s="5">
        <v>111</v>
      </c>
    </row>
    <row r="9" spans="1:10" x14ac:dyDescent="0.35">
      <c r="A9" t="s">
        <v>191</v>
      </c>
      <c r="B9" s="3">
        <v>4.4000000000000004</v>
      </c>
      <c r="E9" t="s">
        <v>475</v>
      </c>
      <c r="F9" s="5">
        <v>84</v>
      </c>
      <c r="G9" s="5"/>
      <c r="H9" s="5">
        <v>32</v>
      </c>
      <c r="I9" s="5">
        <v>11</v>
      </c>
      <c r="J9" s="5">
        <v>127</v>
      </c>
    </row>
    <row r="10" spans="1:10" x14ac:dyDescent="0.35">
      <c r="A10" t="s">
        <v>1131</v>
      </c>
      <c r="B10" s="3">
        <v>4.3929824561403494</v>
      </c>
      <c r="E10" t="s">
        <v>195</v>
      </c>
      <c r="F10" s="5"/>
      <c r="G10" s="5">
        <v>10</v>
      </c>
      <c r="H10" s="5">
        <v>19</v>
      </c>
      <c r="I10" s="5"/>
      <c r="J10" s="5">
        <v>29</v>
      </c>
    </row>
    <row r="11" spans="1:10" x14ac:dyDescent="0.35">
      <c r="A11" t="s">
        <v>343</v>
      </c>
      <c r="B11" s="3">
        <v>4.3928825622775776</v>
      </c>
      <c r="E11" t="s">
        <v>186</v>
      </c>
      <c r="F11" s="5">
        <v>37</v>
      </c>
      <c r="G11" s="5">
        <v>5</v>
      </c>
      <c r="H11" s="5">
        <v>11</v>
      </c>
      <c r="I11" s="5">
        <v>2</v>
      </c>
      <c r="J11" s="5">
        <v>55</v>
      </c>
    </row>
    <row r="12" spans="1:10" x14ac:dyDescent="0.35">
      <c r="A12" t="s">
        <v>1122</v>
      </c>
      <c r="B12" s="3">
        <v>4.38767123287671</v>
      </c>
      <c r="E12" t="s">
        <v>1406</v>
      </c>
      <c r="F12" s="5">
        <v>5</v>
      </c>
      <c r="G12" s="5"/>
      <c r="H12" s="5">
        <v>146</v>
      </c>
      <c r="I12" s="5"/>
      <c r="J12" s="5">
        <v>151</v>
      </c>
    </row>
    <row r="13" spans="1:10" x14ac:dyDescent="0.35">
      <c r="A13" t="s">
        <v>1181</v>
      </c>
      <c r="B13" s="3">
        <v>4.304712041884807</v>
      </c>
      <c r="E13" t="s">
        <v>191</v>
      </c>
      <c r="F13" s="5"/>
      <c r="G13" s="5"/>
      <c r="H13" s="5">
        <v>5</v>
      </c>
      <c r="I13" s="5"/>
      <c r="J13" s="5">
        <v>5</v>
      </c>
    </row>
    <row r="14" spans="1:10" x14ac:dyDescent="0.35">
      <c r="A14" t="s">
        <v>8</v>
      </c>
      <c r="B14" s="3">
        <v>4.2984063745019796</v>
      </c>
      <c r="E14" t="s">
        <v>975</v>
      </c>
      <c r="F14" s="5">
        <v>64</v>
      </c>
      <c r="G14" s="5"/>
      <c r="H14" s="5">
        <v>52</v>
      </c>
      <c r="I14" s="5">
        <v>4</v>
      </c>
      <c r="J14" s="5">
        <v>120</v>
      </c>
    </row>
    <row r="15" spans="1:10" x14ac:dyDescent="0.35">
      <c r="A15" t="s">
        <v>1406</v>
      </c>
      <c r="B15" s="3">
        <v>4.2768211920529815</v>
      </c>
      <c r="E15" t="s">
        <v>207</v>
      </c>
      <c r="F15" s="5">
        <v>54</v>
      </c>
      <c r="G15" s="5"/>
      <c r="H15" s="5">
        <v>36</v>
      </c>
      <c r="I15" s="5">
        <v>8</v>
      </c>
      <c r="J15" s="5">
        <v>98</v>
      </c>
    </row>
    <row r="16" spans="1:10" x14ac:dyDescent="0.35">
      <c r="A16" t="s">
        <v>663</v>
      </c>
      <c r="B16" s="3">
        <v>4.2080291970802977</v>
      </c>
      <c r="E16" t="s">
        <v>1036</v>
      </c>
      <c r="F16" s="5">
        <v>19</v>
      </c>
      <c r="G16" s="5"/>
      <c r="H16" s="5">
        <v>83</v>
      </c>
      <c r="I16" s="5">
        <v>1</v>
      </c>
      <c r="J16" s="5">
        <v>103</v>
      </c>
    </row>
    <row r="17" spans="1:10" x14ac:dyDescent="0.35">
      <c r="A17" t="s">
        <v>1036</v>
      </c>
      <c r="B17" s="3">
        <v>4.1427184466019407</v>
      </c>
      <c r="E17" t="s">
        <v>550</v>
      </c>
      <c r="F17" s="5">
        <v>97</v>
      </c>
      <c r="G17" s="5"/>
      <c r="H17" s="5">
        <v>83</v>
      </c>
      <c r="I17" s="5">
        <v>4</v>
      </c>
      <c r="J17" s="5">
        <v>184</v>
      </c>
    </row>
    <row r="18" spans="1:10" x14ac:dyDescent="0.35">
      <c r="A18" t="s">
        <v>305</v>
      </c>
      <c r="B18" s="3">
        <v>4.0828828828828865</v>
      </c>
      <c r="E18" t="s">
        <v>8</v>
      </c>
      <c r="F18" s="5">
        <v>15</v>
      </c>
      <c r="G18" s="5">
        <v>2</v>
      </c>
      <c r="H18" s="5">
        <v>231</v>
      </c>
      <c r="I18" s="5">
        <v>3</v>
      </c>
      <c r="J18" s="5">
        <v>251</v>
      </c>
    </row>
    <row r="19" spans="1:10" x14ac:dyDescent="0.35">
      <c r="A19" t="s">
        <v>550</v>
      </c>
      <c r="B19" s="3">
        <v>4.0059782608695649</v>
      </c>
      <c r="E19" t="s">
        <v>1122</v>
      </c>
      <c r="F19" s="5"/>
      <c r="G19" s="5"/>
      <c r="H19" s="5">
        <v>73</v>
      </c>
      <c r="I19" s="5"/>
      <c r="J19" s="5">
        <v>73</v>
      </c>
    </row>
    <row r="20" spans="1:10" x14ac:dyDescent="0.35">
      <c r="A20" t="s">
        <v>207</v>
      </c>
      <c r="B20" s="3">
        <v>3.9816326530612249</v>
      </c>
      <c r="E20" t="s">
        <v>343</v>
      </c>
      <c r="F20" s="5"/>
      <c r="G20" s="5">
        <v>6</v>
      </c>
      <c r="H20" s="5">
        <v>275</v>
      </c>
      <c r="I20" s="5"/>
      <c r="J20" s="5">
        <v>281</v>
      </c>
    </row>
    <row r="21" spans="1:10" x14ac:dyDescent="0.35">
      <c r="A21" t="s">
        <v>975</v>
      </c>
      <c r="B21" s="3">
        <v>3.9750000000000028</v>
      </c>
      <c r="E21" t="s">
        <v>663</v>
      </c>
      <c r="F21" s="5">
        <v>124</v>
      </c>
      <c r="G21" s="5">
        <v>26</v>
      </c>
      <c r="H21" s="5">
        <v>523</v>
      </c>
      <c r="I21" s="5">
        <v>12</v>
      </c>
      <c r="J21" s="5">
        <v>685</v>
      </c>
    </row>
    <row r="22" spans="1:10" x14ac:dyDescent="0.35">
      <c r="A22" t="s">
        <v>186</v>
      </c>
      <c r="B22" s="3">
        <v>3.969090909090911</v>
      </c>
      <c r="E22" t="s">
        <v>1131</v>
      </c>
      <c r="F22" s="5">
        <v>1</v>
      </c>
      <c r="G22" s="5">
        <v>5</v>
      </c>
      <c r="H22" s="5">
        <v>108</v>
      </c>
      <c r="I22" s="5"/>
      <c r="J22" s="5">
        <v>114</v>
      </c>
    </row>
    <row r="23" spans="1:10" x14ac:dyDescent="0.35">
      <c r="A23" t="s">
        <v>475</v>
      </c>
      <c r="B23" s="3">
        <v>3.8511811023622085</v>
      </c>
      <c r="E23" t="s">
        <v>1181</v>
      </c>
      <c r="F23" s="5">
        <v>3</v>
      </c>
      <c r="G23" s="5"/>
      <c r="H23" s="5">
        <v>187</v>
      </c>
      <c r="I23" s="5">
        <v>1</v>
      </c>
      <c r="J23" s="5">
        <v>191</v>
      </c>
    </row>
    <row r="24" spans="1:10" x14ac:dyDescent="0.35">
      <c r="A24" t="s">
        <v>1520</v>
      </c>
      <c r="B24" s="3">
        <v>4.241318605453845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559C5-FCDD-4744-A4BD-E7F030163B80}">
  <dimension ref="A5:K57"/>
  <sheetViews>
    <sheetView workbookViewId="0">
      <selection activeCell="A3" sqref="A3"/>
    </sheetView>
  </sheetViews>
  <sheetFormatPr defaultRowHeight="14.5" x14ac:dyDescent="0.35"/>
  <cols>
    <col min="1" max="1" width="35" bestFit="1" customWidth="1"/>
    <col min="2" max="2" width="6.36328125" bestFit="1" customWidth="1"/>
    <col min="3" max="4" width="10.08984375" bestFit="1" customWidth="1"/>
    <col min="5" max="5" width="12.81640625" bestFit="1" customWidth="1"/>
    <col min="6" max="6" width="6" bestFit="1" customWidth="1"/>
    <col min="7" max="7" width="7.81640625" bestFit="1" customWidth="1"/>
    <col min="8" max="8" width="7.26953125" bestFit="1" customWidth="1"/>
    <col min="9" max="9" width="8.453125" bestFit="1" customWidth="1"/>
    <col min="10" max="11" width="5.08984375" bestFit="1" customWidth="1"/>
    <col min="12" max="12" width="7.453125" bestFit="1" customWidth="1"/>
    <col min="13" max="14" width="7.54296875" bestFit="1" customWidth="1"/>
    <col min="15" max="15" width="8.453125" bestFit="1" customWidth="1"/>
    <col min="16" max="16" width="11.1796875" bestFit="1" customWidth="1"/>
    <col min="17" max="17" width="6" bestFit="1" customWidth="1"/>
    <col min="18" max="18" width="8.36328125" bestFit="1" customWidth="1"/>
  </cols>
  <sheetData>
    <row r="5" spans="1:2" x14ac:dyDescent="0.35">
      <c r="A5" s="2" t="s">
        <v>1529</v>
      </c>
    </row>
    <row r="6" spans="1:2" x14ac:dyDescent="0.35">
      <c r="A6" s="2" t="s">
        <v>0</v>
      </c>
      <c r="B6" t="s">
        <v>1521</v>
      </c>
    </row>
    <row r="7" spans="1:2" x14ac:dyDescent="0.35">
      <c r="A7" t="s">
        <v>633</v>
      </c>
      <c r="B7" s="10">
        <v>7.7970038641410402E-2</v>
      </c>
    </row>
    <row r="8" spans="1:2" x14ac:dyDescent="0.35">
      <c r="A8" t="s">
        <v>195</v>
      </c>
      <c r="B8" s="10">
        <v>9.4281063606020218E-2</v>
      </c>
    </row>
    <row r="9" spans="1:2" x14ac:dyDescent="0.35">
      <c r="A9" t="s">
        <v>191</v>
      </c>
      <c r="B9" s="10">
        <v>0.11863356816177047</v>
      </c>
    </row>
    <row r="10" spans="1:2" x14ac:dyDescent="0.35">
      <c r="A10" t="s">
        <v>186</v>
      </c>
      <c r="B10" s="10">
        <v>0.20625698820207466</v>
      </c>
    </row>
    <row r="11" spans="1:2" x14ac:dyDescent="0.35">
      <c r="A11" t="s">
        <v>1131</v>
      </c>
      <c r="B11" s="10">
        <v>0.22996464236432124</v>
      </c>
    </row>
    <row r="12" spans="1:2" x14ac:dyDescent="0.35">
      <c r="A12" t="s">
        <v>8</v>
      </c>
      <c r="B12" s="10">
        <v>0.27443196846656009</v>
      </c>
    </row>
    <row r="13" spans="1:2" x14ac:dyDescent="0.35">
      <c r="A13" t="s">
        <v>1122</v>
      </c>
      <c r="B13" s="10">
        <v>0.3007888105638501</v>
      </c>
    </row>
    <row r="14" spans="1:2" x14ac:dyDescent="0.35">
      <c r="A14" t="s">
        <v>207</v>
      </c>
      <c r="B14" s="10">
        <v>0.30264099274117329</v>
      </c>
    </row>
    <row r="15" spans="1:2" x14ac:dyDescent="0.35">
      <c r="A15" t="s">
        <v>1181</v>
      </c>
      <c r="B15" s="10">
        <v>0.3139478900891533</v>
      </c>
    </row>
    <row r="16" spans="1:2" x14ac:dyDescent="0.35">
      <c r="A16" t="s">
        <v>343</v>
      </c>
      <c r="B16" s="10">
        <v>0.31945468429103224</v>
      </c>
    </row>
    <row r="17" spans="1:2" x14ac:dyDescent="0.35">
      <c r="A17" t="s">
        <v>1036</v>
      </c>
      <c r="B17" s="10">
        <v>0.34551100389569905</v>
      </c>
    </row>
    <row r="18" spans="1:2" x14ac:dyDescent="0.35">
      <c r="A18" t="s">
        <v>663</v>
      </c>
      <c r="B18" s="10">
        <v>0.35338604819624175</v>
      </c>
    </row>
    <row r="19" spans="1:2" x14ac:dyDescent="0.35">
      <c r="A19" t="s">
        <v>305</v>
      </c>
      <c r="B19" s="10">
        <v>0.38558594638283622</v>
      </c>
    </row>
    <row r="20" spans="1:2" x14ac:dyDescent="0.35">
      <c r="A20" t="s">
        <v>1406</v>
      </c>
      <c r="B20" s="10">
        <v>0.40941448228463523</v>
      </c>
    </row>
    <row r="21" spans="1:2" x14ac:dyDescent="0.35">
      <c r="A21" t="s">
        <v>975</v>
      </c>
      <c r="B21" s="10">
        <v>0.46105361407163764</v>
      </c>
    </row>
    <row r="22" spans="1:2" x14ac:dyDescent="0.35">
      <c r="A22" t="s">
        <v>475</v>
      </c>
      <c r="B22" s="10">
        <v>0.72471697300429849</v>
      </c>
    </row>
    <row r="23" spans="1:2" x14ac:dyDescent="0.35">
      <c r="A23" t="s">
        <v>550</v>
      </c>
      <c r="B23" s="10">
        <v>0.89400558418866571</v>
      </c>
    </row>
    <row r="44" spans="8:11" x14ac:dyDescent="0.35">
      <c r="H44" s="6"/>
      <c r="I44" s="5"/>
      <c r="J44" s="1"/>
      <c r="K44" s="4"/>
    </row>
    <row r="45" spans="8:11" x14ac:dyDescent="0.35">
      <c r="H45" s="6"/>
      <c r="I45" s="5"/>
      <c r="J45" s="1"/>
      <c r="K45" s="4"/>
    </row>
    <row r="46" spans="8:11" x14ac:dyDescent="0.35">
      <c r="H46" s="6"/>
      <c r="I46" s="5"/>
      <c r="J46" s="1"/>
      <c r="K46" s="4"/>
    </row>
    <row r="47" spans="8:11" x14ac:dyDescent="0.35">
      <c r="H47" s="6"/>
      <c r="I47" s="5"/>
      <c r="J47" s="1"/>
      <c r="K47" s="4"/>
    </row>
    <row r="48" spans="8:11" x14ac:dyDescent="0.35">
      <c r="H48" s="6"/>
      <c r="I48" s="5"/>
      <c r="J48" s="1"/>
      <c r="K48" s="4"/>
    </row>
    <row r="49" spans="8:11" x14ac:dyDescent="0.35">
      <c r="H49" s="6"/>
      <c r="I49" s="5"/>
      <c r="J49" s="1"/>
      <c r="K49" s="4"/>
    </row>
    <row r="50" spans="8:11" x14ac:dyDescent="0.35">
      <c r="H50" s="6"/>
      <c r="I50" s="5"/>
      <c r="J50" s="1"/>
      <c r="K50" s="4"/>
    </row>
    <row r="51" spans="8:11" x14ac:dyDescent="0.35">
      <c r="H51" s="6"/>
      <c r="I51" s="5"/>
      <c r="J51" s="1"/>
      <c r="K51" s="4"/>
    </row>
    <row r="52" spans="8:11" x14ac:dyDescent="0.35">
      <c r="H52" s="6"/>
      <c r="I52" s="5"/>
      <c r="J52" s="1"/>
      <c r="K52" s="4"/>
    </row>
    <row r="53" spans="8:11" x14ac:dyDescent="0.35">
      <c r="H53" s="6"/>
      <c r="I53" s="5"/>
      <c r="J53" s="1"/>
      <c r="K53" s="4"/>
    </row>
    <row r="54" spans="8:11" x14ac:dyDescent="0.35">
      <c r="H54" s="6"/>
      <c r="I54" s="5"/>
      <c r="J54" s="1"/>
      <c r="K54" s="4"/>
    </row>
    <row r="55" spans="8:11" x14ac:dyDescent="0.35">
      <c r="H55" s="6"/>
      <c r="I55" s="5"/>
      <c r="J55" s="1"/>
      <c r="K55" s="4"/>
    </row>
    <row r="56" spans="8:11" x14ac:dyDescent="0.35">
      <c r="H56" s="6"/>
      <c r="I56" s="5"/>
      <c r="J56" s="1"/>
      <c r="K56" s="4"/>
    </row>
    <row r="57" spans="8:11" x14ac:dyDescent="0.35">
      <c r="H57" s="6"/>
      <c r="I57" s="5"/>
      <c r="J57" s="1"/>
      <c r="K57" s="4"/>
    </row>
  </sheetData>
  <conditionalFormatting sqref="A37">
    <cfRule type="top10" dxfId="51" priority="2" rank="2"/>
  </conditionalFormatting>
  <conditionalFormatting sqref="A53:A57">
    <cfRule type="cellIs" dxfId="50" priority="1" operator="between">
      <formula>4.1</formula>
      <formula>4.5</formula>
    </cfRule>
  </conditionalFormatting>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57DC6-9BDD-41E6-A660-B242CD83E8AB}">
  <dimension ref="A3:C21"/>
  <sheetViews>
    <sheetView workbookViewId="0">
      <selection activeCell="B4" sqref="B4"/>
    </sheetView>
  </sheetViews>
  <sheetFormatPr defaultRowHeight="14.5" x14ac:dyDescent="0.35"/>
  <cols>
    <col min="1" max="1" width="10.90625" bestFit="1" customWidth="1"/>
    <col min="2" max="2" width="17.7265625" bestFit="1" customWidth="1"/>
    <col min="3" max="3" width="15.54296875" bestFit="1" customWidth="1"/>
  </cols>
  <sheetData>
    <row r="3" spans="1:3" x14ac:dyDescent="0.35">
      <c r="B3" s="2" t="s">
        <v>1527</v>
      </c>
    </row>
    <row r="4" spans="1:3" x14ac:dyDescent="0.35">
      <c r="A4" s="2" t="s">
        <v>0</v>
      </c>
      <c r="B4" t="s">
        <v>1528</v>
      </c>
      <c r="C4" t="s">
        <v>1524</v>
      </c>
    </row>
    <row r="5" spans="1:3" x14ac:dyDescent="0.35">
      <c r="A5" t="s">
        <v>633</v>
      </c>
      <c r="B5" s="4">
        <v>4.7044463947948721E-2</v>
      </c>
      <c r="C5" s="13">
        <v>4.5702194357366865</v>
      </c>
    </row>
    <row r="6" spans="1:3" x14ac:dyDescent="0.35">
      <c r="A6" t="s">
        <v>305</v>
      </c>
      <c r="B6" s="4">
        <v>1.3569269868716295E-2</v>
      </c>
      <c r="C6" s="13">
        <v>4.0828828828828865</v>
      </c>
    </row>
    <row r="7" spans="1:3" x14ac:dyDescent="0.35">
      <c r="A7" t="s">
        <v>475</v>
      </c>
      <c r="B7" s="4">
        <v>5.9939770069674325E-2</v>
      </c>
      <c r="C7" s="13">
        <v>3.8511811023622085</v>
      </c>
    </row>
    <row r="8" spans="1:3" x14ac:dyDescent="0.35">
      <c r="A8" t="s">
        <v>195</v>
      </c>
      <c r="B8" s="4">
        <v>2.0685055938186293E-2</v>
      </c>
      <c r="C8" s="13">
        <v>4.5068965517241377</v>
      </c>
    </row>
    <row r="9" spans="1:3" x14ac:dyDescent="0.35">
      <c r="A9" t="s">
        <v>186</v>
      </c>
      <c r="B9" s="4">
        <v>0</v>
      </c>
      <c r="C9" s="13">
        <v>3.969090909090911</v>
      </c>
    </row>
    <row r="10" spans="1:3" x14ac:dyDescent="0.35">
      <c r="A10" t="s">
        <v>1406</v>
      </c>
      <c r="B10" s="4">
        <v>6.877392729358521E-2</v>
      </c>
      <c r="C10" s="13">
        <v>4.2768211920529815</v>
      </c>
    </row>
    <row r="11" spans="1:3" x14ac:dyDescent="0.35">
      <c r="A11" t="s">
        <v>191</v>
      </c>
      <c r="B11" s="4">
        <v>9.0656265938318548E-2</v>
      </c>
      <c r="C11" s="13">
        <v>4.4000000000000004</v>
      </c>
    </row>
    <row r="12" spans="1:3" x14ac:dyDescent="0.35">
      <c r="A12" t="s">
        <v>975</v>
      </c>
      <c r="B12" s="4">
        <v>2.4345998601385723E-2</v>
      </c>
      <c r="C12" s="13">
        <v>3.9750000000000028</v>
      </c>
    </row>
    <row r="13" spans="1:3" x14ac:dyDescent="0.35">
      <c r="A13" t="s">
        <v>207</v>
      </c>
      <c r="B13" s="4">
        <v>8.8069980071286413E-2</v>
      </c>
      <c r="C13" s="13">
        <v>3.9816326530612249</v>
      </c>
    </row>
    <row r="14" spans="1:3" x14ac:dyDescent="0.35">
      <c r="A14" t="s">
        <v>1036</v>
      </c>
      <c r="B14" s="4">
        <v>0.12774220137163519</v>
      </c>
      <c r="C14" s="13">
        <v>4.1427184466019407</v>
      </c>
    </row>
    <row r="15" spans="1:3" x14ac:dyDescent="0.35">
      <c r="A15" t="s">
        <v>550</v>
      </c>
      <c r="B15" s="4">
        <v>5.7713313139495029E-2</v>
      </c>
      <c r="C15" s="13">
        <v>4.0059782608695649</v>
      </c>
    </row>
    <row r="16" spans="1:3" x14ac:dyDescent="0.35">
      <c r="A16" t="s">
        <v>8</v>
      </c>
      <c r="B16" s="4">
        <v>8.4334795257961254E-2</v>
      </c>
      <c r="C16" s="13">
        <v>4.2984063745019796</v>
      </c>
    </row>
    <row r="17" spans="1:3" x14ac:dyDescent="0.35">
      <c r="A17" t="s">
        <v>1122</v>
      </c>
      <c r="B17" s="4">
        <v>0.14543372004409699</v>
      </c>
      <c r="C17" s="13">
        <v>4.38767123287671</v>
      </c>
    </row>
    <row r="18" spans="1:3" x14ac:dyDescent="0.35">
      <c r="A18" t="s">
        <v>343</v>
      </c>
      <c r="B18" s="4">
        <v>8.3662394651547858E-2</v>
      </c>
      <c r="C18" s="13">
        <v>4.3928825622775776</v>
      </c>
    </row>
    <row r="19" spans="1:3" x14ac:dyDescent="0.35">
      <c r="A19" t="s">
        <v>663</v>
      </c>
      <c r="B19" s="4">
        <v>5.9986411625973957E-2</v>
      </c>
      <c r="C19" s="13">
        <v>4.2080291970802977</v>
      </c>
    </row>
    <row r="20" spans="1:3" x14ac:dyDescent="0.35">
      <c r="A20" t="s">
        <v>1131</v>
      </c>
      <c r="B20" s="4">
        <v>4.8011495855403513E-2</v>
      </c>
      <c r="C20" s="13">
        <v>4.3929824561403494</v>
      </c>
    </row>
    <row r="21" spans="1:3" x14ac:dyDescent="0.35">
      <c r="A21" t="s">
        <v>1181</v>
      </c>
      <c r="B21" s="4">
        <v>3.9333911724524787E-2</v>
      </c>
      <c r="C21" s="13">
        <v>4.304712041884807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5FF19-56E6-4B7E-9740-A449A03B900C}">
  <dimension ref="A5:AK41"/>
  <sheetViews>
    <sheetView topLeftCell="G3" workbookViewId="0">
      <selection activeCell="M6" sqref="M6"/>
    </sheetView>
  </sheetViews>
  <sheetFormatPr defaultRowHeight="14.5" x14ac:dyDescent="0.35"/>
  <cols>
    <col min="1" max="1" width="14" bestFit="1" customWidth="1"/>
    <col min="2" max="2" width="5.08984375" bestFit="1" customWidth="1"/>
    <col min="6" max="6" width="15.453125" bestFit="1" customWidth="1"/>
    <col min="7" max="7" width="11.36328125" bestFit="1" customWidth="1"/>
    <col min="8" max="8" width="5.08984375" bestFit="1" customWidth="1"/>
    <col min="12" max="12" width="15.54296875" bestFit="1" customWidth="1"/>
    <col min="13" max="13" width="5.08984375" bestFit="1" customWidth="1"/>
    <col min="16" max="16" width="28.90625" bestFit="1" customWidth="1"/>
    <col min="17" max="17" width="5.08984375" bestFit="1" customWidth="1"/>
    <col min="19" max="19" width="17.7265625" bestFit="1" customWidth="1"/>
    <col min="20" max="20" width="5.08984375" bestFit="1" customWidth="1"/>
    <col min="24" max="24" width="15.26953125" bestFit="1" customWidth="1"/>
    <col min="25" max="25" width="5.08984375" bestFit="1" customWidth="1"/>
    <col min="28" max="28" width="15.6328125" bestFit="1" customWidth="1"/>
    <col min="29" max="29" width="5.08984375" bestFit="1" customWidth="1"/>
    <col min="32" max="32" width="15.54296875" bestFit="1" customWidth="1"/>
    <col min="33" max="33" width="5.08984375" bestFit="1" customWidth="1"/>
    <col min="36" max="36" width="17.08984375" bestFit="1" customWidth="1"/>
    <col min="37" max="37" width="12.7265625" bestFit="1" customWidth="1"/>
  </cols>
  <sheetData>
    <row r="5" spans="1:37" x14ac:dyDescent="0.35">
      <c r="A5" s="2" t="s">
        <v>1531</v>
      </c>
      <c r="B5" t="s">
        <v>1521</v>
      </c>
      <c r="F5" s="7" t="s">
        <v>1532</v>
      </c>
      <c r="G5" s="8" t="s">
        <v>1521</v>
      </c>
      <c r="L5" s="14" t="s">
        <v>1524</v>
      </c>
      <c r="M5" s="13" t="s">
        <v>1521</v>
      </c>
      <c r="P5" s="2" t="s">
        <v>1533</v>
      </c>
      <c r="Q5" t="s">
        <v>1521</v>
      </c>
      <c r="S5" s="2" t="s">
        <v>1528</v>
      </c>
      <c r="T5" t="s">
        <v>1521</v>
      </c>
      <c r="X5" s="7" t="s">
        <v>1541</v>
      </c>
      <c r="Y5" s="8"/>
      <c r="AB5" s="2" t="s">
        <v>1542</v>
      </c>
      <c r="AF5" s="2" t="s">
        <v>1524</v>
      </c>
      <c r="AJ5" s="2" t="s">
        <v>1540</v>
      </c>
    </row>
    <row r="6" spans="1:37" x14ac:dyDescent="0.35">
      <c r="A6" t="s">
        <v>1521</v>
      </c>
      <c r="B6" s="13">
        <v>2897</v>
      </c>
      <c r="F6" s="8" t="s">
        <v>1521</v>
      </c>
      <c r="G6" s="11">
        <v>71534150</v>
      </c>
      <c r="L6" s="13" t="s">
        <v>1521</v>
      </c>
      <c r="M6" s="1">
        <v>4.2413186054538965</v>
      </c>
      <c r="P6" t="s">
        <v>1521</v>
      </c>
      <c r="Q6" s="1">
        <v>0.35558533740779036</v>
      </c>
      <c r="S6" t="s">
        <v>1521</v>
      </c>
      <c r="T6" s="4">
        <v>6.2224168679925723E-2</v>
      </c>
      <c r="X6" s="2" t="s">
        <v>0</v>
      </c>
      <c r="Y6" s="8" t="s">
        <v>1521</v>
      </c>
      <c r="AB6" s="2" t="s">
        <v>1</v>
      </c>
      <c r="AC6" t="s">
        <v>1521</v>
      </c>
      <c r="AF6" s="2" t="s">
        <v>0</v>
      </c>
      <c r="AG6" t="s">
        <v>1521</v>
      </c>
      <c r="AJ6" s="2" t="s">
        <v>0</v>
      </c>
      <c r="AK6" t="s">
        <v>1521</v>
      </c>
    </row>
    <row r="7" spans="1:37" x14ac:dyDescent="0.35">
      <c r="X7" s="8" t="s">
        <v>663</v>
      </c>
      <c r="Y7">
        <v>685</v>
      </c>
      <c r="AB7" t="s">
        <v>639</v>
      </c>
      <c r="AC7" s="5">
        <v>36</v>
      </c>
      <c r="AF7" t="s">
        <v>633</v>
      </c>
      <c r="AG7" s="3">
        <v>4.5702194357366865</v>
      </c>
      <c r="AJ7" t="s">
        <v>633</v>
      </c>
      <c r="AK7" s="12">
        <v>23395613</v>
      </c>
    </row>
    <row r="8" spans="1:37" x14ac:dyDescent="0.35">
      <c r="AF8" t="s">
        <v>305</v>
      </c>
      <c r="AG8" s="3">
        <v>4.0828828828828865</v>
      </c>
    </row>
    <row r="9" spans="1:37" x14ac:dyDescent="0.35">
      <c r="AF9" t="s">
        <v>475</v>
      </c>
      <c r="AG9" s="3">
        <v>3.8511811023622085</v>
      </c>
    </row>
    <row r="10" spans="1:37" x14ac:dyDescent="0.35">
      <c r="AF10" t="s">
        <v>195</v>
      </c>
      <c r="AG10" s="3">
        <v>4.5068965517241377</v>
      </c>
    </row>
    <row r="11" spans="1:37" x14ac:dyDescent="0.35">
      <c r="AF11" t="s">
        <v>186</v>
      </c>
      <c r="AG11" s="3">
        <v>3.969090909090911</v>
      </c>
    </row>
    <row r="12" spans="1:37" x14ac:dyDescent="0.35">
      <c r="AF12" t="s">
        <v>1406</v>
      </c>
      <c r="AG12" s="3">
        <v>4.2768211920529815</v>
      </c>
    </row>
    <row r="13" spans="1:37" x14ac:dyDescent="0.35">
      <c r="AF13" t="s">
        <v>191</v>
      </c>
      <c r="AG13" s="3">
        <v>4.4000000000000004</v>
      </c>
    </row>
    <row r="14" spans="1:37" x14ac:dyDescent="0.35">
      <c r="AF14" t="s">
        <v>975</v>
      </c>
      <c r="AG14" s="3">
        <v>3.9750000000000028</v>
      </c>
    </row>
    <row r="15" spans="1:37" x14ac:dyDescent="0.35">
      <c r="AF15" t="s">
        <v>207</v>
      </c>
      <c r="AG15" s="3">
        <v>3.9816326530612249</v>
      </c>
    </row>
    <row r="16" spans="1:37" x14ac:dyDescent="0.35">
      <c r="AF16" t="s">
        <v>1036</v>
      </c>
      <c r="AG16" s="3">
        <v>4.1427184466019407</v>
      </c>
    </row>
    <row r="17" spans="32:33" x14ac:dyDescent="0.35">
      <c r="AF17" t="s">
        <v>550</v>
      </c>
      <c r="AG17" s="3">
        <v>4.0059782608695649</v>
      </c>
    </row>
    <row r="18" spans="32:33" x14ac:dyDescent="0.35">
      <c r="AF18" t="s">
        <v>8</v>
      </c>
      <c r="AG18" s="3">
        <v>4.2984063745019796</v>
      </c>
    </row>
    <row r="19" spans="32:33" x14ac:dyDescent="0.35">
      <c r="AF19" t="s">
        <v>1122</v>
      </c>
      <c r="AG19" s="3">
        <v>4.38767123287671</v>
      </c>
    </row>
    <row r="20" spans="32:33" x14ac:dyDescent="0.35">
      <c r="AF20" t="s">
        <v>343</v>
      </c>
      <c r="AG20" s="3">
        <v>4.3928825622775776</v>
      </c>
    </row>
    <row r="21" spans="32:33" x14ac:dyDescent="0.35">
      <c r="AF21" t="s">
        <v>663</v>
      </c>
      <c r="AG21" s="3">
        <v>4.2080291970802977</v>
      </c>
    </row>
    <row r="22" spans="32:33" x14ac:dyDescent="0.35">
      <c r="AF22" t="s">
        <v>1131</v>
      </c>
      <c r="AG22" s="3">
        <v>4.3929824561403494</v>
      </c>
    </row>
    <row r="23" spans="32:33" x14ac:dyDescent="0.35">
      <c r="AF23" t="s">
        <v>1181</v>
      </c>
      <c r="AG23" s="3">
        <v>4.304712041884807</v>
      </c>
    </row>
    <row r="39" spans="1:2" x14ac:dyDescent="0.35">
      <c r="A39" s="2" t="s">
        <v>1529</v>
      </c>
    </row>
    <row r="40" spans="1:2" x14ac:dyDescent="0.35">
      <c r="A40" s="2" t="s">
        <v>0</v>
      </c>
      <c r="B40" t="s">
        <v>1521</v>
      </c>
    </row>
    <row r="41" spans="1:2" x14ac:dyDescent="0.35">
      <c r="A41" t="s">
        <v>550</v>
      </c>
      <c r="B41" s="10">
        <v>0.89400558418866571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AAF0E-3D1D-44AD-AB7F-995A5F8B73F6}">
  <dimension ref="A1:A73"/>
  <sheetViews>
    <sheetView showGridLines="0" zoomScale="51" zoomScaleNormal="51" workbookViewId="0">
      <selection activeCell="XFD1" sqref="XFD1:XFD1048576"/>
    </sheetView>
  </sheetViews>
  <sheetFormatPr defaultColWidth="0" defaultRowHeight="14.5" zeroHeight="1" x14ac:dyDescent="0.35"/>
  <cols>
    <col min="1" max="26" width="8.7265625" customWidth="1"/>
    <col min="27" max="27" width="8.90625" customWidth="1"/>
    <col min="28" max="28" width="0" hidden="1" customWidth="1"/>
  </cols>
  <sheetData>
    <row r="1" customFormat="1" x14ac:dyDescent="0.35"/>
    <row r="2" customFormat="1" x14ac:dyDescent="0.35"/>
    <row r="3" customFormat="1" x14ac:dyDescent="0.35"/>
    <row r="4" customFormat="1" x14ac:dyDescent="0.35"/>
    <row r="5" customFormat="1" x14ac:dyDescent="0.35"/>
    <row r="6" customFormat="1" x14ac:dyDescent="0.35"/>
    <row r="7" customFormat="1" x14ac:dyDescent="0.35"/>
    <row r="8" customFormat="1" x14ac:dyDescent="0.35"/>
    <row r="9" customFormat="1" x14ac:dyDescent="0.35"/>
    <row r="10" customFormat="1" x14ac:dyDescent="0.35"/>
    <row r="11" customFormat="1" x14ac:dyDescent="0.35"/>
    <row r="12" customFormat="1" x14ac:dyDescent="0.35"/>
    <row r="13" customFormat="1" x14ac:dyDescent="0.35"/>
    <row r="14" customFormat="1" x14ac:dyDescent="0.35"/>
    <row r="15" customFormat="1" x14ac:dyDescent="0.35"/>
    <row r="16" customFormat="1" x14ac:dyDescent="0.35"/>
    <row r="17" customFormat="1" x14ac:dyDescent="0.35"/>
    <row r="18" customFormat="1" x14ac:dyDescent="0.35"/>
    <row r="19" customFormat="1" x14ac:dyDescent="0.35"/>
    <row r="20" customFormat="1" x14ac:dyDescent="0.35"/>
    <row r="21" customFormat="1" x14ac:dyDescent="0.35"/>
    <row r="22" customFormat="1" x14ac:dyDescent="0.35"/>
    <row r="23" customFormat="1" x14ac:dyDescent="0.35"/>
    <row r="24" customFormat="1" x14ac:dyDescent="0.35"/>
    <row r="25" customFormat="1" x14ac:dyDescent="0.35"/>
    <row r="26" customFormat="1" x14ac:dyDescent="0.35"/>
    <row r="27" customFormat="1" x14ac:dyDescent="0.35"/>
    <row r="28" customFormat="1" x14ac:dyDescent="0.35"/>
    <row r="29" customFormat="1" x14ac:dyDescent="0.35"/>
    <row r="30" customFormat="1" x14ac:dyDescent="0.35"/>
    <row r="31" customFormat="1" x14ac:dyDescent="0.35"/>
    <row r="32" customFormat="1" x14ac:dyDescent="0.35"/>
    <row r="33" customFormat="1" x14ac:dyDescent="0.35"/>
    <row r="34" customFormat="1" x14ac:dyDescent="0.35"/>
    <row r="35" customFormat="1" x14ac:dyDescent="0.35"/>
    <row r="36" customFormat="1" x14ac:dyDescent="0.35"/>
    <row r="37" customFormat="1" x14ac:dyDescent="0.35"/>
    <row r="38" customFormat="1" x14ac:dyDescent="0.35"/>
    <row r="39" customFormat="1" x14ac:dyDescent="0.35"/>
    <row r="40" customFormat="1" x14ac:dyDescent="0.35"/>
    <row r="41" customFormat="1" x14ac:dyDescent="0.35"/>
    <row r="42" customFormat="1" x14ac:dyDescent="0.35"/>
    <row r="43" customFormat="1" x14ac:dyDescent="0.35"/>
    <row r="44" customFormat="1" x14ac:dyDescent="0.35"/>
    <row r="45" customFormat="1" x14ac:dyDescent="0.35"/>
    <row r="46" customFormat="1" x14ac:dyDescent="0.35"/>
    <row r="47" customFormat="1" x14ac:dyDescent="0.35"/>
    <row r="48" customFormat="1" x14ac:dyDescent="0.35"/>
    <row r="49" customFormat="1" x14ac:dyDescent="0.35"/>
    <row r="50" customFormat="1" x14ac:dyDescent="0.35"/>
    <row r="51" customFormat="1" x14ac:dyDescent="0.35"/>
    <row r="52" customFormat="1" x14ac:dyDescent="0.35"/>
    <row r="53" customFormat="1" x14ac:dyDescent="0.35"/>
    <row r="54" customFormat="1" x14ac:dyDescent="0.35"/>
    <row r="55" customFormat="1" x14ac:dyDescent="0.35"/>
    <row r="56" customFormat="1" hidden="1" x14ac:dyDescent="0.35"/>
    <row r="57" customFormat="1" hidden="1" x14ac:dyDescent="0.35"/>
    <row r="58" customFormat="1" hidden="1" x14ac:dyDescent="0.35"/>
    <row r="59" customFormat="1" hidden="1" x14ac:dyDescent="0.35"/>
    <row r="60" customFormat="1" hidden="1" x14ac:dyDescent="0.35"/>
    <row r="61" customFormat="1" hidden="1" x14ac:dyDescent="0.35"/>
    <row r="62" customFormat="1" hidden="1" x14ac:dyDescent="0.35"/>
    <row r="63" customFormat="1" hidden="1" x14ac:dyDescent="0.35"/>
    <row r="64" customFormat="1" hidden="1" x14ac:dyDescent="0.35"/>
    <row r="65" customFormat="1" hidden="1" x14ac:dyDescent="0.35"/>
    <row r="66" customFormat="1" hidden="1" x14ac:dyDescent="0.35"/>
    <row r="67" customFormat="1" hidden="1" x14ac:dyDescent="0.35"/>
    <row r="68" customFormat="1" hidden="1" x14ac:dyDescent="0.35"/>
    <row r="69" customFormat="1" hidden="1" x14ac:dyDescent="0.35"/>
    <row r="70" customFormat="1" hidden="1" x14ac:dyDescent="0.35"/>
    <row r="71" customFormat="1" hidden="1" x14ac:dyDescent="0.35"/>
    <row r="72" customFormat="1" hidden="1" x14ac:dyDescent="0.35"/>
    <row r="73" customFormat="1" hidden="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F718A-3505-4836-B9D0-48C574870872}">
  <dimension ref="A1:P36"/>
  <sheetViews>
    <sheetView showGridLines="0" tabSelected="1" zoomScale="66" zoomScaleNormal="66" workbookViewId="0">
      <selection activeCell="XFD1" sqref="XFD1:XFD1048576"/>
    </sheetView>
  </sheetViews>
  <sheetFormatPr defaultColWidth="0" defaultRowHeight="14.5" zeroHeight="1" x14ac:dyDescent="0.35"/>
  <cols>
    <col min="1" max="16" width="8.7265625" customWidth="1"/>
    <col min="17" max="16384" width="8.7265625" hidden="1"/>
  </cols>
  <sheetData>
    <row r="1" x14ac:dyDescent="0.35"/>
    <row r="2" x14ac:dyDescent="0.35"/>
    <row r="3" x14ac:dyDescent="0.35"/>
    <row r="4" x14ac:dyDescent="0.35"/>
    <row r="5" x14ac:dyDescent="0.35"/>
    <row r="6" x14ac:dyDescent="0.35"/>
    <row r="7" x14ac:dyDescent="0.35"/>
    <row r="8" x14ac:dyDescent="0.35"/>
    <row r="9" x14ac:dyDescent="0.35"/>
    <row r="10" x14ac:dyDescent="0.35"/>
    <row r="11" x14ac:dyDescent="0.35"/>
    <row r="12" x14ac:dyDescent="0.35"/>
    <row r="13" x14ac:dyDescent="0.35"/>
    <row r="14" x14ac:dyDescent="0.35"/>
    <row r="15" x14ac:dyDescent="0.35"/>
    <row r="16" x14ac:dyDescent="0.35"/>
    <row r="17" x14ac:dyDescent="0.35"/>
    <row r="18" x14ac:dyDescent="0.35"/>
    <row r="19" x14ac:dyDescent="0.35"/>
    <row r="20" x14ac:dyDescent="0.35"/>
    <row r="21" x14ac:dyDescent="0.35"/>
    <row r="22" x14ac:dyDescent="0.35"/>
    <row r="23" x14ac:dyDescent="0.35"/>
    <row r="24" x14ac:dyDescent="0.35"/>
    <row r="25" x14ac:dyDescent="0.35"/>
    <row r="26" x14ac:dyDescent="0.35"/>
    <row r="27" x14ac:dyDescent="0.35"/>
    <row r="28" x14ac:dyDescent="0.35"/>
    <row r="29" x14ac:dyDescent="0.35"/>
    <row r="30" x14ac:dyDescent="0.35"/>
    <row r="31" x14ac:dyDescent="0.35"/>
    <row r="32" x14ac:dyDescent="0.35"/>
    <row r="33" x14ac:dyDescent="0.35"/>
    <row r="34" x14ac:dyDescent="0.35"/>
    <row r="35" x14ac:dyDescent="0.35"/>
    <row r="36"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Flipkart_Mobiles-Raw Data</vt:lpstr>
      <vt:lpstr>Calculations- Brand Performance</vt:lpstr>
      <vt:lpstr>Brand Performance by Ratings</vt:lpstr>
      <vt:lpstr>Value For Money Brands</vt:lpstr>
      <vt:lpstr>Margin Analysis</vt:lpstr>
      <vt:lpstr>KPI Sheet</vt:lpstr>
      <vt:lpstr>Dashboard</vt:lpstr>
      <vt:lpstr>Business Reports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SAPTADEEP SEN</cp:lastModifiedBy>
  <dcterms:created xsi:type="dcterms:W3CDTF">2025-11-13T20:14:08Z</dcterms:created>
  <dcterms:modified xsi:type="dcterms:W3CDTF">2026-05-20T19:48:44Z</dcterms:modified>
</cp:coreProperties>
</file>